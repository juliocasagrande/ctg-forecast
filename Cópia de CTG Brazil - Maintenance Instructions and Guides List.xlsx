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ustomProperty6.bin" ContentType="application/vnd.openxmlformats-officedocument.spreadsheetml.customProperty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ustomProperty7.bin" ContentType="application/vnd.openxmlformats-officedocument.spreadsheetml.customProperty"/>
  <Override PartName="/xl/drawings/drawing7.xml" ContentType="application/vnd.openxmlformats-officedocument.drawing+xml"/>
  <Override PartName="/xl/customProperty8.bin" ContentType="application/vnd.openxmlformats-officedocument.spreadsheetml.customProperty"/>
  <Override PartName="/xl/drawings/drawing8.xml" ContentType="application/vnd.openxmlformats-officedocument.drawing+xml"/>
  <Override PartName="/xl/customProperty9.bin" ContentType="application/vnd.openxmlformats-officedocument.spreadsheetml.customProperty"/>
  <Override PartName="/xl/drawings/drawing9.xml" ContentType="application/vnd.openxmlformats-officedocument.drawing+xml"/>
  <Override PartName="/xl/customProperty10.bin" ContentType="application/vnd.openxmlformats-officedocument.spreadsheetml.customProperty"/>
  <Override PartName="/xl/drawings/drawing10.xml" ContentType="application/vnd.openxmlformats-officedocument.drawing+xml"/>
  <Override PartName="/xl/customProperty11.bin" ContentType="application/vnd.openxmlformats-officedocument.spreadsheetml.customProperty"/>
  <Override PartName="/xl/drawings/drawing11.xml" ContentType="application/vnd.openxmlformats-officedocument.drawing+xml"/>
  <Override PartName="/xl/customProperty12.bin" ContentType="application/vnd.openxmlformats-officedocument.spreadsheetml.customProperty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customProperty13.bin" ContentType="application/vnd.openxmlformats-officedocument.spreadsheetml.customProperty"/>
  <Override PartName="/xl/drawings/drawing13.xml" ContentType="application/vnd.openxmlformats-officedocument.drawing+xml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drawings/drawing1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cweibr011-my.sharepoint.com/personal/jlcasagrande_ctgpar_ctgbr_com_br/Documents/Desktop/"/>
    </mc:Choice>
  </mc:AlternateContent>
  <xr:revisionPtr revIDLastSave="0" documentId="8_{D201D8E8-924B-4D57-9DB1-D32212F95278}" xr6:coauthVersionLast="47" xr6:coauthVersionMax="47" xr10:uidLastSave="{00000000-0000-0000-0000-000000000000}"/>
  <bookViews>
    <workbookView xWindow="-110" yWindow="-110" windowWidth="19420" windowHeight="11500" tabRatio="927" firstSheet="1" activeTab="1" xr2:uid="{00000000-000D-0000-FFFF-FFFF00000000}"/>
  </bookViews>
  <sheets>
    <sheet name="MAIN (Anterior)" sheetId="16" state="hidden" r:id="rId1"/>
    <sheet name="MAIN" sheetId="26" r:id="rId2"/>
    <sheet name="POL" sheetId="14" r:id="rId3"/>
    <sheet name="IM" sheetId="10" r:id="rId4"/>
    <sheet name="GM" sheetId="11" r:id="rId5"/>
    <sheet name="MM" sheetId="12" r:id="rId6"/>
    <sheet name="IO" sheetId="17" state="hidden" r:id="rId7"/>
    <sheet name="GO" sheetId="20" state="hidden" r:id="rId8"/>
    <sheet name="MO" sheetId="21" state="hidden" r:id="rId9"/>
    <sheet name="STANDARD HYDRO" sheetId="13" r:id="rId10"/>
    <sheet name="STANDARD SOLAR" sheetId="24" state="hidden" r:id="rId11"/>
    <sheet name="STANDARD WIND" sheetId="25" state="hidden" r:id="rId12"/>
    <sheet name="MANUAIS " sheetId="5" state="hidden" r:id="rId13"/>
    <sheet name="Planilha1" sheetId="23" state="hidden" r:id="rId14"/>
    <sheet name="PR" sheetId="15" state="hidden" r:id="rId15"/>
  </sheets>
  <definedNames>
    <definedName name="_xlnm._FilterDatabase" localSheetId="4" hidden="1">GM!$B$4:$O$757</definedName>
    <definedName name="_xlnm._FilterDatabase" localSheetId="7" hidden="1">GO!$B$4:$J$222</definedName>
    <definedName name="_xlnm._FilterDatabase" localSheetId="3" hidden="1">IM!$B$4:$R$114</definedName>
    <definedName name="_xlnm._FilterDatabase" localSheetId="6" hidden="1">IO!$B$4:$I$148</definedName>
    <definedName name="_xlnm._FilterDatabase" localSheetId="12" hidden="1">'MANUAIS '!$A$4:$E$75</definedName>
    <definedName name="_xlnm._FilterDatabase" localSheetId="5" hidden="1">MM!$B$5:$O$746</definedName>
    <definedName name="_xlnm._FilterDatabase" localSheetId="8" hidden="1">MO!$B$5:$M$266</definedName>
    <definedName name="_xlnm._FilterDatabase" localSheetId="2" hidden="1">POL!$A$3:$Q$24</definedName>
    <definedName name="_xlnm._FilterDatabase" localSheetId="14" hidden="1">PR!$A$4:$H$4174</definedName>
    <definedName name="_xlnm._FilterDatabase" localSheetId="9" hidden="1">'STANDARD HYDRO'!$B$3:$D$73</definedName>
    <definedName name="_xlnm._FilterDatabase" localSheetId="10" hidden="1">'STANDARD SOLAR'!$B$3:$D$82</definedName>
    <definedName name="_xlnm._FilterDatabase" localSheetId="11" hidden="1">'STANDARD WIND'!$B$3:$D$82</definedName>
    <definedName name="_xlnm.Print_Area" localSheetId="12">'MANUAIS '!$A$1:$E$77</definedName>
    <definedName name="_xlnm.Print_Titles" localSheetId="12">'MANUAIS 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6" l="1"/>
  <c r="V27" i="26"/>
  <c r="V12" i="26"/>
  <c r="U36" i="26"/>
  <c r="L114" i="10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Q398" i="11"/>
  <c r="Q399" i="11"/>
  <c r="Q400" i="11"/>
  <c r="Q401" i="11"/>
  <c r="Q402" i="11"/>
  <c r="Q403" i="11"/>
  <c r="Q404" i="11"/>
  <c r="Q405" i="11"/>
  <c r="Q406" i="11"/>
  <c r="Q407" i="11"/>
  <c r="Q408" i="11"/>
  <c r="Q409" i="11"/>
  <c r="Q410" i="11"/>
  <c r="Q411" i="11"/>
  <c r="Q412" i="11"/>
  <c r="Q413" i="11"/>
  <c r="Q414" i="11"/>
  <c r="Q415" i="11"/>
  <c r="Q416" i="11"/>
  <c r="Q417" i="11"/>
  <c r="Q418" i="11"/>
  <c r="Q419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51" i="11"/>
  <c r="Q452" i="11"/>
  <c r="Q453" i="11"/>
  <c r="Q454" i="11"/>
  <c r="Q455" i="11"/>
  <c r="Q456" i="11"/>
  <c r="Q457" i="11"/>
  <c r="Q458" i="11"/>
  <c r="Q459" i="11"/>
  <c r="Q460" i="11"/>
  <c r="Q461" i="11"/>
  <c r="Q462" i="11"/>
  <c r="Q463" i="11"/>
  <c r="Q464" i="11"/>
  <c r="Q465" i="11"/>
  <c r="Q466" i="11"/>
  <c r="Q467" i="11"/>
  <c r="Q468" i="11"/>
  <c r="Q469" i="11"/>
  <c r="Q470" i="11"/>
  <c r="Q471" i="11"/>
  <c r="Q472" i="11"/>
  <c r="Q473" i="11"/>
  <c r="Q474" i="11"/>
  <c r="Q475" i="11"/>
  <c r="Q476" i="11"/>
  <c r="Q477" i="11"/>
  <c r="Q478" i="11"/>
  <c r="Q479" i="11"/>
  <c r="Q480" i="11"/>
  <c r="Q481" i="11"/>
  <c r="Q482" i="11"/>
  <c r="Q483" i="11"/>
  <c r="Q484" i="11"/>
  <c r="Q485" i="11"/>
  <c r="Q486" i="11"/>
  <c r="Q487" i="11"/>
  <c r="Q488" i="11"/>
  <c r="Q489" i="11"/>
  <c r="Q490" i="11"/>
  <c r="Q491" i="11"/>
  <c r="Q492" i="11"/>
  <c r="Q493" i="11"/>
  <c r="Q494" i="11"/>
  <c r="Q495" i="11"/>
  <c r="Q496" i="11"/>
  <c r="Q497" i="11"/>
  <c r="Q498" i="11"/>
  <c r="Q499" i="11"/>
  <c r="Q500" i="11"/>
  <c r="Q501" i="11"/>
  <c r="Q502" i="11"/>
  <c r="Q503" i="11"/>
  <c r="Q504" i="11"/>
  <c r="Q505" i="11"/>
  <c r="Q506" i="11"/>
  <c r="Q507" i="11"/>
  <c r="Q508" i="11"/>
  <c r="Q509" i="11"/>
  <c r="Q510" i="11"/>
  <c r="Q511" i="11"/>
  <c r="Q512" i="11"/>
  <c r="Q513" i="11"/>
  <c r="Q514" i="11"/>
  <c r="Q515" i="11"/>
  <c r="Q516" i="11"/>
  <c r="Q517" i="11"/>
  <c r="Q518" i="11"/>
  <c r="Q519" i="11"/>
  <c r="Q520" i="11"/>
  <c r="Q521" i="11"/>
  <c r="Q522" i="11"/>
  <c r="Q523" i="11"/>
  <c r="Q524" i="11"/>
  <c r="Q525" i="11"/>
  <c r="Q526" i="11"/>
  <c r="Q527" i="11"/>
  <c r="Q528" i="11"/>
  <c r="Q529" i="11"/>
  <c r="Q530" i="11"/>
  <c r="Q531" i="11"/>
  <c r="Q532" i="11"/>
  <c r="Q533" i="11"/>
  <c r="Q534" i="11"/>
  <c r="Q535" i="11"/>
  <c r="Q536" i="11"/>
  <c r="Q537" i="11"/>
  <c r="Q538" i="11"/>
  <c r="Q539" i="11"/>
  <c r="Q540" i="11"/>
  <c r="Q541" i="11"/>
  <c r="Q542" i="11"/>
  <c r="Q543" i="11"/>
  <c r="Q544" i="11"/>
  <c r="Q545" i="11"/>
  <c r="Q546" i="11"/>
  <c r="Q547" i="11"/>
  <c r="Q548" i="11"/>
  <c r="Q549" i="11"/>
  <c r="Q550" i="11"/>
  <c r="Q551" i="11"/>
  <c r="Q552" i="11"/>
  <c r="Q553" i="11"/>
  <c r="Q554" i="11"/>
  <c r="Q555" i="11"/>
  <c r="Q556" i="11"/>
  <c r="Q557" i="11"/>
  <c r="Q558" i="11"/>
  <c r="Q559" i="11"/>
  <c r="Q560" i="11"/>
  <c r="Q561" i="11"/>
  <c r="Q562" i="11"/>
  <c r="Q563" i="11"/>
  <c r="Q564" i="11"/>
  <c r="Q565" i="11"/>
  <c r="Q566" i="11"/>
  <c r="Q567" i="11"/>
  <c r="Q568" i="11"/>
  <c r="Q569" i="11"/>
  <c r="Q570" i="11"/>
  <c r="Q571" i="11"/>
  <c r="Q572" i="11"/>
  <c r="Q573" i="11"/>
  <c r="Q574" i="11"/>
  <c r="Q575" i="11"/>
  <c r="Q576" i="11"/>
  <c r="Q577" i="11"/>
  <c r="Q578" i="11"/>
  <c r="Q579" i="11"/>
  <c r="Q580" i="11"/>
  <c r="Q581" i="11"/>
  <c r="Q582" i="11"/>
  <c r="Q583" i="11"/>
  <c r="Q584" i="11"/>
  <c r="Q585" i="11"/>
  <c r="Q586" i="11"/>
  <c r="Q587" i="11"/>
  <c r="Q588" i="11"/>
  <c r="Q589" i="11"/>
  <c r="Q590" i="11"/>
  <c r="Q591" i="11"/>
  <c r="Q592" i="11"/>
  <c r="Q593" i="11"/>
  <c r="Q594" i="11"/>
  <c r="Q595" i="11"/>
  <c r="Q596" i="11"/>
  <c r="Q597" i="11"/>
  <c r="Q598" i="11"/>
  <c r="Q599" i="11"/>
  <c r="Q600" i="11"/>
  <c r="Q601" i="11"/>
  <c r="Q602" i="11"/>
  <c r="Q603" i="11"/>
  <c r="Q604" i="11"/>
  <c r="Q605" i="11"/>
  <c r="Q606" i="11"/>
  <c r="Q607" i="11"/>
  <c r="Q608" i="11"/>
  <c r="Q609" i="11"/>
  <c r="Q610" i="11"/>
  <c r="Q611" i="11"/>
  <c r="Q612" i="11"/>
  <c r="Q613" i="11"/>
  <c r="Q614" i="11"/>
  <c r="Q615" i="11"/>
  <c r="Q616" i="11"/>
  <c r="Q617" i="11"/>
  <c r="Q618" i="11"/>
  <c r="Q619" i="11"/>
  <c r="Q620" i="11"/>
  <c r="Q621" i="11"/>
  <c r="Q622" i="11"/>
  <c r="Q623" i="11"/>
  <c r="Q624" i="11"/>
  <c r="Q625" i="11"/>
  <c r="Q626" i="11"/>
  <c r="Q627" i="11"/>
  <c r="Q628" i="11"/>
  <c r="Q629" i="11"/>
  <c r="Q630" i="11"/>
  <c r="Q631" i="11"/>
  <c r="Q632" i="11"/>
  <c r="Q633" i="11"/>
  <c r="Q634" i="11"/>
  <c r="Q635" i="11"/>
  <c r="Q636" i="11"/>
  <c r="Q637" i="11"/>
  <c r="Q638" i="11"/>
  <c r="Q639" i="11"/>
  <c r="Q640" i="11"/>
  <c r="Q641" i="11"/>
  <c r="Q642" i="11"/>
  <c r="Q643" i="11"/>
  <c r="Q644" i="11"/>
  <c r="Q645" i="11"/>
  <c r="Q646" i="11"/>
  <c r="Q647" i="11"/>
  <c r="Q648" i="11"/>
  <c r="Q649" i="11"/>
  <c r="Q650" i="11"/>
  <c r="Q651" i="11"/>
  <c r="Q652" i="11"/>
  <c r="Q653" i="11"/>
  <c r="Q654" i="11"/>
  <c r="Q655" i="11"/>
  <c r="Q656" i="11"/>
  <c r="Q657" i="11"/>
  <c r="Q658" i="11"/>
  <c r="Q659" i="11"/>
  <c r="Q660" i="11"/>
  <c r="Q661" i="11"/>
  <c r="Q662" i="11"/>
  <c r="Q663" i="11"/>
  <c r="Q664" i="11"/>
  <c r="Q665" i="11"/>
  <c r="Q666" i="11"/>
  <c r="Q667" i="11"/>
  <c r="Q668" i="11"/>
  <c r="Q669" i="11"/>
  <c r="Q670" i="11"/>
  <c r="Q671" i="11"/>
  <c r="Q672" i="11"/>
  <c r="Q673" i="11"/>
  <c r="Q674" i="11"/>
  <c r="Q675" i="11"/>
  <c r="Q676" i="11"/>
  <c r="Q677" i="11"/>
  <c r="Q678" i="11"/>
  <c r="Q679" i="11"/>
  <c r="Q680" i="11"/>
  <c r="Q681" i="11"/>
  <c r="Q682" i="11"/>
  <c r="Q683" i="11"/>
  <c r="Q684" i="11"/>
  <c r="Q685" i="11"/>
  <c r="Q686" i="11"/>
  <c r="Q687" i="11"/>
  <c r="Q688" i="11"/>
  <c r="Q689" i="11"/>
  <c r="Q690" i="11"/>
  <c r="Q691" i="11"/>
  <c r="Q692" i="11"/>
  <c r="Q693" i="11"/>
  <c r="Q694" i="11"/>
  <c r="Q695" i="11"/>
  <c r="Q696" i="11"/>
  <c r="Q697" i="11"/>
  <c r="Q698" i="11"/>
  <c r="Q699" i="11"/>
  <c r="Q700" i="11"/>
  <c r="Q701" i="11"/>
  <c r="Q702" i="11"/>
  <c r="Q703" i="11"/>
  <c r="Q704" i="11"/>
  <c r="Q705" i="11"/>
  <c r="Q706" i="11"/>
  <c r="Q707" i="11"/>
  <c r="Q708" i="11"/>
  <c r="Q709" i="11"/>
  <c r="Q710" i="11"/>
  <c r="Q711" i="11"/>
  <c r="Q712" i="11"/>
  <c r="Q713" i="11"/>
  <c r="Q714" i="11"/>
  <c r="Q715" i="11"/>
  <c r="Q716" i="11"/>
  <c r="Q717" i="11"/>
  <c r="Q718" i="11"/>
  <c r="Q719" i="11"/>
  <c r="Q720" i="11"/>
  <c r="Q721" i="11"/>
  <c r="Q722" i="11"/>
  <c r="Q723" i="11"/>
  <c r="Q724" i="11"/>
  <c r="Q725" i="11"/>
  <c r="Q726" i="11"/>
  <c r="Q727" i="11"/>
  <c r="Q728" i="11"/>
  <c r="Q729" i="11"/>
  <c r="Q730" i="11"/>
  <c r="Q731" i="11"/>
  <c r="Q732" i="11"/>
  <c r="Q733" i="11"/>
  <c r="Q734" i="11"/>
  <c r="Q735" i="11"/>
  <c r="Q736" i="11"/>
  <c r="Q737" i="11"/>
  <c r="Q738" i="11"/>
  <c r="Q739" i="11"/>
  <c r="Q740" i="11"/>
  <c r="Q741" i="11"/>
  <c r="Q742" i="11"/>
  <c r="Q743" i="11"/>
  <c r="Q744" i="11"/>
  <c r="Q745" i="11"/>
  <c r="Q746" i="11"/>
  <c r="Q747" i="11"/>
  <c r="Q748" i="11"/>
  <c r="Q749" i="11"/>
  <c r="Q750" i="11"/>
  <c r="Q751" i="11"/>
  <c r="Q752" i="11"/>
  <c r="Q753" i="11"/>
  <c r="Q754" i="11"/>
  <c r="Q755" i="11"/>
  <c r="Q756" i="11"/>
  <c r="Q757" i="11"/>
  <c r="P24" i="14"/>
  <c r="H24" i="14"/>
  <c r="H23" i="14"/>
  <c r="P23" i="14"/>
  <c r="P3" i="11" l="1"/>
  <c r="S3" i="10"/>
  <c r="Q3" i="14"/>
  <c r="L739" i="12"/>
  <c r="L738" i="12"/>
  <c r="L736" i="12"/>
  <c r="L735" i="12"/>
  <c r="J113" i="10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6" i="12"/>
  <c r="H746" i="12"/>
  <c r="H745" i="12"/>
  <c r="H744" i="12"/>
  <c r="H743" i="12"/>
  <c r="H742" i="12"/>
  <c r="H741" i="12"/>
  <c r="H740" i="12"/>
  <c r="Q23" i="14" l="1"/>
  <c r="Q24" i="14"/>
  <c r="P486" i="11"/>
  <c r="P484" i="11"/>
  <c r="P482" i="11"/>
  <c r="P483" i="11"/>
  <c r="P52" i="11"/>
  <c r="P475" i="11"/>
  <c r="P757" i="11"/>
  <c r="P476" i="11"/>
  <c r="P477" i="11"/>
  <c r="S91" i="10"/>
  <c r="S92" i="10"/>
  <c r="S89" i="10"/>
  <c r="S73" i="10"/>
  <c r="S96" i="10"/>
  <c r="S72" i="10"/>
  <c r="S113" i="10"/>
  <c r="S90" i="10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6" i="12"/>
  <c r="L57" i="12"/>
  <c r="L58" i="12"/>
  <c r="L62" i="12"/>
  <c r="L63" i="12"/>
  <c r="L64" i="12"/>
  <c r="L65" i="12"/>
  <c r="L68" i="12"/>
  <c r="L69" i="12"/>
  <c r="L71" i="12"/>
  <c r="L77" i="12"/>
  <c r="L79" i="12"/>
  <c r="L80" i="12"/>
  <c r="L81" i="12"/>
  <c r="L82" i="12"/>
  <c r="L83" i="12"/>
  <c r="L85" i="12"/>
  <c r="L87" i="12"/>
  <c r="L88" i="12"/>
  <c r="L89" i="12"/>
  <c r="L90" i="12"/>
  <c r="L91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2" i="12"/>
  <c r="L113" i="12"/>
  <c r="L114" i="12"/>
  <c r="L115" i="12"/>
  <c r="L116" i="12"/>
  <c r="L117" i="12"/>
  <c r="L118" i="12"/>
  <c r="L120" i="12"/>
  <c r="L121" i="12"/>
  <c r="L122" i="12"/>
  <c r="L123" i="12"/>
  <c r="L124" i="12"/>
  <c r="L125" i="12"/>
  <c r="L126" i="12"/>
  <c r="L127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1" i="12"/>
  <c r="L152" i="12"/>
  <c r="L153" i="12"/>
  <c r="L154" i="12"/>
  <c r="L155" i="12"/>
  <c r="L156" i="12"/>
  <c r="L157" i="12"/>
  <c r="L158" i="12"/>
  <c r="L160" i="12"/>
  <c r="L161" i="12"/>
  <c r="L162" i="12"/>
  <c r="L163" i="12"/>
  <c r="L164" i="12"/>
  <c r="L165" i="12"/>
  <c r="L166" i="12"/>
  <c r="L167" i="12"/>
  <c r="L168" i="12"/>
  <c r="L169" i="12"/>
  <c r="L170" i="12"/>
  <c r="L172" i="12"/>
  <c r="L173" i="12"/>
  <c r="L174" i="12"/>
  <c r="L176" i="12"/>
  <c r="L177" i="12"/>
  <c r="L178" i="12"/>
  <c r="L179" i="12"/>
  <c r="L180" i="12"/>
  <c r="L181" i="12"/>
  <c r="L182" i="12"/>
  <c r="L183" i="12"/>
  <c r="L184" i="12"/>
  <c r="L185" i="12"/>
  <c r="L186" i="12"/>
  <c r="L189" i="12"/>
  <c r="L193" i="12"/>
  <c r="L196" i="12"/>
  <c r="L197" i="12"/>
  <c r="L198" i="12"/>
  <c r="L200" i="12"/>
  <c r="L201" i="12"/>
  <c r="L202" i="12"/>
  <c r="L206" i="12"/>
  <c r="L207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3" i="12"/>
  <c r="L234" i="12"/>
  <c r="L235" i="12"/>
  <c r="L236" i="12"/>
  <c r="L237" i="12"/>
  <c r="L238" i="12"/>
  <c r="L239" i="12"/>
  <c r="L241" i="12"/>
  <c r="L242" i="12"/>
  <c r="L243" i="12"/>
  <c r="L244" i="12"/>
  <c r="L245" i="12"/>
  <c r="L246" i="12"/>
  <c r="L247" i="12"/>
  <c r="L248" i="12"/>
  <c r="L254" i="12"/>
  <c r="L274" i="12"/>
  <c r="L294" i="12"/>
  <c r="L298" i="12"/>
  <c r="L307" i="12"/>
  <c r="L308" i="12"/>
  <c r="L309" i="12"/>
  <c r="L311" i="12"/>
  <c r="L312" i="12"/>
  <c r="L313" i="12"/>
  <c r="L314" i="12"/>
  <c r="L316" i="12"/>
  <c r="L317" i="12"/>
  <c r="L320" i="12"/>
  <c r="L321" i="12"/>
  <c r="L322" i="12"/>
  <c r="L323" i="12"/>
  <c r="L324" i="12"/>
  <c r="L325" i="12"/>
  <c r="L326" i="12"/>
  <c r="L327" i="12"/>
  <c r="L328" i="12"/>
  <c r="L330" i="12"/>
  <c r="L332" i="12"/>
  <c r="L333" i="12"/>
  <c r="L340" i="12"/>
  <c r="L341" i="12"/>
  <c r="L342" i="12"/>
  <c r="L343" i="12"/>
  <c r="L347" i="12"/>
  <c r="L348" i="12"/>
  <c r="L349" i="12"/>
  <c r="L350" i="12"/>
  <c r="L351" i="12"/>
  <c r="L352" i="12"/>
  <c r="L353" i="12"/>
  <c r="L355" i="12"/>
  <c r="L356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2" i="12"/>
  <c r="L383" i="12"/>
  <c r="L384" i="12"/>
  <c r="L386" i="12"/>
  <c r="L387" i="12"/>
  <c r="L388" i="12"/>
  <c r="L389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3" i="12"/>
  <c r="L434" i="12"/>
  <c r="L435" i="12"/>
  <c r="L436" i="12"/>
  <c r="L437" i="12"/>
  <c r="L438" i="12"/>
  <c r="L439" i="12"/>
  <c r="L442" i="12"/>
  <c r="L443" i="12"/>
  <c r="L444" i="12"/>
  <c r="L448" i="12"/>
  <c r="L449" i="12"/>
  <c r="L450" i="12"/>
  <c r="L451" i="12"/>
  <c r="L452" i="12"/>
  <c r="L454" i="12"/>
  <c r="L456" i="12"/>
  <c r="L457" i="12"/>
  <c r="L458" i="12"/>
  <c r="L459" i="12"/>
  <c r="L460" i="12"/>
  <c r="L461" i="12"/>
  <c r="L462" i="12"/>
  <c r="L463" i="12"/>
  <c r="L464" i="12"/>
  <c r="L467" i="12"/>
  <c r="L468" i="12"/>
  <c r="L469" i="12"/>
  <c r="L471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9" i="12"/>
  <c r="L490" i="12"/>
  <c r="L491" i="12"/>
  <c r="L492" i="12"/>
  <c r="L494" i="12"/>
  <c r="L495" i="12"/>
  <c r="L498" i="12"/>
  <c r="L499" i="12"/>
  <c r="L500" i="12"/>
  <c r="L503" i="12"/>
  <c r="L504" i="12"/>
  <c r="L511" i="12"/>
  <c r="L512" i="12"/>
  <c r="L513" i="12"/>
  <c r="L514" i="12"/>
  <c r="L515" i="12"/>
  <c r="L518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4" i="12"/>
  <c r="L575" i="12"/>
  <c r="L576" i="12"/>
  <c r="L577" i="12"/>
  <c r="L578" i="12"/>
  <c r="L580" i="12"/>
  <c r="L581" i="12"/>
  <c r="L582" i="12"/>
  <c r="L583" i="12"/>
  <c r="L587" i="12"/>
  <c r="L589" i="12"/>
  <c r="L590" i="12"/>
  <c r="L591" i="12"/>
  <c r="L594" i="12"/>
  <c r="L597" i="12"/>
  <c r="L598" i="12"/>
  <c r="L604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22" i="12"/>
  <c r="L623" i="12"/>
  <c r="L626" i="12"/>
  <c r="L627" i="12"/>
  <c r="L634" i="12"/>
  <c r="L635" i="12"/>
  <c r="L639" i="12"/>
  <c r="L640" i="12"/>
  <c r="L642" i="12"/>
  <c r="L648" i="12"/>
  <c r="L650" i="12"/>
  <c r="L663" i="12"/>
  <c r="L664" i="12"/>
  <c r="L666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6" i="12"/>
  <c r="L718" i="12"/>
  <c r="L719" i="12"/>
  <c r="L720" i="12"/>
  <c r="L721" i="12"/>
  <c r="L724" i="12"/>
  <c r="L727" i="12"/>
  <c r="L728" i="12"/>
  <c r="L729" i="12"/>
  <c r="L730" i="12"/>
  <c r="L734" i="12"/>
  <c r="L6" i="12"/>
  <c r="K6" i="11"/>
  <c r="P6" i="11" s="1"/>
  <c r="K7" i="11"/>
  <c r="P7" i="11" s="1"/>
  <c r="K8" i="11"/>
  <c r="P8" i="11" s="1"/>
  <c r="K9" i="11"/>
  <c r="P9" i="11" s="1"/>
  <c r="K10" i="11"/>
  <c r="P10" i="11" s="1"/>
  <c r="K11" i="11"/>
  <c r="P11" i="11" s="1"/>
  <c r="K12" i="11"/>
  <c r="P12" i="11" s="1"/>
  <c r="K13" i="11"/>
  <c r="P13" i="11" s="1"/>
  <c r="K14" i="11"/>
  <c r="P14" i="11" s="1"/>
  <c r="K15" i="11"/>
  <c r="P15" i="11" s="1"/>
  <c r="K16" i="11"/>
  <c r="P16" i="11" s="1"/>
  <c r="K17" i="11"/>
  <c r="P17" i="11" s="1"/>
  <c r="K18" i="11"/>
  <c r="P18" i="11" s="1"/>
  <c r="K19" i="11"/>
  <c r="P19" i="11" s="1"/>
  <c r="K20" i="11"/>
  <c r="P20" i="11" s="1"/>
  <c r="K21" i="11"/>
  <c r="P21" i="11" s="1"/>
  <c r="K22" i="11"/>
  <c r="P22" i="11" s="1"/>
  <c r="K23" i="11"/>
  <c r="P23" i="11" s="1"/>
  <c r="K24" i="11"/>
  <c r="P24" i="11" s="1"/>
  <c r="K25" i="11"/>
  <c r="P25" i="11" s="1"/>
  <c r="K26" i="11"/>
  <c r="P26" i="11" s="1"/>
  <c r="K27" i="11"/>
  <c r="P27" i="11" s="1"/>
  <c r="K28" i="11"/>
  <c r="P28" i="11" s="1"/>
  <c r="K29" i="11"/>
  <c r="P29" i="11" s="1"/>
  <c r="K30" i="11"/>
  <c r="P30" i="11" s="1"/>
  <c r="K31" i="11"/>
  <c r="P31" i="11" s="1"/>
  <c r="K32" i="11"/>
  <c r="P32" i="11" s="1"/>
  <c r="K33" i="11"/>
  <c r="P33" i="11" s="1"/>
  <c r="K34" i="11"/>
  <c r="P34" i="11" s="1"/>
  <c r="K35" i="11"/>
  <c r="P35" i="11" s="1"/>
  <c r="K36" i="11"/>
  <c r="P36" i="11" s="1"/>
  <c r="K37" i="11"/>
  <c r="P37" i="11" s="1"/>
  <c r="K38" i="11"/>
  <c r="P38" i="11" s="1"/>
  <c r="K39" i="11"/>
  <c r="P39" i="11" s="1"/>
  <c r="K40" i="11"/>
  <c r="P40" i="11" s="1"/>
  <c r="K41" i="11"/>
  <c r="P41" i="11" s="1"/>
  <c r="K42" i="11"/>
  <c r="P42" i="11" s="1"/>
  <c r="K43" i="11"/>
  <c r="P43" i="11" s="1"/>
  <c r="K44" i="11"/>
  <c r="P44" i="11" s="1"/>
  <c r="K45" i="11"/>
  <c r="P45" i="11" s="1"/>
  <c r="K46" i="11"/>
  <c r="P46" i="11" s="1"/>
  <c r="K47" i="11"/>
  <c r="P47" i="11" s="1"/>
  <c r="K48" i="11"/>
  <c r="P48" i="11" s="1"/>
  <c r="K49" i="11"/>
  <c r="P49" i="11" s="1"/>
  <c r="K50" i="11"/>
  <c r="P50" i="11" s="1"/>
  <c r="K51" i="11"/>
  <c r="P51" i="11" s="1"/>
  <c r="K53" i="11"/>
  <c r="P53" i="11" s="1"/>
  <c r="K54" i="11"/>
  <c r="P54" i="11" s="1"/>
  <c r="K55" i="11"/>
  <c r="P55" i="11" s="1"/>
  <c r="K56" i="11"/>
  <c r="P56" i="11" s="1"/>
  <c r="K57" i="11"/>
  <c r="P57" i="11" s="1"/>
  <c r="K58" i="11"/>
  <c r="P58" i="11" s="1"/>
  <c r="K59" i="11"/>
  <c r="P59" i="11" s="1"/>
  <c r="K60" i="11"/>
  <c r="P60" i="11" s="1"/>
  <c r="K61" i="11"/>
  <c r="P61" i="11" s="1"/>
  <c r="K62" i="11"/>
  <c r="P62" i="11" s="1"/>
  <c r="K63" i="11"/>
  <c r="P63" i="11" s="1"/>
  <c r="K64" i="11"/>
  <c r="P64" i="11" s="1"/>
  <c r="K65" i="11"/>
  <c r="P65" i="11" s="1"/>
  <c r="K66" i="11"/>
  <c r="P66" i="11" s="1"/>
  <c r="K67" i="11"/>
  <c r="P67" i="11" s="1"/>
  <c r="K68" i="11"/>
  <c r="P68" i="11" s="1"/>
  <c r="K69" i="11"/>
  <c r="P69" i="11" s="1"/>
  <c r="K70" i="11"/>
  <c r="P70" i="11" s="1"/>
  <c r="K71" i="11"/>
  <c r="P71" i="11" s="1"/>
  <c r="K72" i="11"/>
  <c r="P72" i="11" s="1"/>
  <c r="K73" i="11"/>
  <c r="P73" i="11" s="1"/>
  <c r="K74" i="11"/>
  <c r="P74" i="11" s="1"/>
  <c r="K75" i="11"/>
  <c r="P75" i="11" s="1"/>
  <c r="K76" i="11"/>
  <c r="P76" i="11" s="1"/>
  <c r="K77" i="11"/>
  <c r="P77" i="11" s="1"/>
  <c r="K78" i="11"/>
  <c r="P78" i="11" s="1"/>
  <c r="K79" i="11"/>
  <c r="P79" i="11" s="1"/>
  <c r="K80" i="11"/>
  <c r="P80" i="11" s="1"/>
  <c r="K81" i="11"/>
  <c r="P81" i="11" s="1"/>
  <c r="K82" i="11"/>
  <c r="P82" i="11" s="1"/>
  <c r="K83" i="11"/>
  <c r="P83" i="11" s="1"/>
  <c r="K84" i="11"/>
  <c r="P84" i="11" s="1"/>
  <c r="K85" i="11"/>
  <c r="P85" i="11" s="1"/>
  <c r="K86" i="11"/>
  <c r="P86" i="11" s="1"/>
  <c r="K87" i="11"/>
  <c r="P87" i="11" s="1"/>
  <c r="K88" i="11"/>
  <c r="P88" i="11" s="1"/>
  <c r="K89" i="11"/>
  <c r="P89" i="11" s="1"/>
  <c r="K90" i="11"/>
  <c r="P90" i="11" s="1"/>
  <c r="K91" i="11"/>
  <c r="P91" i="11" s="1"/>
  <c r="K92" i="11"/>
  <c r="P92" i="11" s="1"/>
  <c r="K93" i="11"/>
  <c r="P93" i="11" s="1"/>
  <c r="K94" i="11"/>
  <c r="P94" i="11" s="1"/>
  <c r="K95" i="11"/>
  <c r="P95" i="11" s="1"/>
  <c r="K96" i="11"/>
  <c r="P96" i="11" s="1"/>
  <c r="K97" i="11"/>
  <c r="P97" i="11" s="1"/>
  <c r="K98" i="11"/>
  <c r="P98" i="11" s="1"/>
  <c r="K99" i="11"/>
  <c r="P99" i="11" s="1"/>
  <c r="K100" i="11"/>
  <c r="P100" i="11" s="1"/>
  <c r="K101" i="11"/>
  <c r="P101" i="11" s="1"/>
  <c r="K102" i="11"/>
  <c r="P102" i="11" s="1"/>
  <c r="K103" i="11"/>
  <c r="P103" i="11" s="1"/>
  <c r="K104" i="11"/>
  <c r="P104" i="11" s="1"/>
  <c r="K105" i="11"/>
  <c r="P105" i="11" s="1"/>
  <c r="K106" i="11"/>
  <c r="P106" i="11" s="1"/>
  <c r="K107" i="11"/>
  <c r="P107" i="11" s="1"/>
  <c r="K108" i="11"/>
  <c r="P108" i="11" s="1"/>
  <c r="K109" i="11"/>
  <c r="P109" i="11" s="1"/>
  <c r="K110" i="11"/>
  <c r="P110" i="11" s="1"/>
  <c r="K111" i="11"/>
  <c r="P111" i="11" s="1"/>
  <c r="K112" i="11"/>
  <c r="P112" i="11" s="1"/>
  <c r="K113" i="11"/>
  <c r="P113" i="11" s="1"/>
  <c r="K114" i="11"/>
  <c r="P114" i="11" s="1"/>
  <c r="K115" i="11"/>
  <c r="P115" i="11" s="1"/>
  <c r="K116" i="11"/>
  <c r="P116" i="11" s="1"/>
  <c r="K117" i="11"/>
  <c r="P117" i="11" s="1"/>
  <c r="K118" i="11"/>
  <c r="P118" i="11" s="1"/>
  <c r="K119" i="11"/>
  <c r="P119" i="11" s="1"/>
  <c r="K120" i="11"/>
  <c r="P120" i="11" s="1"/>
  <c r="K121" i="11"/>
  <c r="P121" i="11" s="1"/>
  <c r="K122" i="11"/>
  <c r="P122" i="11" s="1"/>
  <c r="K123" i="11"/>
  <c r="P123" i="11" s="1"/>
  <c r="K124" i="11"/>
  <c r="P124" i="11" s="1"/>
  <c r="K125" i="11"/>
  <c r="P125" i="11" s="1"/>
  <c r="K126" i="11"/>
  <c r="P126" i="11" s="1"/>
  <c r="K127" i="11"/>
  <c r="P127" i="11" s="1"/>
  <c r="K128" i="11"/>
  <c r="P128" i="11" s="1"/>
  <c r="K129" i="11"/>
  <c r="P129" i="11" s="1"/>
  <c r="K130" i="11"/>
  <c r="P130" i="11" s="1"/>
  <c r="K131" i="11"/>
  <c r="P131" i="11" s="1"/>
  <c r="K132" i="11"/>
  <c r="P132" i="11" s="1"/>
  <c r="K133" i="11"/>
  <c r="P133" i="11" s="1"/>
  <c r="K134" i="11"/>
  <c r="P134" i="11" s="1"/>
  <c r="K135" i="11"/>
  <c r="P135" i="11" s="1"/>
  <c r="K136" i="11"/>
  <c r="P136" i="11" s="1"/>
  <c r="K137" i="11"/>
  <c r="P137" i="11" s="1"/>
  <c r="K138" i="11"/>
  <c r="P138" i="11" s="1"/>
  <c r="K139" i="11"/>
  <c r="P139" i="11" s="1"/>
  <c r="K140" i="11"/>
  <c r="P140" i="11" s="1"/>
  <c r="K141" i="11"/>
  <c r="P141" i="11" s="1"/>
  <c r="K142" i="11"/>
  <c r="P142" i="11" s="1"/>
  <c r="K143" i="11"/>
  <c r="P143" i="11" s="1"/>
  <c r="K144" i="11"/>
  <c r="P144" i="11" s="1"/>
  <c r="K145" i="11"/>
  <c r="P145" i="11" s="1"/>
  <c r="K146" i="11"/>
  <c r="P146" i="11" s="1"/>
  <c r="K147" i="11"/>
  <c r="P147" i="11" s="1"/>
  <c r="K148" i="11"/>
  <c r="P148" i="11" s="1"/>
  <c r="K149" i="11"/>
  <c r="P149" i="11" s="1"/>
  <c r="K150" i="11"/>
  <c r="P150" i="11" s="1"/>
  <c r="K151" i="11"/>
  <c r="P151" i="11" s="1"/>
  <c r="K152" i="11"/>
  <c r="P152" i="11" s="1"/>
  <c r="K153" i="11"/>
  <c r="P153" i="11" s="1"/>
  <c r="K154" i="11"/>
  <c r="P154" i="11" s="1"/>
  <c r="K155" i="11"/>
  <c r="P155" i="11" s="1"/>
  <c r="K156" i="11"/>
  <c r="P156" i="11" s="1"/>
  <c r="K157" i="11"/>
  <c r="P157" i="11" s="1"/>
  <c r="K158" i="11"/>
  <c r="P158" i="11" s="1"/>
  <c r="K159" i="11"/>
  <c r="P159" i="11" s="1"/>
  <c r="K160" i="11"/>
  <c r="P160" i="11" s="1"/>
  <c r="K161" i="11"/>
  <c r="P161" i="11" s="1"/>
  <c r="K162" i="11"/>
  <c r="P162" i="11" s="1"/>
  <c r="K163" i="11"/>
  <c r="P163" i="11" s="1"/>
  <c r="K164" i="11"/>
  <c r="P164" i="11" s="1"/>
  <c r="K165" i="11"/>
  <c r="P165" i="11" s="1"/>
  <c r="K166" i="11"/>
  <c r="P166" i="11" s="1"/>
  <c r="K167" i="11"/>
  <c r="P167" i="11" s="1"/>
  <c r="K168" i="11"/>
  <c r="P168" i="11" s="1"/>
  <c r="K169" i="11"/>
  <c r="P169" i="11" s="1"/>
  <c r="K170" i="11"/>
  <c r="P170" i="11" s="1"/>
  <c r="K171" i="11"/>
  <c r="P171" i="11" s="1"/>
  <c r="K172" i="11"/>
  <c r="P172" i="11" s="1"/>
  <c r="K173" i="11"/>
  <c r="P173" i="11" s="1"/>
  <c r="K174" i="11"/>
  <c r="P174" i="11" s="1"/>
  <c r="K175" i="11"/>
  <c r="P175" i="11" s="1"/>
  <c r="K176" i="11"/>
  <c r="P176" i="11" s="1"/>
  <c r="K177" i="11"/>
  <c r="P177" i="11" s="1"/>
  <c r="K178" i="11"/>
  <c r="P178" i="11" s="1"/>
  <c r="K179" i="11"/>
  <c r="P179" i="11" s="1"/>
  <c r="K180" i="11"/>
  <c r="P180" i="11" s="1"/>
  <c r="K181" i="11"/>
  <c r="P181" i="11" s="1"/>
  <c r="K182" i="11"/>
  <c r="P182" i="11" s="1"/>
  <c r="K183" i="11"/>
  <c r="P183" i="11" s="1"/>
  <c r="K184" i="11"/>
  <c r="P184" i="11" s="1"/>
  <c r="K185" i="11"/>
  <c r="P185" i="11" s="1"/>
  <c r="K186" i="11"/>
  <c r="P186" i="11" s="1"/>
  <c r="K187" i="11"/>
  <c r="P187" i="11" s="1"/>
  <c r="K188" i="11"/>
  <c r="P188" i="11" s="1"/>
  <c r="K189" i="11"/>
  <c r="P189" i="11" s="1"/>
  <c r="K190" i="11"/>
  <c r="P190" i="11" s="1"/>
  <c r="K191" i="11"/>
  <c r="P191" i="11" s="1"/>
  <c r="K192" i="11"/>
  <c r="P192" i="11" s="1"/>
  <c r="K193" i="11"/>
  <c r="P193" i="11" s="1"/>
  <c r="K194" i="11"/>
  <c r="P194" i="11" s="1"/>
  <c r="K195" i="11"/>
  <c r="P195" i="11" s="1"/>
  <c r="K196" i="11"/>
  <c r="P196" i="11" s="1"/>
  <c r="K197" i="11"/>
  <c r="P197" i="11" s="1"/>
  <c r="K198" i="11"/>
  <c r="P198" i="11" s="1"/>
  <c r="K199" i="11"/>
  <c r="P199" i="11" s="1"/>
  <c r="K200" i="11"/>
  <c r="P200" i="11" s="1"/>
  <c r="K201" i="11"/>
  <c r="P201" i="11" s="1"/>
  <c r="K202" i="11"/>
  <c r="P202" i="11" s="1"/>
  <c r="K203" i="11"/>
  <c r="P203" i="11" s="1"/>
  <c r="K204" i="11"/>
  <c r="P204" i="11" s="1"/>
  <c r="K205" i="11"/>
  <c r="P205" i="11" s="1"/>
  <c r="K206" i="11"/>
  <c r="P206" i="11" s="1"/>
  <c r="K207" i="11"/>
  <c r="P207" i="11" s="1"/>
  <c r="K208" i="11"/>
  <c r="P208" i="11" s="1"/>
  <c r="K209" i="11"/>
  <c r="P209" i="11" s="1"/>
  <c r="K210" i="11"/>
  <c r="P210" i="11" s="1"/>
  <c r="K211" i="11"/>
  <c r="P211" i="11" s="1"/>
  <c r="K212" i="11"/>
  <c r="P212" i="11" s="1"/>
  <c r="K213" i="11"/>
  <c r="P213" i="11" s="1"/>
  <c r="K214" i="11"/>
  <c r="P214" i="11" s="1"/>
  <c r="K215" i="11"/>
  <c r="P215" i="11" s="1"/>
  <c r="K216" i="11"/>
  <c r="P216" i="11" s="1"/>
  <c r="K217" i="11"/>
  <c r="P217" i="11" s="1"/>
  <c r="K218" i="11"/>
  <c r="P218" i="11" s="1"/>
  <c r="K219" i="11"/>
  <c r="P219" i="11" s="1"/>
  <c r="K220" i="11"/>
  <c r="P220" i="11" s="1"/>
  <c r="K221" i="11"/>
  <c r="P221" i="11" s="1"/>
  <c r="K222" i="11"/>
  <c r="P222" i="11" s="1"/>
  <c r="K223" i="11"/>
  <c r="P223" i="11" s="1"/>
  <c r="K224" i="11"/>
  <c r="P224" i="11" s="1"/>
  <c r="K225" i="11"/>
  <c r="P225" i="11" s="1"/>
  <c r="K226" i="11"/>
  <c r="P226" i="11" s="1"/>
  <c r="K227" i="11"/>
  <c r="P227" i="11" s="1"/>
  <c r="K228" i="11"/>
  <c r="P228" i="11" s="1"/>
  <c r="K229" i="11"/>
  <c r="P229" i="11" s="1"/>
  <c r="K230" i="11"/>
  <c r="P230" i="11" s="1"/>
  <c r="K231" i="11"/>
  <c r="P231" i="11" s="1"/>
  <c r="K232" i="11"/>
  <c r="P232" i="11" s="1"/>
  <c r="K233" i="11"/>
  <c r="P233" i="11" s="1"/>
  <c r="K234" i="11"/>
  <c r="P234" i="11" s="1"/>
  <c r="K235" i="11"/>
  <c r="P235" i="11" s="1"/>
  <c r="K236" i="11"/>
  <c r="P236" i="11" s="1"/>
  <c r="K237" i="11"/>
  <c r="P237" i="11" s="1"/>
  <c r="K238" i="11"/>
  <c r="P238" i="11" s="1"/>
  <c r="K239" i="11"/>
  <c r="P239" i="11" s="1"/>
  <c r="K240" i="11"/>
  <c r="P240" i="11" s="1"/>
  <c r="K241" i="11"/>
  <c r="P241" i="11" s="1"/>
  <c r="K242" i="11"/>
  <c r="P242" i="11" s="1"/>
  <c r="K243" i="11"/>
  <c r="P243" i="11" s="1"/>
  <c r="K244" i="11"/>
  <c r="P244" i="11" s="1"/>
  <c r="K245" i="11"/>
  <c r="P245" i="11" s="1"/>
  <c r="K246" i="11"/>
  <c r="P246" i="11" s="1"/>
  <c r="K247" i="11"/>
  <c r="P247" i="11" s="1"/>
  <c r="K248" i="11"/>
  <c r="P248" i="11" s="1"/>
  <c r="K249" i="11"/>
  <c r="P249" i="11" s="1"/>
  <c r="K250" i="11"/>
  <c r="P250" i="11" s="1"/>
  <c r="K251" i="11"/>
  <c r="P251" i="11" s="1"/>
  <c r="K252" i="11"/>
  <c r="P252" i="11" s="1"/>
  <c r="K253" i="11"/>
  <c r="P253" i="11" s="1"/>
  <c r="K254" i="11"/>
  <c r="P254" i="11" s="1"/>
  <c r="K255" i="11"/>
  <c r="P255" i="11" s="1"/>
  <c r="K256" i="11"/>
  <c r="P256" i="11" s="1"/>
  <c r="K257" i="11"/>
  <c r="P257" i="11" s="1"/>
  <c r="K258" i="11"/>
  <c r="P258" i="11" s="1"/>
  <c r="K259" i="11"/>
  <c r="P259" i="11" s="1"/>
  <c r="K260" i="11"/>
  <c r="P260" i="11" s="1"/>
  <c r="K261" i="11"/>
  <c r="P261" i="11" s="1"/>
  <c r="K262" i="11"/>
  <c r="P262" i="11" s="1"/>
  <c r="K263" i="11"/>
  <c r="P263" i="11" s="1"/>
  <c r="K264" i="11"/>
  <c r="P264" i="11" s="1"/>
  <c r="K265" i="11"/>
  <c r="P265" i="11" s="1"/>
  <c r="K266" i="11"/>
  <c r="P266" i="11" s="1"/>
  <c r="K267" i="11"/>
  <c r="P267" i="11" s="1"/>
  <c r="K268" i="11"/>
  <c r="P268" i="11" s="1"/>
  <c r="K269" i="11"/>
  <c r="P269" i="11" s="1"/>
  <c r="K270" i="11"/>
  <c r="P270" i="11" s="1"/>
  <c r="K271" i="11"/>
  <c r="P271" i="11" s="1"/>
  <c r="K272" i="11"/>
  <c r="P272" i="11" s="1"/>
  <c r="K273" i="11"/>
  <c r="P273" i="11" s="1"/>
  <c r="K274" i="11"/>
  <c r="P274" i="11" s="1"/>
  <c r="K275" i="11"/>
  <c r="P275" i="11" s="1"/>
  <c r="K276" i="11"/>
  <c r="P276" i="11" s="1"/>
  <c r="K277" i="11"/>
  <c r="P277" i="11" s="1"/>
  <c r="K278" i="11"/>
  <c r="P278" i="11" s="1"/>
  <c r="K279" i="11"/>
  <c r="P279" i="11" s="1"/>
  <c r="K280" i="11"/>
  <c r="P280" i="11" s="1"/>
  <c r="K281" i="11"/>
  <c r="P281" i="11" s="1"/>
  <c r="K282" i="11"/>
  <c r="P282" i="11" s="1"/>
  <c r="K283" i="11"/>
  <c r="P283" i="11" s="1"/>
  <c r="K284" i="11"/>
  <c r="P284" i="11" s="1"/>
  <c r="K285" i="11"/>
  <c r="P285" i="11" s="1"/>
  <c r="K286" i="11"/>
  <c r="P286" i="11" s="1"/>
  <c r="K287" i="11"/>
  <c r="P287" i="11" s="1"/>
  <c r="K288" i="11"/>
  <c r="P288" i="11" s="1"/>
  <c r="K289" i="11"/>
  <c r="P289" i="11" s="1"/>
  <c r="K290" i="11"/>
  <c r="P290" i="11" s="1"/>
  <c r="K291" i="11"/>
  <c r="P291" i="11" s="1"/>
  <c r="K292" i="11"/>
  <c r="P292" i="11" s="1"/>
  <c r="K293" i="11"/>
  <c r="P293" i="11" s="1"/>
  <c r="K294" i="11"/>
  <c r="P294" i="11" s="1"/>
  <c r="K295" i="11"/>
  <c r="P295" i="11" s="1"/>
  <c r="K296" i="11"/>
  <c r="P296" i="11" s="1"/>
  <c r="K297" i="11"/>
  <c r="P297" i="11" s="1"/>
  <c r="K298" i="11"/>
  <c r="P298" i="11" s="1"/>
  <c r="K299" i="11"/>
  <c r="P299" i="11" s="1"/>
  <c r="K300" i="11"/>
  <c r="P300" i="11" s="1"/>
  <c r="K301" i="11"/>
  <c r="P301" i="11" s="1"/>
  <c r="K302" i="11"/>
  <c r="P302" i="11" s="1"/>
  <c r="K303" i="11"/>
  <c r="P303" i="11" s="1"/>
  <c r="K304" i="11"/>
  <c r="P304" i="11" s="1"/>
  <c r="K305" i="11"/>
  <c r="P305" i="11" s="1"/>
  <c r="K306" i="11"/>
  <c r="P306" i="11" s="1"/>
  <c r="K307" i="11"/>
  <c r="P307" i="11" s="1"/>
  <c r="K308" i="11"/>
  <c r="P308" i="11" s="1"/>
  <c r="K309" i="11"/>
  <c r="P309" i="11" s="1"/>
  <c r="K310" i="11"/>
  <c r="P310" i="11" s="1"/>
  <c r="K311" i="11"/>
  <c r="P311" i="11" s="1"/>
  <c r="K312" i="11"/>
  <c r="P312" i="11" s="1"/>
  <c r="K313" i="11"/>
  <c r="P313" i="11" s="1"/>
  <c r="K314" i="11"/>
  <c r="P314" i="11" s="1"/>
  <c r="K315" i="11"/>
  <c r="P315" i="11" s="1"/>
  <c r="K316" i="11"/>
  <c r="P316" i="11" s="1"/>
  <c r="K317" i="11"/>
  <c r="P317" i="11" s="1"/>
  <c r="K318" i="11"/>
  <c r="P318" i="11" s="1"/>
  <c r="K319" i="11"/>
  <c r="P319" i="11" s="1"/>
  <c r="K320" i="11"/>
  <c r="P320" i="11" s="1"/>
  <c r="K321" i="11"/>
  <c r="P321" i="11" s="1"/>
  <c r="K322" i="11"/>
  <c r="P322" i="11" s="1"/>
  <c r="K323" i="11"/>
  <c r="P323" i="11" s="1"/>
  <c r="K324" i="11"/>
  <c r="P324" i="11" s="1"/>
  <c r="K325" i="11"/>
  <c r="P325" i="11" s="1"/>
  <c r="K326" i="11"/>
  <c r="P326" i="11" s="1"/>
  <c r="K327" i="11"/>
  <c r="P327" i="11" s="1"/>
  <c r="K328" i="11"/>
  <c r="P328" i="11" s="1"/>
  <c r="K329" i="11"/>
  <c r="P329" i="11" s="1"/>
  <c r="K330" i="11"/>
  <c r="P330" i="11" s="1"/>
  <c r="K331" i="11"/>
  <c r="P331" i="11" s="1"/>
  <c r="K332" i="11"/>
  <c r="P332" i="11" s="1"/>
  <c r="K333" i="11"/>
  <c r="P333" i="11" s="1"/>
  <c r="K334" i="11"/>
  <c r="P334" i="11" s="1"/>
  <c r="K335" i="11"/>
  <c r="P335" i="11" s="1"/>
  <c r="K336" i="11"/>
  <c r="P336" i="11" s="1"/>
  <c r="K337" i="11"/>
  <c r="P337" i="11" s="1"/>
  <c r="K338" i="11"/>
  <c r="P338" i="11" s="1"/>
  <c r="K339" i="11"/>
  <c r="P339" i="11" s="1"/>
  <c r="K340" i="11"/>
  <c r="P340" i="11" s="1"/>
  <c r="K341" i="11"/>
  <c r="P341" i="11" s="1"/>
  <c r="K342" i="11"/>
  <c r="P342" i="11" s="1"/>
  <c r="K343" i="11"/>
  <c r="P343" i="11" s="1"/>
  <c r="K344" i="11"/>
  <c r="P344" i="11" s="1"/>
  <c r="K345" i="11"/>
  <c r="P345" i="11" s="1"/>
  <c r="K346" i="11"/>
  <c r="P346" i="11" s="1"/>
  <c r="K347" i="11"/>
  <c r="P347" i="11" s="1"/>
  <c r="K348" i="11"/>
  <c r="P348" i="11" s="1"/>
  <c r="K349" i="11"/>
  <c r="P349" i="11" s="1"/>
  <c r="K350" i="11"/>
  <c r="P350" i="11" s="1"/>
  <c r="K351" i="11"/>
  <c r="P351" i="11" s="1"/>
  <c r="K352" i="11"/>
  <c r="P352" i="11" s="1"/>
  <c r="K353" i="11"/>
  <c r="P353" i="11" s="1"/>
  <c r="K354" i="11"/>
  <c r="P354" i="11" s="1"/>
  <c r="K355" i="11"/>
  <c r="P355" i="11" s="1"/>
  <c r="K356" i="11"/>
  <c r="P356" i="11" s="1"/>
  <c r="K357" i="11"/>
  <c r="P357" i="11" s="1"/>
  <c r="K358" i="11"/>
  <c r="P358" i="11" s="1"/>
  <c r="K359" i="11"/>
  <c r="P359" i="11" s="1"/>
  <c r="K360" i="11"/>
  <c r="P360" i="11" s="1"/>
  <c r="K361" i="11"/>
  <c r="P361" i="11" s="1"/>
  <c r="K362" i="11"/>
  <c r="P362" i="11" s="1"/>
  <c r="K363" i="11"/>
  <c r="P363" i="11" s="1"/>
  <c r="K364" i="11"/>
  <c r="P364" i="11" s="1"/>
  <c r="K365" i="11"/>
  <c r="P365" i="11" s="1"/>
  <c r="K366" i="11"/>
  <c r="P366" i="11" s="1"/>
  <c r="K367" i="11"/>
  <c r="P367" i="11" s="1"/>
  <c r="K368" i="11"/>
  <c r="P368" i="11" s="1"/>
  <c r="K369" i="11"/>
  <c r="P369" i="11" s="1"/>
  <c r="K370" i="11"/>
  <c r="P370" i="11" s="1"/>
  <c r="K371" i="11"/>
  <c r="P371" i="11" s="1"/>
  <c r="K372" i="11"/>
  <c r="P372" i="11" s="1"/>
  <c r="K373" i="11"/>
  <c r="P373" i="11" s="1"/>
  <c r="K374" i="11"/>
  <c r="P374" i="11" s="1"/>
  <c r="K375" i="11"/>
  <c r="P375" i="11" s="1"/>
  <c r="K376" i="11"/>
  <c r="P376" i="11" s="1"/>
  <c r="K377" i="11"/>
  <c r="P377" i="11" s="1"/>
  <c r="K378" i="11"/>
  <c r="P378" i="11" s="1"/>
  <c r="K379" i="11"/>
  <c r="P379" i="11" s="1"/>
  <c r="K380" i="11"/>
  <c r="P380" i="11" s="1"/>
  <c r="K381" i="11"/>
  <c r="P381" i="11" s="1"/>
  <c r="K382" i="11"/>
  <c r="P382" i="11" s="1"/>
  <c r="K383" i="11"/>
  <c r="P383" i="11" s="1"/>
  <c r="K384" i="11"/>
  <c r="P384" i="11" s="1"/>
  <c r="K385" i="11"/>
  <c r="P385" i="11" s="1"/>
  <c r="K386" i="11"/>
  <c r="P386" i="11" s="1"/>
  <c r="K387" i="11"/>
  <c r="P387" i="11" s="1"/>
  <c r="K388" i="11"/>
  <c r="P388" i="11" s="1"/>
  <c r="K389" i="11"/>
  <c r="P389" i="11" s="1"/>
  <c r="K390" i="11"/>
  <c r="P390" i="11" s="1"/>
  <c r="K391" i="11"/>
  <c r="P391" i="11" s="1"/>
  <c r="K392" i="11"/>
  <c r="P392" i="11" s="1"/>
  <c r="K393" i="11"/>
  <c r="P393" i="11" s="1"/>
  <c r="K394" i="11"/>
  <c r="P394" i="11" s="1"/>
  <c r="K395" i="11"/>
  <c r="P395" i="11" s="1"/>
  <c r="K396" i="11"/>
  <c r="P396" i="11" s="1"/>
  <c r="K397" i="11"/>
  <c r="P397" i="11" s="1"/>
  <c r="K398" i="11"/>
  <c r="P398" i="11" s="1"/>
  <c r="K399" i="11"/>
  <c r="P399" i="11" s="1"/>
  <c r="K400" i="11"/>
  <c r="P400" i="11" s="1"/>
  <c r="K401" i="11"/>
  <c r="P401" i="11" s="1"/>
  <c r="K402" i="11"/>
  <c r="P402" i="11" s="1"/>
  <c r="K403" i="11"/>
  <c r="P403" i="11" s="1"/>
  <c r="K404" i="11"/>
  <c r="P404" i="11" s="1"/>
  <c r="K405" i="11"/>
  <c r="P405" i="11" s="1"/>
  <c r="K406" i="11"/>
  <c r="P406" i="11" s="1"/>
  <c r="K407" i="11"/>
  <c r="P407" i="11" s="1"/>
  <c r="K408" i="11"/>
  <c r="P408" i="11" s="1"/>
  <c r="K409" i="11"/>
  <c r="P409" i="11" s="1"/>
  <c r="K410" i="11"/>
  <c r="P410" i="11" s="1"/>
  <c r="K411" i="11"/>
  <c r="P411" i="11" s="1"/>
  <c r="K412" i="11"/>
  <c r="P412" i="11" s="1"/>
  <c r="K413" i="11"/>
  <c r="P413" i="11" s="1"/>
  <c r="K414" i="11"/>
  <c r="P414" i="11" s="1"/>
  <c r="K415" i="11"/>
  <c r="P415" i="11" s="1"/>
  <c r="K416" i="11"/>
  <c r="P416" i="11" s="1"/>
  <c r="K417" i="11"/>
  <c r="P417" i="11" s="1"/>
  <c r="K418" i="11"/>
  <c r="P418" i="11" s="1"/>
  <c r="K419" i="11"/>
  <c r="P419" i="11" s="1"/>
  <c r="K420" i="11"/>
  <c r="P420" i="11" s="1"/>
  <c r="K421" i="11"/>
  <c r="P421" i="11" s="1"/>
  <c r="K422" i="11"/>
  <c r="P422" i="11" s="1"/>
  <c r="K423" i="11"/>
  <c r="P423" i="11" s="1"/>
  <c r="K424" i="11"/>
  <c r="P424" i="11" s="1"/>
  <c r="K425" i="11"/>
  <c r="P425" i="11" s="1"/>
  <c r="K426" i="11"/>
  <c r="P426" i="11" s="1"/>
  <c r="K427" i="11"/>
  <c r="P427" i="11" s="1"/>
  <c r="K428" i="11"/>
  <c r="P428" i="11" s="1"/>
  <c r="K429" i="11"/>
  <c r="P429" i="11" s="1"/>
  <c r="K430" i="11"/>
  <c r="P430" i="11" s="1"/>
  <c r="K431" i="11"/>
  <c r="P431" i="11" s="1"/>
  <c r="K432" i="11"/>
  <c r="P432" i="11" s="1"/>
  <c r="K433" i="11"/>
  <c r="P433" i="11" s="1"/>
  <c r="K434" i="11"/>
  <c r="P434" i="11" s="1"/>
  <c r="K435" i="11"/>
  <c r="P435" i="11" s="1"/>
  <c r="K436" i="11"/>
  <c r="P436" i="11" s="1"/>
  <c r="K437" i="11"/>
  <c r="P437" i="11" s="1"/>
  <c r="K438" i="11"/>
  <c r="P438" i="11" s="1"/>
  <c r="K439" i="11"/>
  <c r="P439" i="11" s="1"/>
  <c r="K440" i="11"/>
  <c r="P440" i="11" s="1"/>
  <c r="K441" i="11"/>
  <c r="P441" i="11" s="1"/>
  <c r="K442" i="11"/>
  <c r="P442" i="11" s="1"/>
  <c r="K443" i="11"/>
  <c r="P443" i="11" s="1"/>
  <c r="K444" i="11"/>
  <c r="P444" i="11" s="1"/>
  <c r="K445" i="11"/>
  <c r="P445" i="11" s="1"/>
  <c r="K446" i="11"/>
  <c r="P446" i="11" s="1"/>
  <c r="K447" i="11"/>
  <c r="P447" i="11" s="1"/>
  <c r="K448" i="11"/>
  <c r="P448" i="11" s="1"/>
  <c r="K449" i="11"/>
  <c r="P449" i="11" s="1"/>
  <c r="K450" i="11"/>
  <c r="P450" i="11" s="1"/>
  <c r="K451" i="11"/>
  <c r="P451" i="11" s="1"/>
  <c r="K452" i="11"/>
  <c r="P452" i="11" s="1"/>
  <c r="K453" i="11"/>
  <c r="P453" i="11" s="1"/>
  <c r="K454" i="11"/>
  <c r="P454" i="11" s="1"/>
  <c r="K455" i="11"/>
  <c r="P455" i="11" s="1"/>
  <c r="K456" i="11"/>
  <c r="P456" i="11" s="1"/>
  <c r="K457" i="11"/>
  <c r="P457" i="11" s="1"/>
  <c r="K458" i="11"/>
  <c r="P458" i="11" s="1"/>
  <c r="K459" i="11"/>
  <c r="P459" i="11" s="1"/>
  <c r="K460" i="11"/>
  <c r="P460" i="11" s="1"/>
  <c r="K461" i="11"/>
  <c r="P461" i="11" s="1"/>
  <c r="K462" i="11"/>
  <c r="P462" i="11" s="1"/>
  <c r="K463" i="11"/>
  <c r="P463" i="11" s="1"/>
  <c r="K464" i="11"/>
  <c r="P464" i="11" s="1"/>
  <c r="K465" i="11"/>
  <c r="P465" i="11" s="1"/>
  <c r="K466" i="11"/>
  <c r="P466" i="11" s="1"/>
  <c r="K467" i="11"/>
  <c r="P467" i="11" s="1"/>
  <c r="K468" i="11"/>
  <c r="P468" i="11" s="1"/>
  <c r="K469" i="11"/>
  <c r="P469" i="11" s="1"/>
  <c r="K470" i="11"/>
  <c r="P470" i="11" s="1"/>
  <c r="K471" i="11"/>
  <c r="P471" i="11" s="1"/>
  <c r="K472" i="11"/>
  <c r="P472" i="11" s="1"/>
  <c r="K473" i="11"/>
  <c r="P473" i="11" s="1"/>
  <c r="K474" i="11"/>
  <c r="P474" i="11" s="1"/>
  <c r="K478" i="11"/>
  <c r="P478" i="11" s="1"/>
  <c r="K479" i="11"/>
  <c r="P479" i="11" s="1"/>
  <c r="K480" i="11"/>
  <c r="P480" i="11" s="1"/>
  <c r="K481" i="11"/>
  <c r="P481" i="11" s="1"/>
  <c r="K485" i="11"/>
  <c r="P485" i="11" s="1"/>
  <c r="K487" i="11"/>
  <c r="P487" i="11" s="1"/>
  <c r="K488" i="11"/>
  <c r="P488" i="11" s="1"/>
  <c r="K489" i="11"/>
  <c r="P489" i="11" s="1"/>
  <c r="K490" i="11"/>
  <c r="P490" i="11" s="1"/>
  <c r="K491" i="11"/>
  <c r="P491" i="11" s="1"/>
  <c r="K492" i="11"/>
  <c r="P492" i="11" s="1"/>
  <c r="K493" i="11"/>
  <c r="P493" i="11" s="1"/>
  <c r="K494" i="11"/>
  <c r="P494" i="11" s="1"/>
  <c r="K495" i="11"/>
  <c r="P495" i="11" s="1"/>
  <c r="K496" i="11"/>
  <c r="P496" i="11" s="1"/>
  <c r="K497" i="11"/>
  <c r="P497" i="11" s="1"/>
  <c r="K498" i="11"/>
  <c r="P498" i="11" s="1"/>
  <c r="K499" i="11"/>
  <c r="P499" i="11" s="1"/>
  <c r="K500" i="11"/>
  <c r="P500" i="11" s="1"/>
  <c r="K501" i="11"/>
  <c r="P501" i="11" s="1"/>
  <c r="K502" i="11"/>
  <c r="P502" i="11" s="1"/>
  <c r="K503" i="11"/>
  <c r="P503" i="11" s="1"/>
  <c r="K504" i="11"/>
  <c r="P504" i="11" s="1"/>
  <c r="K505" i="11"/>
  <c r="P505" i="11" s="1"/>
  <c r="K506" i="11"/>
  <c r="P506" i="11" s="1"/>
  <c r="K507" i="11"/>
  <c r="P507" i="11" s="1"/>
  <c r="K508" i="11"/>
  <c r="P508" i="11" s="1"/>
  <c r="K509" i="11"/>
  <c r="P509" i="11" s="1"/>
  <c r="K510" i="11"/>
  <c r="P510" i="11" s="1"/>
  <c r="K511" i="11"/>
  <c r="P511" i="11" s="1"/>
  <c r="K512" i="11"/>
  <c r="P512" i="11" s="1"/>
  <c r="K513" i="11"/>
  <c r="P513" i="11" s="1"/>
  <c r="K514" i="11"/>
  <c r="P514" i="11" s="1"/>
  <c r="K515" i="11"/>
  <c r="P515" i="11" s="1"/>
  <c r="K516" i="11"/>
  <c r="P516" i="11" s="1"/>
  <c r="K517" i="11"/>
  <c r="P517" i="11" s="1"/>
  <c r="K518" i="11"/>
  <c r="P518" i="11" s="1"/>
  <c r="K519" i="11"/>
  <c r="P519" i="11" s="1"/>
  <c r="K520" i="11"/>
  <c r="P520" i="11" s="1"/>
  <c r="K521" i="11"/>
  <c r="P521" i="11" s="1"/>
  <c r="K522" i="11"/>
  <c r="P522" i="11" s="1"/>
  <c r="K523" i="11"/>
  <c r="P523" i="11" s="1"/>
  <c r="K524" i="11"/>
  <c r="P524" i="11" s="1"/>
  <c r="K525" i="11"/>
  <c r="P525" i="11" s="1"/>
  <c r="K526" i="11"/>
  <c r="P526" i="11" s="1"/>
  <c r="K527" i="11"/>
  <c r="P527" i="11" s="1"/>
  <c r="K528" i="11"/>
  <c r="P528" i="11" s="1"/>
  <c r="K529" i="11"/>
  <c r="P529" i="11" s="1"/>
  <c r="K530" i="11"/>
  <c r="P530" i="11" s="1"/>
  <c r="K531" i="11"/>
  <c r="P531" i="11" s="1"/>
  <c r="K532" i="11"/>
  <c r="P532" i="11" s="1"/>
  <c r="K533" i="11"/>
  <c r="P533" i="11" s="1"/>
  <c r="K534" i="11"/>
  <c r="P534" i="11" s="1"/>
  <c r="K535" i="11"/>
  <c r="P535" i="11" s="1"/>
  <c r="K536" i="11"/>
  <c r="P536" i="11" s="1"/>
  <c r="K537" i="11"/>
  <c r="P537" i="11" s="1"/>
  <c r="K538" i="11"/>
  <c r="P538" i="11" s="1"/>
  <c r="K539" i="11"/>
  <c r="P539" i="11" s="1"/>
  <c r="K540" i="11"/>
  <c r="P540" i="11" s="1"/>
  <c r="K541" i="11"/>
  <c r="P541" i="11" s="1"/>
  <c r="K542" i="11"/>
  <c r="P542" i="11" s="1"/>
  <c r="K543" i="11"/>
  <c r="P543" i="11" s="1"/>
  <c r="K544" i="11"/>
  <c r="P544" i="11" s="1"/>
  <c r="K545" i="11"/>
  <c r="P545" i="11" s="1"/>
  <c r="K546" i="11"/>
  <c r="P546" i="11" s="1"/>
  <c r="K547" i="11"/>
  <c r="P547" i="11" s="1"/>
  <c r="K548" i="11"/>
  <c r="P548" i="11" s="1"/>
  <c r="K549" i="11"/>
  <c r="P549" i="11" s="1"/>
  <c r="K550" i="11"/>
  <c r="P550" i="11" s="1"/>
  <c r="K551" i="11"/>
  <c r="P551" i="11" s="1"/>
  <c r="K552" i="11"/>
  <c r="P552" i="11" s="1"/>
  <c r="K553" i="11"/>
  <c r="P553" i="11" s="1"/>
  <c r="K554" i="11"/>
  <c r="P554" i="11" s="1"/>
  <c r="K555" i="11"/>
  <c r="P555" i="11" s="1"/>
  <c r="K556" i="11"/>
  <c r="P556" i="11" s="1"/>
  <c r="K557" i="11"/>
  <c r="P557" i="11" s="1"/>
  <c r="K558" i="11"/>
  <c r="P558" i="11" s="1"/>
  <c r="K559" i="11"/>
  <c r="P559" i="11" s="1"/>
  <c r="K560" i="11"/>
  <c r="P560" i="11" s="1"/>
  <c r="K561" i="11"/>
  <c r="P561" i="11" s="1"/>
  <c r="K562" i="11"/>
  <c r="P562" i="11" s="1"/>
  <c r="K563" i="11"/>
  <c r="P563" i="11" s="1"/>
  <c r="K564" i="11"/>
  <c r="P564" i="11" s="1"/>
  <c r="K565" i="11"/>
  <c r="P565" i="11" s="1"/>
  <c r="K566" i="11"/>
  <c r="P566" i="11" s="1"/>
  <c r="K567" i="11"/>
  <c r="P567" i="11" s="1"/>
  <c r="K568" i="11"/>
  <c r="P568" i="11" s="1"/>
  <c r="K569" i="11"/>
  <c r="P569" i="11" s="1"/>
  <c r="K570" i="11"/>
  <c r="P570" i="11" s="1"/>
  <c r="K571" i="11"/>
  <c r="P571" i="11" s="1"/>
  <c r="K572" i="11"/>
  <c r="P572" i="11" s="1"/>
  <c r="K573" i="11"/>
  <c r="P573" i="11" s="1"/>
  <c r="K574" i="11"/>
  <c r="P574" i="11" s="1"/>
  <c r="K575" i="11"/>
  <c r="P575" i="11" s="1"/>
  <c r="K576" i="11"/>
  <c r="P576" i="11" s="1"/>
  <c r="K577" i="11"/>
  <c r="P577" i="11" s="1"/>
  <c r="K578" i="11"/>
  <c r="P578" i="11" s="1"/>
  <c r="K579" i="11"/>
  <c r="P579" i="11" s="1"/>
  <c r="K580" i="11"/>
  <c r="P580" i="11" s="1"/>
  <c r="K581" i="11"/>
  <c r="P581" i="11" s="1"/>
  <c r="K582" i="11"/>
  <c r="P582" i="11" s="1"/>
  <c r="K583" i="11"/>
  <c r="P583" i="11" s="1"/>
  <c r="K584" i="11"/>
  <c r="P584" i="11" s="1"/>
  <c r="K585" i="11"/>
  <c r="P585" i="11" s="1"/>
  <c r="K586" i="11"/>
  <c r="P586" i="11" s="1"/>
  <c r="K587" i="11"/>
  <c r="P587" i="11" s="1"/>
  <c r="K588" i="11"/>
  <c r="P588" i="11" s="1"/>
  <c r="K589" i="11"/>
  <c r="P589" i="11" s="1"/>
  <c r="K590" i="11"/>
  <c r="P590" i="11" s="1"/>
  <c r="K591" i="11"/>
  <c r="P591" i="11" s="1"/>
  <c r="K592" i="11"/>
  <c r="P592" i="11" s="1"/>
  <c r="K593" i="11"/>
  <c r="P593" i="11" s="1"/>
  <c r="K594" i="11"/>
  <c r="P594" i="11" s="1"/>
  <c r="K595" i="11"/>
  <c r="P595" i="11" s="1"/>
  <c r="K596" i="11"/>
  <c r="P596" i="11" s="1"/>
  <c r="K597" i="11"/>
  <c r="P597" i="11" s="1"/>
  <c r="K598" i="11"/>
  <c r="P598" i="11" s="1"/>
  <c r="K599" i="11"/>
  <c r="P599" i="11" s="1"/>
  <c r="K600" i="11"/>
  <c r="P600" i="11" s="1"/>
  <c r="K601" i="11"/>
  <c r="P601" i="11" s="1"/>
  <c r="K602" i="11"/>
  <c r="P602" i="11" s="1"/>
  <c r="K603" i="11"/>
  <c r="P603" i="11" s="1"/>
  <c r="K604" i="11"/>
  <c r="P604" i="11" s="1"/>
  <c r="K605" i="11"/>
  <c r="P605" i="11" s="1"/>
  <c r="K606" i="11"/>
  <c r="P606" i="11" s="1"/>
  <c r="K607" i="11"/>
  <c r="P607" i="11" s="1"/>
  <c r="K608" i="11"/>
  <c r="P608" i="11" s="1"/>
  <c r="K609" i="11"/>
  <c r="P609" i="11" s="1"/>
  <c r="K610" i="11"/>
  <c r="P610" i="11" s="1"/>
  <c r="K611" i="11"/>
  <c r="P611" i="11" s="1"/>
  <c r="K612" i="11"/>
  <c r="P612" i="11" s="1"/>
  <c r="K613" i="11"/>
  <c r="P613" i="11" s="1"/>
  <c r="K614" i="11"/>
  <c r="P614" i="11" s="1"/>
  <c r="K615" i="11"/>
  <c r="P615" i="11" s="1"/>
  <c r="K616" i="11"/>
  <c r="P616" i="11" s="1"/>
  <c r="K617" i="11"/>
  <c r="P617" i="11" s="1"/>
  <c r="K618" i="11"/>
  <c r="P618" i="11" s="1"/>
  <c r="K619" i="11"/>
  <c r="P619" i="11" s="1"/>
  <c r="K620" i="11"/>
  <c r="P620" i="11" s="1"/>
  <c r="K621" i="11"/>
  <c r="P621" i="11" s="1"/>
  <c r="K622" i="11"/>
  <c r="P622" i="11" s="1"/>
  <c r="K623" i="11"/>
  <c r="P623" i="11" s="1"/>
  <c r="K624" i="11"/>
  <c r="P624" i="11" s="1"/>
  <c r="K625" i="11"/>
  <c r="P625" i="11" s="1"/>
  <c r="K626" i="11"/>
  <c r="P626" i="11" s="1"/>
  <c r="K627" i="11"/>
  <c r="P627" i="11" s="1"/>
  <c r="K628" i="11"/>
  <c r="P628" i="11" s="1"/>
  <c r="K629" i="11"/>
  <c r="P629" i="11" s="1"/>
  <c r="K630" i="11"/>
  <c r="P630" i="11" s="1"/>
  <c r="K631" i="11"/>
  <c r="P631" i="11" s="1"/>
  <c r="K632" i="11"/>
  <c r="P632" i="11" s="1"/>
  <c r="K633" i="11"/>
  <c r="P633" i="11" s="1"/>
  <c r="K634" i="11"/>
  <c r="P634" i="11" s="1"/>
  <c r="K635" i="11"/>
  <c r="P635" i="11" s="1"/>
  <c r="K636" i="11"/>
  <c r="P636" i="11" s="1"/>
  <c r="K637" i="11"/>
  <c r="P637" i="11" s="1"/>
  <c r="K638" i="11"/>
  <c r="P638" i="11" s="1"/>
  <c r="K639" i="11"/>
  <c r="P639" i="11" s="1"/>
  <c r="K640" i="11"/>
  <c r="P640" i="11" s="1"/>
  <c r="K641" i="11"/>
  <c r="P641" i="11" s="1"/>
  <c r="K642" i="11"/>
  <c r="P642" i="11" s="1"/>
  <c r="K643" i="11"/>
  <c r="P643" i="11" s="1"/>
  <c r="K644" i="11"/>
  <c r="P644" i="11" s="1"/>
  <c r="K645" i="11"/>
  <c r="P645" i="11" s="1"/>
  <c r="K646" i="11"/>
  <c r="P646" i="11" s="1"/>
  <c r="K647" i="11"/>
  <c r="P647" i="11" s="1"/>
  <c r="K648" i="11"/>
  <c r="P648" i="11" s="1"/>
  <c r="K649" i="11"/>
  <c r="P649" i="11" s="1"/>
  <c r="K650" i="11"/>
  <c r="P650" i="11" s="1"/>
  <c r="K651" i="11"/>
  <c r="P651" i="11" s="1"/>
  <c r="K652" i="11"/>
  <c r="P652" i="11" s="1"/>
  <c r="K653" i="11"/>
  <c r="P653" i="11" s="1"/>
  <c r="K654" i="11"/>
  <c r="P654" i="11" s="1"/>
  <c r="K655" i="11"/>
  <c r="P655" i="11" s="1"/>
  <c r="K656" i="11"/>
  <c r="P656" i="11" s="1"/>
  <c r="K657" i="11"/>
  <c r="P657" i="11" s="1"/>
  <c r="K658" i="11"/>
  <c r="P658" i="11" s="1"/>
  <c r="K659" i="11"/>
  <c r="P659" i="11" s="1"/>
  <c r="K660" i="11"/>
  <c r="P660" i="11" s="1"/>
  <c r="K661" i="11"/>
  <c r="P661" i="11" s="1"/>
  <c r="K662" i="11"/>
  <c r="P662" i="11" s="1"/>
  <c r="K663" i="11"/>
  <c r="P663" i="11" s="1"/>
  <c r="K664" i="11"/>
  <c r="P664" i="11" s="1"/>
  <c r="K665" i="11"/>
  <c r="P665" i="11" s="1"/>
  <c r="K666" i="11"/>
  <c r="P666" i="11" s="1"/>
  <c r="K667" i="11"/>
  <c r="P667" i="11" s="1"/>
  <c r="K668" i="11"/>
  <c r="P668" i="11" s="1"/>
  <c r="K669" i="11"/>
  <c r="P669" i="11" s="1"/>
  <c r="K670" i="11"/>
  <c r="P670" i="11" s="1"/>
  <c r="K671" i="11"/>
  <c r="P671" i="11" s="1"/>
  <c r="K672" i="11"/>
  <c r="P672" i="11" s="1"/>
  <c r="K673" i="11"/>
  <c r="P673" i="11" s="1"/>
  <c r="K674" i="11"/>
  <c r="P674" i="11" s="1"/>
  <c r="K675" i="11"/>
  <c r="P675" i="11" s="1"/>
  <c r="K676" i="11"/>
  <c r="P676" i="11" s="1"/>
  <c r="K677" i="11"/>
  <c r="P677" i="11" s="1"/>
  <c r="K678" i="11"/>
  <c r="P678" i="11" s="1"/>
  <c r="K679" i="11"/>
  <c r="P679" i="11" s="1"/>
  <c r="K680" i="11"/>
  <c r="P680" i="11" s="1"/>
  <c r="K681" i="11"/>
  <c r="P681" i="11" s="1"/>
  <c r="K682" i="11"/>
  <c r="P682" i="11" s="1"/>
  <c r="K683" i="11"/>
  <c r="P683" i="11" s="1"/>
  <c r="K684" i="11"/>
  <c r="P684" i="11" s="1"/>
  <c r="K685" i="11"/>
  <c r="P685" i="11" s="1"/>
  <c r="K686" i="11"/>
  <c r="P686" i="11" s="1"/>
  <c r="K687" i="11"/>
  <c r="P687" i="11" s="1"/>
  <c r="K688" i="11"/>
  <c r="P688" i="11" s="1"/>
  <c r="K689" i="11"/>
  <c r="P689" i="11" s="1"/>
  <c r="K690" i="11"/>
  <c r="P690" i="11" s="1"/>
  <c r="K691" i="11"/>
  <c r="P691" i="11" s="1"/>
  <c r="K692" i="11"/>
  <c r="P692" i="11" s="1"/>
  <c r="K693" i="11"/>
  <c r="P693" i="11" s="1"/>
  <c r="K694" i="11"/>
  <c r="P694" i="11" s="1"/>
  <c r="K695" i="11"/>
  <c r="K696" i="11"/>
  <c r="P696" i="11" s="1"/>
  <c r="K697" i="11"/>
  <c r="P697" i="11" s="1"/>
  <c r="K698" i="11"/>
  <c r="P698" i="11" s="1"/>
  <c r="K699" i="11"/>
  <c r="P699" i="11" s="1"/>
  <c r="K700" i="11"/>
  <c r="P700" i="11" s="1"/>
  <c r="K701" i="11"/>
  <c r="P701" i="11" s="1"/>
  <c r="K702" i="11"/>
  <c r="P702" i="11" s="1"/>
  <c r="K703" i="11"/>
  <c r="P703" i="11" s="1"/>
  <c r="K704" i="11"/>
  <c r="P704" i="11" s="1"/>
  <c r="K705" i="11"/>
  <c r="P705" i="11" s="1"/>
  <c r="K706" i="11"/>
  <c r="P706" i="11" s="1"/>
  <c r="K707" i="11"/>
  <c r="P707" i="11" s="1"/>
  <c r="K708" i="11"/>
  <c r="P708" i="11" s="1"/>
  <c r="K709" i="11"/>
  <c r="P709" i="11" s="1"/>
  <c r="K710" i="11"/>
  <c r="P710" i="11" s="1"/>
  <c r="K711" i="11"/>
  <c r="P711" i="11" s="1"/>
  <c r="K712" i="11"/>
  <c r="P712" i="11" s="1"/>
  <c r="K713" i="11"/>
  <c r="P713" i="11" s="1"/>
  <c r="K714" i="11"/>
  <c r="P714" i="11" s="1"/>
  <c r="K715" i="11"/>
  <c r="P715" i="11" s="1"/>
  <c r="K716" i="11"/>
  <c r="P716" i="11" s="1"/>
  <c r="K717" i="11"/>
  <c r="P717" i="11" s="1"/>
  <c r="K718" i="11"/>
  <c r="P718" i="11" s="1"/>
  <c r="K719" i="11"/>
  <c r="P719" i="11" s="1"/>
  <c r="K720" i="11"/>
  <c r="P720" i="11" s="1"/>
  <c r="K721" i="11"/>
  <c r="P721" i="11" s="1"/>
  <c r="K722" i="11"/>
  <c r="P722" i="11" s="1"/>
  <c r="K723" i="11"/>
  <c r="P723" i="11" s="1"/>
  <c r="K724" i="11"/>
  <c r="P724" i="11" s="1"/>
  <c r="K725" i="11"/>
  <c r="P725" i="11" s="1"/>
  <c r="K726" i="11"/>
  <c r="P726" i="11" s="1"/>
  <c r="K727" i="11"/>
  <c r="P727" i="11" s="1"/>
  <c r="K728" i="11"/>
  <c r="P728" i="11" s="1"/>
  <c r="K729" i="11"/>
  <c r="P729" i="11" s="1"/>
  <c r="K730" i="11"/>
  <c r="P730" i="11" s="1"/>
  <c r="K731" i="11"/>
  <c r="P731" i="11" s="1"/>
  <c r="K732" i="11"/>
  <c r="P732" i="11" s="1"/>
  <c r="K733" i="11"/>
  <c r="P733" i="11" s="1"/>
  <c r="K734" i="11"/>
  <c r="P734" i="11" s="1"/>
  <c r="K735" i="11"/>
  <c r="P735" i="11" s="1"/>
  <c r="K736" i="11"/>
  <c r="P736" i="11" s="1"/>
  <c r="K737" i="11"/>
  <c r="P737" i="11" s="1"/>
  <c r="K738" i="11"/>
  <c r="P738" i="11" s="1"/>
  <c r="K739" i="11"/>
  <c r="P739" i="11" s="1"/>
  <c r="K740" i="11"/>
  <c r="P740" i="11" s="1"/>
  <c r="K741" i="11"/>
  <c r="P741" i="11" s="1"/>
  <c r="K742" i="11"/>
  <c r="P742" i="11" s="1"/>
  <c r="K743" i="11"/>
  <c r="P743" i="11" s="1"/>
  <c r="K744" i="11"/>
  <c r="P744" i="11" s="1"/>
  <c r="K745" i="11"/>
  <c r="P745" i="11" s="1"/>
  <c r="K746" i="11"/>
  <c r="P746" i="11" s="1"/>
  <c r="K747" i="11"/>
  <c r="P747" i="11" s="1"/>
  <c r="K748" i="11"/>
  <c r="P748" i="11" s="1"/>
  <c r="K749" i="11"/>
  <c r="P749" i="11" s="1"/>
  <c r="K750" i="11"/>
  <c r="P750" i="11" s="1"/>
  <c r="K751" i="11"/>
  <c r="P751" i="11" s="1"/>
  <c r="K752" i="11"/>
  <c r="P752" i="11" s="1"/>
  <c r="K753" i="11"/>
  <c r="P753" i="11" s="1"/>
  <c r="K754" i="11"/>
  <c r="P754" i="11" s="1"/>
  <c r="K755" i="11"/>
  <c r="P755" i="11" s="1"/>
  <c r="K756" i="11"/>
  <c r="P756" i="11" s="1"/>
  <c r="K5" i="11"/>
  <c r="P5" i="11" s="1"/>
  <c r="J6" i="10"/>
  <c r="S6" i="10" s="1"/>
  <c r="J7" i="10"/>
  <c r="S7" i="10" s="1"/>
  <c r="J8" i="10"/>
  <c r="S8" i="10" s="1"/>
  <c r="J9" i="10"/>
  <c r="S9" i="10" s="1"/>
  <c r="J10" i="10"/>
  <c r="S10" i="10" s="1"/>
  <c r="J11" i="10"/>
  <c r="S11" i="10" s="1"/>
  <c r="J12" i="10"/>
  <c r="S12" i="10" s="1"/>
  <c r="J15" i="10"/>
  <c r="S15" i="10" s="1"/>
  <c r="J16" i="10"/>
  <c r="S16" i="10" s="1"/>
  <c r="J17" i="10"/>
  <c r="S17" i="10" s="1"/>
  <c r="J18" i="10"/>
  <c r="S18" i="10" s="1"/>
  <c r="J19" i="10"/>
  <c r="S19" i="10" s="1"/>
  <c r="J20" i="10"/>
  <c r="S20" i="10" s="1"/>
  <c r="J21" i="10"/>
  <c r="S21" i="10" s="1"/>
  <c r="J22" i="10"/>
  <c r="S22" i="10" s="1"/>
  <c r="J23" i="10"/>
  <c r="S23" i="10" s="1"/>
  <c r="J24" i="10"/>
  <c r="S24" i="10" s="1"/>
  <c r="J25" i="10"/>
  <c r="S25" i="10" s="1"/>
  <c r="J26" i="10"/>
  <c r="S26" i="10" s="1"/>
  <c r="J27" i="10"/>
  <c r="S27" i="10" s="1"/>
  <c r="J28" i="10"/>
  <c r="S28" i="10" s="1"/>
  <c r="J30" i="10"/>
  <c r="S30" i="10" s="1"/>
  <c r="J31" i="10"/>
  <c r="S31" i="10" s="1"/>
  <c r="J32" i="10"/>
  <c r="S32" i="10" s="1"/>
  <c r="J33" i="10"/>
  <c r="S33" i="10" s="1"/>
  <c r="J34" i="10"/>
  <c r="S34" i="10" s="1"/>
  <c r="J35" i="10"/>
  <c r="S35" i="10" s="1"/>
  <c r="J36" i="10"/>
  <c r="S36" i="10" s="1"/>
  <c r="J37" i="10"/>
  <c r="S37" i="10" s="1"/>
  <c r="J38" i="10"/>
  <c r="S38" i="10" s="1"/>
  <c r="J39" i="10"/>
  <c r="S39" i="10" s="1"/>
  <c r="J40" i="10"/>
  <c r="S40" i="10" s="1"/>
  <c r="J43" i="10"/>
  <c r="S43" i="10" s="1"/>
  <c r="J44" i="10"/>
  <c r="S44" i="10" s="1"/>
  <c r="J45" i="10"/>
  <c r="S45" i="10" s="1"/>
  <c r="J46" i="10"/>
  <c r="S46" i="10" s="1"/>
  <c r="J47" i="10"/>
  <c r="S47" i="10" s="1"/>
  <c r="J48" i="10"/>
  <c r="S48" i="10" s="1"/>
  <c r="J50" i="10"/>
  <c r="S50" i="10" s="1"/>
  <c r="J51" i="10"/>
  <c r="S51" i="10" s="1"/>
  <c r="J54" i="10"/>
  <c r="S54" i="10" s="1"/>
  <c r="J55" i="10"/>
  <c r="S55" i="10" s="1"/>
  <c r="J56" i="10"/>
  <c r="S56" i="10" s="1"/>
  <c r="J57" i="10"/>
  <c r="S57" i="10" s="1"/>
  <c r="J58" i="10"/>
  <c r="S58" i="10" s="1"/>
  <c r="J59" i="10"/>
  <c r="S59" i="10" s="1"/>
  <c r="J60" i="10"/>
  <c r="S60" i="10" s="1"/>
  <c r="J61" i="10"/>
  <c r="S61" i="10" s="1"/>
  <c r="J62" i="10"/>
  <c r="S62" i="10" s="1"/>
  <c r="J63" i="10"/>
  <c r="S63" i="10" s="1"/>
  <c r="J64" i="10"/>
  <c r="S64" i="10" s="1"/>
  <c r="J66" i="10"/>
  <c r="S66" i="10" s="1"/>
  <c r="J67" i="10"/>
  <c r="S67" i="10" s="1"/>
  <c r="J68" i="10"/>
  <c r="S68" i="10" s="1"/>
  <c r="J69" i="10"/>
  <c r="S69" i="10" s="1"/>
  <c r="J70" i="10"/>
  <c r="S70" i="10" s="1"/>
  <c r="J71" i="10"/>
  <c r="S71" i="10" s="1"/>
  <c r="J74" i="10"/>
  <c r="S74" i="10" s="1"/>
  <c r="J75" i="10"/>
  <c r="S75" i="10" s="1"/>
  <c r="J76" i="10"/>
  <c r="S76" i="10" s="1"/>
  <c r="J77" i="10"/>
  <c r="S77" i="10" s="1"/>
  <c r="J79" i="10"/>
  <c r="S79" i="10" s="1"/>
  <c r="J80" i="10"/>
  <c r="S80" i="10" s="1"/>
  <c r="J81" i="10"/>
  <c r="S81" i="10" s="1"/>
  <c r="J82" i="10"/>
  <c r="S82" i="10" s="1"/>
  <c r="J83" i="10"/>
  <c r="S83" i="10" s="1"/>
  <c r="J84" i="10"/>
  <c r="S84" i="10" s="1"/>
  <c r="J85" i="10"/>
  <c r="S85" i="10" s="1"/>
  <c r="J86" i="10"/>
  <c r="S86" i="10" s="1"/>
  <c r="J87" i="10"/>
  <c r="S87" i="10" s="1"/>
  <c r="J94" i="10"/>
  <c r="S94" i="10" s="1"/>
  <c r="J95" i="10"/>
  <c r="S95" i="10" s="1"/>
  <c r="J97" i="10"/>
  <c r="S97" i="10" s="1"/>
  <c r="J98" i="10"/>
  <c r="S98" i="10" s="1"/>
  <c r="J99" i="10"/>
  <c r="S99" i="10" s="1"/>
  <c r="J100" i="10"/>
  <c r="S100" i="10" s="1"/>
  <c r="J101" i="10"/>
  <c r="S101" i="10" s="1"/>
  <c r="J102" i="10"/>
  <c r="S102" i="10" s="1"/>
  <c r="J103" i="10"/>
  <c r="S103" i="10" s="1"/>
  <c r="J104" i="10"/>
  <c r="S104" i="10" s="1"/>
  <c r="J105" i="10"/>
  <c r="S105" i="10" s="1"/>
  <c r="J106" i="10"/>
  <c r="S106" i="10" s="1"/>
  <c r="J107" i="10"/>
  <c r="S107" i="10" s="1"/>
  <c r="J108" i="10"/>
  <c r="S108" i="10" s="1"/>
  <c r="J109" i="10"/>
  <c r="S109" i="10" s="1"/>
  <c r="J110" i="10"/>
  <c r="S110" i="10" s="1"/>
  <c r="J111" i="10"/>
  <c r="S111" i="10" s="1"/>
  <c r="J112" i="10"/>
  <c r="S112" i="10" s="1"/>
  <c r="J5" i="10"/>
  <c r="S5" i="10" s="1"/>
  <c r="H6" i="14"/>
  <c r="Q6" i="14" s="1"/>
  <c r="H7" i="14"/>
  <c r="Q7" i="14" s="1"/>
  <c r="H8" i="14"/>
  <c r="Q8" i="14" s="1"/>
  <c r="H9" i="14"/>
  <c r="Q9" i="14" s="1"/>
  <c r="H11" i="14"/>
  <c r="Q11" i="14" s="1"/>
  <c r="H12" i="14"/>
  <c r="Q12" i="14" s="1"/>
  <c r="H13" i="14"/>
  <c r="Q13" i="14" s="1"/>
  <c r="H14" i="14"/>
  <c r="Q14" i="14" s="1"/>
  <c r="H15" i="14"/>
  <c r="Q15" i="14" s="1"/>
  <c r="H16" i="14"/>
  <c r="Q16" i="14" s="1"/>
  <c r="H17" i="14"/>
  <c r="Q17" i="14" s="1"/>
  <c r="H18" i="14"/>
  <c r="Q18" i="14" s="1"/>
  <c r="H19" i="14"/>
  <c r="Q19" i="14" s="1"/>
  <c r="H20" i="14"/>
  <c r="Q20" i="14" s="1"/>
  <c r="H22" i="14"/>
  <c r="Q22" i="14" s="1"/>
  <c r="H5" i="14"/>
  <c r="Q5" i="14" s="1"/>
  <c r="P4" i="12"/>
  <c r="Q64" i="12" s="1"/>
  <c r="O64" i="12" s="1"/>
  <c r="P22" i="14"/>
  <c r="Q604" i="12" l="1"/>
  <c r="O604" i="12" s="1"/>
  <c r="Q492" i="12"/>
  <c r="O492" i="12" s="1"/>
  <c r="Q397" i="12"/>
  <c r="O397" i="12" s="1"/>
  <c r="Q633" i="12"/>
  <c r="O633" i="12" s="1"/>
  <c r="Q551" i="12"/>
  <c r="O551" i="12" s="1"/>
  <c r="Q330" i="12"/>
  <c r="O330" i="12" s="1"/>
  <c r="Q719" i="12"/>
  <c r="O719" i="12" s="1"/>
  <c r="Q686" i="12"/>
  <c r="O686" i="12" s="1"/>
  <c r="Q658" i="12"/>
  <c r="O658" i="12" s="1"/>
  <c r="Q652" i="12"/>
  <c r="O652" i="12" s="1"/>
  <c r="Q75" i="12"/>
  <c r="O75" i="12" s="1"/>
  <c r="Q708" i="12"/>
  <c r="O708" i="12" s="1"/>
  <c r="Q649" i="12"/>
  <c r="O649" i="12" s="1"/>
  <c r="Q586" i="12"/>
  <c r="O586" i="12" s="1"/>
  <c r="Q371" i="12"/>
  <c r="O371" i="12" s="1"/>
  <c r="Q445" i="12"/>
  <c r="O445" i="12" s="1"/>
  <c r="Q281" i="12"/>
  <c r="O281" i="12" s="1"/>
  <c r="Q44" i="12"/>
  <c r="O44" i="12" s="1"/>
  <c r="Q736" i="12"/>
  <c r="O736" i="12" s="1"/>
  <c r="Q704" i="12"/>
  <c r="O704" i="12" s="1"/>
  <c r="Q672" i="12"/>
  <c r="O672" i="12" s="1"/>
  <c r="Q644" i="12"/>
  <c r="O644" i="12" s="1"/>
  <c r="Q617" i="12"/>
  <c r="O617" i="12" s="1"/>
  <c r="Q585" i="12"/>
  <c r="O585" i="12" s="1"/>
  <c r="Q529" i="12"/>
  <c r="O529" i="12" s="1"/>
  <c r="Q359" i="12"/>
  <c r="O359" i="12" s="1"/>
  <c r="Q273" i="12"/>
  <c r="O273" i="12" s="1"/>
  <c r="Q735" i="12"/>
  <c r="O735" i="12" s="1"/>
  <c r="Q671" i="12"/>
  <c r="O671" i="12" s="1"/>
  <c r="Q616" i="12"/>
  <c r="O616" i="12" s="1"/>
  <c r="Q525" i="12"/>
  <c r="O525" i="12" s="1"/>
  <c r="Q348" i="12"/>
  <c r="O348" i="12" s="1"/>
  <c r="Q734" i="12"/>
  <c r="O734" i="12" s="1"/>
  <c r="Q667" i="12"/>
  <c r="O667" i="12" s="1"/>
  <c r="Q615" i="12"/>
  <c r="O615" i="12" s="1"/>
  <c r="Q516" i="12"/>
  <c r="O516" i="12" s="1"/>
  <c r="Q347" i="12"/>
  <c r="O347" i="12" s="1"/>
  <c r="Q730" i="12"/>
  <c r="O730" i="12" s="1"/>
  <c r="Q665" i="12"/>
  <c r="O665" i="12" s="1"/>
  <c r="Q614" i="12"/>
  <c r="O614" i="12" s="1"/>
  <c r="Q512" i="12"/>
  <c r="O512" i="12" s="1"/>
  <c r="Q341" i="12"/>
  <c r="O341" i="12" s="1"/>
  <c r="Q663" i="12"/>
  <c r="O663" i="12" s="1"/>
  <c r="Q610" i="12"/>
  <c r="O610" i="12" s="1"/>
  <c r="Q505" i="12"/>
  <c r="O505" i="12" s="1"/>
  <c r="Q198" i="12"/>
  <c r="O198" i="12" s="1"/>
  <c r="Q724" i="12"/>
  <c r="O724" i="12" s="1"/>
  <c r="Q691" i="12"/>
  <c r="O691" i="12" s="1"/>
  <c r="Q662" i="12"/>
  <c r="O662" i="12" s="1"/>
  <c r="Q635" i="12"/>
  <c r="O635" i="12" s="1"/>
  <c r="Q608" i="12"/>
  <c r="O608" i="12" s="1"/>
  <c r="Q558" i="12"/>
  <c r="O558" i="12" s="1"/>
  <c r="Q407" i="12"/>
  <c r="O407" i="12" s="1"/>
  <c r="Q184" i="12"/>
  <c r="O184" i="12" s="1"/>
  <c r="Q160" i="12"/>
  <c r="O160" i="12" s="1"/>
  <c r="Q716" i="12"/>
  <c r="O716" i="12" s="1"/>
  <c r="Q654" i="12"/>
  <c r="O654" i="12" s="1"/>
  <c r="Q629" i="12"/>
  <c r="O629" i="12" s="1"/>
  <c r="Q601" i="12"/>
  <c r="O601" i="12" s="1"/>
  <c r="Q548" i="12"/>
  <c r="O548" i="12" s="1"/>
  <c r="Q488" i="12"/>
  <c r="O488" i="12" s="1"/>
  <c r="Q394" i="12"/>
  <c r="O394" i="12" s="1"/>
  <c r="Q323" i="12"/>
  <c r="O323" i="12" s="1"/>
  <c r="Q146" i="12"/>
  <c r="O146" i="12" s="1"/>
  <c r="Q713" i="12"/>
  <c r="O713" i="12" s="1"/>
  <c r="Q682" i="12"/>
  <c r="O682" i="12" s="1"/>
  <c r="Q653" i="12"/>
  <c r="O653" i="12" s="1"/>
  <c r="Q626" i="12"/>
  <c r="O626" i="12" s="1"/>
  <c r="Q595" i="12"/>
  <c r="O595" i="12" s="1"/>
  <c r="Q547" i="12"/>
  <c r="O547" i="12" s="1"/>
  <c r="Q384" i="12"/>
  <c r="O384" i="12" s="1"/>
  <c r="Q322" i="12"/>
  <c r="O322" i="12" s="1"/>
  <c r="Q132" i="12"/>
  <c r="O132" i="12" s="1"/>
  <c r="Q681" i="12"/>
  <c r="O681" i="12" s="1"/>
  <c r="Q625" i="12"/>
  <c r="O625" i="12" s="1"/>
  <c r="Q590" i="12"/>
  <c r="O590" i="12" s="1"/>
  <c r="Q543" i="12"/>
  <c r="O543" i="12" s="1"/>
  <c r="Q475" i="12"/>
  <c r="O475" i="12" s="1"/>
  <c r="Q383" i="12"/>
  <c r="O383" i="12" s="1"/>
  <c r="Q310" i="12"/>
  <c r="O310" i="12" s="1"/>
  <c r="Q90" i="12"/>
  <c r="O90" i="12" s="1"/>
  <c r="Q709" i="12"/>
  <c r="O709" i="12" s="1"/>
  <c r="Q677" i="12"/>
  <c r="O677" i="12" s="1"/>
  <c r="Q624" i="12"/>
  <c r="O624" i="12" s="1"/>
  <c r="Q587" i="12"/>
  <c r="O587" i="12" s="1"/>
  <c r="Q541" i="12"/>
  <c r="O541" i="12" s="1"/>
  <c r="Q468" i="12"/>
  <c r="O468" i="12" s="1"/>
  <c r="Q378" i="12"/>
  <c r="O378" i="12" s="1"/>
  <c r="Q303" i="12"/>
  <c r="O303" i="12" s="1"/>
  <c r="Q739" i="12"/>
  <c r="O739" i="12" s="1"/>
  <c r="Q674" i="12"/>
  <c r="O674" i="12" s="1"/>
  <c r="Q620" i="12"/>
  <c r="O620" i="12" s="1"/>
  <c r="Q531" i="12"/>
  <c r="O531" i="12" s="1"/>
  <c r="Q457" i="12"/>
  <c r="O457" i="12" s="1"/>
  <c r="Q282" i="12"/>
  <c r="O282" i="12" s="1"/>
  <c r="Q61" i="12"/>
  <c r="O61" i="12" s="1"/>
  <c r="Q738" i="12"/>
  <c r="O738" i="12" s="1"/>
  <c r="Q707" i="12"/>
  <c r="O707" i="12" s="1"/>
  <c r="Q673" i="12"/>
  <c r="O673" i="12" s="1"/>
  <c r="Q645" i="12"/>
  <c r="O645" i="12" s="1"/>
  <c r="Q619" i="12"/>
  <c r="O619" i="12" s="1"/>
  <c r="Q530" i="12"/>
  <c r="O530" i="12" s="1"/>
  <c r="Q370" i="12"/>
  <c r="O370" i="12" s="1"/>
  <c r="Q29" i="12"/>
  <c r="O29" i="12" s="1"/>
  <c r="Q699" i="12"/>
  <c r="O699" i="12" s="1"/>
  <c r="Q643" i="12"/>
  <c r="O643" i="12" s="1"/>
  <c r="Q575" i="12"/>
  <c r="O575" i="12" s="1"/>
  <c r="Q433" i="12"/>
  <c r="O433" i="12" s="1"/>
  <c r="Q250" i="12"/>
  <c r="O250" i="12" s="1"/>
  <c r="Q695" i="12"/>
  <c r="O695" i="12" s="1"/>
  <c r="Q639" i="12"/>
  <c r="O639" i="12" s="1"/>
  <c r="Q574" i="12"/>
  <c r="O574" i="12" s="1"/>
  <c r="Q420" i="12"/>
  <c r="O420" i="12" s="1"/>
  <c r="Q231" i="12"/>
  <c r="O231" i="12" s="1"/>
  <c r="Q694" i="12"/>
  <c r="O694" i="12" s="1"/>
  <c r="Q638" i="12"/>
  <c r="O638" i="12" s="1"/>
  <c r="Q566" i="12"/>
  <c r="O566" i="12" s="1"/>
  <c r="Q415" i="12"/>
  <c r="O415" i="12" s="1"/>
  <c r="Q219" i="12"/>
  <c r="O219" i="12" s="1"/>
  <c r="Q692" i="12"/>
  <c r="O692" i="12" s="1"/>
  <c r="Q636" i="12"/>
  <c r="O636" i="12" s="1"/>
  <c r="Q562" i="12"/>
  <c r="O562" i="12" s="1"/>
  <c r="Q408" i="12"/>
  <c r="O408" i="12" s="1"/>
  <c r="Q334" i="12"/>
  <c r="O334" i="12" s="1"/>
  <c r="Q721" i="12"/>
  <c r="O721" i="12" s="1"/>
  <c r="Q690" i="12"/>
  <c r="O690" i="12" s="1"/>
  <c r="Q661" i="12"/>
  <c r="O661" i="12" s="1"/>
  <c r="Q634" i="12"/>
  <c r="O634" i="12" s="1"/>
  <c r="Q605" i="12"/>
  <c r="O605" i="12" s="1"/>
  <c r="Q552" i="12"/>
  <c r="O552" i="12" s="1"/>
  <c r="Q495" i="12"/>
  <c r="O495" i="12" s="1"/>
  <c r="Q401" i="12"/>
  <c r="O401" i="12" s="1"/>
  <c r="Q333" i="12"/>
  <c r="O333" i="12" s="1"/>
  <c r="Q174" i="12"/>
  <c r="O174" i="12" s="1"/>
  <c r="Q733" i="12"/>
  <c r="O733" i="12" s="1"/>
  <c r="Q715" i="12"/>
  <c r="O715" i="12" s="1"/>
  <c r="Q698" i="12"/>
  <c r="O698" i="12" s="1"/>
  <c r="Q689" i="12"/>
  <c r="O689" i="12" s="1"/>
  <c r="Q680" i="12"/>
  <c r="O680" i="12" s="1"/>
  <c r="Q623" i="12"/>
  <c r="O623" i="12" s="1"/>
  <c r="Q613" i="12"/>
  <c r="O613" i="12" s="1"/>
  <c r="Q594" i="12"/>
  <c r="O594" i="12" s="1"/>
  <c r="Q573" i="12"/>
  <c r="O573" i="12" s="1"/>
  <c r="Q561" i="12"/>
  <c r="O561" i="12" s="1"/>
  <c r="Q540" i="12"/>
  <c r="O540" i="12" s="1"/>
  <c r="Q515" i="12"/>
  <c r="O515" i="12" s="1"/>
  <c r="Q504" i="12"/>
  <c r="O504" i="12" s="1"/>
  <c r="Q478" i="12"/>
  <c r="O478" i="12" s="1"/>
  <c r="Q467" i="12"/>
  <c r="O467" i="12" s="1"/>
  <c r="Q443" i="12"/>
  <c r="O443" i="12" s="1"/>
  <c r="Q418" i="12"/>
  <c r="O418" i="12" s="1"/>
  <c r="Q393" i="12"/>
  <c r="O393" i="12" s="1"/>
  <c r="Q382" i="12"/>
  <c r="O382" i="12" s="1"/>
  <c r="Q294" i="12"/>
  <c r="O294" i="12" s="1"/>
  <c r="Q279" i="12"/>
  <c r="O279" i="12" s="1"/>
  <c r="Q263" i="12"/>
  <c r="O263" i="12" s="1"/>
  <c r="Q228" i="12"/>
  <c r="O228" i="12" s="1"/>
  <c r="Q203" i="12"/>
  <c r="O203" i="12" s="1"/>
  <c r="Q154" i="12"/>
  <c r="O154" i="12" s="1"/>
  <c r="Q98" i="12"/>
  <c r="O98" i="12" s="1"/>
  <c r="Q40" i="12"/>
  <c r="O40" i="12" s="1"/>
  <c r="Q128" i="12"/>
  <c r="O128" i="12" s="1"/>
  <c r="Q732" i="12"/>
  <c r="O732" i="12" s="1"/>
  <c r="Q706" i="12"/>
  <c r="O706" i="12" s="1"/>
  <c r="Q670" i="12"/>
  <c r="O670" i="12" s="1"/>
  <c r="Q660" i="12"/>
  <c r="O660" i="12" s="1"/>
  <c r="Q651" i="12"/>
  <c r="O651" i="12" s="1"/>
  <c r="Q642" i="12"/>
  <c r="O642" i="12" s="1"/>
  <c r="Q632" i="12"/>
  <c r="O632" i="12" s="1"/>
  <c r="Q622" i="12"/>
  <c r="O622" i="12" s="1"/>
  <c r="Q612" i="12"/>
  <c r="O612" i="12" s="1"/>
  <c r="Q603" i="12"/>
  <c r="O603" i="12" s="1"/>
  <c r="Q572" i="12"/>
  <c r="O572" i="12" s="1"/>
  <c r="Q560" i="12"/>
  <c r="O560" i="12" s="1"/>
  <c r="Q550" i="12"/>
  <c r="O550" i="12" s="1"/>
  <c r="Q477" i="12"/>
  <c r="O477" i="12" s="1"/>
  <c r="Q454" i="12"/>
  <c r="O454" i="12" s="1"/>
  <c r="Q442" i="12"/>
  <c r="O442" i="12" s="1"/>
  <c r="Q429" i="12"/>
  <c r="O429" i="12" s="1"/>
  <c r="Q417" i="12"/>
  <c r="O417" i="12" s="1"/>
  <c r="Q406" i="12"/>
  <c r="O406" i="12" s="1"/>
  <c r="Q392" i="12"/>
  <c r="O392" i="12" s="1"/>
  <c r="Q380" i="12"/>
  <c r="O380" i="12" s="1"/>
  <c r="Q369" i="12"/>
  <c r="O369" i="12" s="1"/>
  <c r="Q356" i="12"/>
  <c r="O356" i="12" s="1"/>
  <c r="Q344" i="12"/>
  <c r="O344" i="12" s="1"/>
  <c r="Q320" i="12"/>
  <c r="O320" i="12" s="1"/>
  <c r="Q307" i="12"/>
  <c r="O307" i="12" s="1"/>
  <c r="Q127" i="12"/>
  <c r="O127" i="12" s="1"/>
  <c r="Q723" i="12"/>
  <c r="O723" i="12" s="1"/>
  <c r="Q679" i="12"/>
  <c r="O679" i="12" s="1"/>
  <c r="Q731" i="12"/>
  <c r="O731" i="12" s="1"/>
  <c r="Q714" i="12"/>
  <c r="O714" i="12" s="1"/>
  <c r="Q697" i="12"/>
  <c r="O697" i="12" s="1"/>
  <c r="Q669" i="12"/>
  <c r="O669" i="12" s="1"/>
  <c r="Q641" i="12"/>
  <c r="O641" i="12" s="1"/>
  <c r="Q631" i="12"/>
  <c r="O631" i="12" s="1"/>
  <c r="Q593" i="12"/>
  <c r="O593" i="12" s="1"/>
  <c r="Q582" i="12"/>
  <c r="O582" i="12" s="1"/>
  <c r="Q571" i="12"/>
  <c r="O571" i="12" s="1"/>
  <c r="Q526" i="12"/>
  <c r="O526" i="12" s="1"/>
  <c r="Q503" i="12"/>
  <c r="O503" i="12" s="1"/>
  <c r="Q466" i="12"/>
  <c r="O466" i="12" s="1"/>
  <c r="Q405" i="12"/>
  <c r="O405" i="12" s="1"/>
  <c r="Q379" i="12"/>
  <c r="O379" i="12" s="1"/>
  <c r="Q355" i="12"/>
  <c r="O355" i="12" s="1"/>
  <c r="Q331" i="12"/>
  <c r="O331" i="12" s="1"/>
  <c r="Q319" i="12"/>
  <c r="O319" i="12" s="1"/>
  <c r="Q305" i="12"/>
  <c r="O305" i="12" s="1"/>
  <c r="Q293" i="12"/>
  <c r="O293" i="12" s="1"/>
  <c r="Q277" i="12"/>
  <c r="O277" i="12" s="1"/>
  <c r="Q261" i="12"/>
  <c r="O261" i="12" s="1"/>
  <c r="Q243" i="12"/>
  <c r="O243" i="12" s="1"/>
  <c r="Q225" i="12"/>
  <c r="O225" i="12" s="1"/>
  <c r="Q202" i="12"/>
  <c r="O202" i="12" s="1"/>
  <c r="Q176" i="12"/>
  <c r="O176" i="12" s="1"/>
  <c r="Q97" i="12"/>
  <c r="O97" i="12" s="1"/>
  <c r="Q8" i="12"/>
  <c r="O8" i="12" s="1"/>
  <c r="Q10" i="12"/>
  <c r="O10" i="12" s="1"/>
  <c r="Q17" i="12"/>
  <c r="O17" i="12" s="1"/>
  <c r="Q24" i="12"/>
  <c r="O24" i="12" s="1"/>
  <c r="Q31" i="12"/>
  <c r="O31" i="12" s="1"/>
  <c r="Q38" i="12"/>
  <c r="O38" i="12" s="1"/>
  <c r="Q45" i="12"/>
  <c r="O45" i="12" s="1"/>
  <c r="Q52" i="12"/>
  <c r="O52" i="12" s="1"/>
  <c r="Q59" i="12"/>
  <c r="O59" i="12" s="1"/>
  <c r="Q66" i="12"/>
  <c r="O66" i="12" s="1"/>
  <c r="Q73" i="12"/>
  <c r="O73" i="12" s="1"/>
  <c r="Q80" i="12"/>
  <c r="O80" i="12" s="1"/>
  <c r="Q87" i="12"/>
  <c r="O87" i="12" s="1"/>
  <c r="Q94" i="12"/>
  <c r="O94" i="12" s="1"/>
  <c r="Q101" i="12"/>
  <c r="O101" i="12" s="1"/>
  <c r="Q108" i="12"/>
  <c r="O108" i="12" s="1"/>
  <c r="Q115" i="12"/>
  <c r="O115" i="12" s="1"/>
  <c r="Q122" i="12"/>
  <c r="O122" i="12" s="1"/>
  <c r="Q129" i="12"/>
  <c r="O129" i="12" s="1"/>
  <c r="Q136" i="12"/>
  <c r="O136" i="12" s="1"/>
  <c r="Q143" i="12"/>
  <c r="O143" i="12" s="1"/>
  <c r="Q150" i="12"/>
  <c r="O150" i="12" s="1"/>
  <c r="Q157" i="12"/>
  <c r="O157" i="12" s="1"/>
  <c r="Q164" i="12"/>
  <c r="O164" i="12" s="1"/>
  <c r="Q171" i="12"/>
  <c r="O171" i="12" s="1"/>
  <c r="Q178" i="12"/>
  <c r="O178" i="12" s="1"/>
  <c r="Q185" i="12"/>
  <c r="O185" i="12" s="1"/>
  <c r="Q192" i="12"/>
  <c r="O192" i="12" s="1"/>
  <c r="Q199" i="12"/>
  <c r="O199" i="12" s="1"/>
  <c r="Q206" i="12"/>
  <c r="O206" i="12" s="1"/>
  <c r="Q213" i="12"/>
  <c r="O213" i="12" s="1"/>
  <c r="Q220" i="12"/>
  <c r="O220" i="12" s="1"/>
  <c r="Q227" i="12"/>
  <c r="O227" i="12" s="1"/>
  <c r="Q234" i="12"/>
  <c r="O234" i="12" s="1"/>
  <c r="Q241" i="12"/>
  <c r="O241" i="12" s="1"/>
  <c r="Q248" i="12"/>
  <c r="O248" i="12" s="1"/>
  <c r="Q255" i="12"/>
  <c r="O255" i="12" s="1"/>
  <c r="Q262" i="12"/>
  <c r="O262" i="12" s="1"/>
  <c r="Q269" i="12"/>
  <c r="O269" i="12" s="1"/>
  <c r="Q276" i="12"/>
  <c r="O276" i="12" s="1"/>
  <c r="Q283" i="12"/>
  <c r="O283" i="12" s="1"/>
  <c r="Q290" i="12"/>
  <c r="O290" i="12" s="1"/>
  <c r="Q297" i="12"/>
  <c r="O297" i="12" s="1"/>
  <c r="Q304" i="12"/>
  <c r="O304" i="12" s="1"/>
  <c r="Q311" i="12"/>
  <c r="O311" i="12" s="1"/>
  <c r="Q318" i="12"/>
  <c r="O318" i="12" s="1"/>
  <c r="Q325" i="12"/>
  <c r="O325" i="12" s="1"/>
  <c r="Q332" i="12"/>
  <c r="O332" i="12" s="1"/>
  <c r="Q339" i="12"/>
  <c r="O339" i="12" s="1"/>
  <c r="Q346" i="12"/>
  <c r="O346" i="12" s="1"/>
  <c r="Q353" i="12"/>
  <c r="O353" i="12" s="1"/>
  <c r="Q360" i="12"/>
  <c r="O360" i="12" s="1"/>
  <c r="Q367" i="12"/>
  <c r="O367" i="12" s="1"/>
  <c r="Q374" i="12"/>
  <c r="O374" i="12" s="1"/>
  <c r="Q381" i="12"/>
  <c r="O381" i="12" s="1"/>
  <c r="Q388" i="12"/>
  <c r="O388" i="12" s="1"/>
  <c r="Q395" i="12"/>
  <c r="O395" i="12" s="1"/>
  <c r="Q402" i="12"/>
  <c r="O402" i="12" s="1"/>
  <c r="Q409" i="12"/>
  <c r="O409" i="12" s="1"/>
  <c r="Q416" i="12"/>
  <c r="O416" i="12" s="1"/>
  <c r="Q423" i="12"/>
  <c r="O423" i="12" s="1"/>
  <c r="Q430" i="12"/>
  <c r="O430" i="12" s="1"/>
  <c r="Q437" i="12"/>
  <c r="O437" i="12" s="1"/>
  <c r="Q444" i="12"/>
  <c r="O444" i="12" s="1"/>
  <c r="Q451" i="12"/>
  <c r="O451" i="12" s="1"/>
  <c r="Q458" i="12"/>
  <c r="O458" i="12" s="1"/>
  <c r="Q465" i="12"/>
  <c r="O465" i="12" s="1"/>
  <c r="Q472" i="12"/>
  <c r="O472" i="12" s="1"/>
  <c r="Q479" i="12"/>
  <c r="O479" i="12" s="1"/>
  <c r="Q486" i="12"/>
  <c r="O486" i="12" s="1"/>
  <c r="Q493" i="12"/>
  <c r="O493" i="12" s="1"/>
  <c r="Q500" i="12"/>
  <c r="O500" i="12" s="1"/>
  <c r="Q507" i="12"/>
  <c r="O507" i="12" s="1"/>
  <c r="Q514" i="12"/>
  <c r="O514" i="12" s="1"/>
  <c r="Q521" i="12"/>
  <c r="O521" i="12" s="1"/>
  <c r="Q528" i="12"/>
  <c r="O528" i="12" s="1"/>
  <c r="Q535" i="12"/>
  <c r="O535" i="12" s="1"/>
  <c r="Q542" i="12"/>
  <c r="O542" i="12" s="1"/>
  <c r="Q549" i="12"/>
  <c r="O549" i="12" s="1"/>
  <c r="Q556" i="12"/>
  <c r="O556" i="12" s="1"/>
  <c r="Q563" i="12"/>
  <c r="O563" i="12" s="1"/>
  <c r="Q570" i="12"/>
  <c r="O570" i="12" s="1"/>
  <c r="Q577" i="12"/>
  <c r="O577" i="12" s="1"/>
  <c r="Q584" i="12"/>
  <c r="O584" i="12" s="1"/>
  <c r="Q591" i="12"/>
  <c r="O591" i="12" s="1"/>
  <c r="Q598" i="12"/>
  <c r="O598" i="12" s="1"/>
  <c r="Q11" i="12"/>
  <c r="O11" i="12" s="1"/>
  <c r="Q18" i="12"/>
  <c r="O18" i="12" s="1"/>
  <c r="Q25" i="12"/>
  <c r="O25" i="12" s="1"/>
  <c r="Q32" i="12"/>
  <c r="O32" i="12" s="1"/>
  <c r="Q39" i="12"/>
  <c r="O39" i="12" s="1"/>
  <c r="Q46" i="12"/>
  <c r="O46" i="12" s="1"/>
  <c r="Q53" i="12"/>
  <c r="O53" i="12" s="1"/>
  <c r="Q60" i="12"/>
  <c r="O60" i="12" s="1"/>
  <c r="Q67" i="12"/>
  <c r="O67" i="12" s="1"/>
  <c r="Q74" i="12"/>
  <c r="O74" i="12" s="1"/>
  <c r="Q81" i="12"/>
  <c r="O81" i="12" s="1"/>
  <c r="Q88" i="12"/>
  <c r="O88" i="12" s="1"/>
  <c r="Q95" i="12"/>
  <c r="O95" i="12" s="1"/>
  <c r="Q102" i="12"/>
  <c r="O102" i="12" s="1"/>
  <c r="Q109" i="12"/>
  <c r="O109" i="12" s="1"/>
  <c r="Q116" i="12"/>
  <c r="O116" i="12" s="1"/>
  <c r="Q123" i="12"/>
  <c r="O123" i="12" s="1"/>
  <c r="Q130" i="12"/>
  <c r="O130" i="12" s="1"/>
  <c r="Q137" i="12"/>
  <c r="O137" i="12" s="1"/>
  <c r="Q144" i="12"/>
  <c r="O144" i="12" s="1"/>
  <c r="Q22" i="12"/>
  <c r="O22" i="12" s="1"/>
  <c r="Q33" i="12"/>
  <c r="O33" i="12" s="1"/>
  <c r="Q42" i="12"/>
  <c r="O42" i="12" s="1"/>
  <c r="Q51" i="12"/>
  <c r="O51" i="12" s="1"/>
  <c r="Q62" i="12"/>
  <c r="O62" i="12" s="1"/>
  <c r="Q71" i="12"/>
  <c r="O71" i="12" s="1"/>
  <c r="Q82" i="12"/>
  <c r="O82" i="12" s="1"/>
  <c r="Q91" i="12"/>
  <c r="O91" i="12" s="1"/>
  <c r="Q100" i="12"/>
  <c r="O100" i="12" s="1"/>
  <c r="Q111" i="12"/>
  <c r="O111" i="12" s="1"/>
  <c r="Q120" i="12"/>
  <c r="O120" i="12" s="1"/>
  <c r="Q147" i="12"/>
  <c r="O147" i="12" s="1"/>
  <c r="Q155" i="12"/>
  <c r="O155" i="12" s="1"/>
  <c r="Q163" i="12"/>
  <c r="O163" i="12" s="1"/>
  <c r="Q172" i="12"/>
  <c r="O172" i="12" s="1"/>
  <c r="Q180" i="12"/>
  <c r="O180" i="12" s="1"/>
  <c r="Q188" i="12"/>
  <c r="O188" i="12" s="1"/>
  <c r="Q196" i="12"/>
  <c r="O196" i="12" s="1"/>
  <c r="Q204" i="12"/>
  <c r="O204" i="12" s="1"/>
  <c r="Q212" i="12"/>
  <c r="O212" i="12" s="1"/>
  <c r="Q221" i="12"/>
  <c r="O221" i="12" s="1"/>
  <c r="Q229" i="12"/>
  <c r="O229" i="12" s="1"/>
  <c r="Q244" i="12"/>
  <c r="O244" i="12" s="1"/>
  <c r="Q259" i="12"/>
  <c r="O259" i="12" s="1"/>
  <c r="Q274" i="12"/>
  <c r="O274" i="12" s="1"/>
  <c r="Q289" i="12"/>
  <c r="O289" i="12" s="1"/>
  <c r="Q312" i="12"/>
  <c r="O312" i="12" s="1"/>
  <c r="Q327" i="12"/>
  <c r="O327" i="12" s="1"/>
  <c r="Q342" i="12"/>
  <c r="O342" i="12" s="1"/>
  <c r="Q357" i="12"/>
  <c r="O357" i="12" s="1"/>
  <c r="Q372" i="12"/>
  <c r="O372" i="12" s="1"/>
  <c r="Q387" i="12"/>
  <c r="O387" i="12" s="1"/>
  <c r="Q410" i="12"/>
  <c r="O410" i="12" s="1"/>
  <c r="Q425" i="12"/>
  <c r="O425" i="12" s="1"/>
  <c r="Q440" i="12"/>
  <c r="O440" i="12" s="1"/>
  <c r="Q455" i="12"/>
  <c r="O455" i="12" s="1"/>
  <c r="Q470" i="12"/>
  <c r="O470" i="12" s="1"/>
  <c r="Q485" i="12"/>
  <c r="O485" i="12" s="1"/>
  <c r="Q508" i="12"/>
  <c r="O508" i="12" s="1"/>
  <c r="Q523" i="12"/>
  <c r="O523" i="12" s="1"/>
  <c r="Q538" i="12"/>
  <c r="O538" i="12" s="1"/>
  <c r="Q553" i="12"/>
  <c r="O553" i="12" s="1"/>
  <c r="Q568" i="12"/>
  <c r="O568" i="12" s="1"/>
  <c r="Q583" i="12"/>
  <c r="O583" i="12" s="1"/>
  <c r="Q13" i="12"/>
  <c r="O13" i="12" s="1"/>
  <c r="Q139" i="12"/>
  <c r="O139" i="12" s="1"/>
  <c r="Q23" i="12"/>
  <c r="O23" i="12" s="1"/>
  <c r="Q34" i="12"/>
  <c r="O34" i="12" s="1"/>
  <c r="Q43" i="12"/>
  <c r="O43" i="12" s="1"/>
  <c r="Q54" i="12"/>
  <c r="O54" i="12" s="1"/>
  <c r="Q63" i="12"/>
  <c r="O63" i="12" s="1"/>
  <c r="Q72" i="12"/>
  <c r="O72" i="12" s="1"/>
  <c r="Q83" i="12"/>
  <c r="O83" i="12" s="1"/>
  <c r="Q92" i="12"/>
  <c r="O92" i="12" s="1"/>
  <c r="Q103" i="12"/>
  <c r="O103" i="12" s="1"/>
  <c r="Q112" i="12"/>
  <c r="O112" i="12" s="1"/>
  <c r="Q121" i="12"/>
  <c r="O121" i="12" s="1"/>
  <c r="Q131" i="12"/>
  <c r="O131" i="12" s="1"/>
  <c r="Q148" i="12"/>
  <c r="O148" i="12" s="1"/>
  <c r="Q156" i="12"/>
  <c r="O156" i="12" s="1"/>
  <c r="Q165" i="12"/>
  <c r="O165" i="12" s="1"/>
  <c r="Q173" i="12"/>
  <c r="O173" i="12" s="1"/>
  <c r="Q181" i="12"/>
  <c r="O181" i="12" s="1"/>
  <c r="Q189" i="12"/>
  <c r="O189" i="12" s="1"/>
  <c r="Q197" i="12"/>
  <c r="O197" i="12" s="1"/>
  <c r="Q205" i="12"/>
  <c r="O205" i="12" s="1"/>
  <c r="Q214" i="12"/>
  <c r="O214" i="12" s="1"/>
  <c r="Q222" i="12"/>
  <c r="O222" i="12" s="1"/>
  <c r="Q230" i="12"/>
  <c r="O230" i="12" s="1"/>
  <c r="Q245" i="12"/>
  <c r="O245" i="12" s="1"/>
  <c r="Q260" i="12"/>
  <c r="O260" i="12" s="1"/>
  <c r="Q275" i="12"/>
  <c r="O275" i="12" s="1"/>
  <c r="Q298" i="12"/>
  <c r="O298" i="12" s="1"/>
  <c r="Q313" i="12"/>
  <c r="O313" i="12" s="1"/>
  <c r="Q328" i="12"/>
  <c r="O328" i="12" s="1"/>
  <c r="Q343" i="12"/>
  <c r="O343" i="12" s="1"/>
  <c r="Q358" i="12"/>
  <c r="O358" i="12" s="1"/>
  <c r="Q373" i="12"/>
  <c r="O373" i="12" s="1"/>
  <c r="Q396" i="12"/>
  <c r="O396" i="12" s="1"/>
  <c r="Q411" i="12"/>
  <c r="O411" i="12" s="1"/>
  <c r="Q426" i="12"/>
  <c r="O426" i="12" s="1"/>
  <c r="Q441" i="12"/>
  <c r="O441" i="12" s="1"/>
  <c r="Q456" i="12"/>
  <c r="O456" i="12" s="1"/>
  <c r="Q471" i="12"/>
  <c r="O471" i="12" s="1"/>
  <c r="Q494" i="12"/>
  <c r="O494" i="12" s="1"/>
  <c r="Q509" i="12"/>
  <c r="O509" i="12" s="1"/>
  <c r="Q524" i="12"/>
  <c r="O524" i="12" s="1"/>
  <c r="Q539" i="12"/>
  <c r="O539" i="12" s="1"/>
  <c r="Q554" i="12"/>
  <c r="O554" i="12" s="1"/>
  <c r="Q569" i="12"/>
  <c r="O569" i="12" s="1"/>
  <c r="Q592" i="12"/>
  <c r="O592" i="12" s="1"/>
  <c r="Q14" i="12"/>
  <c r="O14" i="12" s="1"/>
  <c r="Q140" i="12"/>
  <c r="O140" i="12" s="1"/>
  <c r="Q238" i="12"/>
  <c r="O238" i="12" s="1"/>
  <c r="Q253" i="12"/>
  <c r="O253" i="12" s="1"/>
  <c r="Q268" i="12"/>
  <c r="O268" i="12" s="1"/>
  <c r="Q291" i="12"/>
  <c r="O291" i="12" s="1"/>
  <c r="Q306" i="12"/>
  <c r="O306" i="12" s="1"/>
  <c r="Q321" i="12"/>
  <c r="O321" i="12" s="1"/>
  <c r="Q336" i="12"/>
  <c r="O336" i="12" s="1"/>
  <c r="Q351" i="12"/>
  <c r="O351" i="12" s="1"/>
  <c r="Q366" i="12"/>
  <c r="O366" i="12" s="1"/>
  <c r="Q389" i="12"/>
  <c r="O389" i="12" s="1"/>
  <c r="Q404" i="12"/>
  <c r="O404" i="12" s="1"/>
  <c r="Q419" i="12"/>
  <c r="O419" i="12" s="1"/>
  <c r="Q434" i="12"/>
  <c r="O434" i="12" s="1"/>
  <c r="Q449" i="12"/>
  <c r="O449" i="12" s="1"/>
  <c r="Q464" i="12"/>
  <c r="O464" i="12" s="1"/>
  <c r="Q487" i="12"/>
  <c r="O487" i="12" s="1"/>
  <c r="Q502" i="12"/>
  <c r="O502" i="12" s="1"/>
  <c r="Q517" i="12"/>
  <c r="O517" i="12" s="1"/>
  <c r="Q27" i="12"/>
  <c r="O27" i="12" s="1"/>
  <c r="Q36" i="12"/>
  <c r="O36" i="12" s="1"/>
  <c r="Q47" i="12"/>
  <c r="O47" i="12" s="1"/>
  <c r="Q56" i="12"/>
  <c r="O56" i="12" s="1"/>
  <c r="Q65" i="12"/>
  <c r="O65" i="12" s="1"/>
  <c r="Q76" i="12"/>
  <c r="O76" i="12" s="1"/>
  <c r="Q85" i="12"/>
  <c r="O85" i="12" s="1"/>
  <c r="Q96" i="12"/>
  <c r="O96" i="12" s="1"/>
  <c r="Q105" i="12"/>
  <c r="O105" i="12" s="1"/>
  <c r="Q114" i="12"/>
  <c r="O114" i="12" s="1"/>
  <c r="Q133" i="12"/>
  <c r="O133" i="12" s="1"/>
  <c r="Q151" i="12"/>
  <c r="O151" i="12" s="1"/>
  <c r="Q159" i="12"/>
  <c r="O159" i="12" s="1"/>
  <c r="Q167" i="12"/>
  <c r="O167" i="12" s="1"/>
  <c r="Q175" i="12"/>
  <c r="O175" i="12" s="1"/>
  <c r="Q183" i="12"/>
  <c r="O183" i="12" s="1"/>
  <c r="Q191" i="12"/>
  <c r="O191" i="12" s="1"/>
  <c r="Q200" i="12"/>
  <c r="O200" i="12" s="1"/>
  <c r="Q208" i="12"/>
  <c r="O208" i="12" s="1"/>
  <c r="Q216" i="12"/>
  <c r="O216" i="12" s="1"/>
  <c r="Q224" i="12"/>
  <c r="O224" i="12" s="1"/>
  <c r="Q232" i="12"/>
  <c r="O232" i="12" s="1"/>
  <c r="Q247" i="12"/>
  <c r="O247" i="12" s="1"/>
  <c r="Q270" i="12"/>
  <c r="O270" i="12" s="1"/>
  <c r="Q285" i="12"/>
  <c r="O285" i="12" s="1"/>
  <c r="Q300" i="12"/>
  <c r="O300" i="12" s="1"/>
  <c r="Q16" i="12"/>
  <c r="O16" i="12" s="1"/>
  <c r="Q125" i="12"/>
  <c r="O125" i="12" s="1"/>
  <c r="Q142" i="12"/>
  <c r="O142" i="12" s="1"/>
  <c r="Q12" i="12"/>
  <c r="O12" i="12" s="1"/>
  <c r="Q30" i="12"/>
  <c r="O30" i="12" s="1"/>
  <c r="Q49" i="12"/>
  <c r="O49" i="12" s="1"/>
  <c r="Q68" i="12"/>
  <c r="O68" i="12" s="1"/>
  <c r="Q84" i="12"/>
  <c r="O84" i="12" s="1"/>
  <c r="Q99" i="12"/>
  <c r="O99" i="12" s="1"/>
  <c r="Q118" i="12"/>
  <c r="O118" i="12" s="1"/>
  <c r="Q134" i="12"/>
  <c r="O134" i="12" s="1"/>
  <c r="Q149" i="12"/>
  <c r="O149" i="12" s="1"/>
  <c r="Q162" i="12"/>
  <c r="O162" i="12" s="1"/>
  <c r="Q177" i="12"/>
  <c r="O177" i="12" s="1"/>
  <c r="Q193" i="12"/>
  <c r="O193" i="12" s="1"/>
  <c r="Q207" i="12"/>
  <c r="O207" i="12" s="1"/>
  <c r="Q264" i="12"/>
  <c r="O264" i="12" s="1"/>
  <c r="Q295" i="12"/>
  <c r="O295" i="12" s="1"/>
  <c r="Q316" i="12"/>
  <c r="O316" i="12" s="1"/>
  <c r="Q335" i="12"/>
  <c r="O335" i="12" s="1"/>
  <c r="Q345" i="12"/>
  <c r="O345" i="12" s="1"/>
  <c r="Q431" i="12"/>
  <c r="O431" i="12" s="1"/>
  <c r="Q460" i="12"/>
  <c r="O460" i="12" s="1"/>
  <c r="Q469" i="12"/>
  <c r="O469" i="12" s="1"/>
  <c r="Q480" i="12"/>
  <c r="O480" i="12" s="1"/>
  <c r="Q489" i="12"/>
  <c r="O489" i="12" s="1"/>
  <c r="Q498" i="12"/>
  <c r="O498" i="12" s="1"/>
  <c r="Q518" i="12"/>
  <c r="O518" i="12" s="1"/>
  <c r="Q527" i="12"/>
  <c r="O527" i="12" s="1"/>
  <c r="Q536" i="12"/>
  <c r="O536" i="12" s="1"/>
  <c r="Q580" i="12"/>
  <c r="O580" i="12" s="1"/>
  <c r="Q597" i="12"/>
  <c r="O597" i="12" s="1"/>
  <c r="Q606" i="12"/>
  <c r="O606" i="12" s="1"/>
  <c r="Q655" i="12"/>
  <c r="O655" i="12" s="1"/>
  <c r="Q687" i="12"/>
  <c r="O687" i="12" s="1"/>
  <c r="Q702" i="12"/>
  <c r="O702" i="12" s="1"/>
  <c r="Q717" i="12"/>
  <c r="O717" i="12" s="1"/>
  <c r="Q725" i="12"/>
  <c r="O725" i="12" s="1"/>
  <c r="Q15" i="12"/>
  <c r="O15" i="12" s="1"/>
  <c r="Q35" i="12"/>
  <c r="O35" i="12" s="1"/>
  <c r="Q50" i="12"/>
  <c r="O50" i="12" s="1"/>
  <c r="Q69" i="12"/>
  <c r="O69" i="12" s="1"/>
  <c r="Q86" i="12"/>
  <c r="O86" i="12" s="1"/>
  <c r="Q104" i="12"/>
  <c r="O104" i="12" s="1"/>
  <c r="Q119" i="12"/>
  <c r="O119" i="12" s="1"/>
  <c r="Q135" i="12"/>
  <c r="O135" i="12" s="1"/>
  <c r="Q152" i="12"/>
  <c r="O152" i="12" s="1"/>
  <c r="Q166" i="12"/>
  <c r="O166" i="12" s="1"/>
  <c r="Q179" i="12"/>
  <c r="O179" i="12" s="1"/>
  <c r="Q194" i="12"/>
  <c r="O194" i="12" s="1"/>
  <c r="Q209" i="12"/>
  <c r="O209" i="12" s="1"/>
  <c r="Q265" i="12"/>
  <c r="O265" i="12" s="1"/>
  <c r="Q296" i="12"/>
  <c r="O296" i="12" s="1"/>
  <c r="Q308" i="12"/>
  <c r="O308" i="12" s="1"/>
  <c r="Q317" i="12"/>
  <c r="O317" i="12" s="1"/>
  <c r="Q337" i="12"/>
  <c r="O337" i="12" s="1"/>
  <c r="Q365" i="12"/>
  <c r="O365" i="12" s="1"/>
  <c r="Q432" i="12"/>
  <c r="O432" i="12" s="1"/>
  <c r="Q452" i="12"/>
  <c r="O452" i="12" s="1"/>
  <c r="Q461" i="12"/>
  <c r="O461" i="12" s="1"/>
  <c r="Q481" i="12"/>
  <c r="O481" i="12" s="1"/>
  <c r="Q490" i="12"/>
  <c r="O490" i="12" s="1"/>
  <c r="Q499" i="12"/>
  <c r="O499" i="12" s="1"/>
  <c r="Q510" i="12"/>
  <c r="O510" i="12" s="1"/>
  <c r="Q519" i="12"/>
  <c r="O519" i="12" s="1"/>
  <c r="Q537" i="12"/>
  <c r="O537" i="12" s="1"/>
  <c r="Q546" i="12"/>
  <c r="O546" i="12" s="1"/>
  <c r="Q555" i="12"/>
  <c r="O555" i="12" s="1"/>
  <c r="Q564" i="12"/>
  <c r="O564" i="12" s="1"/>
  <c r="Q581" i="12"/>
  <c r="O581" i="12" s="1"/>
  <c r="Q599" i="12"/>
  <c r="O599" i="12" s="1"/>
  <c r="Q648" i="12"/>
  <c r="O648" i="12" s="1"/>
  <c r="Q688" i="12"/>
  <c r="O688" i="12" s="1"/>
  <c r="Q703" i="12"/>
  <c r="O703" i="12" s="1"/>
  <c r="Q711" i="12"/>
  <c r="O711" i="12" s="1"/>
  <c r="Q726" i="12"/>
  <c r="O726" i="12" s="1"/>
  <c r="Q19" i="12"/>
  <c r="O19" i="12" s="1"/>
  <c r="Q20" i="12"/>
  <c r="O20" i="12" s="1"/>
  <c r="Q37" i="12"/>
  <c r="O37" i="12" s="1"/>
  <c r="Q55" i="12"/>
  <c r="O55" i="12" s="1"/>
  <c r="Q70" i="12"/>
  <c r="O70" i="12" s="1"/>
  <c r="Q89" i="12"/>
  <c r="O89" i="12" s="1"/>
  <c r="Q106" i="12"/>
  <c r="O106" i="12" s="1"/>
  <c r="Q153" i="12"/>
  <c r="O153" i="12" s="1"/>
  <c r="Q168" i="12"/>
  <c r="O168" i="12" s="1"/>
  <c r="Q182" i="12"/>
  <c r="O182" i="12" s="1"/>
  <c r="Q195" i="12"/>
  <c r="O195" i="12" s="1"/>
  <c r="Q210" i="12"/>
  <c r="O210" i="12" s="1"/>
  <c r="Q223" i="12"/>
  <c r="O223" i="12" s="1"/>
  <c r="Q235" i="12"/>
  <c r="O235" i="12" s="1"/>
  <c r="Q246" i="12"/>
  <c r="O246" i="12" s="1"/>
  <c r="Q266" i="12"/>
  <c r="O266" i="12" s="1"/>
  <c r="Q278" i="12"/>
  <c r="O278" i="12" s="1"/>
  <c r="Q299" i="12"/>
  <c r="O299" i="12" s="1"/>
  <c r="Q309" i="12"/>
  <c r="O309" i="12" s="1"/>
  <c r="Q329" i="12"/>
  <c r="O329" i="12" s="1"/>
  <c r="Q338" i="12"/>
  <c r="O338" i="12" s="1"/>
  <c r="Q424" i="12"/>
  <c r="O424" i="12" s="1"/>
  <c r="Q453" i="12"/>
  <c r="O453" i="12" s="1"/>
  <c r="Q462" i="12"/>
  <c r="O462" i="12" s="1"/>
  <c r="Q473" i="12"/>
  <c r="O473" i="12" s="1"/>
  <c r="Q482" i="12"/>
  <c r="O482" i="12" s="1"/>
  <c r="Q491" i="12"/>
  <c r="O491" i="12" s="1"/>
  <c r="Q501" i="12"/>
  <c r="O501" i="12" s="1"/>
  <c r="Q511" i="12"/>
  <c r="O511" i="12" s="1"/>
  <c r="Q520" i="12"/>
  <c r="O520" i="12" s="1"/>
  <c r="Q565" i="12"/>
  <c r="O565" i="12" s="1"/>
  <c r="Q126" i="12"/>
  <c r="O126" i="12" s="1"/>
  <c r="Q141" i="12"/>
  <c r="O141" i="12" s="1"/>
  <c r="Q237" i="12"/>
  <c r="O237" i="12" s="1"/>
  <c r="Q258" i="12"/>
  <c r="O258" i="12" s="1"/>
  <c r="Q26" i="12"/>
  <c r="O26" i="12" s="1"/>
  <c r="Q41" i="12"/>
  <c r="O41" i="12" s="1"/>
  <c r="Q58" i="12"/>
  <c r="O58" i="12" s="1"/>
  <c r="Q77" i="12"/>
  <c r="O77" i="12" s="1"/>
  <c r="Q93" i="12"/>
  <c r="O93" i="12" s="1"/>
  <c r="Q110" i="12"/>
  <c r="O110" i="12" s="1"/>
  <c r="Q158" i="12"/>
  <c r="O158" i="12" s="1"/>
  <c r="Q170" i="12"/>
  <c r="O170" i="12" s="1"/>
  <c r="Q186" i="12"/>
  <c r="O186" i="12" s="1"/>
  <c r="Q201" i="12"/>
  <c r="O201" i="12" s="1"/>
  <c r="Q226" i="12"/>
  <c r="O226" i="12" s="1"/>
  <c r="Q249" i="12"/>
  <c r="O249" i="12" s="1"/>
  <c r="Q280" i="12"/>
  <c r="O280" i="12" s="1"/>
  <c r="Q722" i="12"/>
  <c r="O722" i="12" s="1"/>
  <c r="Q705" i="12"/>
  <c r="O705" i="12" s="1"/>
  <c r="Q696" i="12"/>
  <c r="O696" i="12" s="1"/>
  <c r="Q678" i="12"/>
  <c r="O678" i="12" s="1"/>
  <c r="Q668" i="12"/>
  <c r="O668" i="12" s="1"/>
  <c r="Q659" i="12"/>
  <c r="O659" i="12" s="1"/>
  <c r="Q650" i="12"/>
  <c r="O650" i="12" s="1"/>
  <c r="Q640" i="12"/>
  <c r="O640" i="12" s="1"/>
  <c r="Q630" i="12"/>
  <c r="O630" i="12" s="1"/>
  <c r="Q621" i="12"/>
  <c r="O621" i="12" s="1"/>
  <c r="Q611" i="12"/>
  <c r="O611" i="12" s="1"/>
  <c r="Q602" i="12"/>
  <c r="O602" i="12" s="1"/>
  <c r="Q559" i="12"/>
  <c r="O559" i="12" s="1"/>
  <c r="Q513" i="12"/>
  <c r="O513" i="12" s="1"/>
  <c r="Q476" i="12"/>
  <c r="O476" i="12" s="1"/>
  <c r="Q439" i="12"/>
  <c r="O439" i="12" s="1"/>
  <c r="Q428" i="12"/>
  <c r="O428" i="12" s="1"/>
  <c r="Q403" i="12"/>
  <c r="O403" i="12" s="1"/>
  <c r="Q391" i="12"/>
  <c r="O391" i="12" s="1"/>
  <c r="Q368" i="12"/>
  <c r="O368" i="12" s="1"/>
  <c r="Q354" i="12"/>
  <c r="O354" i="12" s="1"/>
  <c r="Q292" i="12"/>
  <c r="O292" i="12" s="1"/>
  <c r="Q242" i="12"/>
  <c r="O242" i="12" s="1"/>
  <c r="Q124" i="12"/>
  <c r="O124" i="12" s="1"/>
  <c r="Q463" i="12"/>
  <c r="O463" i="12" s="1"/>
  <c r="Q438" i="12"/>
  <c r="O438" i="12" s="1"/>
  <c r="Q427" i="12"/>
  <c r="O427" i="12" s="1"/>
  <c r="Q414" i="12"/>
  <c r="O414" i="12" s="1"/>
  <c r="Q390" i="12"/>
  <c r="O390" i="12" s="1"/>
  <c r="Q364" i="12"/>
  <c r="O364" i="12" s="1"/>
  <c r="Q257" i="12"/>
  <c r="O257" i="12" s="1"/>
  <c r="Q218" i="12"/>
  <c r="O218" i="12" s="1"/>
  <c r="Q729" i="12"/>
  <c r="O729" i="12" s="1"/>
  <c r="Q712" i="12"/>
  <c r="O712" i="12" s="1"/>
  <c r="Q685" i="12"/>
  <c r="O685" i="12" s="1"/>
  <c r="Q676" i="12"/>
  <c r="O676" i="12" s="1"/>
  <c r="Q647" i="12"/>
  <c r="O647" i="12" s="1"/>
  <c r="Q589" i="12"/>
  <c r="O589" i="12" s="1"/>
  <c r="Q579" i="12"/>
  <c r="O579" i="12" s="1"/>
  <c r="Q545" i="12"/>
  <c r="O545" i="12" s="1"/>
  <c r="Q534" i="12"/>
  <c r="O534" i="12" s="1"/>
  <c r="Q413" i="12"/>
  <c r="O413" i="12" s="1"/>
  <c r="Q400" i="12"/>
  <c r="O400" i="12" s="1"/>
  <c r="Q377" i="12"/>
  <c r="O377" i="12" s="1"/>
  <c r="Q363" i="12"/>
  <c r="O363" i="12" s="1"/>
  <c r="Q352" i="12"/>
  <c r="O352" i="12" s="1"/>
  <c r="Q340" i="12"/>
  <c r="O340" i="12" s="1"/>
  <c r="Q315" i="12"/>
  <c r="O315" i="12" s="1"/>
  <c r="Q302" i="12"/>
  <c r="O302" i="12" s="1"/>
  <c r="Q288" i="12"/>
  <c r="O288" i="12" s="1"/>
  <c r="Q272" i="12"/>
  <c r="O272" i="12" s="1"/>
  <c r="Q256" i="12"/>
  <c r="O256" i="12" s="1"/>
  <c r="Q240" i="12"/>
  <c r="O240" i="12" s="1"/>
  <c r="Q169" i="12"/>
  <c r="O169" i="12" s="1"/>
  <c r="Q145" i="12"/>
  <c r="O145" i="12" s="1"/>
  <c r="Q117" i="12"/>
  <c r="O117" i="12" s="1"/>
  <c r="Q57" i="12"/>
  <c r="O57" i="12" s="1"/>
  <c r="Q28" i="12"/>
  <c r="O28" i="12" s="1"/>
  <c r="Q450" i="12"/>
  <c r="O450" i="12" s="1"/>
  <c r="Q737" i="12"/>
  <c r="O737" i="12" s="1"/>
  <c r="Q720" i="12"/>
  <c r="O720" i="12" s="1"/>
  <c r="Q693" i="12"/>
  <c r="O693" i="12" s="1"/>
  <c r="Q675" i="12"/>
  <c r="O675" i="12" s="1"/>
  <c r="Q666" i="12"/>
  <c r="O666" i="12" s="1"/>
  <c r="Q657" i="12"/>
  <c r="O657" i="12" s="1"/>
  <c r="Q646" i="12"/>
  <c r="O646" i="12" s="1"/>
  <c r="Q637" i="12"/>
  <c r="O637" i="12" s="1"/>
  <c r="Q628" i="12"/>
  <c r="O628" i="12" s="1"/>
  <c r="Q618" i="12"/>
  <c r="O618" i="12" s="1"/>
  <c r="Q609" i="12"/>
  <c r="O609" i="12" s="1"/>
  <c r="Q600" i="12"/>
  <c r="O600" i="12" s="1"/>
  <c r="Q588" i="12"/>
  <c r="O588" i="12" s="1"/>
  <c r="Q567" i="12"/>
  <c r="O567" i="12" s="1"/>
  <c r="Q557" i="12"/>
  <c r="O557" i="12" s="1"/>
  <c r="Q544" i="12"/>
  <c r="O544" i="12" s="1"/>
  <c r="Q522" i="12"/>
  <c r="O522" i="12" s="1"/>
  <c r="Q497" i="12"/>
  <c r="O497" i="12" s="1"/>
  <c r="Q474" i="12"/>
  <c r="O474" i="12" s="1"/>
  <c r="Q448" i="12"/>
  <c r="O448" i="12" s="1"/>
  <c r="Q412" i="12"/>
  <c r="O412" i="12" s="1"/>
  <c r="Q376" i="12"/>
  <c r="O376" i="12" s="1"/>
  <c r="Q326" i="12"/>
  <c r="O326" i="12" s="1"/>
  <c r="Q287" i="12"/>
  <c r="O287" i="12" s="1"/>
  <c r="Q254" i="12"/>
  <c r="O254" i="12" s="1"/>
  <c r="Q239" i="12"/>
  <c r="O239" i="12" s="1"/>
  <c r="Q217" i="12"/>
  <c r="O217" i="12" s="1"/>
  <c r="Q728" i="12"/>
  <c r="O728" i="12" s="1"/>
  <c r="Q710" i="12"/>
  <c r="O710" i="12" s="1"/>
  <c r="Q701" i="12"/>
  <c r="O701" i="12" s="1"/>
  <c r="Q684" i="12"/>
  <c r="O684" i="12" s="1"/>
  <c r="Q656" i="12"/>
  <c r="O656" i="12" s="1"/>
  <c r="Q627" i="12"/>
  <c r="O627" i="12" s="1"/>
  <c r="Q578" i="12"/>
  <c r="O578" i="12" s="1"/>
  <c r="Q533" i="12"/>
  <c r="O533" i="12" s="1"/>
  <c r="Q484" i="12"/>
  <c r="O484" i="12" s="1"/>
  <c r="Q447" i="12"/>
  <c r="O447" i="12" s="1"/>
  <c r="Q436" i="12"/>
  <c r="O436" i="12" s="1"/>
  <c r="Q399" i="12"/>
  <c r="O399" i="12" s="1"/>
  <c r="Q375" i="12"/>
  <c r="O375" i="12" s="1"/>
  <c r="Q362" i="12"/>
  <c r="O362" i="12" s="1"/>
  <c r="Q350" i="12"/>
  <c r="O350" i="12" s="1"/>
  <c r="Q314" i="12"/>
  <c r="O314" i="12" s="1"/>
  <c r="Q301" i="12"/>
  <c r="O301" i="12" s="1"/>
  <c r="Q286" i="12"/>
  <c r="O286" i="12" s="1"/>
  <c r="Q271" i="12"/>
  <c r="O271" i="12" s="1"/>
  <c r="Q252" i="12"/>
  <c r="O252" i="12" s="1"/>
  <c r="Q236" i="12"/>
  <c r="O236" i="12" s="1"/>
  <c r="Q190" i="12"/>
  <c r="O190" i="12" s="1"/>
  <c r="Q113" i="12"/>
  <c r="O113" i="12" s="1"/>
  <c r="Q79" i="12"/>
  <c r="O79" i="12" s="1"/>
  <c r="Q21" i="12"/>
  <c r="O21" i="12" s="1"/>
  <c r="Q496" i="12"/>
  <c r="O496" i="12" s="1"/>
  <c r="Q459" i="12"/>
  <c r="O459" i="12" s="1"/>
  <c r="Q422" i="12"/>
  <c r="O422" i="12" s="1"/>
  <c r="Q386" i="12"/>
  <c r="O386" i="12" s="1"/>
  <c r="Q349" i="12"/>
  <c r="O349" i="12" s="1"/>
  <c r="Q324" i="12"/>
  <c r="O324" i="12" s="1"/>
  <c r="Q251" i="12"/>
  <c r="O251" i="12" s="1"/>
  <c r="Q215" i="12"/>
  <c r="O215" i="12" s="1"/>
  <c r="Q138" i="12"/>
  <c r="O138" i="12" s="1"/>
  <c r="Q727" i="12"/>
  <c r="O727" i="12" s="1"/>
  <c r="Q718" i="12"/>
  <c r="O718" i="12" s="1"/>
  <c r="Q700" i="12"/>
  <c r="O700" i="12" s="1"/>
  <c r="Q683" i="12"/>
  <c r="O683" i="12" s="1"/>
  <c r="Q664" i="12"/>
  <c r="O664" i="12" s="1"/>
  <c r="Q607" i="12"/>
  <c r="O607" i="12" s="1"/>
  <c r="Q596" i="12"/>
  <c r="O596" i="12" s="1"/>
  <c r="Q576" i="12"/>
  <c r="O576" i="12" s="1"/>
  <c r="Q532" i="12"/>
  <c r="O532" i="12" s="1"/>
  <c r="Q506" i="12"/>
  <c r="O506" i="12" s="1"/>
  <c r="Q483" i="12"/>
  <c r="O483" i="12" s="1"/>
  <c r="Q446" i="12"/>
  <c r="O446" i="12" s="1"/>
  <c r="Q435" i="12"/>
  <c r="O435" i="12" s="1"/>
  <c r="Q421" i="12"/>
  <c r="O421" i="12" s="1"/>
  <c r="Q398" i="12"/>
  <c r="O398" i="12" s="1"/>
  <c r="Q385" i="12"/>
  <c r="O385" i="12" s="1"/>
  <c r="Q361" i="12"/>
  <c r="O361" i="12" s="1"/>
  <c r="Q284" i="12"/>
  <c r="O284" i="12" s="1"/>
  <c r="Q267" i="12"/>
  <c r="O267" i="12" s="1"/>
  <c r="Q233" i="12"/>
  <c r="O233" i="12" s="1"/>
  <c r="Q211" i="12"/>
  <c r="O211" i="12" s="1"/>
  <c r="Q187" i="12"/>
  <c r="O187" i="12" s="1"/>
  <c r="Q161" i="12"/>
  <c r="O161" i="12" s="1"/>
  <c r="Q107" i="12"/>
  <c r="O107" i="12" s="1"/>
  <c r="Q78" i="12"/>
  <c r="O78" i="12" s="1"/>
  <c r="Q48" i="12"/>
  <c r="O48" i="12" s="1"/>
  <c r="Q7" i="12"/>
  <c r="O7" i="12" s="1"/>
  <c r="Q9" i="12"/>
  <c r="O9" i="12" s="1"/>
  <c r="Q6" i="12"/>
  <c r="O6" i="12" s="1"/>
  <c r="H739" i="12"/>
  <c r="H738" i="12"/>
  <c r="H737" i="12"/>
  <c r="H736" i="12"/>
  <c r="H735" i="12"/>
  <c r="H711" i="12" l="1"/>
  <c r="H701" i="12"/>
  <c r="H734" i="12"/>
  <c r="H733" i="12"/>
  <c r="H732" i="12"/>
  <c r="H731" i="12"/>
  <c r="H730" i="12"/>
  <c r="H729" i="12"/>
  <c r="H728" i="12"/>
  <c r="H727" i="12"/>
  <c r="H726" i="12"/>
  <c r="H725" i="12"/>
  <c r="H724" i="12"/>
  <c r="H723" i="12"/>
  <c r="H722" i="12"/>
  <c r="H721" i="12"/>
  <c r="H720" i="12"/>
  <c r="H719" i="12"/>
  <c r="H718" i="12"/>
  <c r="H717" i="12"/>
  <c r="H716" i="12"/>
  <c r="H715" i="12"/>
  <c r="H714" i="12"/>
  <c r="H713" i="12"/>
  <c r="H712" i="12"/>
  <c r="H710" i="12"/>
  <c r="H709" i="12"/>
  <c r="H708" i="12"/>
  <c r="H707" i="12"/>
  <c r="H706" i="12"/>
  <c r="H705" i="12"/>
  <c r="H704" i="12"/>
  <c r="H703" i="12"/>
  <c r="H702" i="12"/>
  <c r="H700" i="12"/>
  <c r="H699" i="12"/>
  <c r="H698" i="12"/>
  <c r="H697" i="12"/>
  <c r="H696" i="12"/>
  <c r="H695" i="12"/>
  <c r="H694" i="12" l="1"/>
  <c r="H693" i="12"/>
  <c r="H692" i="12"/>
  <c r="H691" i="12"/>
  <c r="H690" i="12"/>
  <c r="H689" i="12"/>
  <c r="H688" i="12"/>
  <c r="H687" i="12"/>
  <c r="H686" i="12"/>
  <c r="H685" i="12"/>
  <c r="H684" i="12"/>
  <c r="H683" i="12"/>
  <c r="H682" i="12"/>
  <c r="H681" i="12"/>
  <c r="H680" i="12"/>
  <c r="H679" i="12"/>
  <c r="H678" i="12"/>
  <c r="H677" i="12"/>
  <c r="H676" i="12"/>
  <c r="H675" i="12"/>
  <c r="H674" i="12"/>
  <c r="H673" i="12"/>
  <c r="H672" i="12"/>
  <c r="H671" i="12"/>
  <c r="H670" i="12"/>
  <c r="H669" i="12"/>
  <c r="H668" i="12"/>
  <c r="H667" i="12"/>
  <c r="H666" i="12"/>
  <c r="H665" i="12"/>
  <c r="H664" i="12"/>
  <c r="H663" i="12"/>
  <c r="H660" i="12"/>
  <c r="H659" i="12"/>
  <c r="H658" i="12"/>
  <c r="H662" i="12"/>
  <c r="H661" i="12"/>
  <c r="H657" i="12"/>
  <c r="H656" i="12"/>
  <c r="H655" i="12"/>
  <c r="H654" i="12"/>
  <c r="H653" i="12"/>
  <c r="H652" i="12"/>
  <c r="H651" i="12"/>
  <c r="H650" i="12"/>
  <c r="H649" i="12"/>
  <c r="H648" i="12"/>
  <c r="H647" i="12"/>
  <c r="H646" i="12"/>
  <c r="H645" i="12"/>
  <c r="H644" i="12"/>
  <c r="H643" i="12"/>
  <c r="T37" i="26"/>
  <c r="S37" i="26"/>
  <c r="R37" i="26"/>
  <c r="Q37" i="26"/>
  <c r="T36" i="26"/>
  <c r="S36" i="26"/>
  <c r="R36" i="26"/>
  <c r="Q36" i="26"/>
  <c r="T32" i="26"/>
  <c r="S32" i="26"/>
  <c r="R32" i="26"/>
  <c r="Q32" i="26"/>
  <c r="T28" i="26"/>
  <c r="S28" i="26"/>
  <c r="R28" i="26"/>
  <c r="Q28" i="26"/>
  <c r="T27" i="26"/>
  <c r="S27" i="26"/>
  <c r="R27" i="26"/>
  <c r="Q27" i="26"/>
  <c r="T23" i="26"/>
  <c r="S23" i="26"/>
  <c r="R23" i="26"/>
  <c r="Q23" i="26"/>
  <c r="T22" i="26"/>
  <c r="S22" i="26"/>
  <c r="R22" i="26"/>
  <c r="Q22" i="26"/>
  <c r="T18" i="26"/>
  <c r="S18" i="26"/>
  <c r="R18" i="26"/>
  <c r="T17" i="26"/>
  <c r="S17" i="26"/>
  <c r="R17" i="26"/>
  <c r="Q18" i="26"/>
  <c r="Q17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J27" i="26"/>
  <c r="F3" i="15"/>
  <c r="P23" i="26"/>
  <c r="O23" i="26"/>
  <c r="N23" i="26"/>
  <c r="M23" i="26"/>
  <c r="L23" i="26"/>
  <c r="K23" i="26"/>
  <c r="J23" i="26"/>
  <c r="H23" i="26"/>
  <c r="G23" i="26"/>
  <c r="F23" i="26"/>
  <c r="E23" i="26"/>
  <c r="D23" i="26"/>
  <c r="C23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H3" i="11"/>
  <c r="I17" i="26"/>
  <c r="H17" i="26"/>
  <c r="G17" i="26"/>
  <c r="F17" i="26"/>
  <c r="E17" i="26"/>
  <c r="G3" i="17"/>
  <c r="F3" i="17"/>
  <c r="H3" i="10"/>
  <c r="G3" i="10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P37" i="26"/>
  <c r="N37" i="26"/>
  <c r="M37" i="26"/>
  <c r="L37" i="26"/>
  <c r="K37" i="26"/>
  <c r="J37" i="26"/>
  <c r="I37" i="26"/>
  <c r="H37" i="26"/>
  <c r="G37" i="26"/>
  <c r="F37" i="26"/>
  <c r="C37" i="26"/>
  <c r="E37" i="26"/>
  <c r="D37" i="26"/>
  <c r="O37" i="26"/>
  <c r="B4174" i="15"/>
  <c r="B4173" i="15"/>
  <c r="B4172" i="15"/>
  <c r="B4171" i="15"/>
  <c r="B4170" i="15"/>
  <c r="B4169" i="15"/>
  <c r="B4168" i="15"/>
  <c r="B4167" i="15"/>
  <c r="B4166" i="15"/>
  <c r="B4165" i="15"/>
  <c r="B4164" i="15"/>
  <c r="B4163" i="15"/>
  <c r="B4162" i="15"/>
  <c r="B4161" i="15"/>
  <c r="B4160" i="15"/>
  <c r="B4159" i="15"/>
  <c r="B4158" i="15"/>
  <c r="B4157" i="15"/>
  <c r="B4156" i="15"/>
  <c r="B4155" i="15"/>
  <c r="B4154" i="15"/>
  <c r="B4153" i="15"/>
  <c r="B4152" i="15"/>
  <c r="B4151" i="15"/>
  <c r="B4150" i="15"/>
  <c r="B4149" i="15"/>
  <c r="B4148" i="15"/>
  <c r="B4147" i="15"/>
  <c r="B4146" i="15"/>
  <c r="B4145" i="15"/>
  <c r="B4144" i="15"/>
  <c r="B4143" i="15"/>
  <c r="B4142" i="15"/>
  <c r="B4141" i="15"/>
  <c r="B4140" i="15"/>
  <c r="B4139" i="15"/>
  <c r="B4138" i="15"/>
  <c r="B4137" i="15"/>
  <c r="B4136" i="15"/>
  <c r="B4135" i="15"/>
  <c r="B4134" i="15"/>
  <c r="B4133" i="15"/>
  <c r="B4132" i="15"/>
  <c r="B4131" i="15"/>
  <c r="B4130" i="15"/>
  <c r="B4129" i="15"/>
  <c r="B4128" i="15"/>
  <c r="B4127" i="15"/>
  <c r="B4126" i="15"/>
  <c r="B4125" i="15"/>
  <c r="B4124" i="15"/>
  <c r="B4123" i="15"/>
  <c r="B4122" i="15"/>
  <c r="B4121" i="15"/>
  <c r="B4120" i="15"/>
  <c r="B4119" i="15"/>
  <c r="B4118" i="15"/>
  <c r="B4117" i="15"/>
  <c r="B4116" i="15"/>
  <c r="B4115" i="15"/>
  <c r="B4114" i="15"/>
  <c r="B4113" i="15"/>
  <c r="B4112" i="15"/>
  <c r="B4111" i="15"/>
  <c r="B4110" i="15"/>
  <c r="B4109" i="15"/>
  <c r="B4108" i="15"/>
  <c r="B4107" i="15"/>
  <c r="B4106" i="15"/>
  <c r="B4105" i="15"/>
  <c r="B4104" i="15"/>
  <c r="B4103" i="15"/>
  <c r="B4102" i="15"/>
  <c r="B4101" i="15"/>
  <c r="B4100" i="15"/>
  <c r="B4099" i="15"/>
  <c r="B4098" i="15"/>
  <c r="B4097" i="15"/>
  <c r="B4096" i="15"/>
  <c r="B4095" i="15"/>
  <c r="B4094" i="15"/>
  <c r="B4093" i="15"/>
  <c r="B4092" i="15"/>
  <c r="B4091" i="15"/>
  <c r="B4090" i="15"/>
  <c r="B4089" i="15"/>
  <c r="B4088" i="15"/>
  <c r="B4087" i="15"/>
  <c r="B4086" i="15"/>
  <c r="B4085" i="15"/>
  <c r="B4084" i="15"/>
  <c r="B4013" i="15"/>
  <c r="B4012" i="15"/>
  <c r="B4011" i="15"/>
  <c r="B4010" i="15"/>
  <c r="B4009" i="15"/>
  <c r="B4008" i="15"/>
  <c r="B4007" i="15"/>
  <c r="B4006" i="15"/>
  <c r="B4005" i="15"/>
  <c r="B4004" i="15"/>
  <c r="B4003" i="15"/>
  <c r="B4002" i="15"/>
  <c r="B4001" i="15"/>
  <c r="B4000" i="15"/>
  <c r="B3999" i="15"/>
  <c r="B3998" i="15"/>
  <c r="B3997" i="15"/>
  <c r="B3996" i="15"/>
  <c r="B3995" i="15"/>
  <c r="B3994" i="15"/>
  <c r="B3993" i="15"/>
  <c r="B3992" i="15"/>
  <c r="B3991" i="15"/>
  <c r="B3990" i="15"/>
  <c r="B3989" i="15"/>
  <c r="B3988" i="15"/>
  <c r="B3987" i="15"/>
  <c r="B3986" i="15"/>
  <c r="B3985" i="15"/>
  <c r="B3984" i="15"/>
  <c r="B3983" i="15"/>
  <c r="B3982" i="15"/>
  <c r="B3981" i="15"/>
  <c r="B3980" i="15"/>
  <c r="B3979" i="15"/>
  <c r="B3978" i="15"/>
  <c r="B3977" i="15"/>
  <c r="B3976" i="15"/>
  <c r="B3975" i="15"/>
  <c r="B3974" i="15"/>
  <c r="B3973" i="15"/>
  <c r="B3972" i="15"/>
  <c r="B3971" i="15"/>
  <c r="B3970" i="15"/>
  <c r="B3969" i="15"/>
  <c r="B3968" i="15"/>
  <c r="B3967" i="15"/>
  <c r="B3966" i="15"/>
  <c r="B3965" i="15"/>
  <c r="B3964" i="15"/>
  <c r="B3963" i="15"/>
  <c r="B3962" i="15"/>
  <c r="B3961" i="15"/>
  <c r="B3960" i="15"/>
  <c r="B3959" i="15"/>
  <c r="B3958" i="15"/>
  <c r="B3957" i="15"/>
  <c r="B3956" i="15"/>
  <c r="B3955" i="15"/>
  <c r="B3954" i="15"/>
  <c r="B3953" i="15"/>
  <c r="B3952" i="15"/>
  <c r="B3951" i="15"/>
  <c r="B3950" i="15"/>
  <c r="B3949" i="15"/>
  <c r="B3948" i="15"/>
  <c r="B3947" i="15"/>
  <c r="B3946" i="15"/>
  <c r="B3945" i="15"/>
  <c r="B3944" i="15"/>
  <c r="B3943" i="15"/>
  <c r="B3942" i="15"/>
  <c r="B3941" i="15"/>
  <c r="B3940" i="15"/>
  <c r="B3939" i="15"/>
  <c r="B3938" i="15"/>
  <c r="B3937" i="15"/>
  <c r="B3936" i="15"/>
  <c r="B3935" i="15"/>
  <c r="B3934" i="15"/>
  <c r="B3933" i="15"/>
  <c r="B3932" i="15"/>
  <c r="B3931" i="15"/>
  <c r="B3930" i="15"/>
  <c r="B3929" i="15"/>
  <c r="B3928" i="15"/>
  <c r="B3927" i="15"/>
  <c r="B3926" i="15"/>
  <c r="B3925" i="15"/>
  <c r="B3924" i="15"/>
  <c r="B3923" i="15"/>
  <c r="B3922" i="15"/>
  <c r="B3921" i="15"/>
  <c r="B3920" i="15"/>
  <c r="B3919" i="15"/>
  <c r="B3918" i="15"/>
  <c r="B3917" i="15"/>
  <c r="B3916" i="15"/>
  <c r="B3915" i="15"/>
  <c r="B3914" i="15"/>
  <c r="B3913" i="15"/>
  <c r="B3912" i="15"/>
  <c r="B3911" i="15"/>
  <c r="B3910" i="15"/>
  <c r="B3909" i="15"/>
  <c r="B3908" i="15"/>
  <c r="B3907" i="15"/>
  <c r="B3906" i="15"/>
  <c r="B3905" i="15"/>
  <c r="B3904" i="15"/>
  <c r="B3903" i="15"/>
  <c r="B3902" i="15"/>
  <c r="B3901" i="15"/>
  <c r="B3900" i="15"/>
  <c r="B3899" i="15"/>
  <c r="B3898" i="15"/>
  <c r="B3897" i="15"/>
  <c r="B3896" i="15"/>
  <c r="B3895" i="15"/>
  <c r="B3894" i="15"/>
  <c r="B3893" i="15"/>
  <c r="B3892" i="15"/>
  <c r="B3891" i="15"/>
  <c r="B3890" i="15"/>
  <c r="B3889" i="15"/>
  <c r="B3888" i="15"/>
  <c r="B3887" i="15"/>
  <c r="B3886" i="15"/>
  <c r="B3885" i="15"/>
  <c r="B3884" i="15"/>
  <c r="B3883" i="15"/>
  <c r="B3882" i="15"/>
  <c r="B3881" i="15"/>
  <c r="B3880" i="15"/>
  <c r="B3879" i="15"/>
  <c r="B3878" i="15"/>
  <c r="B3877" i="15"/>
  <c r="B3876" i="15"/>
  <c r="B3875" i="15"/>
  <c r="B3874" i="15"/>
  <c r="B3873" i="15"/>
  <c r="B3872" i="15"/>
  <c r="B3871" i="15"/>
  <c r="B3870" i="15"/>
  <c r="B3869" i="15"/>
  <c r="B3868" i="15"/>
  <c r="B3867" i="15"/>
  <c r="B3866" i="15"/>
  <c r="B3865" i="15"/>
  <c r="B3864" i="15"/>
  <c r="B3863" i="15"/>
  <c r="B3862" i="15"/>
  <c r="B3861" i="15"/>
  <c r="B3860" i="15"/>
  <c r="B3859" i="15"/>
  <c r="B3858" i="15"/>
  <c r="B3857" i="15"/>
  <c r="B3856" i="15"/>
  <c r="B3855" i="15"/>
  <c r="B3854" i="15"/>
  <c r="B3853" i="15"/>
  <c r="B3852" i="15"/>
  <c r="B3851" i="15"/>
  <c r="B3850" i="15"/>
  <c r="B3849" i="15"/>
  <c r="B3848" i="15"/>
  <c r="B3847" i="15"/>
  <c r="B3846" i="15"/>
  <c r="B3845" i="15"/>
  <c r="B3844" i="15"/>
  <c r="B3843" i="15"/>
  <c r="B3842" i="15"/>
  <c r="B3841" i="15"/>
  <c r="B3840" i="15"/>
  <c r="B3839" i="15"/>
  <c r="B3838" i="15"/>
  <c r="B3837" i="15"/>
  <c r="B3836" i="15"/>
  <c r="B3835" i="15"/>
  <c r="B3834" i="15"/>
  <c r="B3833" i="15"/>
  <c r="B3832" i="15"/>
  <c r="B3831" i="15"/>
  <c r="B3830" i="15"/>
  <c r="B3829" i="15"/>
  <c r="B3828" i="15"/>
  <c r="B3827" i="15"/>
  <c r="B3826" i="15"/>
  <c r="B3825" i="15"/>
  <c r="B3824" i="15"/>
  <c r="B3823" i="15"/>
  <c r="B3822" i="15"/>
  <c r="B3821" i="15"/>
  <c r="B3820" i="15"/>
  <c r="B3819" i="15"/>
  <c r="B3818" i="15"/>
  <c r="B3817" i="15"/>
  <c r="B3816" i="15"/>
  <c r="B3815" i="15"/>
  <c r="B3814" i="15"/>
  <c r="B3813" i="15"/>
  <c r="B3812" i="15"/>
  <c r="B3811" i="15"/>
  <c r="B3810" i="15"/>
  <c r="B3809" i="15"/>
  <c r="B3808" i="15"/>
  <c r="B3807" i="15"/>
  <c r="B3806" i="15"/>
  <c r="B3805" i="15"/>
  <c r="B3804" i="15"/>
  <c r="B3803" i="15"/>
  <c r="B3802" i="15"/>
  <c r="B3801" i="15"/>
  <c r="B3800" i="15"/>
  <c r="B3799" i="15"/>
  <c r="B3798" i="15"/>
  <c r="B3797" i="15"/>
  <c r="B3796" i="15"/>
  <c r="B3795" i="15"/>
  <c r="B3794" i="15"/>
  <c r="B3793" i="15"/>
  <c r="B3792" i="15"/>
  <c r="B3791" i="15"/>
  <c r="B3790" i="15"/>
  <c r="B3789" i="15"/>
  <c r="B3788" i="15"/>
  <c r="B3787" i="15"/>
  <c r="B3786" i="15"/>
  <c r="B3785" i="15"/>
  <c r="B3784" i="15"/>
  <c r="B3783" i="15"/>
  <c r="B3782" i="15"/>
  <c r="B3781" i="15"/>
  <c r="B3780" i="15"/>
  <c r="B3779" i="15"/>
  <c r="B3778" i="15"/>
  <c r="B3777" i="15"/>
  <c r="B3776" i="15"/>
  <c r="B3775" i="15"/>
  <c r="B3774" i="15"/>
  <c r="B3773" i="15"/>
  <c r="B3772" i="15"/>
  <c r="B3771" i="15"/>
  <c r="B3770" i="15"/>
  <c r="B3769" i="15"/>
  <c r="B3768" i="15"/>
  <c r="B3767" i="15"/>
  <c r="B3766" i="15"/>
  <c r="B3765" i="15"/>
  <c r="B3764" i="15"/>
  <c r="B3763" i="15"/>
  <c r="B3762" i="15"/>
  <c r="B3761" i="15"/>
  <c r="B3760" i="15"/>
  <c r="B3759" i="15"/>
  <c r="B3758" i="15"/>
  <c r="B3757" i="15"/>
  <c r="B3756" i="15"/>
  <c r="B3755" i="15"/>
  <c r="B3754" i="15"/>
  <c r="B3753" i="15"/>
  <c r="B3752" i="15"/>
  <c r="B3751" i="15"/>
  <c r="B3750" i="15"/>
  <c r="B3749" i="15"/>
  <c r="B3748" i="15"/>
  <c r="B3747" i="15"/>
  <c r="B3746" i="15"/>
  <c r="B3745" i="15"/>
  <c r="B3744" i="15"/>
  <c r="B3743" i="15"/>
  <c r="B3742" i="15"/>
  <c r="B3741" i="15"/>
  <c r="B3740" i="15"/>
  <c r="B3739" i="15"/>
  <c r="B3738" i="15"/>
  <c r="B3737" i="15"/>
  <c r="B3736" i="15"/>
  <c r="B3735" i="15"/>
  <c r="B3734" i="15"/>
  <c r="B3733" i="15"/>
  <c r="B3732" i="15"/>
  <c r="B3731" i="15"/>
  <c r="B3730" i="15"/>
  <c r="B3729" i="15"/>
  <c r="B3728" i="15"/>
  <c r="B3727" i="15"/>
  <c r="B3726" i="15"/>
  <c r="B3725" i="15"/>
  <c r="B3724" i="15"/>
  <c r="B3723" i="15"/>
  <c r="B3722" i="15"/>
  <c r="B3721" i="15"/>
  <c r="B3720" i="15"/>
  <c r="B3719" i="15"/>
  <c r="B3718" i="15"/>
  <c r="B3717" i="15"/>
  <c r="B3716" i="15"/>
  <c r="B3715" i="15"/>
  <c r="B3714" i="15"/>
  <c r="B3713" i="15"/>
  <c r="B3712" i="15"/>
  <c r="B3711" i="15"/>
  <c r="B3710" i="15"/>
  <c r="B3709" i="15"/>
  <c r="B3708" i="15"/>
  <c r="B3707" i="15"/>
  <c r="B3706" i="15"/>
  <c r="B3705" i="15"/>
  <c r="B3704" i="15"/>
  <c r="B3703" i="15"/>
  <c r="B3702" i="15"/>
  <c r="B3701" i="15"/>
  <c r="B3700" i="15"/>
  <c r="B3699" i="15"/>
  <c r="B3698" i="15"/>
  <c r="B3697" i="15"/>
  <c r="B3696" i="15"/>
  <c r="B3695" i="15"/>
  <c r="B3694" i="15"/>
  <c r="B3693" i="15"/>
  <c r="B3692" i="15"/>
  <c r="B3691" i="15"/>
  <c r="B3690" i="15"/>
  <c r="B3689" i="15"/>
  <c r="B3688" i="15"/>
  <c r="B3687" i="15"/>
  <c r="B3686" i="15"/>
  <c r="B3685" i="15"/>
  <c r="B3684" i="15"/>
  <c r="B3683" i="15"/>
  <c r="B3682" i="15"/>
  <c r="B3681" i="15"/>
  <c r="B3680" i="15"/>
  <c r="B3679" i="15"/>
  <c r="B3678" i="15"/>
  <c r="B3677" i="15"/>
  <c r="B3676" i="15"/>
  <c r="B3675" i="15"/>
  <c r="B3674" i="15"/>
  <c r="B3673" i="15"/>
  <c r="B3672" i="15"/>
  <c r="B3671" i="15"/>
  <c r="B3670" i="15"/>
  <c r="B3669" i="15"/>
  <c r="B3668" i="15"/>
  <c r="B3667" i="15"/>
  <c r="B3666" i="15"/>
  <c r="B3665" i="15"/>
  <c r="B3664" i="15"/>
  <c r="B3663" i="15"/>
  <c r="B3662" i="15"/>
  <c r="B3661" i="15"/>
  <c r="B3660" i="15"/>
  <c r="B3659" i="15"/>
  <c r="B3658" i="15"/>
  <c r="B3657" i="15"/>
  <c r="B3656" i="15"/>
  <c r="B3655" i="15"/>
  <c r="B3654" i="15"/>
  <c r="B3653" i="15"/>
  <c r="B3652" i="15"/>
  <c r="B3651" i="15"/>
  <c r="B3650" i="15"/>
  <c r="B3649" i="15"/>
  <c r="B3648" i="15"/>
  <c r="B3647" i="15"/>
  <c r="B3646" i="15"/>
  <c r="B3645" i="15"/>
  <c r="B3644" i="15"/>
  <c r="B3643" i="15"/>
  <c r="B3642" i="15"/>
  <c r="B3641" i="15"/>
  <c r="B3640" i="15"/>
  <c r="B3639" i="15"/>
  <c r="B3638" i="15"/>
  <c r="B3637" i="15"/>
  <c r="B3636" i="15"/>
  <c r="B3635" i="15"/>
  <c r="B3634" i="15"/>
  <c r="B3633" i="15"/>
  <c r="B3632" i="15"/>
  <c r="B3631" i="15"/>
  <c r="B3630" i="15"/>
  <c r="B3629" i="15"/>
  <c r="B3628" i="15"/>
  <c r="B3627" i="15"/>
  <c r="B3626" i="15"/>
  <c r="B3625" i="15"/>
  <c r="B3624" i="15"/>
  <c r="B3623" i="15"/>
  <c r="B3622" i="15"/>
  <c r="B3621" i="15"/>
  <c r="B3620" i="15"/>
  <c r="B3619" i="15"/>
  <c r="B3618" i="15"/>
  <c r="B3617" i="15"/>
  <c r="B3616" i="15"/>
  <c r="B3615" i="15"/>
  <c r="B3614" i="15"/>
  <c r="B3613" i="15"/>
  <c r="B3612" i="15"/>
  <c r="B3611" i="15"/>
  <c r="B3610" i="15"/>
  <c r="B3609" i="15"/>
  <c r="B3608" i="15"/>
  <c r="B3607" i="15"/>
  <c r="B3606" i="15"/>
  <c r="B3605" i="15"/>
  <c r="B3604" i="15"/>
  <c r="B3603" i="15"/>
  <c r="B3602" i="15"/>
  <c r="B3601" i="15"/>
  <c r="B3600" i="15"/>
  <c r="B3599" i="15"/>
  <c r="B3598" i="15"/>
  <c r="B3597" i="15"/>
  <c r="B3596" i="15"/>
  <c r="B3595" i="15"/>
  <c r="B3594" i="15"/>
  <c r="B3593" i="15"/>
  <c r="B3592" i="15"/>
  <c r="B3591" i="15"/>
  <c r="B3590" i="15"/>
  <c r="B3589" i="15"/>
  <c r="B3588" i="15"/>
  <c r="B3587" i="15"/>
  <c r="B3586" i="15"/>
  <c r="B3585" i="15"/>
  <c r="B3584" i="15"/>
  <c r="B3583" i="15"/>
  <c r="B3582" i="15"/>
  <c r="B3581" i="15"/>
  <c r="B3580" i="15"/>
  <c r="B3579" i="15"/>
  <c r="B3578" i="15"/>
  <c r="B3577" i="15"/>
  <c r="B3576" i="15"/>
  <c r="B3575" i="15"/>
  <c r="B3574" i="15"/>
  <c r="B3573" i="15"/>
  <c r="B3572" i="15"/>
  <c r="B3571" i="15"/>
  <c r="B3570" i="15"/>
  <c r="B3569" i="15"/>
  <c r="B3568" i="15"/>
  <c r="B3567" i="15"/>
  <c r="B3566" i="15"/>
  <c r="B3565" i="15"/>
  <c r="B3564" i="15"/>
  <c r="B3563" i="15"/>
  <c r="B3562" i="15"/>
  <c r="B3561" i="15"/>
  <c r="B3560" i="15"/>
  <c r="B3559" i="15"/>
  <c r="B3558" i="15"/>
  <c r="B3557" i="15"/>
  <c r="B3556" i="15"/>
  <c r="B3555" i="15"/>
  <c r="B3554" i="15"/>
  <c r="B3553" i="15"/>
  <c r="B3552" i="15"/>
  <c r="B3551" i="15"/>
  <c r="B3550" i="15"/>
  <c r="B3549" i="15"/>
  <c r="B3548" i="15"/>
  <c r="B3547" i="15"/>
  <c r="B3546" i="15"/>
  <c r="B3545" i="15"/>
  <c r="B3544" i="15"/>
  <c r="B3543" i="15"/>
  <c r="B3542" i="15"/>
  <c r="B3541" i="15"/>
  <c r="B3540" i="15"/>
  <c r="B3539" i="15"/>
  <c r="B3538" i="15"/>
  <c r="B3537" i="15"/>
  <c r="B3536" i="15"/>
  <c r="B3535" i="15"/>
  <c r="B3534" i="15"/>
  <c r="B3533" i="15"/>
  <c r="B3532" i="15"/>
  <c r="B3531" i="15"/>
  <c r="B3530" i="15"/>
  <c r="B3529" i="15"/>
  <c r="B3528" i="15"/>
  <c r="B3527" i="15"/>
  <c r="B3526" i="15"/>
  <c r="B3525" i="15"/>
  <c r="B3524" i="15"/>
  <c r="B3523" i="15"/>
  <c r="B3522" i="15"/>
  <c r="B3521" i="15"/>
  <c r="B3520" i="15"/>
  <c r="B3519" i="15"/>
  <c r="B3518" i="15"/>
  <c r="B3517" i="15"/>
  <c r="B3516" i="15"/>
  <c r="B3515" i="15"/>
  <c r="B3514" i="15"/>
  <c r="B3513" i="15"/>
  <c r="B3512" i="15"/>
  <c r="B3511" i="15"/>
  <c r="B3510" i="15"/>
  <c r="B3509" i="15"/>
  <c r="B3508" i="15"/>
  <c r="B3507" i="15"/>
  <c r="B3506" i="15"/>
  <c r="B3505" i="15"/>
  <c r="B3504" i="15"/>
  <c r="B3503" i="15"/>
  <c r="B3502" i="15"/>
  <c r="B3501" i="15"/>
  <c r="B3500" i="15"/>
  <c r="B3499" i="15"/>
  <c r="B3498" i="15"/>
  <c r="B3497" i="15"/>
  <c r="B3496" i="15"/>
  <c r="B3495" i="15"/>
  <c r="B3494" i="15"/>
  <c r="B3493" i="15"/>
  <c r="B3492" i="15"/>
  <c r="B3491" i="15"/>
  <c r="B3490" i="15"/>
  <c r="B3489" i="15"/>
  <c r="B3488" i="15"/>
  <c r="B3487" i="15"/>
  <c r="B3486" i="15"/>
  <c r="B3485" i="15"/>
  <c r="B3484" i="15"/>
  <c r="B3483" i="15"/>
  <c r="B3482" i="15"/>
  <c r="B3481" i="15"/>
  <c r="B3480" i="15"/>
  <c r="B3479" i="15"/>
  <c r="B3478" i="15"/>
  <c r="B3477" i="15"/>
  <c r="B3476" i="15"/>
  <c r="B3475" i="15"/>
  <c r="B3474" i="15"/>
  <c r="B3473" i="15"/>
  <c r="B3472" i="15"/>
  <c r="B3471" i="15"/>
  <c r="B3470" i="15"/>
  <c r="B3469" i="15"/>
  <c r="B3468" i="15"/>
  <c r="B3467" i="15"/>
  <c r="B3466" i="15"/>
  <c r="B3465" i="15"/>
  <c r="B3464" i="15"/>
  <c r="B3463" i="15"/>
  <c r="B3462" i="15"/>
  <c r="B3461" i="15"/>
  <c r="B3460" i="15"/>
  <c r="B3459" i="15"/>
  <c r="B3458" i="15"/>
  <c r="B3457" i="15"/>
  <c r="B3456" i="15"/>
  <c r="B3455" i="15"/>
  <c r="B3454" i="15"/>
  <c r="B3453" i="15"/>
  <c r="B3452" i="15"/>
  <c r="B3451" i="15"/>
  <c r="B3450" i="15"/>
  <c r="B3449" i="15"/>
  <c r="B3448" i="15"/>
  <c r="B3447" i="15"/>
  <c r="B3446" i="15"/>
  <c r="B3445" i="15"/>
  <c r="B3444" i="15"/>
  <c r="B3443" i="15"/>
  <c r="B3442" i="15"/>
  <c r="B3441" i="15"/>
  <c r="B3440" i="15"/>
  <c r="B3439" i="15"/>
  <c r="B3438" i="15"/>
  <c r="B3437" i="15"/>
  <c r="B3436" i="15"/>
  <c r="B3435" i="15"/>
  <c r="B3434" i="15"/>
  <c r="B3433" i="15"/>
  <c r="B3432" i="15"/>
  <c r="B3431" i="15"/>
  <c r="B3430" i="15"/>
  <c r="B3429" i="15"/>
  <c r="B3428" i="15"/>
  <c r="B3427" i="15"/>
  <c r="B3426" i="15"/>
  <c r="B3425" i="15"/>
  <c r="B3424" i="15"/>
  <c r="B3423" i="15"/>
  <c r="B3422" i="15"/>
  <c r="B3421" i="15"/>
  <c r="B3420" i="15"/>
  <c r="B3419" i="15"/>
  <c r="B3418" i="15"/>
  <c r="B3417" i="15"/>
  <c r="B3416" i="15"/>
  <c r="B3415" i="15"/>
  <c r="B3414" i="15"/>
  <c r="B3413" i="15"/>
  <c r="B3412" i="15"/>
  <c r="B3411" i="15"/>
  <c r="B3410" i="15"/>
  <c r="B3409" i="15"/>
  <c r="B3408" i="15"/>
  <c r="B3407" i="15"/>
  <c r="B3406" i="15"/>
  <c r="B3405" i="15"/>
  <c r="B3404" i="15"/>
  <c r="B3403" i="15"/>
  <c r="B3402" i="15"/>
  <c r="B3401" i="15"/>
  <c r="B3400" i="15"/>
  <c r="B3399" i="15"/>
  <c r="B3398" i="15"/>
  <c r="B3397" i="15"/>
  <c r="B3396" i="15"/>
  <c r="B3395" i="15"/>
  <c r="B3394" i="15"/>
  <c r="B3393" i="15"/>
  <c r="B3392" i="15"/>
  <c r="B3391" i="15"/>
  <c r="B3390" i="15"/>
  <c r="B3389" i="15"/>
  <c r="B3388" i="15"/>
  <c r="B3387" i="15"/>
  <c r="B3386" i="15"/>
  <c r="B3385" i="15"/>
  <c r="B3384" i="15"/>
  <c r="B3383" i="15"/>
  <c r="B3382" i="15"/>
  <c r="B3381" i="15"/>
  <c r="B3380" i="15"/>
  <c r="B3379" i="15"/>
  <c r="B3378" i="15"/>
  <c r="B3377" i="15"/>
  <c r="B3376" i="15"/>
  <c r="B3375" i="15"/>
  <c r="B3374" i="15"/>
  <c r="B3373" i="15"/>
  <c r="B3372" i="15"/>
  <c r="B3371" i="15"/>
  <c r="B3370" i="15"/>
  <c r="B3369" i="15"/>
  <c r="B3368" i="15"/>
  <c r="B3367" i="15"/>
  <c r="B3366" i="15"/>
  <c r="B3365" i="15"/>
  <c r="B3364" i="15"/>
  <c r="B3363" i="15"/>
  <c r="B3362" i="15"/>
  <c r="B3361" i="15"/>
  <c r="B3360" i="15"/>
  <c r="B3359" i="15"/>
  <c r="B3358" i="15"/>
  <c r="B3357" i="15"/>
  <c r="B3356" i="15"/>
  <c r="B3355" i="15"/>
  <c r="B3354" i="15"/>
  <c r="B3353" i="15"/>
  <c r="B3352" i="15"/>
  <c r="B3351" i="15"/>
  <c r="B3350" i="15"/>
  <c r="B3349" i="15"/>
  <c r="B3348" i="15"/>
  <c r="B3347" i="15"/>
  <c r="B3346" i="15"/>
  <c r="B3345" i="15"/>
  <c r="B3344" i="15"/>
  <c r="B3343" i="15"/>
  <c r="B3342" i="15"/>
  <c r="B3341" i="15"/>
  <c r="B3340" i="15"/>
  <c r="B3339" i="15"/>
  <c r="B3338" i="15"/>
  <c r="B3337" i="15"/>
  <c r="B3336" i="15"/>
  <c r="B3335" i="15"/>
  <c r="B3334" i="15"/>
  <c r="B3333" i="15"/>
  <c r="B3332" i="15"/>
  <c r="B3331" i="15"/>
  <c r="B3330" i="15"/>
  <c r="B3329" i="15"/>
  <c r="B3328" i="15"/>
  <c r="B3327" i="15"/>
  <c r="B3326" i="15"/>
  <c r="B3325" i="15"/>
  <c r="B3324" i="15"/>
  <c r="B3323" i="15"/>
  <c r="B3322" i="15"/>
  <c r="B3321" i="15"/>
  <c r="B3320" i="15"/>
  <c r="B3319" i="15"/>
  <c r="B3318" i="15"/>
  <c r="B3317" i="15"/>
  <c r="B3316" i="15"/>
  <c r="B3315" i="15"/>
  <c r="B3314" i="15"/>
  <c r="B3313" i="15"/>
  <c r="B3312" i="15"/>
  <c r="B3311" i="15"/>
  <c r="B3310" i="15"/>
  <c r="B3309" i="15"/>
  <c r="B3308" i="15"/>
  <c r="B3307" i="15"/>
  <c r="B3306" i="15"/>
  <c r="B3305" i="15"/>
  <c r="B3304" i="15"/>
  <c r="B3303" i="15"/>
  <c r="B3302" i="15"/>
  <c r="B3301" i="15"/>
  <c r="B3300" i="15"/>
  <c r="B3299" i="15"/>
  <c r="B3298" i="15"/>
  <c r="B3297" i="15"/>
  <c r="B3296" i="15"/>
  <c r="B3295" i="15"/>
  <c r="B3294" i="15"/>
  <c r="B3293" i="15"/>
  <c r="B3292" i="15"/>
  <c r="B3291" i="15"/>
  <c r="B3290" i="15"/>
  <c r="B3289" i="15"/>
  <c r="B3288" i="15"/>
  <c r="B3287" i="15"/>
  <c r="B3286" i="15"/>
  <c r="B3285" i="15"/>
  <c r="B3284" i="15"/>
  <c r="B3283" i="15"/>
  <c r="B3282" i="15"/>
  <c r="B3281" i="15"/>
  <c r="B3280" i="15"/>
  <c r="B3279" i="15"/>
  <c r="B3278" i="15"/>
  <c r="B3277" i="15"/>
  <c r="B3276" i="15"/>
  <c r="B3275" i="15"/>
  <c r="B3274" i="15"/>
  <c r="B3273" i="15"/>
  <c r="B3272" i="15"/>
  <c r="B3271" i="15"/>
  <c r="B3270" i="15"/>
  <c r="B3269" i="15"/>
  <c r="B3268" i="15"/>
  <c r="B3267" i="15"/>
  <c r="B3266" i="15"/>
  <c r="B3265" i="15"/>
  <c r="B3264" i="15"/>
  <c r="B3263" i="15"/>
  <c r="B3262" i="15"/>
  <c r="B3261" i="15"/>
  <c r="B3260" i="15"/>
  <c r="B3259" i="15"/>
  <c r="B3258" i="15"/>
  <c r="B3257" i="15"/>
  <c r="B3256" i="15"/>
  <c r="B3255" i="15"/>
  <c r="B3254" i="15"/>
  <c r="B3253" i="15"/>
  <c r="B3252" i="15"/>
  <c r="B3251" i="15"/>
  <c r="B3250" i="15"/>
  <c r="B3249" i="15"/>
  <c r="B3248" i="15"/>
  <c r="B3247" i="15"/>
  <c r="B3246" i="15"/>
  <c r="B3245" i="15"/>
  <c r="B3244" i="15"/>
  <c r="B3243" i="15"/>
  <c r="B3242" i="15"/>
  <c r="B3241" i="15"/>
  <c r="B3240" i="15"/>
  <c r="B3239" i="15"/>
  <c r="B3238" i="15"/>
  <c r="B3237" i="15"/>
  <c r="B3236" i="15"/>
  <c r="B3235" i="15"/>
  <c r="B3234" i="15"/>
  <c r="B3233" i="15"/>
  <c r="B3232" i="15"/>
  <c r="B3231" i="15"/>
  <c r="B3230" i="15"/>
  <c r="B3229" i="15"/>
  <c r="B3228" i="15"/>
  <c r="B3227" i="15"/>
  <c r="B3226" i="15"/>
  <c r="B3225" i="15"/>
  <c r="B3224" i="15"/>
  <c r="B3223" i="15"/>
  <c r="B3222" i="15"/>
  <c r="B3221" i="15"/>
  <c r="B3220" i="15"/>
  <c r="B3219" i="15"/>
  <c r="B3218" i="15"/>
  <c r="B3217" i="15"/>
  <c r="B3216" i="15"/>
  <c r="B3215" i="15"/>
  <c r="B3214" i="15"/>
  <c r="B3213" i="15"/>
  <c r="B3212" i="15"/>
  <c r="B3211" i="15"/>
  <c r="B3210" i="15"/>
  <c r="B3209" i="15"/>
  <c r="B3208" i="15"/>
  <c r="B3207" i="15"/>
  <c r="B3206" i="15"/>
  <c r="B3205" i="15"/>
  <c r="B3204" i="15"/>
  <c r="B3203" i="15"/>
  <c r="B3202" i="15"/>
  <c r="B3201" i="15"/>
  <c r="B3200" i="15"/>
  <c r="B3199" i="15"/>
  <c r="B3198" i="15"/>
  <c r="B3197" i="15"/>
  <c r="B3196" i="15"/>
  <c r="B3195" i="15"/>
  <c r="B3194" i="15"/>
  <c r="B3193" i="15"/>
  <c r="B3192" i="15"/>
  <c r="B3191" i="15"/>
  <c r="B3190" i="15"/>
  <c r="B3189" i="15"/>
  <c r="B3188" i="15"/>
  <c r="B3187" i="15"/>
  <c r="B3186" i="15"/>
  <c r="B3185" i="15"/>
  <c r="B3184" i="15"/>
  <c r="B3183" i="15"/>
  <c r="B3182" i="15"/>
  <c r="B3181" i="15"/>
  <c r="B3180" i="15"/>
  <c r="B3179" i="15"/>
  <c r="B3178" i="15"/>
  <c r="B3177" i="15"/>
  <c r="B3176" i="15"/>
  <c r="B3175" i="15"/>
  <c r="B3174" i="15"/>
  <c r="B3173" i="15"/>
  <c r="B3172" i="15"/>
  <c r="B3171" i="15"/>
  <c r="B3170" i="15"/>
  <c r="B3169" i="15"/>
  <c r="B3168" i="15"/>
  <c r="B3167" i="15"/>
  <c r="B3166" i="15"/>
  <c r="B3165" i="15"/>
  <c r="B3164" i="15"/>
  <c r="B3163" i="15"/>
  <c r="B3162" i="15"/>
  <c r="B3161" i="15"/>
  <c r="B3160" i="15"/>
  <c r="B3159" i="15"/>
  <c r="B3158" i="15"/>
  <c r="B3157" i="15"/>
  <c r="B3156" i="15"/>
  <c r="B3155" i="15"/>
  <c r="B3154" i="15"/>
  <c r="B3153" i="15"/>
  <c r="B3152" i="15"/>
  <c r="B3151" i="15"/>
  <c r="B3150" i="15"/>
  <c r="B3149" i="15"/>
  <c r="B3148" i="15"/>
  <c r="B3147" i="15"/>
  <c r="B3146" i="15"/>
  <c r="B3145" i="15"/>
  <c r="B3144" i="15"/>
  <c r="B3143" i="15"/>
  <c r="B3142" i="15"/>
  <c r="B3141" i="15"/>
  <c r="B3140" i="15"/>
  <c r="B3139" i="15"/>
  <c r="B3138" i="15"/>
  <c r="B3137" i="15"/>
  <c r="B3136" i="15"/>
  <c r="B3135" i="15"/>
  <c r="B3134" i="15"/>
  <c r="B3133" i="15"/>
  <c r="B3132" i="15"/>
  <c r="B3131" i="15"/>
  <c r="B3130" i="15"/>
  <c r="B3129" i="15"/>
  <c r="B3128" i="15"/>
  <c r="B3127" i="15"/>
  <c r="B3126" i="15"/>
  <c r="B3125" i="15"/>
  <c r="B3124" i="15"/>
  <c r="B3123" i="15"/>
  <c r="B3122" i="15"/>
  <c r="B3121" i="15"/>
  <c r="B3120" i="15"/>
  <c r="B3119" i="15"/>
  <c r="B3118" i="15"/>
  <c r="B3117" i="15"/>
  <c r="B3116" i="15"/>
  <c r="B3115" i="15"/>
  <c r="B3114" i="15"/>
  <c r="B3113" i="15"/>
  <c r="B3112" i="15"/>
  <c r="B3111" i="15"/>
  <c r="B3110" i="15"/>
  <c r="B3109" i="15"/>
  <c r="B3108" i="15"/>
  <c r="B3107" i="15"/>
  <c r="B3106" i="15"/>
  <c r="B3105" i="15"/>
  <c r="B3104" i="15"/>
  <c r="B3103" i="15"/>
  <c r="B3102" i="15"/>
  <c r="B3101" i="15"/>
  <c r="B3100" i="15"/>
  <c r="B3099" i="15"/>
  <c r="B3098" i="15"/>
  <c r="B3097" i="15"/>
  <c r="B3096" i="15"/>
  <c r="B3095" i="15"/>
  <c r="B3094" i="15"/>
  <c r="B3093" i="15"/>
  <c r="B3092" i="15"/>
  <c r="B3091" i="15"/>
  <c r="B3090" i="15"/>
  <c r="B3089" i="15"/>
  <c r="B3088" i="15"/>
  <c r="B3087" i="15"/>
  <c r="B3086" i="15"/>
  <c r="B3085" i="15"/>
  <c r="B3084" i="15"/>
  <c r="B3083" i="15"/>
  <c r="B3082" i="15"/>
  <c r="B3081" i="15"/>
  <c r="B3080" i="15"/>
  <c r="B3079" i="15"/>
  <c r="B3078" i="15"/>
  <c r="B3077" i="15"/>
  <c r="B3076" i="15"/>
  <c r="B3075" i="15"/>
  <c r="B3074" i="15"/>
  <c r="B3073" i="15"/>
  <c r="B3072" i="15"/>
  <c r="B3071" i="15"/>
  <c r="B3070" i="15"/>
  <c r="B3069" i="15"/>
  <c r="B3068" i="15"/>
  <c r="B3067" i="15"/>
  <c r="B3066" i="15"/>
  <c r="B3065" i="15"/>
  <c r="B3064" i="15"/>
  <c r="B3063" i="15"/>
  <c r="B3062" i="15"/>
  <c r="B3061" i="15"/>
  <c r="B3060" i="15"/>
  <c r="B3059" i="15"/>
  <c r="B3058" i="15"/>
  <c r="B3057" i="15"/>
  <c r="B3056" i="15"/>
  <c r="B3055" i="15"/>
  <c r="B3054" i="15"/>
  <c r="B3053" i="15"/>
  <c r="B3052" i="15"/>
  <c r="B3051" i="15"/>
  <c r="B3050" i="15"/>
  <c r="B3049" i="15"/>
  <c r="B3048" i="15"/>
  <c r="B3047" i="15"/>
  <c r="B3046" i="15"/>
  <c r="B3045" i="15"/>
  <c r="B3044" i="15"/>
  <c r="B3043" i="15"/>
  <c r="B3042" i="15"/>
  <c r="B3041" i="15"/>
  <c r="B3040" i="15"/>
  <c r="B3039" i="15"/>
  <c r="B3038" i="15"/>
  <c r="B3037" i="15"/>
  <c r="B3036" i="15"/>
  <c r="B3035" i="15"/>
  <c r="B3034" i="15"/>
  <c r="B3033" i="15"/>
  <c r="B3032" i="15"/>
  <c r="B3031" i="15"/>
  <c r="B3030" i="15"/>
  <c r="B3029" i="15"/>
  <c r="B3028" i="15"/>
  <c r="B3027" i="15"/>
  <c r="B3026" i="15"/>
  <c r="B3025" i="15"/>
  <c r="B3024" i="15"/>
  <c r="B3023" i="15"/>
  <c r="B3022" i="15"/>
  <c r="B3021" i="15"/>
  <c r="B3020" i="15"/>
  <c r="B3019" i="15"/>
  <c r="B3018" i="15"/>
  <c r="B3017" i="15"/>
  <c r="B3016" i="15"/>
  <c r="B3015" i="15"/>
  <c r="B3014" i="15"/>
  <c r="B3013" i="15"/>
  <c r="B3012" i="15"/>
  <c r="B3011" i="15"/>
  <c r="B3010" i="15"/>
  <c r="B3009" i="15"/>
  <c r="B3008" i="15"/>
  <c r="B3007" i="15"/>
  <c r="B3006" i="15"/>
  <c r="B3005" i="15"/>
  <c r="B3004" i="15"/>
  <c r="B3003" i="15"/>
  <c r="B3002" i="15"/>
  <c r="B3001" i="15"/>
  <c r="B3000" i="15"/>
  <c r="B2999" i="15"/>
  <c r="B2998" i="15"/>
  <c r="B2997" i="15"/>
  <c r="B2996" i="15"/>
  <c r="B2995" i="15"/>
  <c r="B2994" i="15"/>
  <c r="B2993" i="15"/>
  <c r="B2992" i="15"/>
  <c r="B2991" i="15"/>
  <c r="B2990" i="15"/>
  <c r="B2989" i="15"/>
  <c r="B2988" i="15"/>
  <c r="B2987" i="15"/>
  <c r="B2986" i="15"/>
  <c r="B2985" i="15"/>
  <c r="B2984" i="15"/>
  <c r="B2983" i="15"/>
  <c r="B2982" i="15"/>
  <c r="B2981" i="15"/>
  <c r="B2980" i="15"/>
  <c r="B2979" i="15"/>
  <c r="B2978" i="15"/>
  <c r="B2977" i="15"/>
  <c r="B2976" i="15"/>
  <c r="B2975" i="15"/>
  <c r="B2974" i="15"/>
  <c r="B2973" i="15"/>
  <c r="B2972" i="15"/>
  <c r="B2971" i="15"/>
  <c r="B2970" i="15"/>
  <c r="B2969" i="15"/>
  <c r="B2968" i="15"/>
  <c r="B2967" i="15"/>
  <c r="B2966" i="15"/>
  <c r="B2965" i="15"/>
  <c r="B2964" i="15"/>
  <c r="B2963" i="15"/>
  <c r="B2962" i="15"/>
  <c r="B2961" i="15"/>
  <c r="B2960" i="15"/>
  <c r="B2959" i="15"/>
  <c r="B2958" i="15"/>
  <c r="B2957" i="15"/>
  <c r="B2956" i="15"/>
  <c r="B2955" i="15"/>
  <c r="B2954" i="15"/>
  <c r="B2953" i="15"/>
  <c r="B2952" i="15"/>
  <c r="B2951" i="15"/>
  <c r="B2950" i="15"/>
  <c r="B2949" i="15"/>
  <c r="B2948" i="15"/>
  <c r="B2947" i="15"/>
  <c r="B2946" i="15"/>
  <c r="B2945" i="15"/>
  <c r="B2944" i="15"/>
  <c r="B2943" i="15"/>
  <c r="B2942" i="15"/>
  <c r="B2941" i="15"/>
  <c r="B2940" i="15"/>
  <c r="B2939" i="15"/>
  <c r="B2938" i="15"/>
  <c r="B2937" i="15"/>
  <c r="B2936" i="15"/>
  <c r="B2935" i="15"/>
  <c r="B2934" i="15"/>
  <c r="B2933" i="15"/>
  <c r="B2932" i="15"/>
  <c r="B2931" i="15"/>
  <c r="B2930" i="15"/>
  <c r="B2929" i="15"/>
  <c r="B2928" i="15"/>
  <c r="B2927" i="15"/>
  <c r="B2926" i="15"/>
  <c r="B2925" i="15"/>
  <c r="B2924" i="15"/>
  <c r="B2923" i="15"/>
  <c r="B2922" i="15"/>
  <c r="B2921" i="15"/>
  <c r="B2920" i="15"/>
  <c r="B2919" i="15"/>
  <c r="B2918" i="15"/>
  <c r="B2917" i="15"/>
  <c r="B2916" i="15"/>
  <c r="B2915" i="15"/>
  <c r="B2914" i="15"/>
  <c r="B2913" i="15"/>
  <c r="B2912" i="15"/>
  <c r="B2911" i="15"/>
  <c r="B2910" i="15"/>
  <c r="B2909" i="15"/>
  <c r="B2908" i="15"/>
  <c r="B2907" i="15"/>
  <c r="B2906" i="15"/>
  <c r="B2905" i="15"/>
  <c r="B2904" i="15"/>
  <c r="B2903" i="15"/>
  <c r="B2902" i="15"/>
  <c r="B2901" i="15"/>
  <c r="B2900" i="15"/>
  <c r="B2899" i="15"/>
  <c r="B2898" i="15"/>
  <c r="B2897" i="15"/>
  <c r="B2896" i="15"/>
  <c r="B2895" i="15"/>
  <c r="B2894" i="15"/>
  <c r="B2893" i="15"/>
  <c r="B2892" i="15"/>
  <c r="B2891" i="15"/>
  <c r="B2890" i="15"/>
  <c r="B2889" i="15"/>
  <c r="B2888" i="15"/>
  <c r="B2887" i="15"/>
  <c r="B2886" i="15"/>
  <c r="B2885" i="15"/>
  <c r="B2884" i="15"/>
  <c r="B2883" i="15"/>
  <c r="B2882" i="15"/>
  <c r="B2881" i="15"/>
  <c r="B2880" i="15"/>
  <c r="B2879" i="15"/>
  <c r="B2878" i="15"/>
  <c r="B2877" i="15"/>
  <c r="B2876" i="15"/>
  <c r="B2875" i="15"/>
  <c r="B2874" i="15"/>
  <c r="B2873" i="15"/>
  <c r="B2872" i="15"/>
  <c r="B2871" i="15"/>
  <c r="B2870" i="15"/>
  <c r="B2869" i="15"/>
  <c r="B2868" i="15"/>
  <c r="B2867" i="15"/>
  <c r="B2866" i="15"/>
  <c r="B2865" i="15"/>
  <c r="B2864" i="15"/>
  <c r="B2863" i="15"/>
  <c r="B2862" i="15"/>
  <c r="B2861" i="15"/>
  <c r="B2860" i="15"/>
  <c r="B2859" i="15"/>
  <c r="B2858" i="15"/>
  <c r="B2857" i="15"/>
  <c r="B2856" i="15"/>
  <c r="B2855" i="15"/>
  <c r="B2854" i="15"/>
  <c r="B2853" i="15"/>
  <c r="B2852" i="15"/>
  <c r="B2851" i="15"/>
  <c r="B2850" i="15"/>
  <c r="B2849" i="15"/>
  <c r="B2848" i="15"/>
  <c r="B2847" i="15"/>
  <c r="B2846" i="15"/>
  <c r="B2845" i="15"/>
  <c r="B2844" i="15"/>
  <c r="B2843" i="15"/>
  <c r="B2842" i="15"/>
  <c r="B2841" i="15"/>
  <c r="B2840" i="15"/>
  <c r="B2839" i="15"/>
  <c r="B2838" i="15"/>
  <c r="B2837" i="15"/>
  <c r="B2836" i="15"/>
  <c r="B2835" i="15"/>
  <c r="B2834" i="15"/>
  <c r="B2833" i="15"/>
  <c r="B2832" i="15"/>
  <c r="B2831" i="15"/>
  <c r="B2830" i="15"/>
  <c r="B2829" i="15"/>
  <c r="B2828" i="15"/>
  <c r="B2827" i="15"/>
  <c r="B2826" i="15"/>
  <c r="B2825" i="15"/>
  <c r="B2824" i="15"/>
  <c r="B2823" i="15"/>
  <c r="B2822" i="15"/>
  <c r="B2821" i="15"/>
  <c r="B2820" i="15"/>
  <c r="B2819" i="15"/>
  <c r="B2818" i="15"/>
  <c r="B2817" i="15"/>
  <c r="B2816" i="15"/>
  <c r="B2815" i="15"/>
  <c r="B2814" i="15"/>
  <c r="B2813" i="15"/>
  <c r="B2812" i="15"/>
  <c r="B2811" i="15"/>
  <c r="B2810" i="15"/>
  <c r="B2809" i="15"/>
  <c r="B2808" i="15"/>
  <c r="B2807" i="15"/>
  <c r="B2806" i="15"/>
  <c r="B2805" i="15"/>
  <c r="B2804" i="15"/>
  <c r="B2803" i="15"/>
  <c r="B2802" i="15"/>
  <c r="B2801" i="15"/>
  <c r="B2800" i="15"/>
  <c r="B2799" i="15"/>
  <c r="B2798" i="15"/>
  <c r="B2797" i="15"/>
  <c r="B2796" i="15"/>
  <c r="B2795" i="15"/>
  <c r="B2794" i="15"/>
  <c r="B2793" i="15"/>
  <c r="B2792" i="15"/>
  <c r="B2791" i="15"/>
  <c r="B2790" i="15"/>
  <c r="B2789" i="15"/>
  <c r="B2788" i="15"/>
  <c r="B2787" i="15"/>
  <c r="B2786" i="15"/>
  <c r="B2785" i="15"/>
  <c r="B2784" i="15"/>
  <c r="B2783" i="15"/>
  <c r="B2782" i="15"/>
  <c r="B2781" i="15"/>
  <c r="B2780" i="15"/>
  <c r="B2779" i="15"/>
  <c r="B2778" i="15"/>
  <c r="B2777" i="15"/>
  <c r="B2776" i="15"/>
  <c r="B2775" i="15"/>
  <c r="B2774" i="15"/>
  <c r="B2773" i="15"/>
  <c r="B2772" i="15"/>
  <c r="B2771" i="15"/>
  <c r="B2770" i="15"/>
  <c r="B2769" i="15"/>
  <c r="B2768" i="15"/>
  <c r="B2767" i="15"/>
  <c r="B2766" i="15"/>
  <c r="B2765" i="15"/>
  <c r="B2764" i="15"/>
  <c r="B2763" i="15"/>
  <c r="B2762" i="15"/>
  <c r="B2761" i="15"/>
  <c r="B2760" i="15"/>
  <c r="B2759" i="15"/>
  <c r="B2758" i="15"/>
  <c r="B2757" i="15"/>
  <c r="B2756" i="15"/>
  <c r="B2755" i="15"/>
  <c r="B2754" i="15"/>
  <c r="B2753" i="15"/>
  <c r="B2752" i="15"/>
  <c r="B2751" i="15"/>
  <c r="B2750" i="15"/>
  <c r="B2749" i="15"/>
  <c r="B2748" i="15"/>
  <c r="B2747" i="15"/>
  <c r="B2746" i="15"/>
  <c r="B2745" i="15"/>
  <c r="B2744" i="15"/>
  <c r="B2743" i="15"/>
  <c r="B2742" i="15"/>
  <c r="B2741" i="15"/>
  <c r="B2740" i="15"/>
  <c r="B2739" i="15"/>
  <c r="B2738" i="15"/>
  <c r="B2737" i="15"/>
  <c r="B2736" i="15"/>
  <c r="B2735" i="15"/>
  <c r="B2734" i="15"/>
  <c r="B2733" i="15"/>
  <c r="B2732" i="15"/>
  <c r="B2731" i="15"/>
  <c r="B2730" i="15"/>
  <c r="B2729" i="15"/>
  <c r="B2728" i="15"/>
  <c r="B2727" i="15"/>
  <c r="B2726" i="15"/>
  <c r="B2725" i="15"/>
  <c r="B2724" i="15"/>
  <c r="B2723" i="15"/>
  <c r="B2722" i="15"/>
  <c r="B2721" i="15"/>
  <c r="B2720" i="15"/>
  <c r="B2719" i="15"/>
  <c r="B2718" i="15"/>
  <c r="B2717" i="15"/>
  <c r="B2716" i="15"/>
  <c r="B2715" i="15"/>
  <c r="B2714" i="15"/>
  <c r="B2713" i="15"/>
  <c r="B2712" i="15"/>
  <c r="B2711" i="15"/>
  <c r="B2710" i="15"/>
  <c r="B2709" i="15"/>
  <c r="B2708" i="15"/>
  <c r="B2707" i="15"/>
  <c r="B2706" i="15"/>
  <c r="B2705" i="15"/>
  <c r="B2704" i="15"/>
  <c r="B2703" i="15"/>
  <c r="B2702" i="15"/>
  <c r="B2701" i="15"/>
  <c r="B2700" i="15"/>
  <c r="B2699" i="15"/>
  <c r="B2698" i="15"/>
  <c r="B2697" i="15"/>
  <c r="B2696" i="15"/>
  <c r="B2695" i="15"/>
  <c r="B2694" i="15"/>
  <c r="B2693" i="15"/>
  <c r="B2692" i="15"/>
  <c r="B2691" i="15"/>
  <c r="B2690" i="15"/>
  <c r="B2689" i="15"/>
  <c r="B2688" i="15"/>
  <c r="B2687" i="15"/>
  <c r="B2686" i="15"/>
  <c r="B2685" i="15"/>
  <c r="B2684" i="15"/>
  <c r="B2683" i="15"/>
  <c r="B2682" i="15"/>
  <c r="B2681" i="15"/>
  <c r="B2680" i="15"/>
  <c r="B2679" i="15"/>
  <c r="B2678" i="15"/>
  <c r="B2677" i="15"/>
  <c r="B2676" i="15"/>
  <c r="B2675" i="15"/>
  <c r="B2674" i="15"/>
  <c r="B2673" i="15"/>
  <c r="B2672" i="15"/>
  <c r="B2671" i="15"/>
  <c r="B2670" i="15"/>
  <c r="B2669" i="15"/>
  <c r="B2668" i="15"/>
  <c r="B2667" i="15"/>
  <c r="B2666" i="15"/>
  <c r="B2665" i="15"/>
  <c r="B2664" i="15"/>
  <c r="B2663" i="15"/>
  <c r="B2662" i="15"/>
  <c r="B2661" i="15"/>
  <c r="B2660" i="15"/>
  <c r="B2659" i="15"/>
  <c r="B2658" i="15"/>
  <c r="B2657" i="15"/>
  <c r="B2656" i="15"/>
  <c r="B2655" i="15"/>
  <c r="B2654" i="15"/>
  <c r="B2653" i="15"/>
  <c r="B2652" i="15"/>
  <c r="B2651" i="15"/>
  <c r="B2650" i="15"/>
  <c r="B2649" i="15"/>
  <c r="B2648" i="15"/>
  <c r="B2647" i="15"/>
  <c r="B2646" i="15"/>
  <c r="B2645" i="15"/>
  <c r="B2644" i="15"/>
  <c r="B2643" i="15"/>
  <c r="B2642" i="15"/>
  <c r="B2641" i="15"/>
  <c r="B2640" i="15"/>
  <c r="B2639" i="15"/>
  <c r="B2638" i="15"/>
  <c r="B2637" i="15"/>
  <c r="B2636" i="15"/>
  <c r="B2635" i="15"/>
  <c r="B2634" i="15"/>
  <c r="B2633" i="15"/>
  <c r="B2632" i="15"/>
  <c r="B2631" i="15"/>
  <c r="B2630" i="15"/>
  <c r="B2629" i="15"/>
  <c r="B2628" i="15"/>
  <c r="B2627" i="15"/>
  <c r="B2626" i="15"/>
  <c r="B2625" i="15"/>
  <c r="B2624" i="15"/>
  <c r="B2623" i="15"/>
  <c r="B2622" i="15"/>
  <c r="B2621" i="15"/>
  <c r="B2620" i="15"/>
  <c r="B2619" i="15"/>
  <c r="B2618" i="15"/>
  <c r="B2617" i="15"/>
  <c r="B2616" i="15"/>
  <c r="B2615" i="15"/>
  <c r="B2614" i="15"/>
  <c r="B2613" i="15"/>
  <c r="B2612" i="15"/>
  <c r="B2611" i="15"/>
  <c r="B2610" i="15"/>
  <c r="B2609" i="15"/>
  <c r="B2608" i="15"/>
  <c r="B2607" i="15"/>
  <c r="B2606" i="15"/>
  <c r="B2605" i="15"/>
  <c r="B2604" i="15"/>
  <c r="B2603" i="15"/>
  <c r="B2602" i="15"/>
  <c r="B2601" i="15"/>
  <c r="B2600" i="15"/>
  <c r="B2599" i="15"/>
  <c r="B2598" i="15"/>
  <c r="B2597" i="15"/>
  <c r="B2596" i="15"/>
  <c r="B2595" i="15"/>
  <c r="B2594" i="15"/>
  <c r="B2593" i="15"/>
  <c r="B2592" i="15"/>
  <c r="B2591" i="15"/>
  <c r="B2590" i="15"/>
  <c r="B2589" i="15"/>
  <c r="B2588" i="15"/>
  <c r="B2587" i="15"/>
  <c r="B2586" i="15"/>
  <c r="B2585" i="15"/>
  <c r="B2584" i="15"/>
  <c r="B2583" i="15"/>
  <c r="B2582" i="15"/>
  <c r="B2581" i="15"/>
  <c r="B2580" i="15"/>
  <c r="B2579" i="15"/>
  <c r="B2578" i="15"/>
  <c r="B2577" i="15"/>
  <c r="B2576" i="15"/>
  <c r="B2575" i="15"/>
  <c r="B2574" i="15"/>
  <c r="B2573" i="15"/>
  <c r="B2572" i="15"/>
  <c r="B2571" i="15"/>
  <c r="B2570" i="15"/>
  <c r="B2569" i="15"/>
  <c r="B2568" i="15"/>
  <c r="B2567" i="15"/>
  <c r="B2566" i="15"/>
  <c r="B2565" i="15"/>
  <c r="B2564" i="15"/>
  <c r="B2563" i="15"/>
  <c r="B2562" i="15"/>
  <c r="B2561" i="15"/>
  <c r="B2560" i="15"/>
  <c r="B2559" i="15"/>
  <c r="B2558" i="15"/>
  <c r="B2557" i="15"/>
  <c r="B2556" i="15"/>
  <c r="B2555" i="15"/>
  <c r="B2554" i="15"/>
  <c r="B2553" i="15"/>
  <c r="B2552" i="15"/>
  <c r="B2551" i="15"/>
  <c r="B2550" i="15"/>
  <c r="B2549" i="15"/>
  <c r="B2548" i="15"/>
  <c r="B2547" i="15"/>
  <c r="B2546" i="15"/>
  <c r="B2545" i="15"/>
  <c r="B2544" i="15"/>
  <c r="B2543" i="15"/>
  <c r="B2542" i="15"/>
  <c r="B2541" i="15"/>
  <c r="B2540" i="15"/>
  <c r="B2539" i="15"/>
  <c r="B2538" i="15"/>
  <c r="B2537" i="15"/>
  <c r="B2536" i="15"/>
  <c r="B2535" i="15"/>
  <c r="B2534" i="15"/>
  <c r="B2533" i="15"/>
  <c r="B2532" i="15"/>
  <c r="B2531" i="15"/>
  <c r="B2530" i="15"/>
  <c r="B2529" i="15"/>
  <c r="B2528" i="15"/>
  <c r="B2527" i="15"/>
  <c r="B2526" i="15"/>
  <c r="B2525" i="15"/>
  <c r="B2524" i="15"/>
  <c r="B2523" i="15"/>
  <c r="B2522" i="15"/>
  <c r="B2521" i="15"/>
  <c r="B2520" i="15"/>
  <c r="B2519" i="15"/>
  <c r="B2518" i="15"/>
  <c r="B2517" i="15"/>
  <c r="B2516" i="15"/>
  <c r="B2515" i="15"/>
  <c r="B2514" i="15"/>
  <c r="B2513" i="15"/>
  <c r="B2512" i="15"/>
  <c r="B2511" i="15"/>
  <c r="B2510" i="15"/>
  <c r="B2509" i="15"/>
  <c r="B2508" i="15"/>
  <c r="B2507" i="15"/>
  <c r="B2506" i="15"/>
  <c r="B2505" i="15"/>
  <c r="B2504" i="15"/>
  <c r="B2503" i="15"/>
  <c r="B2502" i="15"/>
  <c r="B2501" i="15"/>
  <c r="B2500" i="15"/>
  <c r="B2499" i="15"/>
  <c r="B2498" i="15"/>
  <c r="B2497" i="15"/>
  <c r="B2496" i="15"/>
  <c r="B2495" i="15"/>
  <c r="B2494" i="15"/>
  <c r="B2493" i="15"/>
  <c r="B2492" i="15"/>
  <c r="B2491" i="15"/>
  <c r="B2490" i="15"/>
  <c r="B2489" i="15"/>
  <c r="B2488" i="15"/>
  <c r="B2487" i="15"/>
  <c r="B2486" i="15"/>
  <c r="B2485" i="15"/>
  <c r="B2484" i="15"/>
  <c r="B2483" i="15"/>
  <c r="B2482" i="15"/>
  <c r="B2481" i="15"/>
  <c r="B2480" i="15"/>
  <c r="B2479" i="15"/>
  <c r="B2478" i="15"/>
  <c r="B2477" i="15"/>
  <c r="B2476" i="15"/>
  <c r="B2475" i="15"/>
  <c r="B2474" i="15"/>
  <c r="B2473" i="15"/>
  <c r="B2472" i="15"/>
  <c r="B2471" i="15"/>
  <c r="B2470" i="15"/>
  <c r="B2469" i="15"/>
  <c r="B2468" i="15"/>
  <c r="B2467" i="15"/>
  <c r="B2466" i="15"/>
  <c r="B2465" i="15"/>
  <c r="B2464" i="15"/>
  <c r="B2463" i="15"/>
  <c r="B2462" i="15"/>
  <c r="B2461" i="15"/>
  <c r="B2460" i="15"/>
  <c r="B2459" i="15"/>
  <c r="B2458" i="15"/>
  <c r="B2457" i="15"/>
  <c r="B2456" i="15"/>
  <c r="B2455" i="15"/>
  <c r="B2454" i="15"/>
  <c r="B2453" i="15"/>
  <c r="B2452" i="15"/>
  <c r="B2451" i="15"/>
  <c r="B2450" i="15"/>
  <c r="B2449" i="15"/>
  <c r="B2448" i="15"/>
  <c r="B2447" i="15"/>
  <c r="B2446" i="15"/>
  <c r="B2445" i="15"/>
  <c r="B2444" i="15"/>
  <c r="B2443" i="15"/>
  <c r="B2442" i="15"/>
  <c r="B2441" i="15"/>
  <c r="B2440" i="15"/>
  <c r="B2439" i="15"/>
  <c r="B2438" i="15"/>
  <c r="B2437" i="15"/>
  <c r="B2436" i="15"/>
  <c r="B2435" i="15"/>
  <c r="B2434" i="15"/>
  <c r="B2433" i="15"/>
  <c r="B2432" i="15"/>
  <c r="B2431" i="15"/>
  <c r="B2430" i="15"/>
  <c r="B2429" i="15"/>
  <c r="B2428" i="15"/>
  <c r="B2427" i="15"/>
  <c r="B2426" i="15"/>
  <c r="B2425" i="15"/>
  <c r="B2424" i="15"/>
  <c r="B2423" i="15"/>
  <c r="B2422" i="15"/>
  <c r="B2421" i="15"/>
  <c r="B2420" i="15"/>
  <c r="B2419" i="15"/>
  <c r="B2418" i="15"/>
  <c r="B2417" i="15"/>
  <c r="B2416" i="15"/>
  <c r="B2415" i="15"/>
  <c r="B2414" i="15"/>
  <c r="B2413" i="15"/>
  <c r="B2412" i="15"/>
  <c r="B2411" i="15"/>
  <c r="B2410" i="15"/>
  <c r="B2409" i="15"/>
  <c r="B2408" i="15"/>
  <c r="B2407" i="15"/>
  <c r="B2406" i="15"/>
  <c r="B2405" i="15"/>
  <c r="B2404" i="15"/>
  <c r="B2403" i="15"/>
  <c r="B2402" i="15"/>
  <c r="B2401" i="15"/>
  <c r="B2400" i="15"/>
  <c r="B2399" i="15"/>
  <c r="B2398" i="15"/>
  <c r="B2397" i="15"/>
  <c r="B2396" i="15"/>
  <c r="B2395" i="15"/>
  <c r="B2394" i="15"/>
  <c r="B2393" i="15"/>
  <c r="B2392" i="15"/>
  <c r="B2391" i="15"/>
  <c r="B2390" i="15"/>
  <c r="B2389" i="15"/>
  <c r="B2388" i="15"/>
  <c r="B2387" i="15"/>
  <c r="B2386" i="15"/>
  <c r="B2385" i="15"/>
  <c r="B2384" i="15"/>
  <c r="B2383" i="15"/>
  <c r="B2382" i="15"/>
  <c r="B2381" i="15"/>
  <c r="B2380" i="15"/>
  <c r="B2379" i="15"/>
  <c r="B2378" i="15"/>
  <c r="B2377" i="15"/>
  <c r="B2376" i="15"/>
  <c r="B2375" i="15"/>
  <c r="B2374" i="15"/>
  <c r="B2373" i="15"/>
  <c r="B2372" i="15"/>
  <c r="B2371" i="15"/>
  <c r="B2370" i="15"/>
  <c r="B2369" i="15"/>
  <c r="B2368" i="15"/>
  <c r="B2367" i="15"/>
  <c r="B2366" i="15"/>
  <c r="B2365" i="15"/>
  <c r="B2364" i="15"/>
  <c r="B2363" i="15"/>
  <c r="B2362" i="15"/>
  <c r="B2361" i="15"/>
  <c r="B2360" i="15"/>
  <c r="B2359" i="15"/>
  <c r="B2358" i="15"/>
  <c r="B2357" i="15"/>
  <c r="B2356" i="15"/>
  <c r="B2355" i="15"/>
  <c r="B2354" i="15"/>
  <c r="B2353" i="15"/>
  <c r="B2352" i="15"/>
  <c r="B2351" i="15"/>
  <c r="B2350" i="15"/>
  <c r="B2349" i="15"/>
  <c r="B2348" i="15"/>
  <c r="B2347" i="15"/>
  <c r="B2346" i="15"/>
  <c r="B2345" i="15"/>
  <c r="B2344" i="15"/>
  <c r="B2343" i="15"/>
  <c r="B2342" i="15"/>
  <c r="B2341" i="15"/>
  <c r="B2340" i="15"/>
  <c r="B2339" i="15"/>
  <c r="B2338" i="15"/>
  <c r="B2337" i="15"/>
  <c r="B2336" i="15"/>
  <c r="B2335" i="15"/>
  <c r="B2334" i="15"/>
  <c r="B2333" i="15"/>
  <c r="B2332" i="15"/>
  <c r="B2331" i="15"/>
  <c r="B2330" i="15"/>
  <c r="B2329" i="15"/>
  <c r="B2328" i="15"/>
  <c r="B2327" i="15"/>
  <c r="B2326" i="15"/>
  <c r="B2325" i="15"/>
  <c r="B2324" i="15"/>
  <c r="B2323" i="15"/>
  <c r="B2322" i="15"/>
  <c r="B2321" i="15"/>
  <c r="B2320" i="15"/>
  <c r="B2319" i="15"/>
  <c r="B2318" i="15"/>
  <c r="B2317" i="15"/>
  <c r="B2316" i="15"/>
  <c r="B2315" i="15"/>
  <c r="B2314" i="15"/>
  <c r="B2313" i="15"/>
  <c r="B2312" i="15"/>
  <c r="B2311" i="15"/>
  <c r="B2310" i="15"/>
  <c r="B2309" i="15"/>
  <c r="B2308" i="15"/>
  <c r="B2307" i="15"/>
  <c r="B2306" i="15"/>
  <c r="B2305" i="15"/>
  <c r="B2304" i="15"/>
  <c r="B2303" i="15"/>
  <c r="B2302" i="15"/>
  <c r="B2301" i="15"/>
  <c r="B2300" i="15"/>
  <c r="B2299" i="15"/>
  <c r="B2298" i="15"/>
  <c r="B2297" i="15"/>
  <c r="B2296" i="15"/>
  <c r="B2295" i="15"/>
  <c r="B2294" i="15"/>
  <c r="B2293" i="15"/>
  <c r="B2292" i="15"/>
  <c r="B2291" i="15"/>
  <c r="B2290" i="15"/>
  <c r="B2289" i="15"/>
  <c r="B2288" i="15"/>
  <c r="B2287" i="15"/>
  <c r="B2286" i="15"/>
  <c r="B2285" i="15"/>
  <c r="B2284" i="15"/>
  <c r="B2283" i="15"/>
  <c r="B2282" i="15"/>
  <c r="B2281" i="15"/>
  <c r="B2280" i="15"/>
  <c r="B2279" i="15"/>
  <c r="B2278" i="15"/>
  <c r="B2277" i="15"/>
  <c r="B2276" i="15"/>
  <c r="B2275" i="15"/>
  <c r="B2274" i="15"/>
  <c r="B2273" i="15"/>
  <c r="B2272" i="15"/>
  <c r="B2271" i="15"/>
  <c r="B2270" i="15"/>
  <c r="B2269" i="15"/>
  <c r="B2268" i="15"/>
  <c r="B2267" i="15"/>
  <c r="B2266" i="15"/>
  <c r="B2265" i="15"/>
  <c r="B2264" i="15"/>
  <c r="B2263" i="15"/>
  <c r="B2262" i="15"/>
  <c r="B2261" i="15"/>
  <c r="B2260" i="15"/>
  <c r="B2259" i="15"/>
  <c r="B2258" i="15"/>
  <c r="B2257" i="15"/>
  <c r="B2256" i="15"/>
  <c r="B2255" i="15"/>
  <c r="B2254" i="15"/>
  <c r="B2253" i="15"/>
  <c r="B2252" i="15"/>
  <c r="B2251" i="15"/>
  <c r="B2250" i="15"/>
  <c r="B2249" i="15"/>
  <c r="B2248" i="15"/>
  <c r="B2247" i="15"/>
  <c r="B2246" i="15"/>
  <c r="B2245" i="15"/>
  <c r="B2244" i="15"/>
  <c r="B2243" i="15"/>
  <c r="B2242" i="15"/>
  <c r="B2241" i="15"/>
  <c r="B2240" i="15"/>
  <c r="B2239" i="15"/>
  <c r="B2238" i="15"/>
  <c r="B2237" i="15"/>
  <c r="B2236" i="15"/>
  <c r="B2235" i="15"/>
  <c r="B2234" i="15"/>
  <c r="B2233" i="15"/>
  <c r="B2232" i="15"/>
  <c r="B2231" i="15"/>
  <c r="B2230" i="15"/>
  <c r="B2229" i="15"/>
  <c r="B2228" i="15"/>
  <c r="B2227" i="15"/>
  <c r="B2226" i="15"/>
  <c r="B2225" i="15"/>
  <c r="B2224" i="15"/>
  <c r="B2223" i="15"/>
  <c r="B2222" i="15"/>
  <c r="B2221" i="15"/>
  <c r="B2220" i="15"/>
  <c r="B2219" i="15"/>
  <c r="B2218" i="15"/>
  <c r="B2217" i="15"/>
  <c r="B2216" i="15"/>
  <c r="B2215" i="15"/>
  <c r="B2214" i="15"/>
  <c r="B2213" i="15"/>
  <c r="B2212" i="15"/>
  <c r="B2211" i="15"/>
  <c r="B2210" i="15"/>
  <c r="B2209" i="15"/>
  <c r="B2208" i="15"/>
  <c r="B2207" i="15"/>
  <c r="B2206" i="15"/>
  <c r="B2205" i="15"/>
  <c r="B2204" i="15"/>
  <c r="B2203" i="15"/>
  <c r="B2202" i="15"/>
  <c r="B2201" i="15"/>
  <c r="B2200" i="15"/>
  <c r="B2199" i="15"/>
  <c r="B2198" i="15"/>
  <c r="B2197" i="15"/>
  <c r="B2196" i="15"/>
  <c r="B2195" i="15"/>
  <c r="B2194" i="15"/>
  <c r="B2193" i="15"/>
  <c r="B2192" i="15"/>
  <c r="B2191" i="15"/>
  <c r="B2190" i="15"/>
  <c r="B2189" i="15"/>
  <c r="B2188" i="15"/>
  <c r="B2187" i="15"/>
  <c r="B2186" i="15"/>
  <c r="B2185" i="15"/>
  <c r="B2184" i="15"/>
  <c r="B2183" i="15"/>
  <c r="B2182" i="15"/>
  <c r="B2181" i="15"/>
  <c r="B2180" i="15"/>
  <c r="B2179" i="15"/>
  <c r="B2178" i="15"/>
  <c r="B2177" i="15"/>
  <c r="B2176" i="15"/>
  <c r="B2175" i="15"/>
  <c r="B2174" i="15"/>
  <c r="B2173" i="15"/>
  <c r="B2172" i="15"/>
  <c r="B2171" i="15"/>
  <c r="B2170" i="15"/>
  <c r="B2169" i="15"/>
  <c r="B2168" i="15"/>
  <c r="B2167" i="15"/>
  <c r="B2166" i="15"/>
  <c r="B2165" i="15"/>
  <c r="B2164" i="15"/>
  <c r="B2163" i="15"/>
  <c r="B2162" i="15"/>
  <c r="B2161" i="15"/>
  <c r="B2160" i="15"/>
  <c r="B2159" i="15"/>
  <c r="B2158" i="15"/>
  <c r="B2157" i="15"/>
  <c r="B2156" i="15"/>
  <c r="B2155" i="15"/>
  <c r="B2154" i="15"/>
  <c r="B2153" i="15"/>
  <c r="B2152" i="15"/>
  <c r="B2151" i="15"/>
  <c r="B2150" i="15"/>
  <c r="B2149" i="15"/>
  <c r="B2148" i="15"/>
  <c r="B2147" i="15"/>
  <c r="B2146" i="15"/>
  <c r="B2145" i="15"/>
  <c r="B2144" i="15"/>
  <c r="B2143" i="15"/>
  <c r="B2142" i="15"/>
  <c r="B2141" i="15"/>
  <c r="B2140" i="15"/>
  <c r="B2139" i="15"/>
  <c r="B2138" i="15"/>
  <c r="B2137" i="15"/>
  <c r="B2136" i="15"/>
  <c r="B2135" i="15"/>
  <c r="B2134" i="15"/>
  <c r="B2133" i="15"/>
  <c r="B2132" i="15"/>
  <c r="B2131" i="15"/>
  <c r="B2130" i="15"/>
  <c r="B2129" i="15"/>
  <c r="B2128" i="15"/>
  <c r="B2127" i="15"/>
  <c r="B2126" i="15"/>
  <c r="B2125" i="15"/>
  <c r="B2124" i="15"/>
  <c r="B2123" i="15"/>
  <c r="B2122" i="15"/>
  <c r="B2121" i="15"/>
  <c r="B2120" i="15"/>
  <c r="B2119" i="15"/>
  <c r="B2118" i="15"/>
  <c r="B2117" i="15"/>
  <c r="B2116" i="15"/>
  <c r="B2115" i="15"/>
  <c r="B2114" i="15"/>
  <c r="B2113" i="15"/>
  <c r="B2112" i="15"/>
  <c r="B2111" i="15"/>
  <c r="B2110" i="15"/>
  <c r="B2109" i="15"/>
  <c r="B2108" i="15"/>
  <c r="B2107" i="15"/>
  <c r="B2106" i="15"/>
  <c r="B2105" i="15"/>
  <c r="B2104" i="15"/>
  <c r="B2103" i="15"/>
  <c r="B2102" i="15"/>
  <c r="B2101" i="15"/>
  <c r="B2100" i="15"/>
  <c r="B2099" i="15"/>
  <c r="B2098" i="15"/>
  <c r="B2097" i="15"/>
  <c r="B2096" i="15"/>
  <c r="B2095" i="15"/>
  <c r="B2094" i="15"/>
  <c r="B2093" i="15"/>
  <c r="B2092" i="15"/>
  <c r="B2091" i="15"/>
  <c r="B2090" i="15"/>
  <c r="B2089" i="15"/>
  <c r="B2088" i="15"/>
  <c r="B2087" i="15"/>
  <c r="B2086" i="15"/>
  <c r="B2085" i="15"/>
  <c r="B2084" i="15"/>
  <c r="B2083" i="15"/>
  <c r="B2082" i="15"/>
  <c r="B2081" i="15"/>
  <c r="B2080" i="15"/>
  <c r="B2079" i="15"/>
  <c r="B2078" i="15"/>
  <c r="B2077" i="15"/>
  <c r="B2076" i="15"/>
  <c r="B2075" i="15"/>
  <c r="B2074" i="15"/>
  <c r="B2073" i="15"/>
  <c r="B2072" i="15"/>
  <c r="B2071" i="15"/>
  <c r="B2070" i="15"/>
  <c r="B2069" i="15"/>
  <c r="B2068" i="15"/>
  <c r="B2067" i="15"/>
  <c r="B2066" i="15"/>
  <c r="B2065" i="15"/>
  <c r="B2064" i="15"/>
  <c r="B2063" i="15"/>
  <c r="B2062" i="15"/>
  <c r="B2061" i="15"/>
  <c r="B2060" i="15"/>
  <c r="B2059" i="15"/>
  <c r="B2058" i="15"/>
  <c r="B2057" i="15"/>
  <c r="B2056" i="15"/>
  <c r="B2055" i="15"/>
  <c r="B2054" i="15"/>
  <c r="B2053" i="15"/>
  <c r="B2052" i="15"/>
  <c r="B2051" i="15"/>
  <c r="B2050" i="15"/>
  <c r="B2049" i="15"/>
  <c r="B2048" i="15"/>
  <c r="B2047" i="15"/>
  <c r="B2046" i="15"/>
  <c r="B2045" i="15"/>
  <c r="B2044" i="15"/>
  <c r="B2043" i="15"/>
  <c r="B2042" i="15"/>
  <c r="B2041" i="15"/>
  <c r="B2040" i="15"/>
  <c r="B2039" i="15"/>
  <c r="B2038" i="15"/>
  <c r="B2037" i="15"/>
  <c r="B2036" i="15"/>
  <c r="B2035" i="15"/>
  <c r="B2034" i="15"/>
  <c r="B2033" i="15"/>
  <c r="B2032" i="15"/>
  <c r="B2031" i="15"/>
  <c r="B2030" i="15"/>
  <c r="B2029" i="15"/>
  <c r="B2028" i="15"/>
  <c r="B2027" i="15"/>
  <c r="B2026" i="15"/>
  <c r="B2025" i="15"/>
  <c r="B2024" i="15"/>
  <c r="B2023" i="15"/>
  <c r="B2022" i="15"/>
  <c r="B2021" i="15"/>
  <c r="B2020" i="15"/>
  <c r="B2019" i="15"/>
  <c r="B2018" i="15"/>
  <c r="B2017" i="15"/>
  <c r="B2016" i="15"/>
  <c r="B2015" i="15"/>
  <c r="B2014" i="15"/>
  <c r="B2013" i="15"/>
  <c r="B2012" i="15"/>
  <c r="B2011" i="15"/>
  <c r="B2010" i="15"/>
  <c r="B2009" i="15"/>
  <c r="B2008" i="15"/>
  <c r="B2007" i="15"/>
  <c r="B2006" i="15"/>
  <c r="B2005" i="15"/>
  <c r="B2004" i="15"/>
  <c r="B2003" i="15"/>
  <c r="B2002" i="15"/>
  <c r="B2001" i="15"/>
  <c r="B2000" i="15"/>
  <c r="B1999" i="15"/>
  <c r="B1998" i="15"/>
  <c r="B1997" i="15"/>
  <c r="B1996" i="15"/>
  <c r="B1995" i="15"/>
  <c r="B1994" i="15"/>
  <c r="B1993" i="15"/>
  <c r="B1992" i="15"/>
  <c r="B1991" i="15"/>
  <c r="B1990" i="15"/>
  <c r="B1989" i="15"/>
  <c r="B1988" i="15"/>
  <c r="B1987" i="15"/>
  <c r="B1986" i="15"/>
  <c r="B1985" i="15"/>
  <c r="B1984" i="15"/>
  <c r="B1983" i="15"/>
  <c r="B1982" i="15"/>
  <c r="B1981" i="15"/>
  <c r="B1980" i="15"/>
  <c r="B1979" i="15"/>
  <c r="B1978" i="15"/>
  <c r="B1977" i="15"/>
  <c r="B1976" i="15"/>
  <c r="B1975" i="15"/>
  <c r="B1974" i="15"/>
  <c r="B1973" i="15"/>
  <c r="B1972" i="15"/>
  <c r="B1971" i="15"/>
  <c r="B1970" i="15"/>
  <c r="B1969" i="15"/>
  <c r="B1968" i="15"/>
  <c r="B1967" i="15"/>
  <c r="B1966" i="15"/>
  <c r="B1965" i="15"/>
  <c r="B1964" i="15"/>
  <c r="B1963" i="15"/>
  <c r="B1962" i="15"/>
  <c r="B1961" i="15"/>
  <c r="B1960" i="15"/>
  <c r="B1959" i="15"/>
  <c r="B1958" i="15"/>
  <c r="B1957" i="15"/>
  <c r="B1956" i="15"/>
  <c r="B1955" i="15"/>
  <c r="B1954" i="15"/>
  <c r="B1953" i="15"/>
  <c r="B1952" i="15"/>
  <c r="B1951" i="15"/>
  <c r="B1950" i="15"/>
  <c r="B1949" i="15"/>
  <c r="B1948" i="15"/>
  <c r="B1947" i="15"/>
  <c r="B1946" i="15"/>
  <c r="B1945" i="15"/>
  <c r="B1944" i="15"/>
  <c r="B1943" i="15"/>
  <c r="B1942" i="15"/>
  <c r="B1941" i="15"/>
  <c r="B1940" i="15"/>
  <c r="B1939" i="15"/>
  <c r="B1938" i="15"/>
  <c r="B1937" i="15"/>
  <c r="B1936" i="15"/>
  <c r="B1935" i="15"/>
  <c r="B1934" i="15"/>
  <c r="B1933" i="15"/>
  <c r="B1932" i="15"/>
  <c r="B1931" i="15"/>
  <c r="B1930" i="15"/>
  <c r="B1929" i="15"/>
  <c r="B1928" i="15"/>
  <c r="B1927" i="15"/>
  <c r="B1926" i="15"/>
  <c r="B1925" i="15"/>
  <c r="B1924" i="15"/>
  <c r="B1923" i="15"/>
  <c r="B1922" i="15"/>
  <c r="B1921" i="15"/>
  <c r="B1920" i="15"/>
  <c r="B1919" i="15"/>
  <c r="B1918" i="15"/>
  <c r="B1917" i="15"/>
  <c r="B1916" i="15"/>
  <c r="B1915" i="15"/>
  <c r="B1914" i="15"/>
  <c r="B1913" i="15"/>
  <c r="B1912" i="15"/>
  <c r="B1911" i="15"/>
  <c r="B1910" i="15"/>
  <c r="B1909" i="15"/>
  <c r="B1908" i="15"/>
  <c r="B1907" i="15"/>
  <c r="B1906" i="15"/>
  <c r="B1905" i="15"/>
  <c r="B1904" i="15"/>
  <c r="B1903" i="15"/>
  <c r="B1902" i="15"/>
  <c r="B1901" i="15"/>
  <c r="B1900" i="15"/>
  <c r="B1899" i="15"/>
  <c r="B1898" i="15"/>
  <c r="B1897" i="15"/>
  <c r="B1896" i="15"/>
  <c r="B1895" i="15"/>
  <c r="B1894" i="15"/>
  <c r="B1893" i="15"/>
  <c r="B1892" i="15"/>
  <c r="B1891" i="15"/>
  <c r="B1890" i="15"/>
  <c r="B1889" i="15"/>
  <c r="B1888" i="15"/>
  <c r="B1887" i="15"/>
  <c r="B1886" i="15"/>
  <c r="B1885" i="15"/>
  <c r="B1884" i="15"/>
  <c r="B1883" i="15"/>
  <c r="B1882" i="15"/>
  <c r="B1881" i="15"/>
  <c r="B1880" i="15"/>
  <c r="B1879" i="15"/>
  <c r="B1878" i="15"/>
  <c r="B1877" i="15"/>
  <c r="B1876" i="15"/>
  <c r="B1875" i="15"/>
  <c r="B1874" i="15"/>
  <c r="B1873" i="15"/>
  <c r="B1872" i="15"/>
  <c r="B1871" i="15"/>
  <c r="B1870" i="15"/>
  <c r="B1869" i="15"/>
  <c r="B1868" i="15"/>
  <c r="B1867" i="15"/>
  <c r="B1866" i="15"/>
  <c r="B1865" i="15"/>
  <c r="B1864" i="15"/>
  <c r="B1863" i="15"/>
  <c r="B1862" i="15"/>
  <c r="B1861" i="15"/>
  <c r="B1860" i="15"/>
  <c r="B1859" i="15"/>
  <c r="B1858" i="15"/>
  <c r="B1857" i="15"/>
  <c r="B1856" i="15"/>
  <c r="B1855" i="15"/>
  <c r="B1854" i="15"/>
  <c r="B1853" i="15"/>
  <c r="B1852" i="15"/>
  <c r="B1851" i="15"/>
  <c r="B1850" i="15"/>
  <c r="B1849" i="15"/>
  <c r="B1848" i="15"/>
  <c r="B1847" i="15"/>
  <c r="B1846" i="15"/>
  <c r="B1845" i="15"/>
  <c r="B1844" i="15"/>
  <c r="B1843" i="15"/>
  <c r="B1842" i="15"/>
  <c r="B1841" i="15"/>
  <c r="B1840" i="15"/>
  <c r="B1839" i="15"/>
  <c r="B1838" i="15"/>
  <c r="B1837" i="15"/>
  <c r="B1836" i="15"/>
  <c r="B1835" i="15"/>
  <c r="B1834" i="15"/>
  <c r="B1833" i="15"/>
  <c r="B1832" i="15"/>
  <c r="B1831" i="15"/>
  <c r="B1830" i="15"/>
  <c r="B1829" i="15"/>
  <c r="B1828" i="15"/>
  <c r="B1827" i="15"/>
  <c r="B1826" i="15"/>
  <c r="B1825" i="15"/>
  <c r="B1824" i="15"/>
  <c r="B1823" i="15"/>
  <c r="B1822" i="15"/>
  <c r="B1821" i="15"/>
  <c r="B1820" i="15"/>
  <c r="B1819" i="15"/>
  <c r="B1818" i="15"/>
  <c r="B1817" i="15"/>
  <c r="B1816" i="15"/>
  <c r="B1815" i="15"/>
  <c r="B1814" i="15"/>
  <c r="B1813" i="15"/>
  <c r="B1812" i="15"/>
  <c r="B1811" i="15"/>
  <c r="B1810" i="15"/>
  <c r="B1809" i="15"/>
  <c r="B1808" i="15"/>
  <c r="B1807" i="15"/>
  <c r="B1806" i="15"/>
  <c r="B1805" i="15"/>
  <c r="B1804" i="15"/>
  <c r="B1803" i="15"/>
  <c r="B1802" i="15"/>
  <c r="B1801" i="15"/>
  <c r="B1800" i="15"/>
  <c r="B1799" i="15"/>
  <c r="B1798" i="15"/>
  <c r="B1797" i="15"/>
  <c r="B1796" i="15"/>
  <c r="B1795" i="15"/>
  <c r="B1794" i="15"/>
  <c r="B1793" i="15"/>
  <c r="B1792" i="15"/>
  <c r="B1791" i="15"/>
  <c r="B1790" i="15"/>
  <c r="B1789" i="15"/>
  <c r="B1788" i="15"/>
  <c r="B1787" i="15"/>
  <c r="B1786" i="15"/>
  <c r="B1785" i="15"/>
  <c r="B1784" i="15"/>
  <c r="B1783" i="15"/>
  <c r="B1782" i="15"/>
  <c r="B1781" i="15"/>
  <c r="B1780" i="15"/>
  <c r="B1779" i="15"/>
  <c r="B1778" i="15"/>
  <c r="B1777" i="15"/>
  <c r="B1776" i="15"/>
  <c r="B1775" i="15"/>
  <c r="B1774" i="15"/>
  <c r="B1773" i="15"/>
  <c r="B1772" i="15"/>
  <c r="B1771" i="15"/>
  <c r="B1770" i="15"/>
  <c r="B1769" i="15"/>
  <c r="B1768" i="15"/>
  <c r="B1767" i="15"/>
  <c r="B1766" i="15"/>
  <c r="B1765" i="15"/>
  <c r="B1764" i="15"/>
  <c r="B1763" i="15"/>
  <c r="B1762" i="15"/>
  <c r="B1761" i="15"/>
  <c r="B1760" i="15"/>
  <c r="B1759" i="15"/>
  <c r="B1758" i="15"/>
  <c r="B1757" i="15"/>
  <c r="B1756" i="15"/>
  <c r="B1755" i="15"/>
  <c r="B1754" i="15"/>
  <c r="B1753" i="15"/>
  <c r="B1752" i="15"/>
  <c r="B1751" i="15"/>
  <c r="B1750" i="15"/>
  <c r="B1749" i="15"/>
  <c r="B1748" i="15"/>
  <c r="B1747" i="15"/>
  <c r="B1746" i="15"/>
  <c r="B1745" i="15"/>
  <c r="B1744" i="15"/>
  <c r="B1743" i="15"/>
  <c r="B1742" i="15"/>
  <c r="B1741" i="15"/>
  <c r="B1740" i="15"/>
  <c r="B1739" i="15"/>
  <c r="B1738" i="15"/>
  <c r="B1737" i="15"/>
  <c r="B1736" i="15"/>
  <c r="B1735" i="15"/>
  <c r="B1734" i="15"/>
  <c r="B1733" i="15"/>
  <c r="B1732" i="15"/>
  <c r="B1731" i="15"/>
  <c r="B1730" i="15"/>
  <c r="B1729" i="15"/>
  <c r="B1728" i="15"/>
  <c r="B1727" i="15"/>
  <c r="B1726" i="15"/>
  <c r="B1725" i="15"/>
  <c r="B1724" i="15"/>
  <c r="B1723" i="15"/>
  <c r="B1722" i="15"/>
  <c r="B1721" i="15"/>
  <c r="B1720" i="15"/>
  <c r="B1719" i="15"/>
  <c r="B1718" i="15"/>
  <c r="B1717" i="15"/>
  <c r="B1716" i="15"/>
  <c r="B1715" i="15"/>
  <c r="B1714" i="15"/>
  <c r="B1713" i="15"/>
  <c r="B1712" i="15"/>
  <c r="B1711" i="15"/>
  <c r="B1710" i="15"/>
  <c r="B1709" i="15"/>
  <c r="B1708" i="15"/>
  <c r="B1707" i="15"/>
  <c r="B1706" i="15"/>
  <c r="B1705" i="15"/>
  <c r="B1704" i="15"/>
  <c r="B1703" i="15"/>
  <c r="B1702" i="15"/>
  <c r="B1701" i="15"/>
  <c r="B1700" i="15"/>
  <c r="B1699" i="15"/>
  <c r="B1698" i="15"/>
  <c r="B1697" i="15"/>
  <c r="B1696" i="15"/>
  <c r="B1695" i="15"/>
  <c r="B1694" i="15"/>
  <c r="B1693" i="15"/>
  <c r="B1692" i="15"/>
  <c r="B1691" i="15"/>
  <c r="B1690" i="15"/>
  <c r="B1689" i="15"/>
  <c r="B1688" i="15"/>
  <c r="B1687" i="15"/>
  <c r="B1686" i="15"/>
  <c r="B1685" i="15"/>
  <c r="B1684" i="15"/>
  <c r="B1683" i="15"/>
  <c r="B1682" i="15"/>
  <c r="B1681" i="15"/>
  <c r="B1680" i="15"/>
  <c r="B1679" i="15"/>
  <c r="B1678" i="15"/>
  <c r="B1677" i="15"/>
  <c r="B1676" i="15"/>
  <c r="B1675" i="15"/>
  <c r="B1674" i="15"/>
  <c r="B1673" i="15"/>
  <c r="B1672" i="15"/>
  <c r="B1671" i="15"/>
  <c r="B1670" i="15"/>
  <c r="B1669" i="15"/>
  <c r="B1668" i="15"/>
  <c r="B1667" i="15"/>
  <c r="B1666" i="15"/>
  <c r="B1665" i="15"/>
  <c r="B1664" i="15"/>
  <c r="B1663" i="15"/>
  <c r="B1662" i="15"/>
  <c r="B1661" i="15"/>
  <c r="B1660" i="15"/>
  <c r="B1659" i="15"/>
  <c r="B1658" i="15"/>
  <c r="B1657" i="15"/>
  <c r="B1656" i="15"/>
  <c r="B1655" i="15"/>
  <c r="B1654" i="15"/>
  <c r="B1653" i="15"/>
  <c r="B1652" i="15"/>
  <c r="B1651" i="15"/>
  <c r="B1650" i="15"/>
  <c r="B1649" i="15"/>
  <c r="B1648" i="15"/>
  <c r="B1647" i="15"/>
  <c r="B1646" i="15"/>
  <c r="B1645" i="15"/>
  <c r="B1644" i="15"/>
  <c r="B1643" i="15"/>
  <c r="B1642" i="15"/>
  <c r="B1641" i="15"/>
  <c r="B1640" i="15"/>
  <c r="B1639" i="15"/>
  <c r="B1638" i="15"/>
  <c r="B1637" i="15"/>
  <c r="B1636" i="15"/>
  <c r="B1635" i="15"/>
  <c r="B1634" i="15"/>
  <c r="B1633" i="15"/>
  <c r="B1632" i="15"/>
  <c r="B1631" i="15"/>
  <c r="B1630" i="15"/>
  <c r="B1629" i="15"/>
  <c r="B1628" i="15"/>
  <c r="B1627" i="15"/>
  <c r="B1626" i="15"/>
  <c r="B1625" i="15"/>
  <c r="B1624" i="15"/>
  <c r="B1623" i="15"/>
  <c r="B1622" i="15"/>
  <c r="B1621" i="15"/>
  <c r="B1620" i="15"/>
  <c r="B1619" i="15"/>
  <c r="B1618" i="15"/>
  <c r="B1617" i="15"/>
  <c r="B1616" i="15"/>
  <c r="B1615" i="15"/>
  <c r="B1614" i="15"/>
  <c r="B1613" i="15"/>
  <c r="B1612" i="15"/>
  <c r="B1611" i="15"/>
  <c r="B1610" i="15"/>
  <c r="B1609" i="15"/>
  <c r="B1608" i="15"/>
  <c r="B1607" i="15"/>
  <c r="B1606" i="15"/>
  <c r="B1605" i="15"/>
  <c r="B1604" i="15"/>
  <c r="B1603" i="15"/>
  <c r="B1602" i="15"/>
  <c r="B1601" i="15"/>
  <c r="B1600" i="15"/>
  <c r="B1599" i="15"/>
  <c r="B1598" i="15"/>
  <c r="B1597" i="15"/>
  <c r="B1596" i="15"/>
  <c r="B1595" i="15"/>
  <c r="B1594" i="15"/>
  <c r="B1593" i="15"/>
  <c r="B1592" i="15"/>
  <c r="B1591" i="15"/>
  <c r="B1590" i="15"/>
  <c r="B1589" i="15"/>
  <c r="B1588" i="15"/>
  <c r="B1587" i="15"/>
  <c r="B1586" i="15"/>
  <c r="B1585" i="15"/>
  <c r="B1584" i="15"/>
  <c r="B1583" i="15"/>
  <c r="B1582" i="15"/>
  <c r="B1581" i="15"/>
  <c r="B1580" i="15"/>
  <c r="B1579" i="15"/>
  <c r="B1578" i="15"/>
  <c r="B1577" i="15"/>
  <c r="B1576" i="15"/>
  <c r="B1575" i="15"/>
  <c r="B1574" i="15"/>
  <c r="B1573" i="15"/>
  <c r="B1572" i="15"/>
  <c r="B1571" i="15"/>
  <c r="B1570" i="15"/>
  <c r="B1569" i="15"/>
  <c r="B1568" i="15"/>
  <c r="B1567" i="15"/>
  <c r="B1566" i="15"/>
  <c r="B1565" i="15"/>
  <c r="B1564" i="15"/>
  <c r="B1563" i="15"/>
  <c r="B1562" i="15"/>
  <c r="B1561" i="15"/>
  <c r="B1560" i="15"/>
  <c r="B1559" i="15"/>
  <c r="B1558" i="15"/>
  <c r="B1557" i="15"/>
  <c r="B1556" i="15"/>
  <c r="B1555" i="15"/>
  <c r="B1554" i="15"/>
  <c r="B1553" i="15"/>
  <c r="B1552" i="15"/>
  <c r="B1551" i="15"/>
  <c r="B1550" i="15"/>
  <c r="B1549" i="15"/>
  <c r="B1548" i="15"/>
  <c r="B1547" i="15"/>
  <c r="B1546" i="15"/>
  <c r="B1545" i="15"/>
  <c r="B1544" i="15"/>
  <c r="B1543" i="15"/>
  <c r="B1542" i="15"/>
  <c r="B1541" i="15"/>
  <c r="B1540" i="15"/>
  <c r="B1539" i="15"/>
  <c r="B1538" i="15"/>
  <c r="B1537" i="15"/>
  <c r="B1536" i="15"/>
  <c r="B1535" i="15"/>
  <c r="B1534" i="15"/>
  <c r="B1533" i="15"/>
  <c r="B1532" i="15"/>
  <c r="B1531" i="15"/>
  <c r="B1530" i="15"/>
  <c r="B1529" i="15"/>
  <c r="B1528" i="15"/>
  <c r="B1527" i="15"/>
  <c r="B1526" i="15"/>
  <c r="B1525" i="15"/>
  <c r="B1524" i="15"/>
  <c r="B1523" i="15"/>
  <c r="B1522" i="15"/>
  <c r="B1521" i="15"/>
  <c r="B1520" i="15"/>
  <c r="B1519" i="15"/>
  <c r="B1518" i="15"/>
  <c r="B1517" i="15"/>
  <c r="B1516" i="15"/>
  <c r="B1515" i="15"/>
  <c r="B1514" i="15"/>
  <c r="B1513" i="15"/>
  <c r="B1512" i="15"/>
  <c r="B1511" i="15"/>
  <c r="B1510" i="15"/>
  <c r="B1509" i="15"/>
  <c r="B1508" i="15"/>
  <c r="B1507" i="15"/>
  <c r="B1506" i="15"/>
  <c r="B1505" i="15"/>
  <c r="B1504" i="15"/>
  <c r="B1503" i="15"/>
  <c r="B1502" i="15"/>
  <c r="B1501" i="15"/>
  <c r="B1500" i="15"/>
  <c r="B1499" i="15"/>
  <c r="B1498" i="15"/>
  <c r="B1497" i="15"/>
  <c r="B1496" i="15"/>
  <c r="B1495" i="15"/>
  <c r="B1494" i="15"/>
  <c r="B1493" i="15"/>
  <c r="B1492" i="15"/>
  <c r="B1491" i="15"/>
  <c r="B1490" i="15"/>
  <c r="B1489" i="15"/>
  <c r="B1488" i="15"/>
  <c r="B1487" i="15"/>
  <c r="B1486" i="15"/>
  <c r="B1485" i="15"/>
  <c r="B1484" i="15"/>
  <c r="B1483" i="15"/>
  <c r="B1482" i="15"/>
  <c r="B1481" i="15"/>
  <c r="B1480" i="15"/>
  <c r="B1479" i="15"/>
  <c r="B1478" i="15"/>
  <c r="B1477" i="15"/>
  <c r="B1476" i="15"/>
  <c r="B1475" i="15"/>
  <c r="B1474" i="15"/>
  <c r="B1473" i="15"/>
  <c r="B1472" i="15"/>
  <c r="B1471" i="15"/>
  <c r="B1470" i="15"/>
  <c r="B1469" i="15"/>
  <c r="B1468" i="15"/>
  <c r="B1467" i="15"/>
  <c r="B1466" i="15"/>
  <c r="B1465" i="15"/>
  <c r="B1464" i="15"/>
  <c r="B1463" i="15"/>
  <c r="B1462" i="15"/>
  <c r="B1461" i="15"/>
  <c r="B1460" i="15"/>
  <c r="B1459" i="15"/>
  <c r="B1458" i="15"/>
  <c r="B1457" i="15"/>
  <c r="B1456" i="15"/>
  <c r="B1455" i="15"/>
  <c r="B1454" i="15"/>
  <c r="B1453" i="15"/>
  <c r="B1452" i="15"/>
  <c r="B1451" i="15"/>
  <c r="B1450" i="15"/>
  <c r="B1449" i="15"/>
  <c r="B1448" i="15"/>
  <c r="B1447" i="15"/>
  <c r="B1446" i="15"/>
  <c r="B1445" i="15"/>
  <c r="B1444" i="15"/>
  <c r="B1443" i="15"/>
  <c r="B1442" i="15"/>
  <c r="B1441" i="15"/>
  <c r="B1440" i="15"/>
  <c r="B1439" i="15"/>
  <c r="B1438" i="15"/>
  <c r="B1437" i="15"/>
  <c r="B1436" i="15"/>
  <c r="B1435" i="15"/>
  <c r="B1434" i="15"/>
  <c r="B1433" i="15"/>
  <c r="B1432" i="15"/>
  <c r="B1431" i="15"/>
  <c r="B1430" i="15"/>
  <c r="B1429" i="15"/>
  <c r="B1428" i="15"/>
  <c r="B1427" i="15"/>
  <c r="B1426" i="15"/>
  <c r="B1425" i="15"/>
  <c r="B1424" i="15"/>
  <c r="B1423" i="15"/>
  <c r="B1422" i="15"/>
  <c r="B1421" i="15"/>
  <c r="B1420" i="15"/>
  <c r="B1419" i="15"/>
  <c r="B1418" i="15"/>
  <c r="B1417" i="15"/>
  <c r="B1416" i="15"/>
  <c r="B1415" i="15"/>
  <c r="B1414" i="15"/>
  <c r="B1413" i="15"/>
  <c r="B1412" i="15"/>
  <c r="B1411" i="15"/>
  <c r="B1410" i="15"/>
  <c r="B1409" i="15"/>
  <c r="B1408" i="15"/>
  <c r="B1407" i="15"/>
  <c r="B1406" i="15"/>
  <c r="B1405" i="15"/>
  <c r="B1404" i="15"/>
  <c r="B1403" i="15"/>
  <c r="B1402" i="15"/>
  <c r="B1401" i="15"/>
  <c r="B1400" i="15"/>
  <c r="B1399" i="15"/>
  <c r="B1398" i="15"/>
  <c r="B1397" i="15"/>
  <c r="B1396" i="15"/>
  <c r="B1395" i="15"/>
  <c r="B1394" i="15"/>
  <c r="B1393" i="15"/>
  <c r="B1392" i="15"/>
  <c r="B1391" i="15"/>
  <c r="B1390" i="15"/>
  <c r="B1389" i="15"/>
  <c r="B1388" i="15"/>
  <c r="B1387" i="15"/>
  <c r="B1386" i="15"/>
  <c r="B1385" i="15"/>
  <c r="B1384" i="15"/>
  <c r="B1383" i="15"/>
  <c r="B1382" i="15"/>
  <c r="B1381" i="15"/>
  <c r="B1380" i="15"/>
  <c r="B1379" i="15"/>
  <c r="B1378" i="15"/>
  <c r="B1377" i="15"/>
  <c r="B1376" i="15"/>
  <c r="B1375" i="15"/>
  <c r="B1374" i="15"/>
  <c r="B1373" i="15"/>
  <c r="B1372" i="15"/>
  <c r="B1371" i="15"/>
  <c r="B1370" i="15"/>
  <c r="B1369" i="15"/>
  <c r="B1368" i="15"/>
  <c r="B1367" i="15"/>
  <c r="B1366" i="15"/>
  <c r="B1365" i="15"/>
  <c r="B1364" i="15"/>
  <c r="B1363" i="15"/>
  <c r="B1362" i="15"/>
  <c r="B1361" i="15"/>
  <c r="B1360" i="15"/>
  <c r="B1359" i="15"/>
  <c r="B1358" i="15"/>
  <c r="B1357" i="15"/>
  <c r="B1356" i="15"/>
  <c r="B1355" i="15"/>
  <c r="B1354" i="15"/>
  <c r="B1353" i="15"/>
  <c r="B1352" i="15"/>
  <c r="B1351" i="15"/>
  <c r="B1350" i="15"/>
  <c r="B1349" i="15"/>
  <c r="B1348" i="15"/>
  <c r="B1347" i="15"/>
  <c r="B1346" i="15"/>
  <c r="B1345" i="15"/>
  <c r="B1344" i="15"/>
  <c r="B1343" i="15"/>
  <c r="B1342" i="15"/>
  <c r="B1341" i="15"/>
  <c r="B1340" i="15"/>
  <c r="B1339" i="15"/>
  <c r="B1338" i="15"/>
  <c r="B1337" i="15"/>
  <c r="B1336" i="15"/>
  <c r="B1335" i="15"/>
  <c r="B1334" i="15"/>
  <c r="B1333" i="15"/>
  <c r="B1332" i="15"/>
  <c r="B1331" i="15"/>
  <c r="B1330" i="15"/>
  <c r="B1329" i="15"/>
  <c r="B1328" i="15"/>
  <c r="B1327" i="15"/>
  <c r="B1326" i="15"/>
  <c r="B1325" i="15"/>
  <c r="B1324" i="15"/>
  <c r="B1323" i="15"/>
  <c r="B1322" i="15"/>
  <c r="B1321" i="15"/>
  <c r="B1320" i="15"/>
  <c r="B1319" i="15"/>
  <c r="B1318" i="15"/>
  <c r="B1317" i="15"/>
  <c r="B1316" i="15"/>
  <c r="B1315" i="15"/>
  <c r="B1314" i="15"/>
  <c r="B1313" i="15"/>
  <c r="B1312" i="15"/>
  <c r="B1311" i="15"/>
  <c r="B1310" i="15"/>
  <c r="B1309" i="15"/>
  <c r="B1308" i="15"/>
  <c r="B1307" i="15"/>
  <c r="B1306" i="15"/>
  <c r="B1305" i="15"/>
  <c r="B1304" i="15"/>
  <c r="B1303" i="15"/>
  <c r="B1302" i="15"/>
  <c r="B1301" i="15"/>
  <c r="B1300" i="15"/>
  <c r="B1299" i="15"/>
  <c r="B1298" i="15"/>
  <c r="B1297" i="15"/>
  <c r="B1296" i="15"/>
  <c r="B1295" i="15"/>
  <c r="B1294" i="15"/>
  <c r="B1293" i="15"/>
  <c r="B1292" i="15"/>
  <c r="B1291" i="15"/>
  <c r="B1290" i="15"/>
  <c r="B1289" i="15"/>
  <c r="B1288" i="15"/>
  <c r="B1287" i="15"/>
  <c r="B1286" i="15"/>
  <c r="B1285" i="15"/>
  <c r="B1284" i="15"/>
  <c r="B1283" i="15"/>
  <c r="B1282" i="15"/>
  <c r="B1281" i="15"/>
  <c r="B1280" i="15"/>
  <c r="B1279" i="15"/>
  <c r="B1278" i="15"/>
  <c r="B1277" i="15"/>
  <c r="B1276" i="15"/>
  <c r="B1275" i="15"/>
  <c r="B1274" i="15"/>
  <c r="B1273" i="15"/>
  <c r="B1272" i="15"/>
  <c r="B1271" i="15"/>
  <c r="B1270" i="15"/>
  <c r="B1269" i="15"/>
  <c r="B1268" i="15"/>
  <c r="B1267" i="15"/>
  <c r="B1266" i="15"/>
  <c r="B1265" i="15"/>
  <c r="B1264" i="15"/>
  <c r="B1263" i="15"/>
  <c r="B1262" i="15"/>
  <c r="B1261" i="15"/>
  <c r="B1260" i="15"/>
  <c r="B1259" i="15"/>
  <c r="B1258" i="15"/>
  <c r="B1257" i="15"/>
  <c r="B1256" i="15"/>
  <c r="B1255" i="15"/>
  <c r="B1254" i="15"/>
  <c r="B1253" i="15"/>
  <c r="B1252" i="15"/>
  <c r="B1251" i="15"/>
  <c r="B1250" i="15"/>
  <c r="B1249" i="15"/>
  <c r="B1248" i="15"/>
  <c r="B1247" i="15"/>
  <c r="B1246" i="15"/>
  <c r="B1245" i="15"/>
  <c r="B1244" i="15"/>
  <c r="B1243" i="15"/>
  <c r="B1242" i="15"/>
  <c r="B1241" i="15"/>
  <c r="B1240" i="15"/>
  <c r="B1239" i="15"/>
  <c r="B1238" i="15"/>
  <c r="B1237" i="15"/>
  <c r="B1236" i="15"/>
  <c r="B1235" i="15"/>
  <c r="B1234" i="15"/>
  <c r="B1233" i="15"/>
  <c r="B1232" i="15"/>
  <c r="B1231" i="15"/>
  <c r="B1230" i="15"/>
  <c r="B1229" i="15"/>
  <c r="B1228" i="15"/>
  <c r="B1227" i="15"/>
  <c r="B1226" i="15"/>
  <c r="B1225" i="15"/>
  <c r="B1224" i="15"/>
  <c r="B1223" i="15"/>
  <c r="B1222" i="15"/>
  <c r="B1221" i="15"/>
  <c r="B1220" i="15"/>
  <c r="B1219" i="15"/>
  <c r="B1218" i="15"/>
  <c r="B1217" i="15"/>
  <c r="B1216" i="15"/>
  <c r="B1215" i="15"/>
  <c r="B1214" i="15"/>
  <c r="B1213" i="15"/>
  <c r="B1212" i="15"/>
  <c r="B1211" i="15"/>
  <c r="B1210" i="15"/>
  <c r="B1209" i="15"/>
  <c r="B1208" i="15"/>
  <c r="B1207" i="15"/>
  <c r="B1206" i="15"/>
  <c r="B1205" i="15"/>
  <c r="B1204" i="15"/>
  <c r="B1203" i="15"/>
  <c r="B1202" i="15"/>
  <c r="B1201" i="15"/>
  <c r="B1200" i="15"/>
  <c r="B1199" i="15"/>
  <c r="B1198" i="15"/>
  <c r="B1197" i="15"/>
  <c r="B1196" i="15"/>
  <c r="B1195" i="15"/>
  <c r="B1194" i="15"/>
  <c r="B1193" i="15"/>
  <c r="B1192" i="15"/>
  <c r="B1191" i="15"/>
  <c r="B1190" i="15"/>
  <c r="B1189" i="15"/>
  <c r="B1188" i="15"/>
  <c r="B1187" i="15"/>
  <c r="B1186" i="15"/>
  <c r="B1185" i="15"/>
  <c r="B1184" i="15"/>
  <c r="B1183" i="15"/>
  <c r="B1182" i="15"/>
  <c r="B1181" i="15"/>
  <c r="B1180" i="15"/>
  <c r="B1179" i="15"/>
  <c r="B1178" i="15"/>
  <c r="B1177" i="15"/>
  <c r="B1176" i="15"/>
  <c r="B1175" i="15"/>
  <c r="B1174" i="15"/>
  <c r="B1173" i="15"/>
  <c r="B1172" i="15"/>
  <c r="B1171" i="15"/>
  <c r="B1170" i="15"/>
  <c r="B1169" i="15"/>
  <c r="B1168" i="15"/>
  <c r="B1167" i="15"/>
  <c r="B1166" i="15"/>
  <c r="B1165" i="15"/>
  <c r="B1164" i="15"/>
  <c r="B1163" i="15"/>
  <c r="B1162" i="15"/>
  <c r="B1161" i="15"/>
  <c r="B1160" i="15"/>
  <c r="B1159" i="15"/>
  <c r="B1158" i="15"/>
  <c r="B1157" i="15"/>
  <c r="B1156" i="15"/>
  <c r="B1155" i="15"/>
  <c r="B1154" i="15"/>
  <c r="B1153" i="15"/>
  <c r="B1152" i="15"/>
  <c r="B1151" i="15"/>
  <c r="B1150" i="15"/>
  <c r="B1149" i="15"/>
  <c r="B1148" i="15"/>
  <c r="B1147" i="15"/>
  <c r="B1146" i="15"/>
  <c r="B1145" i="15"/>
  <c r="B1144" i="15"/>
  <c r="B1143" i="15"/>
  <c r="B1142" i="15"/>
  <c r="B1141" i="15"/>
  <c r="B1140" i="15"/>
  <c r="B1139" i="15"/>
  <c r="B1138" i="15"/>
  <c r="B1137" i="15"/>
  <c r="B1136" i="15"/>
  <c r="B1135" i="15"/>
  <c r="B1134" i="15"/>
  <c r="B1133" i="15"/>
  <c r="B1132" i="15"/>
  <c r="B1131" i="15"/>
  <c r="B1130" i="15"/>
  <c r="B1129" i="15"/>
  <c r="B1128" i="15"/>
  <c r="B1127" i="15"/>
  <c r="B1126" i="15"/>
  <c r="B1125" i="15"/>
  <c r="B1124" i="15"/>
  <c r="B1123" i="15"/>
  <c r="B1122" i="15"/>
  <c r="B1121" i="15"/>
  <c r="B1120" i="15"/>
  <c r="B1119" i="15"/>
  <c r="B1118" i="15"/>
  <c r="B1117" i="15"/>
  <c r="B1116" i="15"/>
  <c r="B1115" i="15"/>
  <c r="B1114" i="15"/>
  <c r="B1113" i="15"/>
  <c r="B1112" i="15"/>
  <c r="B1111" i="15"/>
  <c r="B1110" i="15"/>
  <c r="B1109" i="15"/>
  <c r="B1108" i="15"/>
  <c r="B1107" i="15"/>
  <c r="B1106" i="15"/>
  <c r="B1105" i="15"/>
  <c r="B1104" i="15"/>
  <c r="B1103" i="15"/>
  <c r="B1102" i="15"/>
  <c r="B1101" i="15"/>
  <c r="B1100" i="15"/>
  <c r="B1099" i="15"/>
  <c r="B1098" i="15"/>
  <c r="B1097" i="15"/>
  <c r="B1096" i="15"/>
  <c r="B1095" i="15"/>
  <c r="B1094" i="15"/>
  <c r="B1093" i="15"/>
  <c r="B1092" i="15"/>
  <c r="B1091" i="15"/>
  <c r="B1090" i="15"/>
  <c r="B1089" i="15"/>
  <c r="B1088" i="15"/>
  <c r="B1087" i="15"/>
  <c r="B1086" i="15"/>
  <c r="B1085" i="15"/>
  <c r="B1084" i="15"/>
  <c r="B1083" i="15"/>
  <c r="B1082" i="15"/>
  <c r="B1081" i="15"/>
  <c r="B1080" i="15"/>
  <c r="B1079" i="15"/>
  <c r="B1078" i="15"/>
  <c r="B1077" i="15"/>
  <c r="B1076" i="15"/>
  <c r="B1075" i="15"/>
  <c r="B1074" i="15"/>
  <c r="B1073" i="15"/>
  <c r="B1072" i="15"/>
  <c r="B1071" i="15"/>
  <c r="B1070" i="15"/>
  <c r="B1069" i="15"/>
  <c r="B1068" i="15"/>
  <c r="B1067" i="15"/>
  <c r="B1066" i="15"/>
  <c r="B1065" i="15"/>
  <c r="B1064" i="15"/>
  <c r="B1063" i="15"/>
  <c r="B1062" i="15"/>
  <c r="B1061" i="15"/>
  <c r="B1060" i="15"/>
  <c r="B1059" i="15"/>
  <c r="B1058" i="15"/>
  <c r="B1057" i="15"/>
  <c r="B1056" i="15"/>
  <c r="B1055" i="15"/>
  <c r="B1054" i="15"/>
  <c r="B1053" i="15"/>
  <c r="B1052" i="15"/>
  <c r="B1051" i="15"/>
  <c r="B1050" i="15"/>
  <c r="B1049" i="15"/>
  <c r="B1048" i="15"/>
  <c r="B1047" i="15"/>
  <c r="B1046" i="15"/>
  <c r="B1045" i="15"/>
  <c r="B1044" i="15"/>
  <c r="B1043" i="15"/>
  <c r="B1042" i="15"/>
  <c r="B1041" i="15"/>
  <c r="B1040" i="15"/>
  <c r="B1039" i="15"/>
  <c r="B1038" i="15"/>
  <c r="B1037" i="15"/>
  <c r="B1036" i="15"/>
  <c r="B1035" i="15"/>
  <c r="B1034" i="15"/>
  <c r="B1033" i="15"/>
  <c r="B1032" i="15"/>
  <c r="B1031" i="15"/>
  <c r="B1030" i="15"/>
  <c r="B1029" i="15"/>
  <c r="B1028" i="15"/>
  <c r="B1027" i="15"/>
  <c r="B1026" i="15"/>
  <c r="B1025" i="15"/>
  <c r="B1024" i="15"/>
  <c r="B1023" i="15"/>
  <c r="B1022" i="15"/>
  <c r="B1021" i="15"/>
  <c r="B1020" i="15"/>
  <c r="B1019" i="15"/>
  <c r="B1018" i="15"/>
  <c r="B1017" i="15"/>
  <c r="B1016" i="15"/>
  <c r="B1015" i="15"/>
  <c r="B1014" i="15"/>
  <c r="B1013" i="15"/>
  <c r="B1012" i="15"/>
  <c r="B1011" i="15"/>
  <c r="B1010" i="15"/>
  <c r="B1009" i="15"/>
  <c r="B1008" i="15"/>
  <c r="B1007" i="15"/>
  <c r="B1006" i="15"/>
  <c r="B1005" i="15"/>
  <c r="B1004" i="15"/>
  <c r="B1003" i="15"/>
  <c r="B1002" i="15"/>
  <c r="B1001" i="15"/>
  <c r="B1000" i="15"/>
  <c r="B999" i="15"/>
  <c r="B998" i="15"/>
  <c r="B997" i="15"/>
  <c r="B996" i="15"/>
  <c r="B995" i="15"/>
  <c r="B994" i="15"/>
  <c r="B993" i="15"/>
  <c r="B992" i="15"/>
  <c r="B991" i="15"/>
  <c r="B990" i="15"/>
  <c r="B989" i="15"/>
  <c r="B988" i="15"/>
  <c r="B987" i="15"/>
  <c r="B986" i="15"/>
  <c r="B985" i="15"/>
  <c r="B984" i="15"/>
  <c r="B983" i="15"/>
  <c r="B982" i="15"/>
  <c r="B981" i="15"/>
  <c r="B980" i="15"/>
  <c r="B979" i="15"/>
  <c r="B978" i="15"/>
  <c r="B977" i="15"/>
  <c r="B976" i="15"/>
  <c r="B975" i="15"/>
  <c r="B974" i="15"/>
  <c r="B973" i="15"/>
  <c r="B972" i="15"/>
  <c r="B971" i="15"/>
  <c r="B970" i="15"/>
  <c r="B969" i="15"/>
  <c r="B968" i="15"/>
  <c r="B967" i="15"/>
  <c r="B966" i="15"/>
  <c r="B965" i="15"/>
  <c r="B964" i="15"/>
  <c r="B963" i="15"/>
  <c r="B962" i="15"/>
  <c r="B961" i="15"/>
  <c r="B960" i="15"/>
  <c r="B959" i="15"/>
  <c r="B958" i="15"/>
  <c r="B957" i="15"/>
  <c r="B956" i="15"/>
  <c r="B955" i="15"/>
  <c r="B954" i="15"/>
  <c r="B953" i="15"/>
  <c r="B952" i="15"/>
  <c r="B951" i="15"/>
  <c r="B950" i="15"/>
  <c r="B949" i="15"/>
  <c r="B948" i="15"/>
  <c r="B947" i="15"/>
  <c r="B946" i="15"/>
  <c r="B945" i="15"/>
  <c r="B944" i="15"/>
  <c r="B943" i="15"/>
  <c r="B942" i="15"/>
  <c r="B941" i="15"/>
  <c r="B940" i="15"/>
  <c r="B939" i="15"/>
  <c r="B938" i="15"/>
  <c r="B937" i="15"/>
  <c r="B936" i="15"/>
  <c r="B935" i="15"/>
  <c r="B934" i="15"/>
  <c r="B933" i="15"/>
  <c r="B932" i="15"/>
  <c r="B931" i="15"/>
  <c r="B930" i="15"/>
  <c r="B929" i="15"/>
  <c r="B928" i="15"/>
  <c r="B927" i="15"/>
  <c r="B926" i="15"/>
  <c r="B925" i="15"/>
  <c r="B924" i="15"/>
  <c r="B923" i="15"/>
  <c r="B922" i="15"/>
  <c r="B921" i="15"/>
  <c r="B920" i="15"/>
  <c r="B919" i="15"/>
  <c r="B918" i="15"/>
  <c r="B917" i="15"/>
  <c r="B916" i="15"/>
  <c r="B915" i="15"/>
  <c r="B914" i="15"/>
  <c r="B913" i="15"/>
  <c r="B912" i="15"/>
  <c r="B911" i="15"/>
  <c r="B910" i="15"/>
  <c r="B909" i="15"/>
  <c r="B908" i="15"/>
  <c r="B907" i="15"/>
  <c r="B906" i="15"/>
  <c r="B905" i="15"/>
  <c r="B904" i="15"/>
  <c r="B903" i="15"/>
  <c r="B902" i="15"/>
  <c r="B901" i="15"/>
  <c r="B900" i="15"/>
  <c r="B899" i="15"/>
  <c r="B898" i="15"/>
  <c r="B897" i="15"/>
  <c r="B896" i="15"/>
  <c r="B895" i="15"/>
  <c r="B894" i="15"/>
  <c r="B893" i="15"/>
  <c r="B892" i="15"/>
  <c r="B891" i="15"/>
  <c r="B890" i="15"/>
  <c r="B889" i="15"/>
  <c r="B888" i="15"/>
  <c r="B887" i="15"/>
  <c r="B886" i="15"/>
  <c r="B885" i="15"/>
  <c r="B884" i="15"/>
  <c r="B883" i="15"/>
  <c r="B882" i="15"/>
  <c r="B881" i="15"/>
  <c r="B880" i="15"/>
  <c r="B879" i="15"/>
  <c r="B878" i="15"/>
  <c r="B877" i="15"/>
  <c r="B876" i="15"/>
  <c r="B875" i="15"/>
  <c r="B874" i="15"/>
  <c r="B873" i="15"/>
  <c r="B872" i="15"/>
  <c r="B871" i="15"/>
  <c r="B870" i="15"/>
  <c r="B869" i="15"/>
  <c r="B868" i="15"/>
  <c r="B867" i="15"/>
  <c r="B866" i="15"/>
  <c r="B865" i="15"/>
  <c r="B864" i="15"/>
  <c r="B863" i="15"/>
  <c r="B862" i="15"/>
  <c r="B861" i="15"/>
  <c r="B860" i="15"/>
  <c r="B859" i="15"/>
  <c r="B858" i="15"/>
  <c r="B857" i="15"/>
  <c r="B856" i="15"/>
  <c r="B855" i="15"/>
  <c r="B854" i="15"/>
  <c r="B853" i="15"/>
  <c r="B852" i="15"/>
  <c r="B851" i="15"/>
  <c r="B850" i="15"/>
  <c r="B849" i="15"/>
  <c r="B848" i="15"/>
  <c r="B847" i="15"/>
  <c r="B846" i="15"/>
  <c r="B845" i="15"/>
  <c r="B844" i="15"/>
  <c r="B843" i="15"/>
  <c r="B842" i="15"/>
  <c r="B841" i="15"/>
  <c r="B840" i="15"/>
  <c r="B839" i="15"/>
  <c r="B838" i="15"/>
  <c r="B837" i="15"/>
  <c r="B836" i="15"/>
  <c r="B835" i="15"/>
  <c r="B834" i="15"/>
  <c r="B833" i="15"/>
  <c r="B832" i="15"/>
  <c r="B831" i="15"/>
  <c r="B830" i="15"/>
  <c r="B829" i="15"/>
  <c r="B828" i="15"/>
  <c r="B827" i="15"/>
  <c r="B826" i="15"/>
  <c r="B825" i="15"/>
  <c r="B824" i="15"/>
  <c r="B823" i="15"/>
  <c r="B822" i="15"/>
  <c r="B821" i="15"/>
  <c r="B820" i="15"/>
  <c r="B819" i="15"/>
  <c r="B818" i="15"/>
  <c r="B817" i="15"/>
  <c r="B816" i="15"/>
  <c r="B815" i="15"/>
  <c r="B814" i="15"/>
  <c r="B813" i="15"/>
  <c r="B812" i="15"/>
  <c r="B811" i="15"/>
  <c r="B810" i="15"/>
  <c r="B809" i="15"/>
  <c r="B808" i="15"/>
  <c r="B807" i="15"/>
  <c r="B806" i="15"/>
  <c r="B805" i="15"/>
  <c r="B804" i="15"/>
  <c r="B803" i="15"/>
  <c r="B802" i="15"/>
  <c r="B801" i="15"/>
  <c r="B800" i="15"/>
  <c r="B799" i="15"/>
  <c r="B798" i="15"/>
  <c r="B797" i="15"/>
  <c r="B796" i="15"/>
  <c r="B795" i="15"/>
  <c r="B794" i="15"/>
  <c r="B793" i="15"/>
  <c r="B792" i="15"/>
  <c r="B791" i="15"/>
  <c r="B790" i="15"/>
  <c r="B789" i="15"/>
  <c r="B788" i="15"/>
  <c r="B787" i="15"/>
  <c r="B786" i="15"/>
  <c r="B785" i="15"/>
  <c r="B784" i="15"/>
  <c r="B783" i="15"/>
  <c r="B782" i="15"/>
  <c r="B781" i="15"/>
  <c r="B780" i="15"/>
  <c r="B779" i="15"/>
  <c r="B778" i="15"/>
  <c r="B777" i="15"/>
  <c r="B776" i="15"/>
  <c r="B775" i="15"/>
  <c r="B774" i="15"/>
  <c r="B773" i="15"/>
  <c r="B772" i="15"/>
  <c r="B771" i="15"/>
  <c r="B770" i="15"/>
  <c r="B769" i="15"/>
  <c r="B768" i="15"/>
  <c r="B767" i="15"/>
  <c r="B766" i="15"/>
  <c r="B765" i="15"/>
  <c r="B764" i="15"/>
  <c r="B763" i="15"/>
  <c r="B762" i="15"/>
  <c r="B761" i="15"/>
  <c r="B760" i="15"/>
  <c r="B759" i="15"/>
  <c r="B758" i="15"/>
  <c r="B757" i="15"/>
  <c r="B756" i="15"/>
  <c r="B755" i="15"/>
  <c r="B754" i="15"/>
  <c r="B753" i="15"/>
  <c r="B752" i="15"/>
  <c r="B751" i="15"/>
  <c r="B750" i="15"/>
  <c r="B749" i="15"/>
  <c r="B748" i="15"/>
  <c r="B747" i="15"/>
  <c r="B746" i="15"/>
  <c r="B745" i="15"/>
  <c r="B744" i="15"/>
  <c r="B743" i="15"/>
  <c r="B742" i="15"/>
  <c r="B741" i="15"/>
  <c r="B740" i="15"/>
  <c r="B739" i="15"/>
  <c r="B738" i="15"/>
  <c r="B737" i="15"/>
  <c r="B736" i="15"/>
  <c r="B735" i="15"/>
  <c r="B734" i="15"/>
  <c r="B733" i="15"/>
  <c r="B732" i="15"/>
  <c r="B731" i="15"/>
  <c r="B730" i="15"/>
  <c r="B729" i="15"/>
  <c r="B728" i="15"/>
  <c r="B727" i="15"/>
  <c r="B726" i="15"/>
  <c r="B725" i="15"/>
  <c r="B724" i="15"/>
  <c r="B723" i="15"/>
  <c r="B722" i="15"/>
  <c r="B721" i="15"/>
  <c r="B720" i="15"/>
  <c r="B719" i="15"/>
  <c r="B718" i="15"/>
  <c r="B717" i="15"/>
  <c r="B716" i="15"/>
  <c r="B715" i="15"/>
  <c r="B714" i="15"/>
  <c r="B713" i="15"/>
  <c r="B712" i="15"/>
  <c r="B711" i="15"/>
  <c r="B710" i="15"/>
  <c r="B709" i="15"/>
  <c r="B708" i="15"/>
  <c r="B707" i="15"/>
  <c r="B706" i="15"/>
  <c r="B705" i="15"/>
  <c r="B704" i="15"/>
  <c r="B703" i="15"/>
  <c r="B702" i="15"/>
  <c r="B701" i="15"/>
  <c r="B700" i="15"/>
  <c r="B699" i="15"/>
  <c r="B698" i="15"/>
  <c r="B697" i="15"/>
  <c r="B696" i="15"/>
  <c r="B695" i="15"/>
  <c r="B694" i="15"/>
  <c r="B693" i="15"/>
  <c r="B692" i="15"/>
  <c r="B691" i="15"/>
  <c r="B690" i="15"/>
  <c r="B689" i="15"/>
  <c r="B688" i="15"/>
  <c r="B687" i="15"/>
  <c r="B686" i="15"/>
  <c r="B685" i="15"/>
  <c r="B684" i="15"/>
  <c r="B683" i="15"/>
  <c r="B682" i="15"/>
  <c r="B681" i="15"/>
  <c r="B680" i="15"/>
  <c r="B679" i="15"/>
  <c r="B678" i="15"/>
  <c r="B677" i="15"/>
  <c r="B676" i="15"/>
  <c r="B675" i="15"/>
  <c r="B674" i="15"/>
  <c r="B673" i="15"/>
  <c r="B672" i="15"/>
  <c r="B671" i="15"/>
  <c r="B670" i="15"/>
  <c r="B669" i="15"/>
  <c r="B668" i="15"/>
  <c r="B667" i="15"/>
  <c r="B666" i="15"/>
  <c r="B665" i="15"/>
  <c r="B664" i="15"/>
  <c r="B663" i="15"/>
  <c r="B662" i="15"/>
  <c r="B661" i="15"/>
  <c r="B660" i="15"/>
  <c r="B659" i="15"/>
  <c r="B658" i="15"/>
  <c r="B657" i="15"/>
  <c r="B656" i="15"/>
  <c r="B655" i="15"/>
  <c r="B654" i="15"/>
  <c r="B653" i="15"/>
  <c r="B652" i="15"/>
  <c r="B651" i="15"/>
  <c r="B650" i="15"/>
  <c r="B649" i="15"/>
  <c r="B648" i="15"/>
  <c r="B647" i="15"/>
  <c r="B646" i="15"/>
  <c r="B645" i="15"/>
  <c r="B644" i="15"/>
  <c r="B643" i="15"/>
  <c r="B642" i="15"/>
  <c r="B641" i="15"/>
  <c r="B640" i="15"/>
  <c r="B639" i="15"/>
  <c r="B638" i="15"/>
  <c r="B637" i="15"/>
  <c r="B636" i="15"/>
  <c r="B635" i="15"/>
  <c r="B634" i="15"/>
  <c r="B633" i="15"/>
  <c r="B632" i="15"/>
  <c r="B631" i="15"/>
  <c r="B630" i="15"/>
  <c r="B629" i="15"/>
  <c r="B628" i="15"/>
  <c r="B627" i="15"/>
  <c r="B626" i="15"/>
  <c r="B625" i="15"/>
  <c r="B624" i="15"/>
  <c r="B623" i="15"/>
  <c r="B622" i="15"/>
  <c r="B621" i="15"/>
  <c r="B620" i="15"/>
  <c r="B619" i="15"/>
  <c r="B618" i="15"/>
  <c r="B617" i="15"/>
  <c r="B616" i="15"/>
  <c r="B615" i="15"/>
  <c r="B614" i="15"/>
  <c r="B613" i="15"/>
  <c r="B612" i="15"/>
  <c r="B611" i="15"/>
  <c r="B610" i="15"/>
  <c r="B609" i="15"/>
  <c r="B608" i="15"/>
  <c r="B607" i="15"/>
  <c r="B606" i="15"/>
  <c r="B605" i="15"/>
  <c r="B604" i="15"/>
  <c r="B603" i="15"/>
  <c r="B602" i="15"/>
  <c r="B601" i="15"/>
  <c r="B600" i="15"/>
  <c r="B599" i="15"/>
  <c r="B598" i="15"/>
  <c r="B597" i="15"/>
  <c r="B596" i="15"/>
  <c r="B595" i="15"/>
  <c r="B594" i="15"/>
  <c r="B593" i="15"/>
  <c r="B592" i="15"/>
  <c r="B591" i="15"/>
  <c r="B590" i="15"/>
  <c r="B589" i="15"/>
  <c r="B588" i="15"/>
  <c r="B587" i="15"/>
  <c r="B586" i="15"/>
  <c r="B585" i="15"/>
  <c r="B584" i="15"/>
  <c r="B583" i="15"/>
  <c r="B582" i="15"/>
  <c r="B581" i="15"/>
  <c r="B580" i="15"/>
  <c r="B579" i="15"/>
  <c r="B578" i="15"/>
  <c r="B577" i="15"/>
  <c r="B576" i="15"/>
  <c r="B575" i="15"/>
  <c r="B574" i="15"/>
  <c r="B573" i="15"/>
  <c r="B572" i="15"/>
  <c r="B571" i="15"/>
  <c r="B570" i="15"/>
  <c r="B569" i="15"/>
  <c r="B568" i="15"/>
  <c r="B567" i="15"/>
  <c r="B566" i="15"/>
  <c r="B565" i="15"/>
  <c r="B564" i="15"/>
  <c r="B563" i="15"/>
  <c r="B562" i="15"/>
  <c r="B561" i="15"/>
  <c r="B560" i="15"/>
  <c r="B559" i="15"/>
  <c r="B558" i="15"/>
  <c r="B557" i="15"/>
  <c r="B556" i="15"/>
  <c r="B555" i="15"/>
  <c r="B554" i="15"/>
  <c r="B553" i="15"/>
  <c r="B552" i="15"/>
  <c r="B551" i="15"/>
  <c r="B550" i="15"/>
  <c r="B549" i="15"/>
  <c r="B548" i="15"/>
  <c r="B547" i="15"/>
  <c r="B546" i="15"/>
  <c r="B545" i="15"/>
  <c r="B544" i="15"/>
  <c r="B543" i="15"/>
  <c r="B542" i="15"/>
  <c r="B541" i="15"/>
  <c r="B540" i="15"/>
  <c r="B539" i="15"/>
  <c r="B538" i="15"/>
  <c r="B537" i="15"/>
  <c r="B536" i="15"/>
  <c r="B535" i="15"/>
  <c r="B534" i="15"/>
  <c r="B533" i="15"/>
  <c r="B532" i="15"/>
  <c r="B531" i="15"/>
  <c r="B530" i="15"/>
  <c r="B529" i="15"/>
  <c r="B528" i="15"/>
  <c r="B527" i="15"/>
  <c r="B526" i="15"/>
  <c r="B525" i="15"/>
  <c r="B524" i="15"/>
  <c r="B523" i="15"/>
  <c r="B522" i="15"/>
  <c r="B521" i="15"/>
  <c r="B520" i="15"/>
  <c r="B519" i="15"/>
  <c r="B518" i="15"/>
  <c r="B517" i="15"/>
  <c r="B516" i="15"/>
  <c r="B515" i="15"/>
  <c r="B514" i="15"/>
  <c r="B513" i="15"/>
  <c r="B512" i="15"/>
  <c r="B511" i="15"/>
  <c r="B510" i="15"/>
  <c r="B509" i="15"/>
  <c r="B508" i="15"/>
  <c r="B507" i="15"/>
  <c r="B506" i="15"/>
  <c r="B505" i="15"/>
  <c r="B504" i="15"/>
  <c r="B503" i="15"/>
  <c r="B502" i="15"/>
  <c r="B501" i="15"/>
  <c r="B500" i="15"/>
  <c r="B499" i="15"/>
  <c r="B498" i="15"/>
  <c r="B497" i="15"/>
  <c r="B496" i="15"/>
  <c r="B495" i="15"/>
  <c r="B494" i="15"/>
  <c r="B493" i="15"/>
  <c r="B492" i="15"/>
  <c r="B491" i="15"/>
  <c r="B490" i="15"/>
  <c r="B489" i="15"/>
  <c r="B488" i="15"/>
  <c r="B487" i="15"/>
  <c r="B486" i="15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B473" i="15"/>
  <c r="B472" i="15"/>
  <c r="B471" i="15"/>
  <c r="B470" i="15"/>
  <c r="B469" i="15"/>
  <c r="B468" i="15"/>
  <c r="B467" i="15"/>
  <c r="B466" i="15"/>
  <c r="B465" i="15"/>
  <c r="B464" i="15"/>
  <c r="B463" i="15"/>
  <c r="B462" i="15"/>
  <c r="B461" i="15"/>
  <c r="B460" i="15"/>
  <c r="B459" i="15"/>
  <c r="B458" i="15"/>
  <c r="B457" i="15"/>
  <c r="B456" i="15"/>
  <c r="B455" i="15"/>
  <c r="B454" i="15"/>
  <c r="B453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B439" i="15"/>
  <c r="B438" i="15"/>
  <c r="B437" i="15"/>
  <c r="B436" i="15"/>
  <c r="B435" i="15"/>
  <c r="B434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B405" i="15"/>
  <c r="B404" i="15"/>
  <c r="B403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B388" i="15"/>
  <c r="B387" i="15"/>
  <c r="B386" i="15"/>
  <c r="B385" i="15"/>
  <c r="B384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B346" i="15"/>
  <c r="B345" i="15"/>
  <c r="B344" i="15"/>
  <c r="B343" i="15"/>
  <c r="B342" i="15"/>
  <c r="B341" i="15"/>
  <c r="B340" i="15"/>
  <c r="B339" i="15"/>
  <c r="B338" i="15"/>
  <c r="B337" i="15"/>
  <c r="B336" i="15"/>
  <c r="B335" i="15"/>
  <c r="B334" i="15"/>
  <c r="B333" i="15"/>
  <c r="B332" i="15"/>
  <c r="B331" i="15"/>
  <c r="B330" i="15"/>
  <c r="B329" i="15"/>
  <c r="B328" i="15"/>
  <c r="B327" i="15"/>
  <c r="B326" i="15"/>
  <c r="B325" i="15"/>
  <c r="B324" i="15"/>
  <c r="B323" i="15"/>
  <c r="B322" i="15"/>
  <c r="B321" i="15"/>
  <c r="B320" i="15"/>
  <c r="B319" i="15"/>
  <c r="B318" i="15"/>
  <c r="B317" i="15"/>
  <c r="B316" i="15"/>
  <c r="B315" i="15"/>
  <c r="B314" i="15"/>
  <c r="B313" i="15"/>
  <c r="B312" i="15"/>
  <c r="B311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98" i="15"/>
  <c r="B297" i="15"/>
  <c r="B296" i="15"/>
  <c r="B295" i="15"/>
  <c r="B294" i="15"/>
  <c r="B293" i="15"/>
  <c r="B292" i="15"/>
  <c r="B291" i="15"/>
  <c r="B290" i="15"/>
  <c r="B289" i="15"/>
  <c r="B288" i="15"/>
  <c r="B287" i="15"/>
  <c r="B286" i="15"/>
  <c r="B285" i="15"/>
  <c r="B284" i="15"/>
  <c r="B283" i="15"/>
  <c r="B282" i="15"/>
  <c r="B281" i="15"/>
  <c r="B280" i="15"/>
  <c r="B279" i="15"/>
  <c r="B278" i="15"/>
  <c r="B277" i="15"/>
  <c r="B276" i="15"/>
  <c r="B275" i="15"/>
  <c r="B274" i="15"/>
  <c r="B273" i="15"/>
  <c r="B272" i="15"/>
  <c r="B271" i="15"/>
  <c r="B270" i="15"/>
  <c r="B269" i="15"/>
  <c r="B268" i="15"/>
  <c r="B267" i="15"/>
  <c r="B266" i="15"/>
  <c r="B265" i="15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Q5" i="11"/>
  <c r="E258" i="21"/>
  <c r="E21" i="21"/>
  <c r="E20" i="21"/>
  <c r="E19" i="21"/>
  <c r="E162" i="21"/>
  <c r="D162" i="21"/>
  <c r="E152" i="21"/>
  <c r="E151" i="21"/>
  <c r="E150" i="21"/>
  <c r="E149" i="21"/>
  <c r="E148" i="21"/>
  <c r="E147" i="21"/>
  <c r="E146" i="21"/>
  <c r="E145" i="21"/>
  <c r="E144" i="21"/>
  <c r="E143" i="21"/>
  <c r="E142" i="21"/>
  <c r="E140" i="21"/>
  <c r="E141" i="21"/>
  <c r="D42" i="21"/>
  <c r="D43" i="21"/>
  <c r="D41" i="21"/>
  <c r="D40" i="21"/>
  <c r="D18" i="21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U37" i="26" l="1"/>
  <c r="U32" i="26"/>
  <c r="U23" i="26"/>
  <c r="V22" i="26" s="1"/>
  <c r="U22" i="26"/>
  <c r="H2499" i="15"/>
  <c r="H33" i="15"/>
  <c r="H65" i="15"/>
  <c r="H97" i="15"/>
  <c r="H129" i="15"/>
  <c r="H164" i="15"/>
  <c r="H204" i="15"/>
  <c r="H265" i="15"/>
  <c r="H329" i="15"/>
  <c r="H393" i="15"/>
  <c r="H487" i="15"/>
  <c r="H623" i="15"/>
  <c r="H761" i="15"/>
  <c r="H896" i="15"/>
  <c r="H1046" i="15"/>
  <c r="H1167" i="15"/>
  <c r="H1540" i="15"/>
  <c r="H18" i="15"/>
  <c r="H66" i="15"/>
  <c r="H697" i="15"/>
  <c r="H8" i="15"/>
  <c r="H16" i="15"/>
  <c r="H24" i="15"/>
  <c r="H32" i="15"/>
  <c r="H40" i="15"/>
  <c r="H48" i="15"/>
  <c r="H56" i="15"/>
  <c r="H64" i="15"/>
  <c r="H72" i="15"/>
  <c r="H80" i="15"/>
  <c r="H88" i="15"/>
  <c r="H96" i="15"/>
  <c r="H104" i="15"/>
  <c r="H112" i="15"/>
  <c r="H120" i="15"/>
  <c r="H128" i="15"/>
  <c r="H136" i="15"/>
  <c r="H145" i="15"/>
  <c r="H154" i="15"/>
  <c r="H163" i="15"/>
  <c r="H172" i="15"/>
  <c r="H181" i="15"/>
  <c r="H190" i="15"/>
  <c r="H202" i="15"/>
  <c r="H216" i="15"/>
  <c r="H232" i="15"/>
  <c r="H248" i="15"/>
  <c r="H264" i="15"/>
  <c r="H280" i="15"/>
  <c r="H296" i="15"/>
  <c r="H312" i="15"/>
  <c r="H328" i="15"/>
  <c r="H344" i="15"/>
  <c r="H360" i="15"/>
  <c r="H376" i="15"/>
  <c r="H392" i="15"/>
  <c r="H408" i="15"/>
  <c r="H424" i="15"/>
  <c r="H441" i="15"/>
  <c r="H461" i="15"/>
  <c r="H484" i="15"/>
  <c r="H519" i="15"/>
  <c r="H551" i="15"/>
  <c r="H584" i="15"/>
  <c r="H622" i="15"/>
  <c r="H654" i="15"/>
  <c r="H687" i="15"/>
  <c r="H725" i="15"/>
  <c r="H757" i="15"/>
  <c r="H790" i="15"/>
  <c r="H825" i="15"/>
  <c r="H857" i="15"/>
  <c r="H893" i="15"/>
  <c r="H928" i="15"/>
  <c r="H960" i="15"/>
  <c r="H998" i="15"/>
  <c r="H1041" i="15"/>
  <c r="H1081" i="15"/>
  <c r="H1150" i="15"/>
  <c r="H1237" i="15"/>
  <c r="H1371" i="15"/>
  <c r="H1510" i="15"/>
  <c r="H1692" i="15"/>
  <c r="H1938" i="15"/>
  <c r="H2246" i="15"/>
  <c r="H2685" i="15"/>
  <c r="H17" i="15"/>
  <c r="H49" i="15"/>
  <c r="H81" i="15"/>
  <c r="H113" i="15"/>
  <c r="H146" i="15"/>
  <c r="H182" i="15"/>
  <c r="H281" i="15"/>
  <c r="H345" i="15"/>
  <c r="H409" i="15"/>
  <c r="H465" i="15"/>
  <c r="H558" i="15"/>
  <c r="H693" i="15"/>
  <c r="H829" i="15"/>
  <c r="H929" i="15"/>
  <c r="H1089" i="15"/>
  <c r="H1740" i="15"/>
  <c r="H34" i="15"/>
  <c r="H58" i="15"/>
  <c r="H74" i="15"/>
  <c r="H82" i="15"/>
  <c r="H106" i="15"/>
  <c r="H114" i="15"/>
  <c r="H122" i="15"/>
  <c r="H130" i="15"/>
  <c r="H138" i="15"/>
  <c r="H147" i="15"/>
  <c r="H156" i="15"/>
  <c r="H165" i="15"/>
  <c r="H174" i="15"/>
  <c r="H184" i="15"/>
  <c r="H193" i="15"/>
  <c r="H205" i="15"/>
  <c r="H218" i="15"/>
  <c r="H234" i="15"/>
  <c r="H250" i="15"/>
  <c r="H266" i="15"/>
  <c r="H282" i="15"/>
  <c r="H298" i="15"/>
  <c r="H314" i="15"/>
  <c r="H330" i="15"/>
  <c r="H346" i="15"/>
  <c r="H362" i="15"/>
  <c r="H378" i="15"/>
  <c r="H394" i="15"/>
  <c r="H410" i="15"/>
  <c r="H426" i="15"/>
  <c r="H445" i="15"/>
  <c r="H466" i="15"/>
  <c r="H494" i="15"/>
  <c r="H526" i="15"/>
  <c r="H559" i="15"/>
  <c r="H597" i="15"/>
  <c r="H629" i="15"/>
  <c r="H662" i="15"/>
  <c r="H800" i="15"/>
  <c r="H832" i="15"/>
  <c r="H865" i="15"/>
  <c r="H903" i="15"/>
  <c r="H935" i="15"/>
  <c r="H968" i="15"/>
  <c r="H1009" i="15"/>
  <c r="H1049" i="15"/>
  <c r="H1094" i="15"/>
  <c r="H1168" i="15"/>
  <c r="H1268" i="15"/>
  <c r="H1409" i="15"/>
  <c r="H1546" i="15"/>
  <c r="H1741" i="15"/>
  <c r="H2020" i="15"/>
  <c r="H2310" i="15"/>
  <c r="H2971" i="15"/>
  <c r="H11" i="15"/>
  <c r="H19" i="15"/>
  <c r="H27" i="15"/>
  <c r="H35" i="15"/>
  <c r="H43" i="15"/>
  <c r="H51" i="15"/>
  <c r="H59" i="15"/>
  <c r="H67" i="15"/>
  <c r="H75" i="15"/>
  <c r="H83" i="15"/>
  <c r="H91" i="15"/>
  <c r="H99" i="15"/>
  <c r="H107" i="15"/>
  <c r="H115" i="15"/>
  <c r="H123" i="15"/>
  <c r="H131" i="15"/>
  <c r="H139" i="15"/>
  <c r="H148" i="15"/>
  <c r="H157" i="15"/>
  <c r="H166" i="15"/>
  <c r="H176" i="15"/>
  <c r="H185" i="15"/>
  <c r="H194" i="15"/>
  <c r="H208" i="15"/>
  <c r="H221" i="15"/>
  <c r="H237" i="15"/>
  <c r="H253" i="15"/>
  <c r="H269" i="15"/>
  <c r="H285" i="15"/>
  <c r="H301" i="15"/>
  <c r="H317" i="15"/>
  <c r="H333" i="15"/>
  <c r="H349" i="15"/>
  <c r="H365" i="15"/>
  <c r="H381" i="15"/>
  <c r="H397" i="15"/>
  <c r="H413" i="15"/>
  <c r="H429" i="15"/>
  <c r="H449" i="15"/>
  <c r="H469" i="15"/>
  <c r="H495" i="15"/>
  <c r="H533" i="15"/>
  <c r="H565" i="15"/>
  <c r="H598" i="15"/>
  <c r="H633" i="15"/>
  <c r="H665" i="15"/>
  <c r="H701" i="15"/>
  <c r="H736" i="15"/>
  <c r="H768" i="15"/>
  <c r="H801" i="15"/>
  <c r="H839" i="15"/>
  <c r="H871" i="15"/>
  <c r="H904" i="15"/>
  <c r="H942" i="15"/>
  <c r="H974" i="15"/>
  <c r="H1014" i="15"/>
  <c r="H1057" i="15"/>
  <c r="H1105" i="15"/>
  <c r="H1190" i="15"/>
  <c r="H1297" i="15"/>
  <c r="H1435" i="15"/>
  <c r="H1594" i="15"/>
  <c r="H1785" i="15"/>
  <c r="H2083" i="15"/>
  <c r="H2403" i="15"/>
  <c r="H3342" i="15"/>
  <c r="H12" i="15"/>
  <c r="H20" i="15"/>
  <c r="H28" i="15"/>
  <c r="H36" i="15"/>
  <c r="H44" i="15"/>
  <c r="H52" i="15"/>
  <c r="H60" i="15"/>
  <c r="H68" i="15"/>
  <c r="H76" i="15"/>
  <c r="H84" i="15"/>
  <c r="H92" i="15"/>
  <c r="H100" i="15"/>
  <c r="H108" i="15"/>
  <c r="H116" i="15"/>
  <c r="H124" i="15"/>
  <c r="H132" i="15"/>
  <c r="H140" i="15"/>
  <c r="H149" i="15"/>
  <c r="H158" i="15"/>
  <c r="H168" i="15"/>
  <c r="H177" i="15"/>
  <c r="H186" i="15"/>
  <c r="H196" i="15"/>
  <c r="H209" i="15"/>
  <c r="H224" i="15"/>
  <c r="H240" i="15"/>
  <c r="H256" i="15"/>
  <c r="H272" i="15"/>
  <c r="H288" i="15"/>
  <c r="H304" i="15"/>
  <c r="H320" i="15"/>
  <c r="H336" i="15"/>
  <c r="H352" i="15"/>
  <c r="H368" i="15"/>
  <c r="H384" i="15"/>
  <c r="H400" i="15"/>
  <c r="H416" i="15"/>
  <c r="H432" i="15"/>
  <c r="H450" i="15"/>
  <c r="H473" i="15"/>
  <c r="H501" i="15"/>
  <c r="H534" i="15"/>
  <c r="H569" i="15"/>
  <c r="H601" i="15"/>
  <c r="H637" i="15"/>
  <c r="H672" i="15"/>
  <c r="H704" i="15"/>
  <c r="H737" i="15"/>
  <c r="H775" i="15"/>
  <c r="H807" i="15"/>
  <c r="H840" i="15"/>
  <c r="H878" i="15"/>
  <c r="H910" i="15"/>
  <c r="H943" i="15"/>
  <c r="H981" i="15"/>
  <c r="H1017" i="15"/>
  <c r="H1062" i="15"/>
  <c r="H1110" i="15"/>
  <c r="H1191" i="15"/>
  <c r="H1306" i="15"/>
  <c r="H1436" i="15"/>
  <c r="H1595" i="15"/>
  <c r="H1797" i="15"/>
  <c r="H2084" i="15"/>
  <c r="H2404" i="15"/>
  <c r="H3776" i="15"/>
  <c r="H9" i="15"/>
  <c r="H41" i="15"/>
  <c r="H73" i="15"/>
  <c r="H105" i="15"/>
  <c r="H137" i="15"/>
  <c r="H173" i="15"/>
  <c r="H217" i="15"/>
  <c r="H249" i="15"/>
  <c r="H313" i="15"/>
  <c r="H377" i="15"/>
  <c r="H442" i="15"/>
  <c r="H590" i="15"/>
  <c r="H726" i="15"/>
  <c r="H864" i="15"/>
  <c r="H1001" i="15"/>
  <c r="H1267" i="15"/>
  <c r="H2953" i="15"/>
  <c r="H26" i="15"/>
  <c r="H50" i="15"/>
  <c r="H98" i="15"/>
  <c r="H729" i="15"/>
  <c r="H13" i="15"/>
  <c r="H21" i="15"/>
  <c r="H29" i="15"/>
  <c r="H37" i="15"/>
  <c r="H45" i="15"/>
  <c r="H53" i="15"/>
  <c r="H61" i="15"/>
  <c r="H69" i="15"/>
  <c r="H77" i="15"/>
  <c r="H85" i="15"/>
  <c r="H93" i="15"/>
  <c r="H101" i="15"/>
  <c r="H109" i="15"/>
  <c r="H117" i="15"/>
  <c r="H125" i="15"/>
  <c r="H133" i="15"/>
  <c r="H141" i="15"/>
  <c r="H150" i="15"/>
  <c r="H160" i="15"/>
  <c r="H169" i="15"/>
  <c r="H178" i="15"/>
  <c r="H187" i="15"/>
  <c r="H197" i="15"/>
  <c r="H210" i="15"/>
  <c r="H225" i="15"/>
  <c r="H241" i="15"/>
  <c r="H257" i="15"/>
  <c r="H273" i="15"/>
  <c r="H289" i="15"/>
  <c r="H305" i="15"/>
  <c r="H321" i="15"/>
  <c r="H337" i="15"/>
  <c r="H353" i="15"/>
  <c r="H369" i="15"/>
  <c r="H385" i="15"/>
  <c r="H401" i="15"/>
  <c r="H417" i="15"/>
  <c r="H433" i="15"/>
  <c r="H453" i="15"/>
  <c r="H474" i="15"/>
  <c r="H505" i="15"/>
  <c r="H537" i="15"/>
  <c r="H573" i="15"/>
  <c r="H608" i="15"/>
  <c r="H640" i="15"/>
  <c r="H673" i="15"/>
  <c r="H711" i="15"/>
  <c r="H743" i="15"/>
  <c r="H776" i="15"/>
  <c r="H814" i="15"/>
  <c r="H846" i="15"/>
  <c r="H879" i="15"/>
  <c r="H917" i="15"/>
  <c r="H949" i="15"/>
  <c r="H982" i="15"/>
  <c r="H1025" i="15"/>
  <c r="H1065" i="15"/>
  <c r="H1126" i="15"/>
  <c r="H1208" i="15"/>
  <c r="H1332" i="15"/>
  <c r="H1473" i="15"/>
  <c r="H1637" i="15"/>
  <c r="H1852" i="15"/>
  <c r="H2162" i="15"/>
  <c r="H4169" i="15"/>
  <c r="H4161" i="15"/>
  <c r="H4158" i="15"/>
  <c r="H4150" i="15"/>
  <c r="H4142" i="15"/>
  <c r="H4134" i="15"/>
  <c r="H4126" i="15"/>
  <c r="H4118" i="15"/>
  <c r="H4110" i="15"/>
  <c r="H4102" i="15"/>
  <c r="H4094" i="15"/>
  <c r="H4086" i="15"/>
  <c r="H4007" i="15"/>
  <c r="H3999" i="15"/>
  <c r="H3991" i="15"/>
  <c r="H3983" i="15"/>
  <c r="H3975" i="15"/>
  <c r="H3967" i="15"/>
  <c r="H3959" i="15"/>
  <c r="H3951" i="15"/>
  <c r="H3943" i="15"/>
  <c r="H3935" i="15"/>
  <c r="H3927" i="15"/>
  <c r="H3919" i="15"/>
  <c r="H3911" i="15"/>
  <c r="H3903" i="15"/>
  <c r="H3895" i="15"/>
  <c r="H3887" i="15"/>
  <c r="H3879" i="15"/>
  <c r="H3871" i="15"/>
  <c r="H3863" i="15"/>
  <c r="H3855" i="15"/>
  <c r="H3847" i="15"/>
  <c r="H3839" i="15"/>
  <c r="H3831" i="15"/>
  <c r="H3823" i="15"/>
  <c r="H3815" i="15"/>
  <c r="H3807" i="15"/>
  <c r="H3799" i="15"/>
  <c r="H3791" i="15"/>
  <c r="H3783" i="15"/>
  <c r="H3775" i="15"/>
  <c r="H3767" i="15"/>
  <c r="H3759" i="15"/>
  <c r="H3751" i="15"/>
  <c r="H3743" i="15"/>
  <c r="H3735" i="15"/>
  <c r="H3727" i="15"/>
  <c r="H3717" i="15"/>
  <c r="H3709" i="15"/>
  <c r="H3701" i="15"/>
  <c r="H3693" i="15"/>
  <c r="H3685" i="15"/>
  <c r="H3677" i="15"/>
  <c r="H3669" i="15"/>
  <c r="H3661" i="15"/>
  <c r="H3653" i="15"/>
  <c r="H3645" i="15"/>
  <c r="H3637" i="15"/>
  <c r="H3629" i="15"/>
  <c r="H3621" i="15"/>
  <c r="H3613" i="15"/>
  <c r="H3605" i="15"/>
  <c r="H3597" i="15"/>
  <c r="H3589" i="15"/>
  <c r="H3581" i="15"/>
  <c r="H3573" i="15"/>
  <c r="H3565" i="15"/>
  <c r="H3557" i="15"/>
  <c r="H3549" i="15"/>
  <c r="H3541" i="15"/>
  <c r="H3533" i="15"/>
  <c r="H3525" i="15"/>
  <c r="H3517" i="15"/>
  <c r="H4168" i="15"/>
  <c r="H4167" i="15"/>
  <c r="H4174" i="15"/>
  <c r="H4166" i="15"/>
  <c r="H4155" i="15"/>
  <c r="H4147" i="15"/>
  <c r="H4139" i="15"/>
  <c r="H4131" i="15"/>
  <c r="H4123" i="15"/>
  <c r="H4115" i="15"/>
  <c r="H4107" i="15"/>
  <c r="H4099" i="15"/>
  <c r="H4091" i="15"/>
  <c r="H4012" i="15"/>
  <c r="H4004" i="15"/>
  <c r="H3996" i="15"/>
  <c r="H3988" i="15"/>
  <c r="H3980" i="15"/>
  <c r="H3972" i="15"/>
  <c r="H3964" i="15"/>
  <c r="H3956" i="15"/>
  <c r="H3948" i="15"/>
  <c r="H3940" i="15"/>
  <c r="H3932" i="15"/>
  <c r="H3924" i="15"/>
  <c r="H3916" i="15"/>
  <c r="H3908" i="15"/>
  <c r="H3900" i="15"/>
  <c r="H3892" i="15"/>
  <c r="H3884" i="15"/>
  <c r="H3876" i="15"/>
  <c r="H3868" i="15"/>
  <c r="H3860" i="15"/>
  <c r="H3852" i="15"/>
  <c r="H3844" i="15"/>
  <c r="H3836" i="15"/>
  <c r="H3828" i="15"/>
  <c r="H3820" i="15"/>
  <c r="H3812" i="15"/>
  <c r="H3804" i="15"/>
  <c r="H3796" i="15"/>
  <c r="H3788" i="15"/>
  <c r="H3780" i="15"/>
  <c r="H3772" i="15"/>
  <c r="H3764" i="15"/>
  <c r="H3756" i="15"/>
  <c r="H3748" i="15"/>
  <c r="H3740" i="15"/>
  <c r="H3732" i="15"/>
  <c r="H3724" i="15"/>
  <c r="H3714" i="15"/>
  <c r="H3706" i="15"/>
  <c r="H3698" i="15"/>
  <c r="H3690" i="15"/>
  <c r="H3682" i="15"/>
  <c r="H3674" i="15"/>
  <c r="H3666" i="15"/>
  <c r="H3658" i="15"/>
  <c r="H3650" i="15"/>
  <c r="H3642" i="15"/>
  <c r="H3634" i="15"/>
  <c r="H3626" i="15"/>
  <c r="H3618" i="15"/>
  <c r="H3610" i="15"/>
  <c r="H3602" i="15"/>
  <c r="H3594" i="15"/>
  <c r="H3586" i="15"/>
  <c r="H3578" i="15"/>
  <c r="H3570" i="15"/>
  <c r="H3562" i="15"/>
  <c r="H3554" i="15"/>
  <c r="H3546" i="15"/>
  <c r="H3538" i="15"/>
  <c r="H3530" i="15"/>
  <c r="H3522" i="15"/>
  <c r="H4173" i="15"/>
  <c r="H4172" i="15"/>
  <c r="H4171" i="15"/>
  <c r="H4170" i="15"/>
  <c r="H4153" i="15"/>
  <c r="H4143" i="15"/>
  <c r="H4132" i="15"/>
  <c r="H4121" i="15"/>
  <c r="H4111" i="15"/>
  <c r="H4100" i="15"/>
  <c r="H4089" i="15"/>
  <c r="H4005" i="15"/>
  <c r="H3994" i="15"/>
  <c r="H3984" i="15"/>
  <c r="H3973" i="15"/>
  <c r="H3962" i="15"/>
  <c r="H3952" i="15"/>
  <c r="H3941" i="15"/>
  <c r="H3930" i="15"/>
  <c r="H3920" i="15"/>
  <c r="H3909" i="15"/>
  <c r="H3898" i="15"/>
  <c r="H3888" i="15"/>
  <c r="H3877" i="15"/>
  <c r="H3866" i="15"/>
  <c r="H3856" i="15"/>
  <c r="H3845" i="15"/>
  <c r="H3834" i="15"/>
  <c r="H3824" i="15"/>
  <c r="H3813" i="15"/>
  <c r="H3802" i="15"/>
  <c r="H3792" i="15"/>
  <c r="H3781" i="15"/>
  <c r="H3770" i="15"/>
  <c r="H3760" i="15"/>
  <c r="H3749" i="15"/>
  <c r="H3738" i="15"/>
  <c r="H3728" i="15"/>
  <c r="H3710" i="15"/>
  <c r="H3699" i="15"/>
  <c r="H3688" i="15"/>
  <c r="H3678" i="15"/>
  <c r="H3667" i="15"/>
  <c r="H3656" i="15"/>
  <c r="H3646" i="15"/>
  <c r="H3635" i="15"/>
  <c r="H3624" i="15"/>
  <c r="H3614" i="15"/>
  <c r="H3603" i="15"/>
  <c r="H3592" i="15"/>
  <c r="H3582" i="15"/>
  <c r="H3571" i="15"/>
  <c r="H3560" i="15"/>
  <c r="H3550" i="15"/>
  <c r="H3539" i="15"/>
  <c r="H3528" i="15"/>
  <c r="H3518" i="15"/>
  <c r="H3509" i="15"/>
  <c r="H3501" i="15"/>
  <c r="H3493" i="15"/>
  <c r="H3485" i="15"/>
  <c r="H3477" i="15"/>
  <c r="H3469" i="15"/>
  <c r="H3461" i="15"/>
  <c r="H3453" i="15"/>
  <c r="H3445" i="15"/>
  <c r="H3437" i="15"/>
  <c r="H3429" i="15"/>
  <c r="H3421" i="15"/>
  <c r="H3413" i="15"/>
  <c r="H3405" i="15"/>
  <c r="H3397" i="15"/>
  <c r="H3389" i="15"/>
  <c r="H3381" i="15"/>
  <c r="H3373" i="15"/>
  <c r="H3365" i="15"/>
  <c r="H4152" i="15"/>
  <c r="H4141" i="15"/>
  <c r="H4130" i="15"/>
  <c r="H4120" i="15"/>
  <c r="H4109" i="15"/>
  <c r="H4098" i="15"/>
  <c r="H4088" i="15"/>
  <c r="H4003" i="15"/>
  <c r="H3993" i="15"/>
  <c r="H3982" i="15"/>
  <c r="H3971" i="15"/>
  <c r="H3961" i="15"/>
  <c r="H3950" i="15"/>
  <c r="H3939" i="15"/>
  <c r="H3929" i="15"/>
  <c r="H3918" i="15"/>
  <c r="H3907" i="15"/>
  <c r="H3897" i="15"/>
  <c r="H3886" i="15"/>
  <c r="H3875" i="15"/>
  <c r="H3865" i="15"/>
  <c r="H3854" i="15"/>
  <c r="H3843" i="15"/>
  <c r="H3833" i="15"/>
  <c r="H3822" i="15"/>
  <c r="H3811" i="15"/>
  <c r="H3801" i="15"/>
  <c r="H3790" i="15"/>
  <c r="H3779" i="15"/>
  <c r="H3769" i="15"/>
  <c r="H3758" i="15"/>
  <c r="H3747" i="15"/>
  <c r="H3737" i="15"/>
  <c r="H3726" i="15"/>
  <c r="H3719" i="15"/>
  <c r="H3708" i="15"/>
  <c r="H3697" i="15"/>
  <c r="H3687" i="15"/>
  <c r="H3676" i="15"/>
  <c r="H3665" i="15"/>
  <c r="H3655" i="15"/>
  <c r="H3644" i="15"/>
  <c r="H3633" i="15"/>
  <c r="H3623" i="15"/>
  <c r="H3612" i="15"/>
  <c r="H3601" i="15"/>
  <c r="H3591" i="15"/>
  <c r="H3580" i="15"/>
  <c r="H3569" i="15"/>
  <c r="H3559" i="15"/>
  <c r="H3548" i="15"/>
  <c r="H3537" i="15"/>
  <c r="H3527" i="15"/>
  <c r="H3516" i="15"/>
  <c r="H3508" i="15"/>
  <c r="H3500" i="15"/>
  <c r="H3492" i="15"/>
  <c r="H3484" i="15"/>
  <c r="H3476" i="15"/>
  <c r="H3468" i="15"/>
  <c r="H3460" i="15"/>
  <c r="H3452" i="15"/>
  <c r="H3444" i="15"/>
  <c r="H3436" i="15"/>
  <c r="H3428" i="15"/>
  <c r="H3420" i="15"/>
  <c r="H3412" i="15"/>
  <c r="H3404" i="15"/>
  <c r="H3396" i="15"/>
  <c r="H3388" i="15"/>
  <c r="H3380" i="15"/>
  <c r="H3372" i="15"/>
  <c r="H3364" i="15"/>
  <c r="H3356" i="15"/>
  <c r="H3348" i="15"/>
  <c r="H3340" i="15"/>
  <c r="H4151" i="15"/>
  <c r="H4140" i="15"/>
  <c r="H4129" i="15"/>
  <c r="H4119" i="15"/>
  <c r="H4108" i="15"/>
  <c r="H4097" i="15"/>
  <c r="H4087" i="15"/>
  <c r="H4013" i="15"/>
  <c r="H4002" i="15"/>
  <c r="H3992" i="15"/>
  <c r="H3981" i="15"/>
  <c r="H3970" i="15"/>
  <c r="H3960" i="15"/>
  <c r="H3949" i="15"/>
  <c r="H3938" i="15"/>
  <c r="H3928" i="15"/>
  <c r="H3917" i="15"/>
  <c r="H3906" i="15"/>
  <c r="H3896" i="15"/>
  <c r="H3885" i="15"/>
  <c r="H3874" i="15"/>
  <c r="H3864" i="15"/>
  <c r="H3853" i="15"/>
  <c r="H3842" i="15"/>
  <c r="H3832" i="15"/>
  <c r="H3821" i="15"/>
  <c r="H3810" i="15"/>
  <c r="H3800" i="15"/>
  <c r="H3789" i="15"/>
  <c r="H3778" i="15"/>
  <c r="H3768" i="15"/>
  <c r="H3757" i="15"/>
  <c r="H3746" i="15"/>
  <c r="H3736" i="15"/>
  <c r="H3725" i="15"/>
  <c r="H3718" i="15"/>
  <c r="H3707" i="15"/>
  <c r="H3696" i="15"/>
  <c r="H3686" i="15"/>
  <c r="H3675" i="15"/>
  <c r="H3664" i="15"/>
  <c r="H3654" i="15"/>
  <c r="H3643" i="15"/>
  <c r="H3632" i="15"/>
  <c r="H3622" i="15"/>
  <c r="H3611" i="15"/>
  <c r="H3600" i="15"/>
  <c r="H3590" i="15"/>
  <c r="H3579" i="15"/>
  <c r="H3568" i="15"/>
  <c r="H3558" i="15"/>
  <c r="H3547" i="15"/>
  <c r="H3536" i="15"/>
  <c r="H3526" i="15"/>
  <c r="H3515" i="15"/>
  <c r="H3507" i="15"/>
  <c r="H3499" i="15"/>
  <c r="H3491" i="15"/>
  <c r="H3483" i="15"/>
  <c r="H3475" i="15"/>
  <c r="H3467" i="15"/>
  <c r="H3459" i="15"/>
  <c r="H3451" i="15"/>
  <c r="H3443" i="15"/>
  <c r="H3435" i="15"/>
  <c r="H3427" i="15"/>
  <c r="H3419" i="15"/>
  <c r="H3411" i="15"/>
  <c r="H3403" i="15"/>
  <c r="H3395" i="15"/>
  <c r="H3387" i="15"/>
  <c r="H3379" i="15"/>
  <c r="H3371" i="15"/>
  <c r="H3363" i="15"/>
  <c r="H3355" i="15"/>
  <c r="H3347" i="15"/>
  <c r="H3339" i="15"/>
  <c r="H4165" i="15"/>
  <c r="H4149" i="15"/>
  <c r="H4138" i="15"/>
  <c r="H4128" i="15"/>
  <c r="H4117" i="15"/>
  <c r="H4106" i="15"/>
  <c r="H4096" i="15"/>
  <c r="H4085" i="15"/>
  <c r="H4011" i="15"/>
  <c r="H4001" i="15"/>
  <c r="H3990" i="15"/>
  <c r="H3979" i="15"/>
  <c r="H3969" i="15"/>
  <c r="H3958" i="15"/>
  <c r="H3947" i="15"/>
  <c r="H3937" i="15"/>
  <c r="H3926" i="15"/>
  <c r="H3915" i="15"/>
  <c r="H3905" i="15"/>
  <c r="H3894" i="15"/>
  <c r="H3883" i="15"/>
  <c r="H3873" i="15"/>
  <c r="H3862" i="15"/>
  <c r="H3851" i="15"/>
  <c r="H3841" i="15"/>
  <c r="H3830" i="15"/>
  <c r="H3819" i="15"/>
  <c r="H3809" i="15"/>
  <c r="H3798" i="15"/>
  <c r="H3787" i="15"/>
  <c r="H3777" i="15"/>
  <c r="H3766" i="15"/>
  <c r="H3755" i="15"/>
  <c r="H3745" i="15"/>
  <c r="H3734" i="15"/>
  <c r="H3723" i="15"/>
  <c r="H3716" i="15"/>
  <c r="H3705" i="15"/>
  <c r="H3695" i="15"/>
  <c r="H3684" i="15"/>
  <c r="H3673" i="15"/>
  <c r="H3663" i="15"/>
  <c r="H3652" i="15"/>
  <c r="H3641" i="15"/>
  <c r="H3631" i="15"/>
  <c r="H3620" i="15"/>
  <c r="H3609" i="15"/>
  <c r="H3599" i="15"/>
  <c r="H3588" i="15"/>
  <c r="H3577" i="15"/>
  <c r="H3567" i="15"/>
  <c r="H3556" i="15"/>
  <c r="H3545" i="15"/>
  <c r="H3535" i="15"/>
  <c r="H3524" i="15"/>
  <c r="H3514" i="15"/>
  <c r="H3506" i="15"/>
  <c r="H3498" i="15"/>
  <c r="H3490" i="15"/>
  <c r="H3482" i="15"/>
  <c r="H3474" i="15"/>
  <c r="H3466" i="15"/>
  <c r="H3458" i="15"/>
  <c r="H3450" i="15"/>
  <c r="H3442" i="15"/>
  <c r="H3434" i="15"/>
  <c r="H3426" i="15"/>
  <c r="H3418" i="15"/>
  <c r="H3410" i="15"/>
  <c r="H3402" i="15"/>
  <c r="H3394" i="15"/>
  <c r="H3386" i="15"/>
  <c r="H3378" i="15"/>
  <c r="H4157" i="15"/>
  <c r="H4136" i="15"/>
  <c r="H4114" i="15"/>
  <c r="H4093" i="15"/>
  <c r="H4009" i="15"/>
  <c r="H3987" i="15"/>
  <c r="H3966" i="15"/>
  <c r="H3945" i="15"/>
  <c r="H3923" i="15"/>
  <c r="H3902" i="15"/>
  <c r="H3881" i="15"/>
  <c r="H3859" i="15"/>
  <c r="H3838" i="15"/>
  <c r="H3817" i="15"/>
  <c r="H3795" i="15"/>
  <c r="H3774" i="15"/>
  <c r="H3753" i="15"/>
  <c r="H3731" i="15"/>
  <c r="H3703" i="15"/>
  <c r="H3681" i="15"/>
  <c r="H3660" i="15"/>
  <c r="H3639" i="15"/>
  <c r="H3617" i="15"/>
  <c r="H3596" i="15"/>
  <c r="H3575" i="15"/>
  <c r="H3553" i="15"/>
  <c r="H3532" i="15"/>
  <c r="H3512" i="15"/>
  <c r="H3496" i="15"/>
  <c r="H3480" i="15"/>
  <c r="H3464" i="15"/>
  <c r="H3448" i="15"/>
  <c r="H3432" i="15"/>
  <c r="H3416" i="15"/>
  <c r="H3400" i="15"/>
  <c r="H3384" i="15"/>
  <c r="H3369" i="15"/>
  <c r="H3358" i="15"/>
  <c r="H3346" i="15"/>
  <c r="H3336" i="15"/>
  <c r="H3328" i="15"/>
  <c r="H3320" i="15"/>
  <c r="H3312" i="15"/>
  <c r="H3304" i="15"/>
  <c r="H3296" i="15"/>
  <c r="H3288" i="15"/>
  <c r="H3280" i="15"/>
  <c r="H3272" i="15"/>
  <c r="H3264" i="15"/>
  <c r="H3256" i="15"/>
  <c r="H3248" i="15"/>
  <c r="H3240" i="15"/>
  <c r="H3232" i="15"/>
  <c r="H3224" i="15"/>
  <c r="H3216" i="15"/>
  <c r="H3208" i="15"/>
  <c r="H3200" i="15"/>
  <c r="H3192" i="15"/>
  <c r="H3184" i="15"/>
  <c r="H3176" i="15"/>
  <c r="H4156" i="15"/>
  <c r="H4135" i="15"/>
  <c r="H4113" i="15"/>
  <c r="H4092" i="15"/>
  <c r="H4008" i="15"/>
  <c r="H3986" i="15"/>
  <c r="H3965" i="15"/>
  <c r="H3944" i="15"/>
  <c r="H3922" i="15"/>
  <c r="H3901" i="15"/>
  <c r="H3880" i="15"/>
  <c r="H3858" i="15"/>
  <c r="H3837" i="15"/>
  <c r="H3816" i="15"/>
  <c r="H3794" i="15"/>
  <c r="H3773" i="15"/>
  <c r="H3752" i="15"/>
  <c r="H3730" i="15"/>
  <c r="H3702" i="15"/>
  <c r="H3680" i="15"/>
  <c r="H3659" i="15"/>
  <c r="H3638" i="15"/>
  <c r="H3616" i="15"/>
  <c r="H3595" i="15"/>
  <c r="H3574" i="15"/>
  <c r="H3552" i="15"/>
  <c r="H3531" i="15"/>
  <c r="H3511" i="15"/>
  <c r="H3495" i="15"/>
  <c r="H3479" i="15"/>
  <c r="H3463" i="15"/>
  <c r="H3447" i="15"/>
  <c r="H3431" i="15"/>
  <c r="H3415" i="15"/>
  <c r="H3399" i="15"/>
  <c r="H3383" i="15"/>
  <c r="H3368" i="15"/>
  <c r="H3357" i="15"/>
  <c r="H3345" i="15"/>
  <c r="H3335" i="15"/>
  <c r="H3327" i="15"/>
  <c r="H3319" i="15"/>
  <c r="H3311" i="15"/>
  <c r="H3303" i="15"/>
  <c r="H3295" i="15"/>
  <c r="H3287" i="15"/>
  <c r="H3279" i="15"/>
  <c r="H3271" i="15"/>
  <c r="H3263" i="15"/>
  <c r="H3255" i="15"/>
  <c r="H3247" i="15"/>
  <c r="H3239" i="15"/>
  <c r="H3231" i="15"/>
  <c r="H3223" i="15"/>
  <c r="H3215" i="15"/>
  <c r="H3207" i="15"/>
  <c r="H3199" i="15"/>
  <c r="H3191" i="15"/>
  <c r="H3183" i="15"/>
  <c r="H3175" i="15"/>
  <c r="H4154" i="15"/>
  <c r="H4133" i="15"/>
  <c r="H4112" i="15"/>
  <c r="H4090" i="15"/>
  <c r="H4006" i="15"/>
  <c r="H3985" i="15"/>
  <c r="H3963" i="15"/>
  <c r="H3942" i="15"/>
  <c r="H3921" i="15"/>
  <c r="H3899" i="15"/>
  <c r="H3878" i="15"/>
  <c r="H3857" i="15"/>
  <c r="H3835" i="15"/>
  <c r="H3814" i="15"/>
  <c r="H3793" i="15"/>
  <c r="H3771" i="15"/>
  <c r="H3750" i="15"/>
  <c r="H3729" i="15"/>
  <c r="H3700" i="15"/>
  <c r="H3679" i="15"/>
  <c r="H3657" i="15"/>
  <c r="H3636" i="15"/>
  <c r="H3615" i="15"/>
  <c r="H3593" i="15"/>
  <c r="H3572" i="15"/>
  <c r="H3551" i="15"/>
  <c r="H3529" i="15"/>
  <c r="H3510" i="15"/>
  <c r="H3494" i="15"/>
  <c r="H3478" i="15"/>
  <c r="H3462" i="15"/>
  <c r="H3446" i="15"/>
  <c r="H3430" i="15"/>
  <c r="H3414" i="15"/>
  <c r="H3398" i="15"/>
  <c r="H3382" i="15"/>
  <c r="H3367" i="15"/>
  <c r="H3354" i="15"/>
  <c r="H3344" i="15"/>
  <c r="H3334" i="15"/>
  <c r="H3326" i="15"/>
  <c r="H3318" i="15"/>
  <c r="H3310" i="15"/>
  <c r="H3302" i="15"/>
  <c r="H3294" i="15"/>
  <c r="H3286" i="15"/>
  <c r="H3278" i="15"/>
  <c r="H3270" i="15"/>
  <c r="H3262" i="15"/>
  <c r="H3254" i="15"/>
  <c r="H3246" i="15"/>
  <c r="H3238" i="15"/>
  <c r="H3230" i="15"/>
  <c r="H3222" i="15"/>
  <c r="H3214" i="15"/>
  <c r="H3206" i="15"/>
  <c r="H3198" i="15"/>
  <c r="H3190" i="15"/>
  <c r="H3182" i="15"/>
  <c r="H3174" i="15"/>
  <c r="H3166" i="15"/>
  <c r="H3158" i="15"/>
  <c r="H3150" i="15"/>
  <c r="H3142" i="15"/>
  <c r="H3134" i="15"/>
  <c r="H3126" i="15"/>
  <c r="H3118" i="15"/>
  <c r="H3110" i="15"/>
  <c r="H3102" i="15"/>
  <c r="H3094" i="15"/>
  <c r="H3086" i="15"/>
  <c r="H3078" i="15"/>
  <c r="H3070" i="15"/>
  <c r="H3062" i="15"/>
  <c r="H3054" i="15"/>
  <c r="H3046" i="15"/>
  <c r="H3038" i="15"/>
  <c r="H3030" i="15"/>
  <c r="H3022" i="15"/>
  <c r="H3014" i="15"/>
  <c r="H3006" i="15"/>
  <c r="H2998" i="15"/>
  <c r="H2990" i="15"/>
  <c r="H2982" i="15"/>
  <c r="H2974" i="15"/>
  <c r="H2966" i="15"/>
  <c r="H2958" i="15"/>
  <c r="H2950" i="15"/>
  <c r="H2942" i="15"/>
  <c r="H2934" i="15"/>
  <c r="H2926" i="15"/>
  <c r="H2918" i="15"/>
  <c r="H2910" i="15"/>
  <c r="H4164" i="15"/>
  <c r="H4148" i="15"/>
  <c r="H4127" i="15"/>
  <c r="H4105" i="15"/>
  <c r="H4084" i="15"/>
  <c r="H4000" i="15"/>
  <c r="H3978" i="15"/>
  <c r="H3957" i="15"/>
  <c r="H3936" i="15"/>
  <c r="H3914" i="15"/>
  <c r="H3893" i="15"/>
  <c r="H3872" i="15"/>
  <c r="H3850" i="15"/>
  <c r="H3829" i="15"/>
  <c r="H3808" i="15"/>
  <c r="H3786" i="15"/>
  <c r="H3765" i="15"/>
  <c r="H3744" i="15"/>
  <c r="H3722" i="15"/>
  <c r="H3715" i="15"/>
  <c r="H3694" i="15"/>
  <c r="H3672" i="15"/>
  <c r="H3651" i="15"/>
  <c r="H3630" i="15"/>
  <c r="H3608" i="15"/>
  <c r="H3587" i="15"/>
  <c r="H3566" i="15"/>
  <c r="H3544" i="15"/>
  <c r="H3523" i="15"/>
  <c r="H3505" i="15"/>
  <c r="H3489" i="15"/>
  <c r="H3473" i="15"/>
  <c r="H3457" i="15"/>
  <c r="H3441" i="15"/>
  <c r="H3425" i="15"/>
  <c r="H3409" i="15"/>
  <c r="H3393" i="15"/>
  <c r="H3377" i="15"/>
  <c r="H3366" i="15"/>
  <c r="H3353" i="15"/>
  <c r="H3343" i="15"/>
  <c r="H3333" i="15"/>
  <c r="H3325" i="15"/>
  <c r="H3317" i="15"/>
  <c r="H3309" i="15"/>
  <c r="H3301" i="15"/>
  <c r="H3293" i="15"/>
  <c r="H3285" i="15"/>
  <c r="H3277" i="15"/>
  <c r="H3269" i="15"/>
  <c r="H3261" i="15"/>
  <c r="H3253" i="15"/>
  <c r="H3245" i="15"/>
  <c r="H3237" i="15"/>
  <c r="H3229" i="15"/>
  <c r="H3221" i="15"/>
  <c r="H3213" i="15"/>
  <c r="H3205" i="15"/>
  <c r="H3197" i="15"/>
  <c r="H3189" i="15"/>
  <c r="H3181" i="15"/>
  <c r="H3173" i="15"/>
  <c r="H3165" i="15"/>
  <c r="H3157" i="15"/>
  <c r="H3149" i="15"/>
  <c r="H3141" i="15"/>
  <c r="H3133" i="15"/>
  <c r="H3125" i="15"/>
  <c r="H3117" i="15"/>
  <c r="H3109" i="15"/>
  <c r="H3101" i="15"/>
  <c r="H3093" i="15"/>
  <c r="H3085" i="15"/>
  <c r="H3077" i="15"/>
  <c r="H3069" i="15"/>
  <c r="H3061" i="15"/>
  <c r="H3053" i="15"/>
  <c r="H3045" i="15"/>
  <c r="H3037" i="15"/>
  <c r="H3029" i="15"/>
  <c r="H3021" i="15"/>
  <c r="H3013" i="15"/>
  <c r="H4145" i="15"/>
  <c r="H4103" i="15"/>
  <c r="H3976" i="15"/>
  <c r="H3933" i="15"/>
  <c r="H3890" i="15"/>
  <c r="H3848" i="15"/>
  <c r="H3805" i="15"/>
  <c r="H3762" i="15"/>
  <c r="H3720" i="15"/>
  <c r="H3691" i="15"/>
  <c r="H3648" i="15"/>
  <c r="H3606" i="15"/>
  <c r="H3563" i="15"/>
  <c r="H3520" i="15"/>
  <c r="H3487" i="15"/>
  <c r="H3455" i="15"/>
  <c r="H3423" i="15"/>
  <c r="H3391" i="15"/>
  <c r="H3361" i="15"/>
  <c r="H3341" i="15"/>
  <c r="H3323" i="15"/>
  <c r="H3307" i="15"/>
  <c r="H3291" i="15"/>
  <c r="H3275" i="15"/>
  <c r="H3259" i="15"/>
  <c r="H3243" i="15"/>
  <c r="H3227" i="15"/>
  <c r="H3211" i="15"/>
  <c r="H3195" i="15"/>
  <c r="H3179" i="15"/>
  <c r="H3167" i="15"/>
  <c r="H3155" i="15"/>
  <c r="H3145" i="15"/>
  <c r="H3135" i="15"/>
  <c r="H3123" i="15"/>
  <c r="H3113" i="15"/>
  <c r="H3103" i="15"/>
  <c r="H3091" i="15"/>
  <c r="H3081" i="15"/>
  <c r="H3071" i="15"/>
  <c r="H3059" i="15"/>
  <c r="H3049" i="15"/>
  <c r="H3039" i="15"/>
  <c r="H3027" i="15"/>
  <c r="H3017" i="15"/>
  <c r="H3007" i="15"/>
  <c r="H2997" i="15"/>
  <c r="H2988" i="15"/>
  <c r="H2979" i="15"/>
  <c r="H2970" i="15"/>
  <c r="H2961" i="15"/>
  <c r="H2952" i="15"/>
  <c r="H2943" i="15"/>
  <c r="H2933" i="15"/>
  <c r="H2924" i="15"/>
  <c r="H2915" i="15"/>
  <c r="H2906" i="15"/>
  <c r="H2898" i="15"/>
  <c r="H2890" i="15"/>
  <c r="H2882" i="15"/>
  <c r="H2874" i="15"/>
  <c r="H2866" i="15"/>
  <c r="H2858" i="15"/>
  <c r="H2850" i="15"/>
  <c r="H2842" i="15"/>
  <c r="H2834" i="15"/>
  <c r="H2826" i="15"/>
  <c r="H2818" i="15"/>
  <c r="H2810" i="15"/>
  <c r="H2802" i="15"/>
  <c r="H2794" i="15"/>
  <c r="H2786" i="15"/>
  <c r="H2778" i="15"/>
  <c r="H2770" i="15"/>
  <c r="H2762" i="15"/>
  <c r="H2754" i="15"/>
  <c r="H2746" i="15"/>
  <c r="H2738" i="15"/>
  <c r="H2730" i="15"/>
  <c r="H2722" i="15"/>
  <c r="H2714" i="15"/>
  <c r="H2706" i="15"/>
  <c r="H2698" i="15"/>
  <c r="H2690" i="15"/>
  <c r="H2682" i="15"/>
  <c r="H2674" i="15"/>
  <c r="H2666" i="15"/>
  <c r="H2658" i="15"/>
  <c r="H2650" i="15"/>
  <c r="H2642" i="15"/>
  <c r="H2634" i="15"/>
  <c r="H2626" i="15"/>
  <c r="H2618" i="15"/>
  <c r="H2610" i="15"/>
  <c r="H2602" i="15"/>
  <c r="H2594" i="15"/>
  <c r="H2586" i="15"/>
  <c r="H2578" i="15"/>
  <c r="H2570" i="15"/>
  <c r="H2562" i="15"/>
  <c r="H2554" i="15"/>
  <c r="H2546" i="15"/>
  <c r="H2538" i="15"/>
  <c r="H2530" i="15"/>
  <c r="H2522" i="15"/>
  <c r="H4144" i="15"/>
  <c r="H4101" i="15"/>
  <c r="H3974" i="15"/>
  <c r="H3931" i="15"/>
  <c r="H3889" i="15"/>
  <c r="H3846" i="15"/>
  <c r="H3803" i="15"/>
  <c r="H3761" i="15"/>
  <c r="H3689" i="15"/>
  <c r="H3647" i="15"/>
  <c r="H3604" i="15"/>
  <c r="H3561" i="15"/>
  <c r="H3519" i="15"/>
  <c r="H3486" i="15"/>
  <c r="H3454" i="15"/>
  <c r="H3422" i="15"/>
  <c r="H3390" i="15"/>
  <c r="H3360" i="15"/>
  <c r="H3338" i="15"/>
  <c r="H3322" i="15"/>
  <c r="H3306" i="15"/>
  <c r="H3290" i="15"/>
  <c r="H3274" i="15"/>
  <c r="H3258" i="15"/>
  <c r="H3242" i="15"/>
  <c r="H3226" i="15"/>
  <c r="H3210" i="15"/>
  <c r="H3194" i="15"/>
  <c r="H3178" i="15"/>
  <c r="H3164" i="15"/>
  <c r="H3154" i="15"/>
  <c r="H3144" i="15"/>
  <c r="H3132" i="15"/>
  <c r="H3122" i="15"/>
  <c r="H3112" i="15"/>
  <c r="H3100" i="15"/>
  <c r="H3090" i="15"/>
  <c r="H3080" i="15"/>
  <c r="H3068" i="15"/>
  <c r="H3058" i="15"/>
  <c r="H3048" i="15"/>
  <c r="H3036" i="15"/>
  <c r="H3026" i="15"/>
  <c r="H3016" i="15"/>
  <c r="H3005" i="15"/>
  <c r="H2996" i="15"/>
  <c r="H2987" i="15"/>
  <c r="H2978" i="15"/>
  <c r="H2969" i="15"/>
  <c r="H2960" i="15"/>
  <c r="H2951" i="15"/>
  <c r="H2941" i="15"/>
  <c r="H2932" i="15"/>
  <c r="H2923" i="15"/>
  <c r="H2914" i="15"/>
  <c r="H2905" i="15"/>
  <c r="H2897" i="15"/>
  <c r="H2889" i="15"/>
  <c r="H2881" i="15"/>
  <c r="H2873" i="15"/>
  <c r="H2865" i="15"/>
  <c r="H2857" i="15"/>
  <c r="H2849" i="15"/>
  <c r="H2841" i="15"/>
  <c r="H2833" i="15"/>
  <c r="H2825" i="15"/>
  <c r="H2817" i="15"/>
  <c r="H2809" i="15"/>
  <c r="H2801" i="15"/>
  <c r="H2793" i="15"/>
  <c r="H2785" i="15"/>
  <c r="H2777" i="15"/>
  <c r="H2769" i="15"/>
  <c r="H2761" i="15"/>
  <c r="H2753" i="15"/>
  <c r="H2745" i="15"/>
  <c r="H2737" i="15"/>
  <c r="H2729" i="15"/>
  <c r="H2721" i="15"/>
  <c r="H2713" i="15"/>
  <c r="H2705" i="15"/>
  <c r="H2697" i="15"/>
  <c r="H4137" i="15"/>
  <c r="H4095" i="15"/>
  <c r="H4010" i="15"/>
  <c r="H3968" i="15"/>
  <c r="H3925" i="15"/>
  <c r="H3882" i="15"/>
  <c r="H3840" i="15"/>
  <c r="H3797" i="15"/>
  <c r="H3754" i="15"/>
  <c r="H3683" i="15"/>
  <c r="H3640" i="15"/>
  <c r="H3598" i="15"/>
  <c r="H3555" i="15"/>
  <c r="H3513" i="15"/>
  <c r="H3481" i="15"/>
  <c r="H3449" i="15"/>
  <c r="H3417" i="15"/>
  <c r="H3385" i="15"/>
  <c r="H3359" i="15"/>
  <c r="H3337" i="15"/>
  <c r="H3321" i="15"/>
  <c r="H3305" i="15"/>
  <c r="H3289" i="15"/>
  <c r="H3273" i="15"/>
  <c r="H3257" i="15"/>
  <c r="H3241" i="15"/>
  <c r="H3225" i="15"/>
  <c r="H3209" i="15"/>
  <c r="H3193" i="15"/>
  <c r="H3177" i="15"/>
  <c r="H3163" i="15"/>
  <c r="H3153" i="15"/>
  <c r="H3143" i="15"/>
  <c r="H3131" i="15"/>
  <c r="H3121" i="15"/>
  <c r="H3111" i="15"/>
  <c r="H3099" i="15"/>
  <c r="H3089" i="15"/>
  <c r="H3079" i="15"/>
  <c r="H3067" i="15"/>
  <c r="H3057" i="15"/>
  <c r="H3047" i="15"/>
  <c r="H3035" i="15"/>
  <c r="H3025" i="15"/>
  <c r="H3015" i="15"/>
  <c r="H3004" i="15"/>
  <c r="H2995" i="15"/>
  <c r="H2986" i="15"/>
  <c r="H2977" i="15"/>
  <c r="H2968" i="15"/>
  <c r="H2959" i="15"/>
  <c r="H2949" i="15"/>
  <c r="H2940" i="15"/>
  <c r="H2931" i="15"/>
  <c r="H2922" i="15"/>
  <c r="H2913" i="15"/>
  <c r="H2904" i="15"/>
  <c r="H2896" i="15"/>
  <c r="H2888" i="15"/>
  <c r="H2880" i="15"/>
  <c r="H2872" i="15"/>
  <c r="H2864" i="15"/>
  <c r="H2856" i="15"/>
  <c r="H2848" i="15"/>
  <c r="H2840" i="15"/>
  <c r="H2832" i="15"/>
  <c r="H2824" i="15"/>
  <c r="H2816" i="15"/>
  <c r="H2808" i="15"/>
  <c r="H2800" i="15"/>
  <c r="H2792" i="15"/>
  <c r="H2784" i="15"/>
  <c r="H2776" i="15"/>
  <c r="H2768" i="15"/>
  <c r="H2760" i="15"/>
  <c r="H2752" i="15"/>
  <c r="H2744" i="15"/>
  <c r="H2736" i="15"/>
  <c r="H2728" i="15"/>
  <c r="H2720" i="15"/>
  <c r="H2712" i="15"/>
  <c r="H2704" i="15"/>
  <c r="H2696" i="15"/>
  <c r="H2688" i="15"/>
  <c r="H2680" i="15"/>
  <c r="H2672" i="15"/>
  <c r="H2664" i="15"/>
  <c r="H2656" i="15"/>
  <c r="H2648" i="15"/>
  <c r="H2640" i="15"/>
  <c r="H2632" i="15"/>
  <c r="H2624" i="15"/>
  <c r="H2616" i="15"/>
  <c r="H2608" i="15"/>
  <c r="H2600" i="15"/>
  <c r="H2592" i="15"/>
  <c r="H2584" i="15"/>
  <c r="H2576" i="15"/>
  <c r="H2568" i="15"/>
  <c r="H2560" i="15"/>
  <c r="H2552" i="15"/>
  <c r="H4163" i="15"/>
  <c r="H4125" i="15"/>
  <c r="H3998" i="15"/>
  <c r="H3955" i="15"/>
  <c r="H3913" i="15"/>
  <c r="H3870" i="15"/>
  <c r="H3827" i="15"/>
  <c r="H3785" i="15"/>
  <c r="H3742" i="15"/>
  <c r="H3713" i="15"/>
  <c r="H3671" i="15"/>
  <c r="H3628" i="15"/>
  <c r="H3585" i="15"/>
  <c r="H3543" i="15"/>
  <c r="H3504" i="15"/>
  <c r="H3472" i="15"/>
  <c r="H3440" i="15"/>
  <c r="H3408" i="15"/>
  <c r="H3376" i="15"/>
  <c r="H3352" i="15"/>
  <c r="H3332" i="15"/>
  <c r="H3316" i="15"/>
  <c r="H3300" i="15"/>
  <c r="H3284" i="15"/>
  <c r="H3268" i="15"/>
  <c r="H3252" i="15"/>
  <c r="H3236" i="15"/>
  <c r="H3220" i="15"/>
  <c r="H3204" i="15"/>
  <c r="H3188" i="15"/>
  <c r="H3172" i="15"/>
  <c r="H3162" i="15"/>
  <c r="H3152" i="15"/>
  <c r="H3140" i="15"/>
  <c r="H3130" i="15"/>
  <c r="H3120" i="15"/>
  <c r="H3108" i="15"/>
  <c r="H3098" i="15"/>
  <c r="H3088" i="15"/>
  <c r="H3076" i="15"/>
  <c r="H3066" i="15"/>
  <c r="H3056" i="15"/>
  <c r="H3044" i="15"/>
  <c r="H3034" i="15"/>
  <c r="H3024" i="15"/>
  <c r="H3012" i="15"/>
  <c r="H3003" i="15"/>
  <c r="H2994" i="15"/>
  <c r="H2985" i="15"/>
  <c r="H2976" i="15"/>
  <c r="H2967" i="15"/>
  <c r="H2957" i="15"/>
  <c r="H2948" i="15"/>
  <c r="H2939" i="15"/>
  <c r="H2930" i="15"/>
  <c r="H2921" i="15"/>
  <c r="H2912" i="15"/>
  <c r="H2903" i="15"/>
  <c r="H2895" i="15"/>
  <c r="H2887" i="15"/>
  <c r="H2879" i="15"/>
  <c r="H2871" i="15"/>
  <c r="H2863" i="15"/>
  <c r="H2855" i="15"/>
  <c r="H2847" i="15"/>
  <c r="H2839" i="15"/>
  <c r="H2831" i="15"/>
  <c r="H2823" i="15"/>
  <c r="H2815" i="15"/>
  <c r="H2807" i="15"/>
  <c r="H2799" i="15"/>
  <c r="H2791" i="15"/>
  <c r="H2783" i="15"/>
  <c r="H2775" i="15"/>
  <c r="H2767" i="15"/>
  <c r="H2759" i="15"/>
  <c r="H2751" i="15"/>
  <c r="H2743" i="15"/>
  <c r="H2735" i="15"/>
  <c r="H2727" i="15"/>
  <c r="H2719" i="15"/>
  <c r="H2711" i="15"/>
  <c r="H2703" i="15"/>
  <c r="H2695" i="15"/>
  <c r="H2687" i="15"/>
  <c r="H2679" i="15"/>
  <c r="H2671" i="15"/>
  <c r="H2663" i="15"/>
  <c r="H2655" i="15"/>
  <c r="H2647" i="15"/>
  <c r="H2639" i="15"/>
  <c r="H2631" i="15"/>
  <c r="H2623" i="15"/>
  <c r="H2615" i="15"/>
  <c r="H2607" i="15"/>
  <c r="H2599" i="15"/>
  <c r="H2591" i="15"/>
  <c r="H2583" i="15"/>
  <c r="H2575" i="15"/>
  <c r="H2567" i="15"/>
  <c r="H2559" i="15"/>
  <c r="H2551" i="15"/>
  <c r="H2543" i="15"/>
  <c r="H2535" i="15"/>
  <c r="H2527" i="15"/>
  <c r="H4160" i="15"/>
  <c r="H4122" i="15"/>
  <c r="H3995" i="15"/>
  <c r="H3953" i="15"/>
  <c r="H3910" i="15"/>
  <c r="H3867" i="15"/>
  <c r="H3825" i="15"/>
  <c r="H3782" i="15"/>
  <c r="H3739" i="15"/>
  <c r="H3711" i="15"/>
  <c r="H3668" i="15"/>
  <c r="H3625" i="15"/>
  <c r="H3583" i="15"/>
  <c r="H3540" i="15"/>
  <c r="H3502" i="15"/>
  <c r="H3470" i="15"/>
  <c r="H3438" i="15"/>
  <c r="H3406" i="15"/>
  <c r="H3374" i="15"/>
  <c r="H3350" i="15"/>
  <c r="H3330" i="15"/>
  <c r="H3314" i="15"/>
  <c r="H3298" i="15"/>
  <c r="H3282" i="15"/>
  <c r="H3266" i="15"/>
  <c r="H3250" i="15"/>
  <c r="H3234" i="15"/>
  <c r="H3218" i="15"/>
  <c r="H3202" i="15"/>
  <c r="H3186" i="15"/>
  <c r="H3170" i="15"/>
  <c r="H3160" i="15"/>
  <c r="H3148" i="15"/>
  <c r="H3138" i="15"/>
  <c r="H3128" i="15"/>
  <c r="H3116" i="15"/>
  <c r="H3106" i="15"/>
  <c r="H3096" i="15"/>
  <c r="H3084" i="15"/>
  <c r="H3074" i="15"/>
  <c r="H3064" i="15"/>
  <c r="H3052" i="15"/>
  <c r="H3042" i="15"/>
  <c r="H3032" i="15"/>
  <c r="H3020" i="15"/>
  <c r="H3010" i="15"/>
  <c r="H3001" i="15"/>
  <c r="H2992" i="15"/>
  <c r="H2983" i="15"/>
  <c r="H2973" i="15"/>
  <c r="H2964" i="15"/>
  <c r="H2955" i="15"/>
  <c r="H2946" i="15"/>
  <c r="H2937" i="15"/>
  <c r="H2928" i="15"/>
  <c r="H2919" i="15"/>
  <c r="H2909" i="15"/>
  <c r="H2901" i="15"/>
  <c r="H2893" i="15"/>
  <c r="H2885" i="15"/>
  <c r="H2877" i="15"/>
  <c r="H2869" i="15"/>
  <c r="H2861" i="15"/>
  <c r="H2853" i="15"/>
  <c r="H2845" i="15"/>
  <c r="H2837" i="15"/>
  <c r="H2829" i="15"/>
  <c r="H2821" i="15"/>
  <c r="H2813" i="15"/>
  <c r="H2805" i="15"/>
  <c r="H4104" i="15"/>
  <c r="H3989" i="15"/>
  <c r="H3869" i="15"/>
  <c r="H3763" i="15"/>
  <c r="H3662" i="15"/>
  <c r="H3542" i="15"/>
  <c r="H3456" i="15"/>
  <c r="H3370" i="15"/>
  <c r="H3315" i="15"/>
  <c r="H3276" i="15"/>
  <c r="H3233" i="15"/>
  <c r="H3187" i="15"/>
  <c r="H3156" i="15"/>
  <c r="H3127" i="15"/>
  <c r="H3097" i="15"/>
  <c r="H3072" i="15"/>
  <c r="H3041" i="15"/>
  <c r="H3011" i="15"/>
  <c r="H2989" i="15"/>
  <c r="H2963" i="15"/>
  <c r="H2938" i="15"/>
  <c r="H2916" i="15"/>
  <c r="H2892" i="15"/>
  <c r="H2870" i="15"/>
  <c r="H2851" i="15"/>
  <c r="H2828" i="15"/>
  <c r="H2806" i="15"/>
  <c r="H2789" i="15"/>
  <c r="H2773" i="15"/>
  <c r="H2757" i="15"/>
  <c r="H2741" i="15"/>
  <c r="H2725" i="15"/>
  <c r="H2709" i="15"/>
  <c r="H2693" i="15"/>
  <c r="H2681" i="15"/>
  <c r="H2668" i="15"/>
  <c r="H2654" i="15"/>
  <c r="H2643" i="15"/>
  <c r="H2629" i="15"/>
  <c r="H2617" i="15"/>
  <c r="H2604" i="15"/>
  <c r="H2590" i="15"/>
  <c r="H2579" i="15"/>
  <c r="H2565" i="15"/>
  <c r="H2553" i="15"/>
  <c r="H2541" i="15"/>
  <c r="H2531" i="15"/>
  <c r="H2520" i="15"/>
  <c r="H2512" i="15"/>
  <c r="H2504" i="15"/>
  <c r="H2496" i="15"/>
  <c r="H2488" i="15"/>
  <c r="H2480" i="15"/>
  <c r="H2472" i="15"/>
  <c r="H2464" i="15"/>
  <c r="H2456" i="15"/>
  <c r="H2448" i="15"/>
  <c r="H2440" i="15"/>
  <c r="H2432" i="15"/>
  <c r="H2424" i="15"/>
  <c r="H2416" i="15"/>
  <c r="H2408" i="15"/>
  <c r="H2400" i="15"/>
  <c r="H2392" i="15"/>
  <c r="H2384" i="15"/>
  <c r="H2376" i="15"/>
  <c r="H2368" i="15"/>
  <c r="H2360" i="15"/>
  <c r="H2352" i="15"/>
  <c r="H2344" i="15"/>
  <c r="H2336" i="15"/>
  <c r="H2328" i="15"/>
  <c r="H2320" i="15"/>
  <c r="H2312" i="15"/>
  <c r="H2304" i="15"/>
  <c r="H2296" i="15"/>
  <c r="H2288" i="15"/>
  <c r="H2280" i="15"/>
  <c r="H2272" i="15"/>
  <c r="H2264" i="15"/>
  <c r="H2256" i="15"/>
  <c r="H2248" i="15"/>
  <c r="H2240" i="15"/>
  <c r="H2232" i="15"/>
  <c r="H2224" i="15"/>
  <c r="H2216" i="15"/>
  <c r="H2208" i="15"/>
  <c r="H2200" i="15"/>
  <c r="H2192" i="15"/>
  <c r="H2184" i="15"/>
  <c r="H2176" i="15"/>
  <c r="H2168" i="15"/>
  <c r="H2160" i="15"/>
  <c r="H2152" i="15"/>
  <c r="H2144" i="15"/>
  <c r="H2136" i="15"/>
  <c r="H2128" i="15"/>
  <c r="H2120" i="15"/>
  <c r="H2112" i="15"/>
  <c r="H2104" i="15"/>
  <c r="H2096" i="15"/>
  <c r="H2088" i="15"/>
  <c r="H2080" i="15"/>
  <c r="H2072" i="15"/>
  <c r="H2064" i="15"/>
  <c r="H2056" i="15"/>
  <c r="H2048" i="15"/>
  <c r="H2040" i="15"/>
  <c r="H2032" i="15"/>
  <c r="H2024" i="15"/>
  <c r="H2016" i="15"/>
  <c r="H2008" i="15"/>
  <c r="H2000" i="15"/>
  <c r="H1992" i="15"/>
  <c r="H1984" i="15"/>
  <c r="H1976" i="15"/>
  <c r="H1968" i="15"/>
  <c r="H1960" i="15"/>
  <c r="H1952" i="15"/>
  <c r="H1944" i="15"/>
  <c r="H1936" i="15"/>
  <c r="H1928" i="15"/>
  <c r="H1920" i="15"/>
  <c r="H1912" i="15"/>
  <c r="H1904" i="15"/>
  <c r="H1896" i="15"/>
  <c r="H1888" i="15"/>
  <c r="H1880" i="15"/>
  <c r="H1872" i="15"/>
  <c r="H1864" i="15"/>
  <c r="H1856" i="15"/>
  <c r="H1848" i="15"/>
  <c r="H1840" i="15"/>
  <c r="H1832" i="15"/>
  <c r="H1824" i="15"/>
  <c r="H1816" i="15"/>
  <c r="H1808" i="15"/>
  <c r="H1800" i="15"/>
  <c r="H1792" i="15"/>
  <c r="H1784" i="15"/>
  <c r="H1776" i="15"/>
  <c r="H1768" i="15"/>
  <c r="H1760" i="15"/>
  <c r="H1752" i="15"/>
  <c r="H1744" i="15"/>
  <c r="H1736" i="15"/>
  <c r="H1728" i="15"/>
  <c r="H1720" i="15"/>
  <c r="H1712" i="15"/>
  <c r="H1704" i="15"/>
  <c r="H1696" i="15"/>
  <c r="H1688" i="15"/>
  <c r="H1680" i="15"/>
  <c r="H1672" i="15"/>
  <c r="H1664" i="15"/>
  <c r="H1656" i="15"/>
  <c r="H1648" i="15"/>
  <c r="H1640" i="15"/>
  <c r="H1632" i="15"/>
  <c r="H1624" i="15"/>
  <c r="H1616" i="15"/>
  <c r="H1608" i="15"/>
  <c r="H1600" i="15"/>
  <c r="H1592" i="15"/>
  <c r="H1584" i="15"/>
  <c r="H1576" i="15"/>
  <c r="H1568" i="15"/>
  <c r="H1560" i="15"/>
  <c r="H1552" i="15"/>
  <c r="H1544" i="15"/>
  <c r="H3977" i="15"/>
  <c r="H3861" i="15"/>
  <c r="H3741" i="15"/>
  <c r="H3649" i="15"/>
  <c r="H3534" i="15"/>
  <c r="H3439" i="15"/>
  <c r="H3362" i="15"/>
  <c r="H3313" i="15"/>
  <c r="H3267" i="15"/>
  <c r="H3228" i="15"/>
  <c r="H3185" i="15"/>
  <c r="H3151" i="15"/>
  <c r="H3124" i="15"/>
  <c r="H3095" i="15"/>
  <c r="H3065" i="15"/>
  <c r="H3040" i="15"/>
  <c r="H3009" i="15"/>
  <c r="H2984" i="15"/>
  <c r="H2962" i="15"/>
  <c r="H2936" i="15"/>
  <c r="H2911" i="15"/>
  <c r="H2891" i="15"/>
  <c r="H2868" i="15"/>
  <c r="H2846" i="15"/>
  <c r="H2827" i="15"/>
  <c r="H2804" i="15"/>
  <c r="H2788" i="15"/>
  <c r="H2772" i="15"/>
  <c r="H2756" i="15"/>
  <c r="H2740" i="15"/>
  <c r="H2724" i="15"/>
  <c r="H2708" i="15"/>
  <c r="H2692" i="15"/>
  <c r="H2678" i="15"/>
  <c r="H2667" i="15"/>
  <c r="H2653" i="15"/>
  <c r="H2641" i="15"/>
  <c r="H2628" i="15"/>
  <c r="H2614" i="15"/>
  <c r="H2603" i="15"/>
  <c r="H2589" i="15"/>
  <c r="H2577" i="15"/>
  <c r="H2564" i="15"/>
  <c r="H2550" i="15"/>
  <c r="H2540" i="15"/>
  <c r="H2529" i="15"/>
  <c r="H2519" i="15"/>
  <c r="H2511" i="15"/>
  <c r="H2503" i="15"/>
  <c r="H2495" i="15"/>
  <c r="H2487" i="15"/>
  <c r="H2479" i="15"/>
  <c r="H2471" i="15"/>
  <c r="H2463" i="15"/>
  <c r="H2455" i="15"/>
  <c r="H2447" i="15"/>
  <c r="H2439" i="15"/>
  <c r="H2431" i="15"/>
  <c r="H2423" i="15"/>
  <c r="H2415" i="15"/>
  <c r="H2407" i="15"/>
  <c r="H2399" i="15"/>
  <c r="H2391" i="15"/>
  <c r="H2383" i="15"/>
  <c r="H2375" i="15"/>
  <c r="H2367" i="15"/>
  <c r="H2359" i="15"/>
  <c r="H2351" i="15"/>
  <c r="H2343" i="15"/>
  <c r="H2335" i="15"/>
  <c r="H2327" i="15"/>
  <c r="H2319" i="15"/>
  <c r="H2311" i="15"/>
  <c r="H2303" i="15"/>
  <c r="H2295" i="15"/>
  <c r="H2287" i="15"/>
  <c r="H2279" i="15"/>
  <c r="H2271" i="15"/>
  <c r="H2263" i="15"/>
  <c r="H2255" i="15"/>
  <c r="H2247" i="15"/>
  <c r="H2239" i="15"/>
  <c r="H2231" i="15"/>
  <c r="H2223" i="15"/>
  <c r="H2215" i="15"/>
  <c r="H2207" i="15"/>
  <c r="H2199" i="15"/>
  <c r="H2191" i="15"/>
  <c r="H2183" i="15"/>
  <c r="H2175" i="15"/>
  <c r="H2167" i="15"/>
  <c r="H2159" i="15"/>
  <c r="H2151" i="15"/>
  <c r="H2143" i="15"/>
  <c r="H2135" i="15"/>
  <c r="H2127" i="15"/>
  <c r="H2119" i="15"/>
  <c r="H2111" i="15"/>
  <c r="H2103" i="15"/>
  <c r="H2095" i="15"/>
  <c r="H2087" i="15"/>
  <c r="H2079" i="15"/>
  <c r="H2071" i="15"/>
  <c r="H2063" i="15"/>
  <c r="H2055" i="15"/>
  <c r="H2047" i="15"/>
  <c r="H2039" i="15"/>
  <c r="H2031" i="15"/>
  <c r="H2023" i="15"/>
  <c r="H2015" i="15"/>
  <c r="H2007" i="15"/>
  <c r="H1999" i="15"/>
  <c r="H1991" i="15"/>
  <c r="H1983" i="15"/>
  <c r="H1975" i="15"/>
  <c r="H1967" i="15"/>
  <c r="H1959" i="15"/>
  <c r="H1951" i="15"/>
  <c r="H1943" i="15"/>
  <c r="H1935" i="15"/>
  <c r="H1927" i="15"/>
  <c r="H1919" i="15"/>
  <c r="H1911" i="15"/>
  <c r="H1903" i="15"/>
  <c r="H1895" i="15"/>
  <c r="H1887" i="15"/>
  <c r="H1879" i="15"/>
  <c r="H1871" i="15"/>
  <c r="H1863" i="15"/>
  <c r="H1855" i="15"/>
  <c r="H1847" i="15"/>
  <c r="H1839" i="15"/>
  <c r="H1831" i="15"/>
  <c r="H1823" i="15"/>
  <c r="H1815" i="15"/>
  <c r="H1807" i="15"/>
  <c r="H1799" i="15"/>
  <c r="H1791" i="15"/>
  <c r="H1783" i="15"/>
  <c r="H3954" i="15"/>
  <c r="H3849" i="15"/>
  <c r="H3733" i="15"/>
  <c r="H3627" i="15"/>
  <c r="H3521" i="15"/>
  <c r="H3433" i="15"/>
  <c r="H3351" i="15"/>
  <c r="H3308" i="15"/>
  <c r="H3265" i="15"/>
  <c r="H3219" i="15"/>
  <c r="H3180" i="15"/>
  <c r="H3147" i="15"/>
  <c r="H3119" i="15"/>
  <c r="H3092" i="15"/>
  <c r="H3063" i="15"/>
  <c r="H3033" i="15"/>
  <c r="H3008" i="15"/>
  <c r="H2981" i="15"/>
  <c r="H2956" i="15"/>
  <c r="H2935" i="15"/>
  <c r="H2908" i="15"/>
  <c r="H2886" i="15"/>
  <c r="H2867" i="15"/>
  <c r="H2844" i="15"/>
  <c r="H2822" i="15"/>
  <c r="H2803" i="15"/>
  <c r="H2787" i="15"/>
  <c r="H2771" i="15"/>
  <c r="H2755" i="15"/>
  <c r="H2739" i="15"/>
  <c r="H2723" i="15"/>
  <c r="H2707" i="15"/>
  <c r="H2691" i="15"/>
  <c r="H2677" i="15"/>
  <c r="H2665" i="15"/>
  <c r="H2652" i="15"/>
  <c r="H2638" i="15"/>
  <c r="H2627" i="15"/>
  <c r="H2613" i="15"/>
  <c r="H2601" i="15"/>
  <c r="H2588" i="15"/>
  <c r="H2574" i="15"/>
  <c r="H2563" i="15"/>
  <c r="H2549" i="15"/>
  <c r="H2539" i="15"/>
  <c r="H2528" i="15"/>
  <c r="H2518" i="15"/>
  <c r="H2510" i="15"/>
  <c r="H2502" i="15"/>
  <c r="H2494" i="15"/>
  <c r="H2486" i="15"/>
  <c r="H2478" i="15"/>
  <c r="H2470" i="15"/>
  <c r="H2462" i="15"/>
  <c r="H2454" i="15"/>
  <c r="H2446" i="15"/>
  <c r="H2438" i="15"/>
  <c r="H2430" i="15"/>
  <c r="H2422" i="15"/>
  <c r="H2414" i="15"/>
  <c r="H2406" i="15"/>
  <c r="H2398" i="15"/>
  <c r="H2390" i="15"/>
  <c r="H2382" i="15"/>
  <c r="H2374" i="15"/>
  <c r="H2366" i="15"/>
  <c r="H2358" i="15"/>
  <c r="H4162" i="15"/>
  <c r="H3946" i="15"/>
  <c r="H3826" i="15"/>
  <c r="H3721" i="15"/>
  <c r="H3619" i="15"/>
  <c r="H3503" i="15"/>
  <c r="H3424" i="15"/>
  <c r="H3349" i="15"/>
  <c r="H3299" i="15"/>
  <c r="H3260" i="15"/>
  <c r="H3217" i="15"/>
  <c r="H3171" i="15"/>
  <c r="H3146" i="15"/>
  <c r="H3115" i="15"/>
  <c r="H3087" i="15"/>
  <c r="H3060" i="15"/>
  <c r="H3031" i="15"/>
  <c r="H3002" i="15"/>
  <c r="H2980" i="15"/>
  <c r="H2954" i="15"/>
  <c r="H2929" i="15"/>
  <c r="H2907" i="15"/>
  <c r="H2884" i="15"/>
  <c r="H2862" i="15"/>
  <c r="H2843" i="15"/>
  <c r="H2820" i="15"/>
  <c r="H2798" i="15"/>
  <c r="H2782" i="15"/>
  <c r="H2766" i="15"/>
  <c r="H2750" i="15"/>
  <c r="H2734" i="15"/>
  <c r="H2718" i="15"/>
  <c r="H2702" i="15"/>
  <c r="H2689" i="15"/>
  <c r="H2676" i="15"/>
  <c r="H2662" i="15"/>
  <c r="H2651" i="15"/>
  <c r="H2637" i="15"/>
  <c r="H2625" i="15"/>
  <c r="H2612" i="15"/>
  <c r="H2598" i="15"/>
  <c r="H2587" i="15"/>
  <c r="H2573" i="15"/>
  <c r="H2561" i="15"/>
  <c r="H2548" i="15"/>
  <c r="H2537" i="15"/>
  <c r="H2526" i="15"/>
  <c r="H2517" i="15"/>
  <c r="H2509" i="15"/>
  <c r="H2501" i="15"/>
  <c r="H2493" i="15"/>
  <c r="H2485" i="15"/>
  <c r="H2477" i="15"/>
  <c r="H2469" i="15"/>
  <c r="H2461" i="15"/>
  <c r="H2453" i="15"/>
  <c r="H2445" i="15"/>
  <c r="H2437" i="15"/>
  <c r="H2429" i="15"/>
  <c r="H2421" i="15"/>
  <c r="H2413" i="15"/>
  <c r="H2405" i="15"/>
  <c r="H2397" i="15"/>
  <c r="H2389" i="15"/>
  <c r="H4159" i="15"/>
  <c r="H3934" i="15"/>
  <c r="H3818" i="15"/>
  <c r="H3712" i="15"/>
  <c r="H3997" i="15"/>
  <c r="H3692" i="15"/>
  <c r="H3471" i="15"/>
  <c r="H3329" i="15"/>
  <c r="H3244" i="15"/>
  <c r="H3161" i="15"/>
  <c r="H3105" i="15"/>
  <c r="H3050" i="15"/>
  <c r="H2993" i="15"/>
  <c r="H2945" i="15"/>
  <c r="H2899" i="15"/>
  <c r="H2854" i="15"/>
  <c r="H2812" i="15"/>
  <c r="H2779" i="15"/>
  <c r="H2747" i="15"/>
  <c r="H2715" i="15"/>
  <c r="H2684" i="15"/>
  <c r="H2659" i="15"/>
  <c r="H2633" i="15"/>
  <c r="H2606" i="15"/>
  <c r="H2581" i="15"/>
  <c r="H2556" i="15"/>
  <c r="H2533" i="15"/>
  <c r="H2514" i="15"/>
  <c r="H2498" i="15"/>
  <c r="H2482" i="15"/>
  <c r="H2466" i="15"/>
  <c r="H2450" i="15"/>
  <c r="H2434" i="15"/>
  <c r="H2418" i="15"/>
  <c r="H2402" i="15"/>
  <c r="H2386" i="15"/>
  <c r="H2372" i="15"/>
  <c r="H2361" i="15"/>
  <c r="H2348" i="15"/>
  <c r="H2338" i="15"/>
  <c r="H2326" i="15"/>
  <c r="H2316" i="15"/>
  <c r="H2306" i="15"/>
  <c r="H2294" i="15"/>
  <c r="H2284" i="15"/>
  <c r="H2274" i="15"/>
  <c r="H2262" i="15"/>
  <c r="H2252" i="15"/>
  <c r="H2242" i="15"/>
  <c r="H2230" i="15"/>
  <c r="H2220" i="15"/>
  <c r="H2210" i="15"/>
  <c r="H2198" i="15"/>
  <c r="H2188" i="15"/>
  <c r="H2178" i="15"/>
  <c r="H2166" i="15"/>
  <c r="H2156" i="15"/>
  <c r="H2146" i="15"/>
  <c r="H2134" i="15"/>
  <c r="H2124" i="15"/>
  <c r="H2114" i="15"/>
  <c r="H2102" i="15"/>
  <c r="H2092" i="15"/>
  <c r="H2082" i="15"/>
  <c r="H2070" i="15"/>
  <c r="H2060" i="15"/>
  <c r="H2050" i="15"/>
  <c r="H2038" i="15"/>
  <c r="H2028" i="15"/>
  <c r="H2018" i="15"/>
  <c r="H2006" i="15"/>
  <c r="H1996" i="15"/>
  <c r="H1986" i="15"/>
  <c r="H1974" i="15"/>
  <c r="H1964" i="15"/>
  <c r="H1954" i="15"/>
  <c r="H1942" i="15"/>
  <c r="H1932" i="15"/>
  <c r="H1922" i="15"/>
  <c r="H1910" i="15"/>
  <c r="H1900" i="15"/>
  <c r="H1890" i="15"/>
  <c r="H1878" i="15"/>
  <c r="H1868" i="15"/>
  <c r="H1858" i="15"/>
  <c r="H1846" i="15"/>
  <c r="H1836" i="15"/>
  <c r="H1826" i="15"/>
  <c r="H1814" i="15"/>
  <c r="H1804" i="15"/>
  <c r="H1794" i="15"/>
  <c r="H1782" i="15"/>
  <c r="H1773" i="15"/>
  <c r="H1764" i="15"/>
  <c r="H1755" i="15"/>
  <c r="H1746" i="15"/>
  <c r="H1737" i="15"/>
  <c r="H1727" i="15"/>
  <c r="H1718" i="15"/>
  <c r="H1709" i="15"/>
  <c r="H1700" i="15"/>
  <c r="H1691" i="15"/>
  <c r="H1682" i="15"/>
  <c r="H1673" i="15"/>
  <c r="H1663" i="15"/>
  <c r="H1654" i="15"/>
  <c r="H1645" i="15"/>
  <c r="H1636" i="15"/>
  <c r="H1627" i="15"/>
  <c r="H1618" i="15"/>
  <c r="H1609" i="15"/>
  <c r="H1599" i="15"/>
  <c r="H1590" i="15"/>
  <c r="H1581" i="15"/>
  <c r="H1572" i="15"/>
  <c r="H1563" i="15"/>
  <c r="H1554" i="15"/>
  <c r="H1545" i="15"/>
  <c r="H1536" i="15"/>
  <c r="H1528" i="15"/>
  <c r="H1520" i="15"/>
  <c r="H1512" i="15"/>
  <c r="H1504" i="15"/>
  <c r="H1496" i="15"/>
  <c r="H1488" i="15"/>
  <c r="H1480" i="15"/>
  <c r="H1472" i="15"/>
  <c r="H1464" i="15"/>
  <c r="H1456" i="15"/>
  <c r="H1448" i="15"/>
  <c r="H1440" i="15"/>
  <c r="H1432" i="15"/>
  <c r="H1424" i="15"/>
  <c r="H1416" i="15"/>
  <c r="H1408" i="15"/>
  <c r="H1400" i="15"/>
  <c r="H1392" i="15"/>
  <c r="H1384" i="15"/>
  <c r="H1376" i="15"/>
  <c r="H1368" i="15"/>
  <c r="H1360" i="15"/>
  <c r="H1352" i="15"/>
  <c r="H1344" i="15"/>
  <c r="H1336" i="15"/>
  <c r="H1328" i="15"/>
  <c r="H1320" i="15"/>
  <c r="H1312" i="15"/>
  <c r="H1304" i="15"/>
  <c r="H1296" i="15"/>
  <c r="H1288" i="15"/>
  <c r="H1280" i="15"/>
  <c r="H1272" i="15"/>
  <c r="H1264" i="15"/>
  <c r="H1256" i="15"/>
  <c r="H1248" i="15"/>
  <c r="H1240" i="15"/>
  <c r="H1232" i="15"/>
  <c r="H1224" i="15"/>
  <c r="H1216" i="15"/>
  <c r="H3912" i="15"/>
  <c r="H3670" i="15"/>
  <c r="H3465" i="15"/>
  <c r="H3324" i="15"/>
  <c r="H3235" i="15"/>
  <c r="H3159" i="15"/>
  <c r="H3104" i="15"/>
  <c r="H3043" i="15"/>
  <c r="H2991" i="15"/>
  <c r="H2944" i="15"/>
  <c r="H2894" i="15"/>
  <c r="H2852" i="15"/>
  <c r="H2811" i="15"/>
  <c r="H2774" i="15"/>
  <c r="H2742" i="15"/>
  <c r="H2710" i="15"/>
  <c r="H2683" i="15"/>
  <c r="H2657" i="15"/>
  <c r="H2630" i="15"/>
  <c r="H2605" i="15"/>
  <c r="H2580" i="15"/>
  <c r="H2555" i="15"/>
  <c r="H2532" i="15"/>
  <c r="H2513" i="15"/>
  <c r="H2497" i="15"/>
  <c r="H2481" i="15"/>
  <c r="H2465" i="15"/>
  <c r="H2449" i="15"/>
  <c r="H2433" i="15"/>
  <c r="H2417" i="15"/>
  <c r="H2401" i="15"/>
  <c r="H2385" i="15"/>
  <c r="H2371" i="15"/>
  <c r="H2357" i="15"/>
  <c r="H2347" i="15"/>
  <c r="H2337" i="15"/>
  <c r="H2325" i="15"/>
  <c r="H2315" i="15"/>
  <c r="H2305" i="15"/>
  <c r="H2293" i="15"/>
  <c r="H2283" i="15"/>
  <c r="H2273" i="15"/>
  <c r="H2261" i="15"/>
  <c r="H2251" i="15"/>
  <c r="H2241" i="15"/>
  <c r="H2229" i="15"/>
  <c r="H2219" i="15"/>
  <c r="H2209" i="15"/>
  <c r="H2197" i="15"/>
  <c r="H2187" i="15"/>
  <c r="H2177" i="15"/>
  <c r="H2165" i="15"/>
  <c r="H2155" i="15"/>
  <c r="H2145" i="15"/>
  <c r="H2133" i="15"/>
  <c r="H2123" i="15"/>
  <c r="H2113" i="15"/>
  <c r="H2101" i="15"/>
  <c r="H2091" i="15"/>
  <c r="H2081" i="15"/>
  <c r="H2069" i="15"/>
  <c r="H2059" i="15"/>
  <c r="H2049" i="15"/>
  <c r="H2037" i="15"/>
  <c r="H2027" i="15"/>
  <c r="H2017" i="15"/>
  <c r="H2005" i="15"/>
  <c r="H1995" i="15"/>
  <c r="H1985" i="15"/>
  <c r="H1973" i="15"/>
  <c r="H1963" i="15"/>
  <c r="H1953" i="15"/>
  <c r="H1941" i="15"/>
  <c r="H1931" i="15"/>
  <c r="H1921" i="15"/>
  <c r="H1909" i="15"/>
  <c r="H1899" i="15"/>
  <c r="H1889" i="15"/>
  <c r="H1877" i="15"/>
  <c r="H1867" i="15"/>
  <c r="H1857" i="15"/>
  <c r="H1845" i="15"/>
  <c r="H1835" i="15"/>
  <c r="H1825" i="15"/>
  <c r="H1813" i="15"/>
  <c r="H1803" i="15"/>
  <c r="H1793" i="15"/>
  <c r="H1781" i="15"/>
  <c r="H1772" i="15"/>
  <c r="H1763" i="15"/>
  <c r="H1754" i="15"/>
  <c r="H1745" i="15"/>
  <c r="H1735" i="15"/>
  <c r="H1726" i="15"/>
  <c r="H1717" i="15"/>
  <c r="H1708" i="15"/>
  <c r="H1699" i="15"/>
  <c r="H1690" i="15"/>
  <c r="H1681" i="15"/>
  <c r="H1671" i="15"/>
  <c r="H1662" i="15"/>
  <c r="H1653" i="15"/>
  <c r="H1644" i="15"/>
  <c r="H1635" i="15"/>
  <c r="H1626" i="15"/>
  <c r="H1617" i="15"/>
  <c r="H1607" i="15"/>
  <c r="H1598" i="15"/>
  <c r="H1589" i="15"/>
  <c r="H1580" i="15"/>
  <c r="H1571" i="15"/>
  <c r="H1562" i="15"/>
  <c r="H1553" i="15"/>
  <c r="H1543" i="15"/>
  <c r="H1535" i="15"/>
  <c r="H1527" i="15"/>
  <c r="H1519" i="15"/>
  <c r="H1511" i="15"/>
  <c r="H1503" i="15"/>
  <c r="H1495" i="15"/>
  <c r="H1487" i="15"/>
  <c r="H1479" i="15"/>
  <c r="H1471" i="15"/>
  <c r="H1463" i="15"/>
  <c r="H1455" i="15"/>
  <c r="H1447" i="15"/>
  <c r="H1439" i="15"/>
  <c r="H1431" i="15"/>
  <c r="H1423" i="15"/>
  <c r="H1415" i="15"/>
  <c r="H1407" i="15"/>
  <c r="H1399" i="15"/>
  <c r="H1391" i="15"/>
  <c r="H1383" i="15"/>
  <c r="H1375" i="15"/>
  <c r="H1367" i="15"/>
  <c r="H1359" i="15"/>
  <c r="H1351" i="15"/>
  <c r="H1343" i="15"/>
  <c r="H1335" i="15"/>
  <c r="H1327" i="15"/>
  <c r="H1319" i="15"/>
  <c r="H1311" i="15"/>
  <c r="H1303" i="15"/>
  <c r="H1295" i="15"/>
  <c r="H1287" i="15"/>
  <c r="H1279" i="15"/>
  <c r="H1271" i="15"/>
  <c r="H1263" i="15"/>
  <c r="H1255" i="15"/>
  <c r="H1247" i="15"/>
  <c r="H1239" i="15"/>
  <c r="H1231" i="15"/>
  <c r="H1223" i="15"/>
  <c r="H3904" i="15"/>
  <c r="H3607" i="15"/>
  <c r="H3407" i="15"/>
  <c r="H3297" i="15"/>
  <c r="H3212" i="15"/>
  <c r="H3139" i="15"/>
  <c r="H3083" i="15"/>
  <c r="H3028" i="15"/>
  <c r="H2975" i="15"/>
  <c r="H2927" i="15"/>
  <c r="H2883" i="15"/>
  <c r="H2838" i="15"/>
  <c r="H2797" i="15"/>
  <c r="H2765" i="15"/>
  <c r="H2733" i="15"/>
  <c r="H2701" i="15"/>
  <c r="H2675" i="15"/>
  <c r="H2649" i="15"/>
  <c r="H2622" i="15"/>
  <c r="H2597" i="15"/>
  <c r="H2572" i="15"/>
  <c r="H2547" i="15"/>
  <c r="H2525" i="15"/>
  <c r="H2508" i="15"/>
  <c r="H2492" i="15"/>
  <c r="H2476" i="15"/>
  <c r="H2460" i="15"/>
  <c r="H2444" i="15"/>
  <c r="H2428" i="15"/>
  <c r="H2412" i="15"/>
  <c r="H2396" i="15"/>
  <c r="H2381" i="15"/>
  <c r="H2370" i="15"/>
  <c r="H2356" i="15"/>
  <c r="H2346" i="15"/>
  <c r="H2334" i="15"/>
  <c r="H2324" i="15"/>
  <c r="H2314" i="15"/>
  <c r="H2302" i="15"/>
  <c r="H2292" i="15"/>
  <c r="H2282" i="15"/>
  <c r="H2270" i="15"/>
  <c r="H2260" i="15"/>
  <c r="H2250" i="15"/>
  <c r="H2238" i="15"/>
  <c r="H2228" i="15"/>
  <c r="H2218" i="15"/>
  <c r="H2206" i="15"/>
  <c r="H2196" i="15"/>
  <c r="H2186" i="15"/>
  <c r="H2174" i="15"/>
  <c r="H2164" i="15"/>
  <c r="H2154" i="15"/>
  <c r="H2142" i="15"/>
  <c r="H2132" i="15"/>
  <c r="H2122" i="15"/>
  <c r="H2110" i="15"/>
  <c r="H2100" i="15"/>
  <c r="H2090" i="15"/>
  <c r="H2078" i="15"/>
  <c r="H2068" i="15"/>
  <c r="H2058" i="15"/>
  <c r="H2046" i="15"/>
  <c r="H2036" i="15"/>
  <c r="H2026" i="15"/>
  <c r="H2014" i="15"/>
  <c r="H2004" i="15"/>
  <c r="H1994" i="15"/>
  <c r="H1982" i="15"/>
  <c r="H1972" i="15"/>
  <c r="H1962" i="15"/>
  <c r="H1950" i="15"/>
  <c r="H1940" i="15"/>
  <c r="H1930" i="15"/>
  <c r="H1918" i="15"/>
  <c r="H1908" i="15"/>
  <c r="H1898" i="15"/>
  <c r="H1886" i="15"/>
  <c r="H1876" i="15"/>
  <c r="H1866" i="15"/>
  <c r="H1854" i="15"/>
  <c r="H1844" i="15"/>
  <c r="H1834" i="15"/>
  <c r="H1822" i="15"/>
  <c r="H1812" i="15"/>
  <c r="H1802" i="15"/>
  <c r="H1790" i="15"/>
  <c r="H1780" i="15"/>
  <c r="H1771" i="15"/>
  <c r="H1762" i="15"/>
  <c r="H1753" i="15"/>
  <c r="H1743" i="15"/>
  <c r="H1734" i="15"/>
  <c r="H1725" i="15"/>
  <c r="H1716" i="15"/>
  <c r="H1707" i="15"/>
  <c r="H1698" i="15"/>
  <c r="H1689" i="15"/>
  <c r="H1679" i="15"/>
  <c r="H1670" i="15"/>
  <c r="H1661" i="15"/>
  <c r="H1652" i="15"/>
  <c r="H1643" i="15"/>
  <c r="H1634" i="15"/>
  <c r="H1625" i="15"/>
  <c r="H1615" i="15"/>
  <c r="H1606" i="15"/>
  <c r="H1597" i="15"/>
  <c r="H1588" i="15"/>
  <c r="H1579" i="15"/>
  <c r="H1570" i="15"/>
  <c r="H1561" i="15"/>
  <c r="H1551" i="15"/>
  <c r="H1542" i="15"/>
  <c r="H1534" i="15"/>
  <c r="H1526" i="15"/>
  <c r="H4146" i="15"/>
  <c r="H3891" i="15"/>
  <c r="H3584" i="15"/>
  <c r="H3401" i="15"/>
  <c r="H3292" i="15"/>
  <c r="H3203" i="15"/>
  <c r="H3137" i="15"/>
  <c r="H3082" i="15"/>
  <c r="H3023" i="15"/>
  <c r="H2972" i="15"/>
  <c r="H2925" i="15"/>
  <c r="H2878" i="15"/>
  <c r="H2836" i="15"/>
  <c r="H2796" i="15"/>
  <c r="H2764" i="15"/>
  <c r="H2732" i="15"/>
  <c r="H2700" i="15"/>
  <c r="H2673" i="15"/>
  <c r="H2646" i="15"/>
  <c r="H2621" i="15"/>
  <c r="H2596" i="15"/>
  <c r="H2571" i="15"/>
  <c r="H2545" i="15"/>
  <c r="H2524" i="15"/>
  <c r="H2507" i="15"/>
  <c r="H2491" i="15"/>
  <c r="H2475" i="15"/>
  <c r="H2459" i="15"/>
  <c r="H2443" i="15"/>
  <c r="H2427" i="15"/>
  <c r="H2411" i="15"/>
  <c r="H2395" i="15"/>
  <c r="H2380" i="15"/>
  <c r="H2369" i="15"/>
  <c r="H2355" i="15"/>
  <c r="H2345" i="15"/>
  <c r="H2333" i="15"/>
  <c r="H2323" i="15"/>
  <c r="H2313" i="15"/>
  <c r="H2301" i="15"/>
  <c r="H2291" i="15"/>
  <c r="H2281" i="15"/>
  <c r="H2269" i="15"/>
  <c r="H2259" i="15"/>
  <c r="H2249" i="15"/>
  <c r="H2237" i="15"/>
  <c r="H2227" i="15"/>
  <c r="H2217" i="15"/>
  <c r="H2205" i="15"/>
  <c r="H2195" i="15"/>
  <c r="H2185" i="15"/>
  <c r="H2173" i="15"/>
  <c r="H2163" i="15"/>
  <c r="H2153" i="15"/>
  <c r="H2141" i="15"/>
  <c r="H2131" i="15"/>
  <c r="H2121" i="15"/>
  <c r="H2109" i="15"/>
  <c r="H2099" i="15"/>
  <c r="H2089" i="15"/>
  <c r="H2077" i="15"/>
  <c r="H2067" i="15"/>
  <c r="H2057" i="15"/>
  <c r="H2045" i="15"/>
  <c r="H2035" i="15"/>
  <c r="H2025" i="15"/>
  <c r="H2013" i="15"/>
  <c r="H2003" i="15"/>
  <c r="H1993" i="15"/>
  <c r="H1981" i="15"/>
  <c r="H1971" i="15"/>
  <c r="H1961" i="15"/>
  <c r="H1949" i="15"/>
  <c r="H1939" i="15"/>
  <c r="H1929" i="15"/>
  <c r="H1917" i="15"/>
  <c r="H1907" i="15"/>
  <c r="H1897" i="15"/>
  <c r="H1885" i="15"/>
  <c r="H1875" i="15"/>
  <c r="H1865" i="15"/>
  <c r="H1853" i="15"/>
  <c r="H1843" i="15"/>
  <c r="H1833" i="15"/>
  <c r="H1821" i="15"/>
  <c r="H1811" i="15"/>
  <c r="H1801" i="15"/>
  <c r="H1789" i="15"/>
  <c r="H1779" i="15"/>
  <c r="H1770" i="15"/>
  <c r="H1761" i="15"/>
  <c r="H1751" i="15"/>
  <c r="H1742" i="15"/>
  <c r="H1733" i="15"/>
  <c r="H1724" i="15"/>
  <c r="H1715" i="15"/>
  <c r="H1706" i="15"/>
  <c r="H1697" i="15"/>
  <c r="H1687" i="15"/>
  <c r="H1678" i="15"/>
  <c r="H1669" i="15"/>
  <c r="H1660" i="15"/>
  <c r="H1651" i="15"/>
  <c r="H1642" i="15"/>
  <c r="H1633" i="15"/>
  <c r="H1623" i="15"/>
  <c r="H1614" i="15"/>
  <c r="H1605" i="15"/>
  <c r="H1596" i="15"/>
  <c r="H1587" i="15"/>
  <c r="H1578" i="15"/>
  <c r="H1569" i="15"/>
  <c r="H1559" i="15"/>
  <c r="H1550" i="15"/>
  <c r="H1541" i="15"/>
  <c r="H1533" i="15"/>
  <c r="H1525" i="15"/>
  <c r="H1517" i="15"/>
  <c r="H1509" i="15"/>
  <c r="H1501" i="15"/>
  <c r="H1493" i="15"/>
  <c r="H1485" i="15"/>
  <c r="H1477" i="15"/>
  <c r="H1469" i="15"/>
  <c r="H1461" i="15"/>
  <c r="H1453" i="15"/>
  <c r="H1445" i="15"/>
  <c r="H1437" i="15"/>
  <c r="H1429" i="15"/>
  <c r="H1421" i="15"/>
  <c r="H1413" i="15"/>
  <c r="H1405" i="15"/>
  <c r="H1397" i="15"/>
  <c r="H1389" i="15"/>
  <c r="H1381" i="15"/>
  <c r="H1373" i="15"/>
  <c r="H1365" i="15"/>
  <c r="H1357" i="15"/>
  <c r="H1349" i="15"/>
  <c r="H1341" i="15"/>
  <c r="H1333" i="15"/>
  <c r="H1325" i="15"/>
  <c r="H1317" i="15"/>
  <c r="H1309" i="15"/>
  <c r="H1301" i="15"/>
  <c r="H1293" i="15"/>
  <c r="H1285" i="15"/>
  <c r="H1277" i="15"/>
  <c r="H1269" i="15"/>
  <c r="H4116" i="15"/>
  <c r="H3784" i="15"/>
  <c r="H3564" i="15"/>
  <c r="H3375" i="15"/>
  <c r="H3281" i="15"/>
  <c r="H3196" i="15"/>
  <c r="H3129" i="15"/>
  <c r="H3073" i="15"/>
  <c r="H3018" i="15"/>
  <c r="H2965" i="15"/>
  <c r="H2917" i="15"/>
  <c r="H2875" i="15"/>
  <c r="H2830" i="15"/>
  <c r="H2790" i="15"/>
  <c r="H2758" i="15"/>
  <c r="H2726" i="15"/>
  <c r="H2694" i="15"/>
  <c r="H2669" i="15"/>
  <c r="H2644" i="15"/>
  <c r="H2619" i="15"/>
  <c r="H2593" i="15"/>
  <c r="H2566" i="15"/>
  <c r="H2542" i="15"/>
  <c r="H2521" i="15"/>
  <c r="H2505" i="15"/>
  <c r="H2489" i="15"/>
  <c r="H2473" i="15"/>
  <c r="H2457" i="15"/>
  <c r="H2441" i="15"/>
  <c r="H2425" i="15"/>
  <c r="H2409" i="15"/>
  <c r="H2393" i="15"/>
  <c r="H2378" i="15"/>
  <c r="H2364" i="15"/>
  <c r="H2353" i="15"/>
  <c r="H2341" i="15"/>
  <c r="H2331" i="15"/>
  <c r="H2321" i="15"/>
  <c r="H2309" i="15"/>
  <c r="H2299" i="15"/>
  <c r="H2289" i="15"/>
  <c r="H2277" i="15"/>
  <c r="H2267" i="15"/>
  <c r="H2257" i="15"/>
  <c r="H2245" i="15"/>
  <c r="H2235" i="15"/>
  <c r="H2225" i="15"/>
  <c r="H2213" i="15"/>
  <c r="H2203" i="15"/>
  <c r="H2193" i="15"/>
  <c r="H2181" i="15"/>
  <c r="H2171" i="15"/>
  <c r="H2161" i="15"/>
  <c r="H2149" i="15"/>
  <c r="H2139" i="15"/>
  <c r="H2129" i="15"/>
  <c r="H2117" i="15"/>
  <c r="H2107" i="15"/>
  <c r="H2097" i="15"/>
  <c r="H2085" i="15"/>
  <c r="H2075" i="15"/>
  <c r="H2065" i="15"/>
  <c r="H2053" i="15"/>
  <c r="H2043" i="15"/>
  <c r="H2033" i="15"/>
  <c r="H2021" i="15"/>
  <c r="H2011" i="15"/>
  <c r="H2001" i="15"/>
  <c r="H1989" i="15"/>
  <c r="H1979" i="15"/>
  <c r="H1969" i="15"/>
  <c r="H1957" i="15"/>
  <c r="H1947" i="15"/>
  <c r="H1937" i="15"/>
  <c r="H1925" i="15"/>
  <c r="H1915" i="15"/>
  <c r="H1905" i="15"/>
  <c r="H1893" i="15"/>
  <c r="H1883" i="15"/>
  <c r="H1873" i="15"/>
  <c r="H1861" i="15"/>
  <c r="H1851" i="15"/>
  <c r="H1841" i="15"/>
  <c r="H1829" i="15"/>
  <c r="H1819" i="15"/>
  <c r="H3704" i="15"/>
  <c r="H3251" i="15"/>
  <c r="H3075" i="15"/>
  <c r="H2947" i="15"/>
  <c r="H2819" i="15"/>
  <c r="H2731" i="15"/>
  <c r="H2660" i="15"/>
  <c r="H2585" i="15"/>
  <c r="H2523" i="15"/>
  <c r="H2483" i="15"/>
  <c r="H2436" i="15"/>
  <c r="H2394" i="15"/>
  <c r="H2362" i="15"/>
  <c r="H2330" i="15"/>
  <c r="H2300" i="15"/>
  <c r="H2275" i="15"/>
  <c r="H2244" i="15"/>
  <c r="H2214" i="15"/>
  <c r="H2189" i="15"/>
  <c r="H2158" i="15"/>
  <c r="H2130" i="15"/>
  <c r="H2105" i="15"/>
  <c r="H2074" i="15"/>
  <c r="H2044" i="15"/>
  <c r="H2019" i="15"/>
  <c r="H1988" i="15"/>
  <c r="H1958" i="15"/>
  <c r="H1933" i="15"/>
  <c r="H1902" i="15"/>
  <c r="H1874" i="15"/>
  <c r="H1849" i="15"/>
  <c r="H1818" i="15"/>
  <c r="H1796" i="15"/>
  <c r="H1775" i="15"/>
  <c r="H1757" i="15"/>
  <c r="H1739" i="15"/>
  <c r="H1721" i="15"/>
  <c r="H1702" i="15"/>
  <c r="H1684" i="15"/>
  <c r="H1666" i="15"/>
  <c r="H1647" i="15"/>
  <c r="H1629" i="15"/>
  <c r="H1611" i="15"/>
  <c r="H1593" i="15"/>
  <c r="H1574" i="15"/>
  <c r="H1556" i="15"/>
  <c r="H1538" i="15"/>
  <c r="H1522" i="15"/>
  <c r="H1508" i="15"/>
  <c r="H1497" i="15"/>
  <c r="H1483" i="15"/>
  <c r="H1470" i="15"/>
  <c r="H1458" i="15"/>
  <c r="H1444" i="15"/>
  <c r="H1433" i="15"/>
  <c r="H1419" i="15"/>
  <c r="H1406" i="15"/>
  <c r="H1394" i="15"/>
  <c r="H1380" i="15"/>
  <c r="H1369" i="15"/>
  <c r="H1355" i="15"/>
  <c r="H1342" i="15"/>
  <c r="H1330" i="15"/>
  <c r="H1316" i="15"/>
  <c r="H1305" i="15"/>
  <c r="H1291" i="15"/>
  <c r="H1278" i="15"/>
  <c r="H1266" i="15"/>
  <c r="H1254" i="15"/>
  <c r="H1244" i="15"/>
  <c r="H1234" i="15"/>
  <c r="H1222" i="15"/>
  <c r="H1213" i="15"/>
  <c r="H1205" i="15"/>
  <c r="H1197" i="15"/>
  <c r="H1189" i="15"/>
  <c r="H1181" i="15"/>
  <c r="H1173" i="15"/>
  <c r="H1165" i="15"/>
  <c r="H1157" i="15"/>
  <c r="H1149" i="15"/>
  <c r="H1141" i="15"/>
  <c r="H1133" i="15"/>
  <c r="H1125" i="15"/>
  <c r="H1117" i="15"/>
  <c r="H1109" i="15"/>
  <c r="H1101" i="15"/>
  <c r="H1093" i="15"/>
  <c r="H1085" i="15"/>
  <c r="H1077" i="15"/>
  <c r="H1069" i="15"/>
  <c r="H1061" i="15"/>
  <c r="H1053" i="15"/>
  <c r="H1045" i="15"/>
  <c r="H1037" i="15"/>
  <c r="H1029" i="15"/>
  <c r="H1021" i="15"/>
  <c r="H1013" i="15"/>
  <c r="H1005" i="15"/>
  <c r="H997" i="15"/>
  <c r="H989" i="15"/>
  <c r="H3576" i="15"/>
  <c r="H3249" i="15"/>
  <c r="H3055" i="15"/>
  <c r="H2920" i="15"/>
  <c r="H2814" i="15"/>
  <c r="H2717" i="15"/>
  <c r="H2645" i="15"/>
  <c r="H2582" i="15"/>
  <c r="H2516" i="15"/>
  <c r="H2474" i="15"/>
  <c r="H2435" i="15"/>
  <c r="H2388" i="15"/>
  <c r="H2354" i="15"/>
  <c r="H2329" i="15"/>
  <c r="H2298" i="15"/>
  <c r="H2268" i="15"/>
  <c r="H2243" i="15"/>
  <c r="H2212" i="15"/>
  <c r="H2182" i="15"/>
  <c r="H2157" i="15"/>
  <c r="H2126" i="15"/>
  <c r="H2098" i="15"/>
  <c r="H2073" i="15"/>
  <c r="H2042" i="15"/>
  <c r="H2012" i="15"/>
  <c r="H1987" i="15"/>
  <c r="H1956" i="15"/>
  <c r="H1926" i="15"/>
  <c r="H1901" i="15"/>
  <c r="H1870" i="15"/>
  <c r="H1842" i="15"/>
  <c r="H1817" i="15"/>
  <c r="H1795" i="15"/>
  <c r="H1774" i="15"/>
  <c r="H1756" i="15"/>
  <c r="H1738" i="15"/>
  <c r="H1719" i="15"/>
  <c r="H1701" i="15"/>
  <c r="H1683" i="15"/>
  <c r="H1665" i="15"/>
  <c r="H1646" i="15"/>
  <c r="H1628" i="15"/>
  <c r="H1610" i="15"/>
  <c r="H1591" i="15"/>
  <c r="H1573" i="15"/>
  <c r="H1555" i="15"/>
  <c r="H1537" i="15"/>
  <c r="H1521" i="15"/>
  <c r="H1507" i="15"/>
  <c r="H1494" i="15"/>
  <c r="H1482" i="15"/>
  <c r="H1468" i="15"/>
  <c r="H1457" i="15"/>
  <c r="H1443" i="15"/>
  <c r="H1430" i="15"/>
  <c r="H1418" i="15"/>
  <c r="H1404" i="15"/>
  <c r="H1393" i="15"/>
  <c r="H1379" i="15"/>
  <c r="H1366" i="15"/>
  <c r="H1354" i="15"/>
  <c r="H1340" i="15"/>
  <c r="H1329" i="15"/>
  <c r="H1315" i="15"/>
  <c r="H1302" i="15"/>
  <c r="H1290" i="15"/>
  <c r="H1276" i="15"/>
  <c r="H1265" i="15"/>
  <c r="H1253" i="15"/>
  <c r="H1243" i="15"/>
  <c r="H1233" i="15"/>
  <c r="H1221" i="15"/>
  <c r="H1212" i="15"/>
  <c r="H1204" i="15"/>
  <c r="H1196" i="15"/>
  <c r="H1188" i="15"/>
  <c r="H1180" i="15"/>
  <c r="H1172" i="15"/>
  <c r="H1164" i="15"/>
  <c r="H1156" i="15"/>
  <c r="H1148" i="15"/>
  <c r="H1140" i="15"/>
  <c r="H1132" i="15"/>
  <c r="H1124" i="15"/>
  <c r="H1116" i="15"/>
  <c r="H1108" i="15"/>
  <c r="H1100" i="15"/>
  <c r="H1092" i="15"/>
  <c r="H1084" i="15"/>
  <c r="H1076" i="15"/>
  <c r="H1068" i="15"/>
  <c r="H1060" i="15"/>
  <c r="H1052" i="15"/>
  <c r="H1044" i="15"/>
  <c r="H1036" i="15"/>
  <c r="H1028" i="15"/>
  <c r="H1020" i="15"/>
  <c r="H1012" i="15"/>
  <c r="H1004" i="15"/>
  <c r="H996" i="15"/>
  <c r="H988" i="15"/>
  <c r="H980" i="15"/>
  <c r="H972" i="15"/>
  <c r="H964" i="15"/>
  <c r="H956" i="15"/>
  <c r="H948" i="15"/>
  <c r="H940" i="15"/>
  <c r="H932" i="15"/>
  <c r="H924" i="15"/>
  <c r="H916" i="15"/>
  <c r="H908" i="15"/>
  <c r="H900" i="15"/>
  <c r="H892" i="15"/>
  <c r="H884" i="15"/>
  <c r="H876" i="15"/>
  <c r="H868" i="15"/>
  <c r="H860" i="15"/>
  <c r="H852" i="15"/>
  <c r="H844" i="15"/>
  <c r="H836" i="15"/>
  <c r="H828" i="15"/>
  <c r="H820" i="15"/>
  <c r="H812" i="15"/>
  <c r="H804" i="15"/>
  <c r="H796" i="15"/>
  <c r="H788" i="15"/>
  <c r="H780" i="15"/>
  <c r="H772" i="15"/>
  <c r="H764" i="15"/>
  <c r="H756" i="15"/>
  <c r="H748" i="15"/>
  <c r="H740" i="15"/>
  <c r="H732" i="15"/>
  <c r="H724" i="15"/>
  <c r="H716" i="15"/>
  <c r="H708" i="15"/>
  <c r="H700" i="15"/>
  <c r="H692" i="15"/>
  <c r="H684" i="15"/>
  <c r="H676" i="15"/>
  <c r="H668" i="15"/>
  <c r="H660" i="15"/>
  <c r="H652" i="15"/>
  <c r="H644" i="15"/>
  <c r="H636" i="15"/>
  <c r="H628" i="15"/>
  <c r="H620" i="15"/>
  <c r="H612" i="15"/>
  <c r="H604" i="15"/>
  <c r="H596" i="15"/>
  <c r="H588" i="15"/>
  <c r="H580" i="15"/>
  <c r="H572" i="15"/>
  <c r="H564" i="15"/>
  <c r="H556" i="15"/>
  <c r="H548" i="15"/>
  <c r="H540" i="15"/>
  <c r="H532" i="15"/>
  <c r="H524" i="15"/>
  <c r="H516" i="15"/>
  <c r="H508" i="15"/>
  <c r="H500" i="15"/>
  <c r="H492" i="15"/>
  <c r="H3497" i="15"/>
  <c r="H3201" i="15"/>
  <c r="H3051" i="15"/>
  <c r="H2902" i="15"/>
  <c r="H2795" i="15"/>
  <c r="H2716" i="15"/>
  <c r="H2636" i="15"/>
  <c r="H2569" i="15"/>
  <c r="H2515" i="15"/>
  <c r="H2468" i="15"/>
  <c r="H2426" i="15"/>
  <c r="H2387" i="15"/>
  <c r="H2350" i="15"/>
  <c r="H2322" i="15"/>
  <c r="H2297" i="15"/>
  <c r="H2266" i="15"/>
  <c r="H2236" i="15"/>
  <c r="H2211" i="15"/>
  <c r="H2180" i="15"/>
  <c r="H2150" i="15"/>
  <c r="H2125" i="15"/>
  <c r="H2094" i="15"/>
  <c r="H2066" i="15"/>
  <c r="H2041" i="15"/>
  <c r="H2010" i="15"/>
  <c r="H1980" i="15"/>
  <c r="H1955" i="15"/>
  <c r="H1924" i="15"/>
  <c r="H1894" i="15"/>
  <c r="H1869" i="15"/>
  <c r="H1838" i="15"/>
  <c r="H1810" i="15"/>
  <c r="H1788" i="15"/>
  <c r="H1769" i="15"/>
  <c r="H1750" i="15"/>
  <c r="H1732" i="15"/>
  <c r="H1714" i="15"/>
  <c r="H1695" i="15"/>
  <c r="H1677" i="15"/>
  <c r="H1659" i="15"/>
  <c r="H1641" i="15"/>
  <c r="H1622" i="15"/>
  <c r="H1604" i="15"/>
  <c r="H1586" i="15"/>
  <c r="H1567" i="15"/>
  <c r="H1549" i="15"/>
  <c r="H1532" i="15"/>
  <c r="H1518" i="15"/>
  <c r="H1506" i="15"/>
  <c r="H1492" i="15"/>
  <c r="H1481" i="15"/>
  <c r="H1467" i="15"/>
  <c r="H1454" i="15"/>
  <c r="H1442" i="15"/>
  <c r="H1428" i="15"/>
  <c r="H1417" i="15"/>
  <c r="H1403" i="15"/>
  <c r="H1390" i="15"/>
  <c r="H1378" i="15"/>
  <c r="H1364" i="15"/>
  <c r="H1353" i="15"/>
  <c r="H1339" i="15"/>
  <c r="H1326" i="15"/>
  <c r="H1314" i="15"/>
  <c r="H1300" i="15"/>
  <c r="H1289" i="15"/>
  <c r="H1275" i="15"/>
  <c r="H1262" i="15"/>
  <c r="H1252" i="15"/>
  <c r="H1242" i="15"/>
  <c r="H1230" i="15"/>
  <c r="H1220" i="15"/>
  <c r="H1211" i="15"/>
  <c r="H1203" i="15"/>
  <c r="H1195" i="15"/>
  <c r="H1187" i="15"/>
  <c r="H1179" i="15"/>
  <c r="H1171" i="15"/>
  <c r="H1163" i="15"/>
  <c r="H1155" i="15"/>
  <c r="H1147" i="15"/>
  <c r="H1139" i="15"/>
  <c r="H1131" i="15"/>
  <c r="H1123" i="15"/>
  <c r="H1115" i="15"/>
  <c r="H1107" i="15"/>
  <c r="H1099" i="15"/>
  <c r="H1091" i="15"/>
  <c r="H1083" i="15"/>
  <c r="H1075" i="15"/>
  <c r="H1067" i="15"/>
  <c r="H1059" i="15"/>
  <c r="H1051" i="15"/>
  <c r="H1043" i="15"/>
  <c r="H1035" i="15"/>
  <c r="H1027" i="15"/>
  <c r="H1019" i="15"/>
  <c r="H1011" i="15"/>
  <c r="H1003" i="15"/>
  <c r="H995" i="15"/>
  <c r="H987" i="15"/>
  <c r="H979" i="15"/>
  <c r="H971" i="15"/>
  <c r="H963" i="15"/>
  <c r="H955" i="15"/>
  <c r="H947" i="15"/>
  <c r="H939" i="15"/>
  <c r="H931" i="15"/>
  <c r="H923" i="15"/>
  <c r="H915" i="15"/>
  <c r="H907" i="15"/>
  <c r="H899" i="15"/>
  <c r="H891" i="15"/>
  <c r="H883" i="15"/>
  <c r="H875" i="15"/>
  <c r="H867" i="15"/>
  <c r="H859" i="15"/>
  <c r="H851" i="15"/>
  <c r="H843" i="15"/>
  <c r="H835" i="15"/>
  <c r="H827" i="15"/>
  <c r="H819" i="15"/>
  <c r="H811" i="15"/>
  <c r="H803" i="15"/>
  <c r="H795" i="15"/>
  <c r="H787" i="15"/>
  <c r="H779" i="15"/>
  <c r="H771" i="15"/>
  <c r="H763" i="15"/>
  <c r="H755" i="15"/>
  <c r="H747" i="15"/>
  <c r="H739" i="15"/>
  <c r="H731" i="15"/>
  <c r="H723" i="15"/>
  <c r="H715" i="15"/>
  <c r="H707" i="15"/>
  <c r="H699" i="15"/>
  <c r="H691" i="15"/>
  <c r="H683" i="15"/>
  <c r="H675" i="15"/>
  <c r="H667" i="15"/>
  <c r="H659" i="15"/>
  <c r="H651" i="15"/>
  <c r="H643" i="15"/>
  <c r="H635" i="15"/>
  <c r="H627" i="15"/>
  <c r="H619" i="15"/>
  <c r="H611" i="15"/>
  <c r="H603" i="15"/>
  <c r="H595" i="15"/>
  <c r="H587" i="15"/>
  <c r="H579" i="15"/>
  <c r="H571" i="15"/>
  <c r="H563" i="15"/>
  <c r="H555" i="15"/>
  <c r="H547" i="15"/>
  <c r="H539" i="15"/>
  <c r="H531" i="15"/>
  <c r="H523" i="15"/>
  <c r="H515" i="15"/>
  <c r="H507" i="15"/>
  <c r="H499" i="15"/>
  <c r="H491" i="15"/>
  <c r="H483" i="15"/>
  <c r="H4124" i="15"/>
  <c r="H3488" i="15"/>
  <c r="H3169" i="15"/>
  <c r="H3019" i="15"/>
  <c r="H2900" i="15"/>
  <c r="H2781" i="15"/>
  <c r="H2699" i="15"/>
  <c r="H2635" i="15"/>
  <c r="H2558" i="15"/>
  <c r="H2506" i="15"/>
  <c r="H2467" i="15"/>
  <c r="H2420" i="15"/>
  <c r="H2379" i="15"/>
  <c r="H2349" i="15"/>
  <c r="H2318" i="15"/>
  <c r="H2290" i="15"/>
  <c r="H2265" i="15"/>
  <c r="H2234" i="15"/>
  <c r="H2204" i="15"/>
  <c r="H2179" i="15"/>
  <c r="H2148" i="15"/>
  <c r="H2118" i="15"/>
  <c r="H2093" i="15"/>
  <c r="H2062" i="15"/>
  <c r="H2034" i="15"/>
  <c r="H2009" i="15"/>
  <c r="H1978" i="15"/>
  <c r="H1948" i="15"/>
  <c r="H1923" i="15"/>
  <c r="H1892" i="15"/>
  <c r="H1862" i="15"/>
  <c r="H1837" i="15"/>
  <c r="H1809" i="15"/>
  <c r="H1787" i="15"/>
  <c r="H1767" i="15"/>
  <c r="H1749" i="15"/>
  <c r="H1731" i="15"/>
  <c r="H1713" i="15"/>
  <c r="H1694" i="15"/>
  <c r="H1676" i="15"/>
  <c r="H1658" i="15"/>
  <c r="H1639" i="15"/>
  <c r="H1621" i="15"/>
  <c r="H1603" i="15"/>
  <c r="H1585" i="15"/>
  <c r="H1566" i="15"/>
  <c r="H1548" i="15"/>
  <c r="H1531" i="15"/>
  <c r="H1516" i="15"/>
  <c r="H1505" i="15"/>
  <c r="H1491" i="15"/>
  <c r="H1478" i="15"/>
  <c r="H1466" i="15"/>
  <c r="H1452" i="15"/>
  <c r="H1441" i="15"/>
  <c r="H1427" i="15"/>
  <c r="H1414" i="15"/>
  <c r="H1402" i="15"/>
  <c r="H1388" i="15"/>
  <c r="H1377" i="15"/>
  <c r="H1363" i="15"/>
  <c r="H1350" i="15"/>
  <c r="H1338" i="15"/>
  <c r="H1324" i="15"/>
  <c r="H1313" i="15"/>
  <c r="H1299" i="15"/>
  <c r="H1286" i="15"/>
  <c r="H1274" i="15"/>
  <c r="H1261" i="15"/>
  <c r="H1251" i="15"/>
  <c r="H1241" i="15"/>
  <c r="H1229" i="15"/>
  <c r="H1219" i="15"/>
  <c r="H1210" i="15"/>
  <c r="H1202" i="15"/>
  <c r="H1194" i="15"/>
  <c r="H1186" i="15"/>
  <c r="H1178" i="15"/>
  <c r="H1170" i="15"/>
  <c r="H1162" i="15"/>
  <c r="H1154" i="15"/>
  <c r="H1146" i="15"/>
  <c r="H1138" i="15"/>
  <c r="H1130" i="15"/>
  <c r="H1122" i="15"/>
  <c r="H1114" i="15"/>
  <c r="H1106" i="15"/>
  <c r="H1098" i="15"/>
  <c r="H1090" i="15"/>
  <c r="H1082" i="15"/>
  <c r="H1074" i="15"/>
  <c r="H1066" i="15"/>
  <c r="H1058" i="15"/>
  <c r="H1050" i="15"/>
  <c r="H1042" i="15"/>
  <c r="H1034" i="15"/>
  <c r="H1026" i="15"/>
  <c r="H1018" i="15"/>
  <c r="H1010" i="15"/>
  <c r="H1002" i="15"/>
  <c r="H994" i="15"/>
  <c r="H986" i="15"/>
  <c r="H978" i="15"/>
  <c r="H970" i="15"/>
  <c r="H962" i="15"/>
  <c r="H954" i="15"/>
  <c r="H946" i="15"/>
  <c r="H938" i="15"/>
  <c r="H930" i="15"/>
  <c r="H922" i="15"/>
  <c r="H914" i="15"/>
  <c r="H906" i="15"/>
  <c r="H898" i="15"/>
  <c r="H890" i="15"/>
  <c r="H882" i="15"/>
  <c r="H874" i="15"/>
  <c r="H866" i="15"/>
  <c r="H858" i="15"/>
  <c r="H850" i="15"/>
  <c r="H842" i="15"/>
  <c r="H834" i="15"/>
  <c r="H826" i="15"/>
  <c r="H818" i="15"/>
  <c r="H810" i="15"/>
  <c r="H802" i="15"/>
  <c r="H794" i="15"/>
  <c r="H786" i="15"/>
  <c r="H778" i="15"/>
  <c r="H770" i="15"/>
  <c r="H762" i="15"/>
  <c r="H754" i="15"/>
  <c r="H746" i="15"/>
  <c r="H738" i="15"/>
  <c r="H730" i="15"/>
  <c r="H722" i="15"/>
  <c r="H714" i="15"/>
  <c r="H706" i="15"/>
  <c r="H698" i="15"/>
  <c r="H690" i="15"/>
  <c r="H682" i="15"/>
  <c r="H674" i="15"/>
  <c r="H666" i="15"/>
  <c r="H658" i="15"/>
  <c r="H650" i="15"/>
  <c r="H642" i="15"/>
  <c r="H634" i="15"/>
  <c r="H626" i="15"/>
  <c r="H618" i="15"/>
  <c r="H610" i="15"/>
  <c r="H602" i="15"/>
  <c r="H594" i="15"/>
  <c r="H586" i="15"/>
  <c r="H578" i="15"/>
  <c r="H570" i="15"/>
  <c r="H562" i="15"/>
  <c r="H554" i="15"/>
  <c r="H546" i="15"/>
  <c r="H538" i="15"/>
  <c r="H530" i="15"/>
  <c r="H522" i="15"/>
  <c r="H514" i="15"/>
  <c r="H506" i="15"/>
  <c r="H498" i="15"/>
  <c r="H490" i="15"/>
  <c r="H482" i="15"/>
  <c r="H3392" i="15"/>
  <c r="H3168" i="15"/>
  <c r="H3000" i="15"/>
  <c r="H2876" i="15"/>
  <c r="H2780" i="15"/>
  <c r="H2686" i="15"/>
  <c r="H2620" i="15"/>
  <c r="H2557" i="15"/>
  <c r="H2500" i="15"/>
  <c r="H2458" i="15"/>
  <c r="H2419" i="15"/>
  <c r="H2377" i="15"/>
  <c r="H2342" i="15"/>
  <c r="H2317" i="15"/>
  <c r="H2286" i="15"/>
  <c r="H2258" i="15"/>
  <c r="H2233" i="15"/>
  <c r="H2202" i="15"/>
  <c r="H2172" i="15"/>
  <c r="H2147" i="15"/>
  <c r="H2116" i="15"/>
  <c r="H2086" i="15"/>
  <c r="H2061" i="15"/>
  <c r="H2030" i="15"/>
  <c r="H2002" i="15"/>
  <c r="H1977" i="15"/>
  <c r="H1946" i="15"/>
  <c r="H1916" i="15"/>
  <c r="H1891" i="15"/>
  <c r="H1860" i="15"/>
  <c r="H1830" i="15"/>
  <c r="H1806" i="15"/>
  <c r="H1786" i="15"/>
  <c r="H1766" i="15"/>
  <c r="H1748" i="15"/>
  <c r="H1730" i="15"/>
  <c r="H1711" i="15"/>
  <c r="H1693" i="15"/>
  <c r="H1675" i="15"/>
  <c r="H1657" i="15"/>
  <c r="H1638" i="15"/>
  <c r="H1620" i="15"/>
  <c r="H1602" i="15"/>
  <c r="H1583" i="15"/>
  <c r="H1565" i="15"/>
  <c r="H1547" i="15"/>
  <c r="H1530" i="15"/>
  <c r="H1515" i="15"/>
  <c r="H1502" i="15"/>
  <c r="H1490" i="15"/>
  <c r="H1476" i="15"/>
  <c r="H1465" i="15"/>
  <c r="H1451" i="15"/>
  <c r="H1438" i="15"/>
  <c r="H1426" i="15"/>
  <c r="H1412" i="15"/>
  <c r="H1401" i="15"/>
  <c r="H1387" i="15"/>
  <c r="H1374" i="15"/>
  <c r="H1362" i="15"/>
  <c r="H1348" i="15"/>
  <c r="H1337" i="15"/>
  <c r="H1323" i="15"/>
  <c r="H1310" i="15"/>
  <c r="H1298" i="15"/>
  <c r="H1284" i="15"/>
  <c r="H1273" i="15"/>
  <c r="H1260" i="15"/>
  <c r="H1250" i="15"/>
  <c r="H1238" i="15"/>
  <c r="H1228" i="15"/>
  <c r="H1218" i="15"/>
  <c r="H1209" i="15"/>
  <c r="H1201" i="15"/>
  <c r="H1193" i="15"/>
  <c r="H1185" i="15"/>
  <c r="H1177" i="15"/>
  <c r="H1169" i="15"/>
  <c r="H1161" i="15"/>
  <c r="H1153" i="15"/>
  <c r="H1145" i="15"/>
  <c r="H1137" i="15"/>
  <c r="H1129" i="15"/>
  <c r="H1121" i="15"/>
  <c r="H3283" i="15"/>
  <c r="H2859" i="15"/>
  <c r="H2611" i="15"/>
  <c r="H2484" i="15"/>
  <c r="H2365" i="15"/>
  <c r="H2285" i="15"/>
  <c r="H2221" i="15"/>
  <c r="H2138" i="15"/>
  <c r="H2054" i="15"/>
  <c r="H1990" i="15"/>
  <c r="H1913" i="15"/>
  <c r="H1828" i="15"/>
  <c r="H1777" i="15"/>
  <c r="H1723" i="15"/>
  <c r="H1674" i="15"/>
  <c r="H1630" i="15"/>
  <c r="H1577" i="15"/>
  <c r="H1529" i="15"/>
  <c r="H1498" i="15"/>
  <c r="H1460" i="15"/>
  <c r="H1425" i="15"/>
  <c r="H1395" i="15"/>
  <c r="H1358" i="15"/>
  <c r="H1322" i="15"/>
  <c r="H1292" i="15"/>
  <c r="H1258" i="15"/>
  <c r="H1227" i="15"/>
  <c r="H1206" i="15"/>
  <c r="H1183" i="15"/>
  <c r="H1160" i="15"/>
  <c r="H1142" i="15"/>
  <c r="H1119" i="15"/>
  <c r="H1103" i="15"/>
  <c r="H1087" i="15"/>
  <c r="H1071" i="15"/>
  <c r="H1055" i="15"/>
  <c r="H1039" i="15"/>
  <c r="H1023" i="15"/>
  <c r="H1007" i="15"/>
  <c r="H991" i="15"/>
  <c r="H976" i="15"/>
  <c r="H965" i="15"/>
  <c r="H951" i="15"/>
  <c r="H937" i="15"/>
  <c r="H926" i="15"/>
  <c r="H912" i="15"/>
  <c r="H901" i="15"/>
  <c r="H887" i="15"/>
  <c r="H873" i="15"/>
  <c r="H862" i="15"/>
  <c r="H848" i="15"/>
  <c r="H837" i="15"/>
  <c r="H823" i="15"/>
  <c r="H809" i="15"/>
  <c r="H798" i="15"/>
  <c r="H784" i="15"/>
  <c r="H773" i="15"/>
  <c r="H759" i="15"/>
  <c r="H745" i="15"/>
  <c r="H734" i="15"/>
  <c r="H720" i="15"/>
  <c r="H709" i="15"/>
  <c r="H695" i="15"/>
  <c r="H681" i="15"/>
  <c r="H670" i="15"/>
  <c r="H656" i="15"/>
  <c r="H645" i="15"/>
  <c r="H631" i="15"/>
  <c r="H617" i="15"/>
  <c r="H606" i="15"/>
  <c r="H592" i="15"/>
  <c r="H581" i="15"/>
  <c r="H567" i="15"/>
  <c r="H553" i="15"/>
  <c r="H542" i="15"/>
  <c r="H528" i="15"/>
  <c r="H517" i="15"/>
  <c r="H503" i="15"/>
  <c r="H489" i="15"/>
  <c r="H479" i="15"/>
  <c r="H471" i="15"/>
  <c r="H463" i="15"/>
  <c r="H455" i="15"/>
  <c r="H447" i="15"/>
  <c r="H439" i="15"/>
  <c r="H431" i="15"/>
  <c r="H423" i="15"/>
  <c r="H415" i="15"/>
  <c r="H407" i="15"/>
  <c r="H399" i="15"/>
  <c r="H391" i="15"/>
  <c r="H383" i="15"/>
  <c r="H375" i="15"/>
  <c r="H367" i="15"/>
  <c r="H359" i="15"/>
  <c r="H351" i="15"/>
  <c r="H343" i="15"/>
  <c r="H335" i="15"/>
  <c r="H327" i="15"/>
  <c r="H319" i="15"/>
  <c r="H311" i="15"/>
  <c r="H303" i="15"/>
  <c r="H295" i="15"/>
  <c r="H287" i="15"/>
  <c r="H279" i="15"/>
  <c r="H271" i="15"/>
  <c r="H263" i="15"/>
  <c r="H255" i="15"/>
  <c r="H247" i="15"/>
  <c r="H239" i="15"/>
  <c r="H231" i="15"/>
  <c r="H223" i="15"/>
  <c r="H215" i="15"/>
  <c r="H207" i="15"/>
  <c r="H199" i="15"/>
  <c r="H191" i="15"/>
  <c r="H183" i="15"/>
  <c r="H175" i="15"/>
  <c r="H167" i="15"/>
  <c r="H159" i="15"/>
  <c r="H151" i="15"/>
  <c r="H143" i="15"/>
  <c r="H3136" i="15"/>
  <c r="H2835" i="15"/>
  <c r="H2609" i="15"/>
  <c r="H2452" i="15"/>
  <c r="H2363" i="15"/>
  <c r="H2278" i="15"/>
  <c r="H2201" i="15"/>
  <c r="H2137" i="15"/>
  <c r="H2052" i="15"/>
  <c r="H1970" i="15"/>
  <c r="H1906" i="15"/>
  <c r="H1827" i="15"/>
  <c r="H1765" i="15"/>
  <c r="H1722" i="15"/>
  <c r="H1668" i="15"/>
  <c r="H1619" i="15"/>
  <c r="H1575" i="15"/>
  <c r="H1524" i="15"/>
  <c r="H1489" i="15"/>
  <c r="H1459" i="15"/>
  <c r="H1422" i="15"/>
  <c r="H1386" i="15"/>
  <c r="H1356" i="15"/>
  <c r="H1321" i="15"/>
  <c r="H1283" i="15"/>
  <c r="H1257" i="15"/>
  <c r="H1226" i="15"/>
  <c r="H1200" i="15"/>
  <c r="H1182" i="15"/>
  <c r="H1159" i="15"/>
  <c r="H1136" i="15"/>
  <c r="H1118" i="15"/>
  <c r="H1102" i="15"/>
  <c r="H1086" i="15"/>
  <c r="H1070" i="15"/>
  <c r="H1054" i="15"/>
  <c r="H1038" i="15"/>
  <c r="H1022" i="15"/>
  <c r="H1006" i="15"/>
  <c r="H990" i="15"/>
  <c r="H975" i="15"/>
  <c r="H961" i="15"/>
  <c r="H950" i="15"/>
  <c r="H936" i="15"/>
  <c r="H925" i="15"/>
  <c r="H911" i="15"/>
  <c r="H897" i="15"/>
  <c r="H886" i="15"/>
  <c r="H872" i="15"/>
  <c r="H861" i="15"/>
  <c r="H847" i="15"/>
  <c r="H833" i="15"/>
  <c r="H822" i="15"/>
  <c r="H808" i="15"/>
  <c r="H797" i="15"/>
  <c r="H783" i="15"/>
  <c r="H769" i="15"/>
  <c r="H758" i="15"/>
  <c r="H744" i="15"/>
  <c r="H733" i="15"/>
  <c r="H719" i="15"/>
  <c r="H705" i="15"/>
  <c r="H694" i="15"/>
  <c r="H680" i="15"/>
  <c r="H669" i="15"/>
  <c r="H655" i="15"/>
  <c r="H641" i="15"/>
  <c r="H630" i="15"/>
  <c r="H616" i="15"/>
  <c r="H605" i="15"/>
  <c r="H591" i="15"/>
  <c r="H577" i="15"/>
  <c r="H566" i="15"/>
  <c r="H552" i="15"/>
  <c r="H541" i="15"/>
  <c r="H527" i="15"/>
  <c r="H513" i="15"/>
  <c r="H502" i="15"/>
  <c r="H488" i="15"/>
  <c r="H478" i="15"/>
  <c r="H470" i="15"/>
  <c r="H462" i="15"/>
  <c r="H454" i="15"/>
  <c r="H446" i="15"/>
  <c r="H438" i="15"/>
  <c r="H430" i="15"/>
  <c r="H422" i="15"/>
  <c r="H414" i="15"/>
  <c r="H406" i="15"/>
  <c r="H398" i="15"/>
  <c r="H390" i="15"/>
  <c r="H382" i="15"/>
  <c r="H374" i="15"/>
  <c r="H366" i="15"/>
  <c r="H358" i="15"/>
  <c r="H350" i="15"/>
  <c r="H342" i="15"/>
  <c r="H334" i="15"/>
  <c r="H326" i="15"/>
  <c r="H318" i="15"/>
  <c r="H310" i="15"/>
  <c r="H302" i="15"/>
  <c r="H294" i="15"/>
  <c r="H286" i="15"/>
  <c r="H278" i="15"/>
  <c r="H270" i="15"/>
  <c r="H262" i="15"/>
  <c r="H254" i="15"/>
  <c r="H246" i="15"/>
  <c r="H238" i="15"/>
  <c r="H230" i="15"/>
  <c r="H222" i="15"/>
  <c r="H214" i="15"/>
  <c r="H206" i="15"/>
  <c r="H198" i="15"/>
  <c r="H3114" i="15"/>
  <c r="H2763" i="15"/>
  <c r="H2595" i="15"/>
  <c r="H2451" i="15"/>
  <c r="H2340" i="15"/>
  <c r="H2276" i="15"/>
  <c r="H2194" i="15"/>
  <c r="H2115" i="15"/>
  <c r="H2051" i="15"/>
  <c r="H1966" i="15"/>
  <c r="H1884" i="15"/>
  <c r="H1820" i="15"/>
  <c r="H1759" i="15"/>
  <c r="H1710" i="15"/>
  <c r="H1667" i="15"/>
  <c r="H1613" i="15"/>
  <c r="H1564" i="15"/>
  <c r="H1523" i="15"/>
  <c r="H1486" i="15"/>
  <c r="H1450" i="15"/>
  <c r="H1420" i="15"/>
  <c r="H1385" i="15"/>
  <c r="H1347" i="15"/>
  <c r="H1318" i="15"/>
  <c r="H1282" i="15"/>
  <c r="H1249" i="15"/>
  <c r="H1225" i="15"/>
  <c r="H1199" i="15"/>
  <c r="H1176" i="15"/>
  <c r="H1158" i="15"/>
  <c r="H1135" i="15"/>
  <c r="H1113" i="15"/>
  <c r="H1097" i="15"/>
  <c r="H3107" i="15"/>
  <c r="H2749" i="15"/>
  <c r="H2544" i="15"/>
  <c r="H2442" i="15"/>
  <c r="H2339" i="15"/>
  <c r="H2254" i="15"/>
  <c r="H2190" i="15"/>
  <c r="H2108" i="15"/>
  <c r="H2029" i="15"/>
  <c r="H1965" i="15"/>
  <c r="H1882" i="15"/>
  <c r="H1805" i="15"/>
  <c r="H1758" i="15"/>
  <c r="H1705" i="15"/>
  <c r="H1655" i="15"/>
  <c r="H1612" i="15"/>
  <c r="H1558" i="15"/>
  <c r="H1514" i="15"/>
  <c r="H1484" i="15"/>
  <c r="H1449" i="15"/>
  <c r="H1411" i="15"/>
  <c r="H1382" i="15"/>
  <c r="H1346" i="15"/>
  <c r="H1308" i="15"/>
  <c r="H1281" i="15"/>
  <c r="H1246" i="15"/>
  <c r="H1217" i="15"/>
  <c r="H1198" i="15"/>
  <c r="H1175" i="15"/>
  <c r="H1152" i="15"/>
  <c r="H1134" i="15"/>
  <c r="H1112" i="15"/>
  <c r="H1096" i="15"/>
  <c r="H1080" i="15"/>
  <c r="H1064" i="15"/>
  <c r="H1048" i="15"/>
  <c r="H1032" i="15"/>
  <c r="H1016" i="15"/>
  <c r="H1000" i="15"/>
  <c r="H984" i="15"/>
  <c r="H973" i="15"/>
  <c r="H959" i="15"/>
  <c r="H945" i="15"/>
  <c r="H934" i="15"/>
  <c r="H920" i="15"/>
  <c r="H909" i="15"/>
  <c r="H895" i="15"/>
  <c r="H881" i="15"/>
  <c r="H870" i="15"/>
  <c r="H856" i="15"/>
  <c r="H845" i="15"/>
  <c r="H831" i="15"/>
  <c r="H817" i="15"/>
  <c r="H806" i="15"/>
  <c r="H792" i="15"/>
  <c r="H781" i="15"/>
  <c r="H767" i="15"/>
  <c r="H753" i="15"/>
  <c r="H742" i="15"/>
  <c r="H728" i="15"/>
  <c r="H717" i="15"/>
  <c r="H703" i="15"/>
  <c r="H689" i="15"/>
  <c r="H678" i="15"/>
  <c r="H664" i="15"/>
  <c r="H653" i="15"/>
  <c r="H639" i="15"/>
  <c r="H625" i="15"/>
  <c r="H614" i="15"/>
  <c r="H600" i="15"/>
  <c r="H589" i="15"/>
  <c r="H575" i="15"/>
  <c r="H561" i="15"/>
  <c r="H550" i="15"/>
  <c r="H536" i="15"/>
  <c r="H525" i="15"/>
  <c r="H511" i="15"/>
  <c r="H497" i="15"/>
  <c r="H486" i="15"/>
  <c r="H476" i="15"/>
  <c r="H468" i="15"/>
  <c r="H460" i="15"/>
  <c r="H452" i="15"/>
  <c r="H444" i="15"/>
  <c r="H436" i="15"/>
  <c r="H428" i="15"/>
  <c r="H420" i="15"/>
  <c r="H412" i="15"/>
  <c r="H404" i="15"/>
  <c r="H396" i="15"/>
  <c r="H388" i="15"/>
  <c r="H380" i="15"/>
  <c r="H372" i="15"/>
  <c r="H364" i="15"/>
  <c r="H356" i="15"/>
  <c r="H348" i="15"/>
  <c r="H340" i="15"/>
  <c r="H332" i="15"/>
  <c r="H324" i="15"/>
  <c r="H316" i="15"/>
  <c r="H308" i="15"/>
  <c r="H300" i="15"/>
  <c r="H292" i="15"/>
  <c r="H284" i="15"/>
  <c r="H276" i="15"/>
  <c r="H268" i="15"/>
  <c r="H260" i="15"/>
  <c r="H252" i="15"/>
  <c r="H244" i="15"/>
  <c r="H236" i="15"/>
  <c r="H228" i="15"/>
  <c r="H220" i="15"/>
  <c r="H3806" i="15"/>
  <c r="H2999" i="15"/>
  <c r="H2748" i="15"/>
  <c r="H2536" i="15"/>
  <c r="H2410" i="15"/>
  <c r="H2332" i="15"/>
  <c r="H2253" i="15"/>
  <c r="H2170" i="15"/>
  <c r="H2106" i="15"/>
  <c r="H2022" i="15"/>
  <c r="H1945" i="15"/>
  <c r="H1881" i="15"/>
  <c r="H1798" i="15"/>
  <c r="H1747" i="15"/>
  <c r="H1703" i="15"/>
  <c r="H1650" i="15"/>
  <c r="H1601" i="15"/>
  <c r="H1557" i="15"/>
  <c r="H1513" i="15"/>
  <c r="H1475" i="15"/>
  <c r="H1446" i="15"/>
  <c r="H1410" i="15"/>
  <c r="H1372" i="15"/>
  <c r="H1345" i="15"/>
  <c r="H1307" i="15"/>
  <c r="H1270" i="15"/>
  <c r="H1245" i="15"/>
  <c r="H1215" i="15"/>
  <c r="H1192" i="15"/>
  <c r="H1174" i="15"/>
  <c r="H1151" i="15"/>
  <c r="H1128" i="15"/>
  <c r="H1111" i="15"/>
  <c r="H1095" i="15"/>
  <c r="H1079" i="15"/>
  <c r="H1063" i="15"/>
  <c r="H1047" i="15"/>
  <c r="H1031" i="15"/>
  <c r="H1015" i="15"/>
  <c r="H999" i="15"/>
  <c r="H983" i="15"/>
  <c r="H969" i="15"/>
  <c r="H958" i="15"/>
  <c r="H944" i="15"/>
  <c r="H933" i="15"/>
  <c r="H919" i="15"/>
  <c r="H905" i="15"/>
  <c r="H894" i="15"/>
  <c r="H880" i="15"/>
  <c r="H869" i="15"/>
  <c r="H855" i="15"/>
  <c r="H841" i="15"/>
  <c r="H830" i="15"/>
  <c r="H816" i="15"/>
  <c r="H805" i="15"/>
  <c r="H791" i="15"/>
  <c r="H777" i="15"/>
  <c r="H766" i="15"/>
  <c r="H752" i="15"/>
  <c r="H741" i="15"/>
  <c r="H727" i="15"/>
  <c r="H713" i="15"/>
  <c r="H702" i="15"/>
  <c r="H688" i="15"/>
  <c r="H677" i="15"/>
  <c r="H663" i="15"/>
  <c r="H649" i="15"/>
  <c r="H638" i="15"/>
  <c r="H624" i="15"/>
  <c r="H613" i="15"/>
  <c r="H599" i="15"/>
  <c r="H585" i="15"/>
  <c r="H574" i="15"/>
  <c r="H560" i="15"/>
  <c r="H549" i="15"/>
  <c r="H535" i="15"/>
  <c r="H521" i="15"/>
  <c r="H510" i="15"/>
  <c r="H496" i="15"/>
  <c r="H485" i="15"/>
  <c r="H475" i="15"/>
  <c r="H467" i="15"/>
  <c r="H459" i="15"/>
  <c r="H451" i="15"/>
  <c r="H443" i="15"/>
  <c r="H435" i="15"/>
  <c r="H427" i="15"/>
  <c r="H419" i="15"/>
  <c r="H411" i="15"/>
  <c r="H403" i="15"/>
  <c r="H395" i="15"/>
  <c r="H387" i="15"/>
  <c r="H379" i="15"/>
  <c r="H371" i="15"/>
  <c r="H363" i="15"/>
  <c r="H355" i="15"/>
  <c r="H347" i="15"/>
  <c r="H339" i="15"/>
  <c r="H331" i="15"/>
  <c r="H323" i="15"/>
  <c r="H315" i="15"/>
  <c r="H307" i="15"/>
  <c r="H299" i="15"/>
  <c r="H291" i="15"/>
  <c r="H283" i="15"/>
  <c r="H275" i="15"/>
  <c r="H267" i="15"/>
  <c r="H259" i="15"/>
  <c r="H251" i="15"/>
  <c r="H243" i="15"/>
  <c r="H235" i="15"/>
  <c r="H227" i="15"/>
  <c r="H219" i="15"/>
  <c r="H211" i="15"/>
  <c r="H203" i="15"/>
  <c r="H195" i="15"/>
  <c r="H3331" i="15"/>
  <c r="H2860" i="15"/>
  <c r="H2661" i="15"/>
  <c r="H2490" i="15"/>
  <c r="H2373" i="15"/>
  <c r="H2307" i="15"/>
  <c r="H2222" i="15"/>
  <c r="H2140" i="15"/>
  <c r="H2076" i="15"/>
  <c r="H1997" i="15"/>
  <c r="H1914" i="15"/>
  <c r="H1850" i="15"/>
  <c r="H1778" i="15"/>
  <c r="H1729" i="15"/>
  <c r="H1685" i="15"/>
  <c r="H1631" i="15"/>
  <c r="H1582" i="15"/>
  <c r="H1539" i="15"/>
  <c r="H1499" i="15"/>
  <c r="H1462" i="15"/>
  <c r="H1434" i="15"/>
  <c r="H1396" i="15"/>
  <c r="H1361" i="15"/>
  <c r="H1331" i="15"/>
  <c r="H1294" i="15"/>
  <c r="H1259" i="15"/>
  <c r="H1235" i="15"/>
  <c r="H1207" i="15"/>
  <c r="H1184" i="15"/>
  <c r="H1166" i="15"/>
  <c r="H1143" i="15"/>
  <c r="H1120" i="15"/>
  <c r="H1104" i="15"/>
  <c r="H1088" i="15"/>
  <c r="H1072" i="15"/>
  <c r="H1056" i="15"/>
  <c r="H1040" i="15"/>
  <c r="H1024" i="15"/>
  <c r="H1008" i="15"/>
  <c r="H992" i="15"/>
  <c r="H977" i="15"/>
  <c r="H966" i="15"/>
  <c r="H952" i="15"/>
  <c r="H941" i="15"/>
  <c r="H927" i="15"/>
  <c r="H913" i="15"/>
  <c r="H902" i="15"/>
  <c r="H888" i="15"/>
  <c r="H877" i="15"/>
  <c r="H863" i="15"/>
  <c r="H849" i="15"/>
  <c r="H838" i="15"/>
  <c r="H824" i="15"/>
  <c r="H813" i="15"/>
  <c r="H799" i="15"/>
  <c r="H785" i="15"/>
  <c r="H774" i="15"/>
  <c r="H760" i="15"/>
  <c r="H749" i="15"/>
  <c r="H735" i="15"/>
  <c r="H721" i="15"/>
  <c r="H710" i="15"/>
  <c r="H696" i="15"/>
  <c r="H685" i="15"/>
  <c r="H671" i="15"/>
  <c r="H657" i="15"/>
  <c r="H646" i="15"/>
  <c r="H632" i="15"/>
  <c r="H621" i="15"/>
  <c r="H607" i="15"/>
  <c r="H593" i="15"/>
  <c r="H582" i="15"/>
  <c r="H568" i="15"/>
  <c r="H557" i="15"/>
  <c r="H543" i="15"/>
  <c r="H529" i="15"/>
  <c r="H518" i="15"/>
  <c r="H504" i="15"/>
  <c r="H493" i="15"/>
  <c r="H480" i="15"/>
  <c r="H472" i="15"/>
  <c r="H464" i="15"/>
  <c r="H456" i="15"/>
  <c r="H448" i="15"/>
  <c r="H440" i="15"/>
  <c r="H1998" i="15"/>
  <c r="H6" i="15"/>
  <c r="H14" i="15"/>
  <c r="H22" i="15"/>
  <c r="H30" i="15"/>
  <c r="H38" i="15"/>
  <c r="H46" i="15"/>
  <c r="H54" i="15"/>
  <c r="H62" i="15"/>
  <c r="H70" i="15"/>
  <c r="H78" i="15"/>
  <c r="H86" i="15"/>
  <c r="H94" i="15"/>
  <c r="H102" i="15"/>
  <c r="H110" i="15"/>
  <c r="H118" i="15"/>
  <c r="H126" i="15"/>
  <c r="H134" i="15"/>
  <c r="H142" i="15"/>
  <c r="H152" i="15"/>
  <c r="H161" i="15"/>
  <c r="H170" i="15"/>
  <c r="H179" i="15"/>
  <c r="H188" i="15"/>
  <c r="H200" i="15"/>
  <c r="H212" i="15"/>
  <c r="H226" i="15"/>
  <c r="H242" i="15"/>
  <c r="H258" i="15"/>
  <c r="H274" i="15"/>
  <c r="H290" i="15"/>
  <c r="H306" i="15"/>
  <c r="H322" i="15"/>
  <c r="H338" i="15"/>
  <c r="H354" i="15"/>
  <c r="H370" i="15"/>
  <c r="H386" i="15"/>
  <c r="H402" i="15"/>
  <c r="H418" i="15"/>
  <c r="H434" i="15"/>
  <c r="H457" i="15"/>
  <c r="H477" i="15"/>
  <c r="H509" i="15"/>
  <c r="H544" i="15"/>
  <c r="H576" i="15"/>
  <c r="H609" i="15"/>
  <c r="H647" i="15"/>
  <c r="H679" i="15"/>
  <c r="H712" i="15"/>
  <c r="H750" i="15"/>
  <c r="H782" i="15"/>
  <c r="H815" i="15"/>
  <c r="H853" i="15"/>
  <c r="H885" i="15"/>
  <c r="H918" i="15"/>
  <c r="H953" i="15"/>
  <c r="H985" i="15"/>
  <c r="H1030" i="15"/>
  <c r="H1073" i="15"/>
  <c r="H1127" i="15"/>
  <c r="H1214" i="15"/>
  <c r="H1334" i="15"/>
  <c r="H1474" i="15"/>
  <c r="H1649" i="15"/>
  <c r="H1859" i="15"/>
  <c r="H2169" i="15"/>
  <c r="H2534" i="15"/>
  <c r="H25" i="15"/>
  <c r="H57" i="15"/>
  <c r="H89" i="15"/>
  <c r="H121" i="15"/>
  <c r="H155" i="15"/>
  <c r="H192" i="15"/>
  <c r="H233" i="15"/>
  <c r="H297" i="15"/>
  <c r="H361" i="15"/>
  <c r="H425" i="15"/>
  <c r="H520" i="15"/>
  <c r="H661" i="15"/>
  <c r="H793" i="15"/>
  <c r="H967" i="15"/>
  <c r="H1398" i="15"/>
  <c r="H2308" i="15"/>
  <c r="H10" i="15"/>
  <c r="H42" i="15"/>
  <c r="H90" i="15"/>
  <c r="H765" i="15"/>
  <c r="H7" i="15"/>
  <c r="H15" i="15"/>
  <c r="H23" i="15"/>
  <c r="H31" i="15"/>
  <c r="H39" i="15"/>
  <c r="H47" i="15"/>
  <c r="H55" i="15"/>
  <c r="H63" i="15"/>
  <c r="H71" i="15"/>
  <c r="H79" i="15"/>
  <c r="H87" i="15"/>
  <c r="H95" i="15"/>
  <c r="H103" i="15"/>
  <c r="H111" i="15"/>
  <c r="H119" i="15"/>
  <c r="H127" i="15"/>
  <c r="H135" i="15"/>
  <c r="H144" i="15"/>
  <c r="H153" i="15"/>
  <c r="H162" i="15"/>
  <c r="H171" i="15"/>
  <c r="H180" i="15"/>
  <c r="H189" i="15"/>
  <c r="H201" i="15"/>
  <c r="H213" i="15"/>
  <c r="H229" i="15"/>
  <c r="H245" i="15"/>
  <c r="H261" i="15"/>
  <c r="H277" i="15"/>
  <c r="H293" i="15"/>
  <c r="H309" i="15"/>
  <c r="H325" i="15"/>
  <c r="H341" i="15"/>
  <c r="H357" i="15"/>
  <c r="H373" i="15"/>
  <c r="H389" i="15"/>
  <c r="H405" i="15"/>
  <c r="H421" i="15"/>
  <c r="H437" i="15"/>
  <c r="H458" i="15"/>
  <c r="H481" i="15"/>
  <c r="H512" i="15"/>
  <c r="H545" i="15"/>
  <c r="H583" i="15"/>
  <c r="H615" i="15"/>
  <c r="H648" i="15"/>
  <c r="H686" i="15"/>
  <c r="H718" i="15"/>
  <c r="H751" i="15"/>
  <c r="H789" i="15"/>
  <c r="H821" i="15"/>
  <c r="H854" i="15"/>
  <c r="H889" i="15"/>
  <c r="H921" i="15"/>
  <c r="H957" i="15"/>
  <c r="H993" i="15"/>
  <c r="H1033" i="15"/>
  <c r="H1078" i="15"/>
  <c r="H1144" i="15"/>
  <c r="H1236" i="15"/>
  <c r="H1370" i="15"/>
  <c r="H1500" i="15"/>
  <c r="H1686" i="15"/>
  <c r="H1934" i="15"/>
  <c r="H2226" i="15"/>
  <c r="H2670" i="15"/>
  <c r="H5" i="15"/>
  <c r="E49" i="21"/>
  <c r="D49" i="21"/>
  <c r="E36" i="21"/>
  <c r="E35" i="21"/>
  <c r="E33" i="21"/>
  <c r="D33" i="21"/>
  <c r="D36" i="21"/>
  <c r="D35" i="21"/>
  <c r="D46" i="21"/>
  <c r="D45" i="21"/>
  <c r="D44" i="21"/>
  <c r="E70" i="21"/>
  <c r="E69" i="21"/>
  <c r="E68" i="21"/>
  <c r="D70" i="21"/>
  <c r="D69" i="21"/>
  <c r="D68" i="21"/>
  <c r="D74" i="21"/>
  <c r="D73" i="21"/>
  <c r="D72" i="21"/>
  <c r="D71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25" i="21"/>
  <c r="D24" i="21"/>
  <c r="D23" i="21"/>
  <c r="D22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1" i="21"/>
  <c r="D92" i="21"/>
  <c r="D93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5" i="21"/>
  <c r="D76" i="21"/>
  <c r="D53" i="21"/>
  <c r="D52" i="21"/>
  <c r="D51" i="21"/>
  <c r="D50" i="21"/>
  <c r="D48" i="21"/>
  <c r="D47" i="21"/>
  <c r="D39" i="21"/>
  <c r="D38" i="21"/>
  <c r="D37" i="21"/>
  <c r="D34" i="21"/>
  <c r="D32" i="21"/>
  <c r="D31" i="21"/>
  <c r="D30" i="21"/>
  <c r="D29" i="21"/>
  <c r="D28" i="21"/>
  <c r="D27" i="21"/>
  <c r="D26" i="21"/>
  <c r="D214" i="21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L8" i="26" l="1"/>
  <c r="L7" i="26"/>
  <c r="H8" i="26"/>
  <c r="H7" i="26"/>
  <c r="C8" i="26"/>
  <c r="C7" i="26"/>
  <c r="D236" i="21"/>
  <c r="M4" i="21"/>
  <c r="J41" i="26"/>
  <c r="C41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P27" i="26"/>
  <c r="O27" i="26"/>
  <c r="N27" i="26"/>
  <c r="M27" i="26"/>
  <c r="L27" i="26"/>
  <c r="K27" i="26"/>
  <c r="I27" i="26"/>
  <c r="H27" i="26"/>
  <c r="G27" i="26"/>
  <c r="F27" i="26"/>
  <c r="E27" i="26"/>
  <c r="D27" i="26"/>
  <c r="C27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P17" i="26"/>
  <c r="O17" i="26"/>
  <c r="N17" i="26"/>
  <c r="M17" i="26"/>
  <c r="L17" i="26"/>
  <c r="K17" i="26"/>
  <c r="J17" i="26"/>
  <c r="D17" i="26"/>
  <c r="C17" i="26"/>
  <c r="J13" i="26"/>
  <c r="C13" i="26"/>
  <c r="J12" i="26"/>
  <c r="C12" i="26"/>
  <c r="U28" i="26" l="1"/>
  <c r="U27" i="26"/>
  <c r="U41" i="26"/>
  <c r="U17" i="26"/>
  <c r="V17" i="26" s="1"/>
  <c r="U18" i="26"/>
  <c r="U8" i="26"/>
  <c r="U7" i="26"/>
  <c r="U13" i="26"/>
  <c r="U12" i="26"/>
  <c r="P3" i="26" l="1"/>
  <c r="V7" i="26"/>
  <c r="D153" i="21"/>
  <c r="R107" i="10"/>
  <c r="Q106" i="10"/>
  <c r="O106" i="10" s="1"/>
  <c r="M106" i="10" s="1"/>
  <c r="R106" i="10"/>
  <c r="P106" i="10" s="1"/>
  <c r="D4" i="23" l="1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D234" i="21"/>
  <c r="D233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164" i="21"/>
  <c r="D163" i="21"/>
  <c r="D161" i="21"/>
  <c r="D160" i="21"/>
  <c r="D159" i="21"/>
  <c r="D158" i="21"/>
  <c r="D157" i="21"/>
  <c r="D156" i="21"/>
  <c r="D155" i="21"/>
  <c r="D154" i="21"/>
  <c r="D139" i="21"/>
  <c r="D138" i="21"/>
  <c r="L4" i="21"/>
  <c r="H3" i="20"/>
  <c r="G3" i="20"/>
  <c r="C4083" i="15"/>
  <c r="B4083" i="15" s="1"/>
  <c r="C4082" i="15"/>
  <c r="B4082" i="15" s="1"/>
  <c r="C4081" i="15"/>
  <c r="B4081" i="15" s="1"/>
  <c r="C4080" i="15"/>
  <c r="B4080" i="15" s="1"/>
  <c r="C4079" i="15"/>
  <c r="B4079" i="15" s="1"/>
  <c r="C4078" i="15"/>
  <c r="B4078" i="15" s="1"/>
  <c r="C4077" i="15"/>
  <c r="B4077" i="15" s="1"/>
  <c r="C4076" i="15"/>
  <c r="B4076" i="15" s="1"/>
  <c r="C4075" i="15"/>
  <c r="B4075" i="15" s="1"/>
  <c r="C4074" i="15"/>
  <c r="B4074" i="15" s="1"/>
  <c r="C4073" i="15"/>
  <c r="B4073" i="15" s="1"/>
  <c r="C4072" i="15"/>
  <c r="B4072" i="15" s="1"/>
  <c r="C4071" i="15"/>
  <c r="B4071" i="15" s="1"/>
  <c r="C4070" i="15"/>
  <c r="B4070" i="15" s="1"/>
  <c r="C4069" i="15"/>
  <c r="B4069" i="15" s="1"/>
  <c r="C4068" i="15"/>
  <c r="B4068" i="15" s="1"/>
  <c r="C4067" i="15"/>
  <c r="B4067" i="15" s="1"/>
  <c r="C4066" i="15"/>
  <c r="B4066" i="15" s="1"/>
  <c r="C4065" i="15"/>
  <c r="B4065" i="15" s="1"/>
  <c r="C4064" i="15"/>
  <c r="B4064" i="15" s="1"/>
  <c r="C4063" i="15"/>
  <c r="B4063" i="15" s="1"/>
  <c r="C4062" i="15"/>
  <c r="B4062" i="15" s="1"/>
  <c r="C4061" i="15"/>
  <c r="B4061" i="15" s="1"/>
  <c r="C4060" i="15"/>
  <c r="B4060" i="15" s="1"/>
  <c r="C4059" i="15"/>
  <c r="B4059" i="15" s="1"/>
  <c r="C4058" i="15"/>
  <c r="B4058" i="15" s="1"/>
  <c r="C4057" i="15"/>
  <c r="B4057" i="15" s="1"/>
  <c r="C4056" i="15"/>
  <c r="B4056" i="15" s="1"/>
  <c r="C4055" i="15"/>
  <c r="B4055" i="15" s="1"/>
  <c r="C4054" i="15"/>
  <c r="B4054" i="15" s="1"/>
  <c r="C4053" i="15"/>
  <c r="B4053" i="15" s="1"/>
  <c r="C4052" i="15"/>
  <c r="B4052" i="15" s="1"/>
  <c r="C4051" i="15"/>
  <c r="B4051" i="15" s="1"/>
  <c r="C4050" i="15"/>
  <c r="B4050" i="15" s="1"/>
  <c r="C4049" i="15"/>
  <c r="B4049" i="15" s="1"/>
  <c r="C4048" i="15"/>
  <c r="B4048" i="15" s="1"/>
  <c r="C4047" i="15"/>
  <c r="B4047" i="15" s="1"/>
  <c r="C4046" i="15"/>
  <c r="B4046" i="15" s="1"/>
  <c r="C4045" i="15"/>
  <c r="B4045" i="15" s="1"/>
  <c r="C4044" i="15"/>
  <c r="B4044" i="15" s="1"/>
  <c r="C4043" i="15"/>
  <c r="B4043" i="15" s="1"/>
  <c r="C4042" i="15"/>
  <c r="B4042" i="15" s="1"/>
  <c r="C4041" i="15"/>
  <c r="B4041" i="15" s="1"/>
  <c r="C4040" i="15"/>
  <c r="B4040" i="15" s="1"/>
  <c r="C4039" i="15"/>
  <c r="B4039" i="15" s="1"/>
  <c r="C4038" i="15"/>
  <c r="B4038" i="15" s="1"/>
  <c r="C4037" i="15"/>
  <c r="B4037" i="15" s="1"/>
  <c r="C4036" i="15"/>
  <c r="B4036" i="15" s="1"/>
  <c r="C4035" i="15"/>
  <c r="B4035" i="15" s="1"/>
  <c r="C4034" i="15"/>
  <c r="B4034" i="15" s="1"/>
  <c r="C4033" i="15"/>
  <c r="B4033" i="15" s="1"/>
  <c r="C4032" i="15"/>
  <c r="B4032" i="15" s="1"/>
  <c r="C4031" i="15"/>
  <c r="B4031" i="15" s="1"/>
  <c r="C4030" i="15"/>
  <c r="B4030" i="15" s="1"/>
  <c r="C4029" i="15"/>
  <c r="B4029" i="15" s="1"/>
  <c r="C4028" i="15"/>
  <c r="B4028" i="15" s="1"/>
  <c r="C4027" i="15"/>
  <c r="B4027" i="15" s="1"/>
  <c r="C4026" i="15"/>
  <c r="B4026" i="15" s="1"/>
  <c r="C4025" i="15"/>
  <c r="B4025" i="15" s="1"/>
  <c r="C4024" i="15"/>
  <c r="B4024" i="15" s="1"/>
  <c r="C4023" i="15"/>
  <c r="B4023" i="15" s="1"/>
  <c r="C4022" i="15"/>
  <c r="B4022" i="15" s="1"/>
  <c r="C4021" i="15"/>
  <c r="B4021" i="15" s="1"/>
  <c r="C4020" i="15"/>
  <c r="B4020" i="15" s="1"/>
  <c r="C4019" i="15"/>
  <c r="B4019" i="15" s="1"/>
  <c r="C4018" i="15"/>
  <c r="B4018" i="15" s="1"/>
  <c r="C4017" i="15"/>
  <c r="B4017" i="15" s="1"/>
  <c r="C4016" i="15"/>
  <c r="C4015" i="15"/>
  <c r="B4015" i="15" s="1"/>
  <c r="C4014" i="15"/>
  <c r="B4014" i="15" s="1"/>
  <c r="G3" i="15"/>
  <c r="E3" i="15"/>
  <c r="H6" i="12"/>
  <c r="H13" i="12"/>
  <c r="H12" i="12"/>
  <c r="H11" i="12"/>
  <c r="H10" i="12"/>
  <c r="H9" i="12"/>
  <c r="H8" i="12"/>
  <c r="H7" i="12"/>
  <c r="N4" i="12"/>
  <c r="P21" i="14"/>
  <c r="P20" i="14"/>
  <c r="P19" i="14"/>
  <c r="P18" i="14"/>
  <c r="P16" i="14"/>
  <c r="P15" i="14"/>
  <c r="K4" i="14"/>
  <c r="K24" i="14" s="1"/>
  <c r="J24" i="14" s="1"/>
  <c r="I3" i="14"/>
  <c r="F3" i="14"/>
  <c r="E3" i="14"/>
  <c r="O4" i="11"/>
  <c r="O757" i="11" s="1"/>
  <c r="I3" i="11"/>
  <c r="R103" i="10"/>
  <c r="R84" i="10"/>
  <c r="R82" i="10"/>
  <c r="R81" i="10"/>
  <c r="R75" i="10"/>
  <c r="R69" i="10"/>
  <c r="R68" i="10"/>
  <c r="R56" i="10"/>
  <c r="R55" i="10"/>
  <c r="R48" i="10"/>
  <c r="R34" i="10"/>
  <c r="R31" i="10"/>
  <c r="R26" i="10"/>
  <c r="R21" i="10"/>
  <c r="R17" i="10"/>
  <c r="N4" i="10"/>
  <c r="N113" i="10" s="1"/>
  <c r="L113" i="10" s="1"/>
  <c r="J40" i="16"/>
  <c r="C40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J13" i="16"/>
  <c r="C13" i="16"/>
  <c r="J12" i="16"/>
  <c r="C12" i="16"/>
  <c r="L8" i="16"/>
  <c r="H8" i="16"/>
  <c r="C8" i="16"/>
  <c r="L7" i="16"/>
  <c r="H7" i="16"/>
  <c r="C7" i="16"/>
  <c r="K18" i="14" l="1"/>
  <c r="J18" i="14" s="1"/>
  <c r="K23" i="14"/>
  <c r="J23" i="14" s="1"/>
  <c r="O6" i="11"/>
  <c r="M6" i="11" s="1"/>
  <c r="O7" i="11"/>
  <c r="M7" i="11" s="1"/>
  <c r="O21" i="11"/>
  <c r="M21" i="11" s="1"/>
  <c r="O35" i="11"/>
  <c r="M35" i="11" s="1"/>
  <c r="O49" i="11"/>
  <c r="M49" i="11" s="1"/>
  <c r="O63" i="11"/>
  <c r="M63" i="11" s="1"/>
  <c r="O77" i="11"/>
  <c r="M77" i="11" s="1"/>
  <c r="O91" i="11"/>
  <c r="M91" i="11" s="1"/>
  <c r="O105" i="11"/>
  <c r="M105" i="11" s="1"/>
  <c r="O119" i="11"/>
  <c r="M119" i="11" s="1"/>
  <c r="O133" i="11"/>
  <c r="M133" i="11" s="1"/>
  <c r="O147" i="11"/>
  <c r="M147" i="11" s="1"/>
  <c r="O161" i="11"/>
  <c r="M161" i="11" s="1"/>
  <c r="O175" i="11"/>
  <c r="M175" i="11" s="1"/>
  <c r="O189" i="11"/>
  <c r="M189" i="11" s="1"/>
  <c r="O203" i="11"/>
  <c r="M203" i="11" s="1"/>
  <c r="O217" i="11"/>
  <c r="M217" i="11" s="1"/>
  <c r="O231" i="11"/>
  <c r="M231" i="11" s="1"/>
  <c r="O245" i="11"/>
  <c r="M245" i="11" s="1"/>
  <c r="O259" i="11"/>
  <c r="M259" i="11" s="1"/>
  <c r="O273" i="11"/>
  <c r="M273" i="11" s="1"/>
  <c r="O287" i="11"/>
  <c r="M287" i="11" s="1"/>
  <c r="O301" i="11"/>
  <c r="M301" i="11" s="1"/>
  <c r="O315" i="11"/>
  <c r="M315" i="11" s="1"/>
  <c r="O329" i="11"/>
  <c r="M329" i="11" s="1"/>
  <c r="O343" i="11"/>
  <c r="M343" i="11" s="1"/>
  <c r="O357" i="11"/>
  <c r="M357" i="11" s="1"/>
  <c r="O371" i="11"/>
  <c r="M371" i="11" s="1"/>
  <c r="O384" i="11"/>
  <c r="M384" i="11" s="1"/>
  <c r="O398" i="11"/>
  <c r="M398" i="11" s="1"/>
  <c r="O412" i="11"/>
  <c r="M412" i="11" s="1"/>
  <c r="O426" i="11"/>
  <c r="M426" i="11" s="1"/>
  <c r="O440" i="11"/>
  <c r="M440" i="11" s="1"/>
  <c r="O454" i="11"/>
  <c r="M454" i="11" s="1"/>
  <c r="O468" i="11"/>
  <c r="M468" i="11" s="1"/>
  <c r="O482" i="11"/>
  <c r="M482" i="11" s="1"/>
  <c r="O496" i="11"/>
  <c r="M496" i="11" s="1"/>
  <c r="O510" i="11"/>
  <c r="M510" i="11" s="1"/>
  <c r="O524" i="11"/>
  <c r="M524" i="11" s="1"/>
  <c r="O538" i="11"/>
  <c r="M538" i="11" s="1"/>
  <c r="O552" i="11"/>
  <c r="M552" i="11" s="1"/>
  <c r="O566" i="11"/>
  <c r="M566" i="11" s="1"/>
  <c r="O580" i="11"/>
  <c r="M580" i="11" s="1"/>
  <c r="O594" i="11"/>
  <c r="M594" i="11" s="1"/>
  <c r="O608" i="11"/>
  <c r="M608" i="11" s="1"/>
  <c r="O622" i="11"/>
  <c r="M622" i="11" s="1"/>
  <c r="O636" i="11"/>
  <c r="M636" i="11" s="1"/>
  <c r="O650" i="11"/>
  <c r="M650" i="11" s="1"/>
  <c r="O664" i="11"/>
  <c r="M664" i="11" s="1"/>
  <c r="O678" i="11"/>
  <c r="M678" i="11" s="1"/>
  <c r="O692" i="11"/>
  <c r="M692" i="11" s="1"/>
  <c r="O706" i="11"/>
  <c r="M706" i="11" s="1"/>
  <c r="O720" i="11"/>
  <c r="M720" i="11" s="1"/>
  <c r="O734" i="11"/>
  <c r="M734" i="11" s="1"/>
  <c r="O748" i="11"/>
  <c r="M748" i="11" s="1"/>
  <c r="O22" i="11"/>
  <c r="M22" i="11" s="1"/>
  <c r="O36" i="11"/>
  <c r="M36" i="11" s="1"/>
  <c r="O50" i="11"/>
  <c r="M50" i="11" s="1"/>
  <c r="O64" i="11"/>
  <c r="M64" i="11" s="1"/>
  <c r="O78" i="11"/>
  <c r="M78" i="11" s="1"/>
  <c r="O92" i="11"/>
  <c r="M92" i="11" s="1"/>
  <c r="O106" i="11"/>
  <c r="M106" i="11" s="1"/>
  <c r="O120" i="11"/>
  <c r="M120" i="11" s="1"/>
  <c r="O134" i="11"/>
  <c r="M134" i="11" s="1"/>
  <c r="O148" i="11"/>
  <c r="M148" i="11" s="1"/>
  <c r="O162" i="11"/>
  <c r="M162" i="11" s="1"/>
  <c r="O176" i="11"/>
  <c r="M176" i="11" s="1"/>
  <c r="O190" i="11"/>
  <c r="M190" i="11" s="1"/>
  <c r="O204" i="11"/>
  <c r="M204" i="11" s="1"/>
  <c r="O218" i="11"/>
  <c r="M218" i="11" s="1"/>
  <c r="O232" i="11"/>
  <c r="M232" i="11" s="1"/>
  <c r="O246" i="11"/>
  <c r="M246" i="11" s="1"/>
  <c r="O260" i="11"/>
  <c r="M260" i="11" s="1"/>
  <c r="O274" i="11"/>
  <c r="M274" i="11" s="1"/>
  <c r="O288" i="11"/>
  <c r="M288" i="11" s="1"/>
  <c r="O302" i="11"/>
  <c r="M302" i="11" s="1"/>
  <c r="O316" i="11"/>
  <c r="M316" i="11" s="1"/>
  <c r="O330" i="11"/>
  <c r="M330" i="11" s="1"/>
  <c r="O344" i="11"/>
  <c r="M344" i="11" s="1"/>
  <c r="O358" i="11"/>
  <c r="M358" i="11" s="1"/>
  <c r="O372" i="11"/>
  <c r="M372" i="11" s="1"/>
  <c r="O385" i="11"/>
  <c r="M385" i="11" s="1"/>
  <c r="O399" i="11"/>
  <c r="M399" i="11" s="1"/>
  <c r="O413" i="11"/>
  <c r="M413" i="11" s="1"/>
  <c r="O427" i="11"/>
  <c r="M427" i="11" s="1"/>
  <c r="O441" i="11"/>
  <c r="M441" i="11" s="1"/>
  <c r="O8" i="11"/>
  <c r="M8" i="11" s="1"/>
  <c r="O10" i="11"/>
  <c r="M10" i="11" s="1"/>
  <c r="O24" i="11"/>
  <c r="M24" i="11" s="1"/>
  <c r="O38" i="11"/>
  <c r="M38" i="11" s="1"/>
  <c r="O52" i="11"/>
  <c r="O66" i="11"/>
  <c r="M66" i="11" s="1"/>
  <c r="O80" i="11"/>
  <c r="M80" i="11" s="1"/>
  <c r="O94" i="11"/>
  <c r="M94" i="11" s="1"/>
  <c r="O108" i="11"/>
  <c r="M108" i="11" s="1"/>
  <c r="O122" i="11"/>
  <c r="M122" i="11" s="1"/>
  <c r="O136" i="11"/>
  <c r="M136" i="11" s="1"/>
  <c r="O150" i="11"/>
  <c r="M150" i="11" s="1"/>
  <c r="O164" i="11"/>
  <c r="M164" i="11" s="1"/>
  <c r="O178" i="11"/>
  <c r="M178" i="11" s="1"/>
  <c r="O192" i="11"/>
  <c r="M192" i="11" s="1"/>
  <c r="O206" i="11"/>
  <c r="M206" i="11" s="1"/>
  <c r="O220" i="11"/>
  <c r="M220" i="11" s="1"/>
  <c r="O234" i="11"/>
  <c r="M234" i="11" s="1"/>
  <c r="O248" i="11"/>
  <c r="M248" i="11" s="1"/>
  <c r="O262" i="11"/>
  <c r="M262" i="11" s="1"/>
  <c r="O276" i="11"/>
  <c r="M276" i="11" s="1"/>
  <c r="O290" i="11"/>
  <c r="M290" i="11" s="1"/>
  <c r="O304" i="11"/>
  <c r="M304" i="11" s="1"/>
  <c r="O318" i="11"/>
  <c r="M318" i="11" s="1"/>
  <c r="O332" i="11"/>
  <c r="M332" i="11" s="1"/>
  <c r="O346" i="11"/>
  <c r="M346" i="11" s="1"/>
  <c r="O360" i="11"/>
  <c r="M360" i="11" s="1"/>
  <c r="O374" i="11"/>
  <c r="M374" i="11" s="1"/>
  <c r="O387" i="11"/>
  <c r="M387" i="11" s="1"/>
  <c r="O401" i="11"/>
  <c r="M401" i="11" s="1"/>
  <c r="O415" i="11"/>
  <c r="M415" i="11" s="1"/>
  <c r="O429" i="11"/>
  <c r="M429" i="11" s="1"/>
  <c r="O443" i="11"/>
  <c r="M443" i="11" s="1"/>
  <c r="O457" i="11"/>
  <c r="M457" i="11" s="1"/>
  <c r="O471" i="11"/>
  <c r="M471" i="11" s="1"/>
  <c r="O485" i="11"/>
  <c r="M485" i="11" s="1"/>
  <c r="O499" i="11"/>
  <c r="M499" i="11" s="1"/>
  <c r="O513" i="11"/>
  <c r="M513" i="11" s="1"/>
  <c r="O527" i="11"/>
  <c r="M527" i="11" s="1"/>
  <c r="O541" i="11"/>
  <c r="M541" i="11" s="1"/>
  <c r="O555" i="11"/>
  <c r="M555" i="11" s="1"/>
  <c r="O569" i="11"/>
  <c r="M569" i="11" s="1"/>
  <c r="O583" i="11"/>
  <c r="M583" i="11" s="1"/>
  <c r="O597" i="11"/>
  <c r="M597" i="11" s="1"/>
  <c r="O611" i="11"/>
  <c r="M611" i="11" s="1"/>
  <c r="O625" i="11"/>
  <c r="M625" i="11" s="1"/>
  <c r="O639" i="11"/>
  <c r="M639" i="11" s="1"/>
  <c r="O653" i="11"/>
  <c r="M653" i="11" s="1"/>
  <c r="O667" i="11"/>
  <c r="M667" i="11" s="1"/>
  <c r="O681" i="11"/>
  <c r="M681" i="11" s="1"/>
  <c r="O695" i="11"/>
  <c r="M695" i="11" s="1"/>
  <c r="O709" i="11"/>
  <c r="M709" i="11" s="1"/>
  <c r="O723" i="11"/>
  <c r="M723" i="11" s="1"/>
  <c r="O737" i="11"/>
  <c r="M737" i="11" s="1"/>
  <c r="O751" i="11"/>
  <c r="M751" i="11" s="1"/>
  <c r="O11" i="11"/>
  <c r="M11" i="11" s="1"/>
  <c r="O25" i="11"/>
  <c r="M25" i="11" s="1"/>
  <c r="O39" i="11"/>
  <c r="M39" i="11" s="1"/>
  <c r="O53" i="11"/>
  <c r="M53" i="11" s="1"/>
  <c r="O67" i="11"/>
  <c r="M67" i="11" s="1"/>
  <c r="O81" i="11"/>
  <c r="M81" i="11" s="1"/>
  <c r="O95" i="11"/>
  <c r="M95" i="11" s="1"/>
  <c r="O109" i="11"/>
  <c r="M109" i="11" s="1"/>
  <c r="O123" i="11"/>
  <c r="M123" i="11" s="1"/>
  <c r="O137" i="11"/>
  <c r="M137" i="11" s="1"/>
  <c r="O151" i="11"/>
  <c r="M151" i="11" s="1"/>
  <c r="O165" i="11"/>
  <c r="M165" i="11" s="1"/>
  <c r="O179" i="11"/>
  <c r="M179" i="11" s="1"/>
  <c r="O193" i="11"/>
  <c r="M193" i="11" s="1"/>
  <c r="O207" i="11"/>
  <c r="M207" i="11" s="1"/>
  <c r="O12" i="11"/>
  <c r="M12" i="11" s="1"/>
  <c r="O13" i="11"/>
  <c r="M13" i="11" s="1"/>
  <c r="O14" i="11"/>
  <c r="M14" i="11" s="1"/>
  <c r="O28" i="11"/>
  <c r="M28" i="11" s="1"/>
  <c r="O42" i="11"/>
  <c r="M42" i="11" s="1"/>
  <c r="O56" i="11"/>
  <c r="M56" i="11" s="1"/>
  <c r="O70" i="11"/>
  <c r="M70" i="11" s="1"/>
  <c r="O84" i="11"/>
  <c r="M84" i="11" s="1"/>
  <c r="O98" i="11"/>
  <c r="M98" i="11" s="1"/>
  <c r="O112" i="11"/>
  <c r="M112" i="11" s="1"/>
  <c r="O126" i="11"/>
  <c r="M126" i="11" s="1"/>
  <c r="O140" i="11"/>
  <c r="M140" i="11" s="1"/>
  <c r="O154" i="11"/>
  <c r="M154" i="11" s="1"/>
  <c r="O168" i="11"/>
  <c r="M168" i="11" s="1"/>
  <c r="O182" i="11"/>
  <c r="M182" i="11" s="1"/>
  <c r="O196" i="11"/>
  <c r="M196" i="11" s="1"/>
  <c r="O210" i="11"/>
  <c r="M210" i="11" s="1"/>
  <c r="O224" i="11"/>
  <c r="M224" i="11" s="1"/>
  <c r="O238" i="11"/>
  <c r="M238" i="11" s="1"/>
  <c r="O252" i="11"/>
  <c r="M252" i="11" s="1"/>
  <c r="O266" i="11"/>
  <c r="M266" i="11" s="1"/>
  <c r="O280" i="11"/>
  <c r="M280" i="11" s="1"/>
  <c r="O294" i="11"/>
  <c r="M294" i="11" s="1"/>
  <c r="O308" i="11"/>
  <c r="M308" i="11" s="1"/>
  <c r="O322" i="11"/>
  <c r="M322" i="11" s="1"/>
  <c r="O336" i="11"/>
  <c r="M336" i="11" s="1"/>
  <c r="O350" i="11"/>
  <c r="M350" i="11" s="1"/>
  <c r="O364" i="11"/>
  <c r="M364" i="11" s="1"/>
  <c r="O391" i="11"/>
  <c r="M391" i="11" s="1"/>
  <c r="O405" i="11"/>
  <c r="M405" i="11" s="1"/>
  <c r="O419" i="11"/>
  <c r="M419" i="11" s="1"/>
  <c r="O433" i="11"/>
  <c r="M433" i="11" s="1"/>
  <c r="O447" i="11"/>
  <c r="M447" i="11" s="1"/>
  <c r="O461" i="11"/>
  <c r="M461" i="11" s="1"/>
  <c r="O475" i="11"/>
  <c r="M475" i="11" s="1"/>
  <c r="O489" i="11"/>
  <c r="M489" i="11" s="1"/>
  <c r="O503" i="11"/>
  <c r="M503" i="11" s="1"/>
  <c r="O517" i="11"/>
  <c r="M517" i="11" s="1"/>
  <c r="O531" i="11"/>
  <c r="M531" i="11" s="1"/>
  <c r="O545" i="11"/>
  <c r="M545" i="11" s="1"/>
  <c r="O559" i="11"/>
  <c r="M559" i="11" s="1"/>
  <c r="O573" i="11"/>
  <c r="M573" i="11" s="1"/>
  <c r="O587" i="11"/>
  <c r="M587" i="11" s="1"/>
  <c r="O601" i="11"/>
  <c r="M601" i="11" s="1"/>
  <c r="O615" i="11"/>
  <c r="M615" i="11" s="1"/>
  <c r="O629" i="11"/>
  <c r="M629" i="11" s="1"/>
  <c r="O643" i="11"/>
  <c r="M643" i="11" s="1"/>
  <c r="O657" i="11"/>
  <c r="M657" i="11" s="1"/>
  <c r="O671" i="11"/>
  <c r="M671" i="11" s="1"/>
  <c r="O685" i="11"/>
  <c r="M685" i="11" s="1"/>
  <c r="O699" i="11"/>
  <c r="M699" i="11" s="1"/>
  <c r="O713" i="11"/>
  <c r="M713" i="11" s="1"/>
  <c r="O727" i="11"/>
  <c r="M727" i="11" s="1"/>
  <c r="O741" i="11"/>
  <c r="M741" i="11" s="1"/>
  <c r="O755" i="11"/>
  <c r="M755" i="11" s="1"/>
  <c r="O547" i="11"/>
  <c r="M547" i="11" s="1"/>
  <c r="O631" i="11"/>
  <c r="M631" i="11" s="1"/>
  <c r="O673" i="11"/>
  <c r="M673" i="11" s="1"/>
  <c r="O701" i="11"/>
  <c r="M701" i="11" s="1"/>
  <c r="O729" i="11"/>
  <c r="M729" i="11" s="1"/>
  <c r="O269" i="11"/>
  <c r="M269" i="11" s="1"/>
  <c r="O394" i="11"/>
  <c r="M394" i="11" s="1"/>
  <c r="O450" i="11"/>
  <c r="M450" i="11" s="1"/>
  <c r="O492" i="11"/>
  <c r="M492" i="11" s="1"/>
  <c r="O520" i="11"/>
  <c r="M520" i="11" s="1"/>
  <c r="O562" i="11"/>
  <c r="M562" i="11" s="1"/>
  <c r="O618" i="11"/>
  <c r="M618" i="11" s="1"/>
  <c r="O660" i="11"/>
  <c r="M660" i="11" s="1"/>
  <c r="O15" i="11"/>
  <c r="M15" i="11" s="1"/>
  <c r="O29" i="11"/>
  <c r="M29" i="11" s="1"/>
  <c r="O43" i="11"/>
  <c r="M43" i="11" s="1"/>
  <c r="O57" i="11"/>
  <c r="M57" i="11" s="1"/>
  <c r="O71" i="11"/>
  <c r="M71" i="11" s="1"/>
  <c r="O85" i="11"/>
  <c r="M85" i="11" s="1"/>
  <c r="O99" i="11"/>
  <c r="M99" i="11" s="1"/>
  <c r="O113" i="11"/>
  <c r="M113" i="11" s="1"/>
  <c r="O127" i="11"/>
  <c r="M127" i="11" s="1"/>
  <c r="O141" i="11"/>
  <c r="M141" i="11" s="1"/>
  <c r="O155" i="11"/>
  <c r="M155" i="11" s="1"/>
  <c r="O169" i="11"/>
  <c r="M169" i="11" s="1"/>
  <c r="O183" i="11"/>
  <c r="M183" i="11" s="1"/>
  <c r="O197" i="11"/>
  <c r="M197" i="11" s="1"/>
  <c r="O211" i="11"/>
  <c r="M211" i="11" s="1"/>
  <c r="O225" i="11"/>
  <c r="M225" i="11" s="1"/>
  <c r="O239" i="11"/>
  <c r="M239" i="11" s="1"/>
  <c r="O253" i="11"/>
  <c r="M253" i="11" s="1"/>
  <c r="O267" i="11"/>
  <c r="M267" i="11" s="1"/>
  <c r="O281" i="11"/>
  <c r="M281" i="11" s="1"/>
  <c r="O295" i="11"/>
  <c r="M295" i="11" s="1"/>
  <c r="O309" i="11"/>
  <c r="M309" i="11" s="1"/>
  <c r="O323" i="11"/>
  <c r="M323" i="11" s="1"/>
  <c r="O337" i="11"/>
  <c r="M337" i="11" s="1"/>
  <c r="O351" i="11"/>
  <c r="M351" i="11" s="1"/>
  <c r="O365" i="11"/>
  <c r="M365" i="11" s="1"/>
  <c r="O378" i="11"/>
  <c r="M378" i="11" s="1"/>
  <c r="O392" i="11"/>
  <c r="M392" i="11" s="1"/>
  <c r="O406" i="11"/>
  <c r="M406" i="11" s="1"/>
  <c r="O420" i="11"/>
  <c r="M420" i="11" s="1"/>
  <c r="O434" i="11"/>
  <c r="M434" i="11" s="1"/>
  <c r="O448" i="11"/>
  <c r="M448" i="11" s="1"/>
  <c r="O462" i="11"/>
  <c r="M462" i="11" s="1"/>
  <c r="O476" i="11"/>
  <c r="M476" i="11" s="1"/>
  <c r="O490" i="11"/>
  <c r="M490" i="11" s="1"/>
  <c r="O504" i="11"/>
  <c r="M504" i="11" s="1"/>
  <c r="O518" i="11"/>
  <c r="M518" i="11" s="1"/>
  <c r="O532" i="11"/>
  <c r="M532" i="11" s="1"/>
  <c r="O546" i="11"/>
  <c r="M546" i="11" s="1"/>
  <c r="O560" i="11"/>
  <c r="M560" i="11" s="1"/>
  <c r="O574" i="11"/>
  <c r="M574" i="11" s="1"/>
  <c r="O588" i="11"/>
  <c r="M588" i="11" s="1"/>
  <c r="O602" i="11"/>
  <c r="M602" i="11" s="1"/>
  <c r="O616" i="11"/>
  <c r="M616" i="11" s="1"/>
  <c r="O630" i="11"/>
  <c r="M630" i="11" s="1"/>
  <c r="O644" i="11"/>
  <c r="M644" i="11" s="1"/>
  <c r="O658" i="11"/>
  <c r="M658" i="11" s="1"/>
  <c r="O672" i="11"/>
  <c r="M672" i="11" s="1"/>
  <c r="O686" i="11"/>
  <c r="M686" i="11" s="1"/>
  <c r="O700" i="11"/>
  <c r="M700" i="11" s="1"/>
  <c r="O714" i="11"/>
  <c r="M714" i="11" s="1"/>
  <c r="O728" i="11"/>
  <c r="M728" i="11" s="1"/>
  <c r="O742" i="11"/>
  <c r="M742" i="11" s="1"/>
  <c r="O756" i="11"/>
  <c r="M756" i="11" s="1"/>
  <c r="O575" i="11"/>
  <c r="M575" i="11" s="1"/>
  <c r="O645" i="11"/>
  <c r="M645" i="11" s="1"/>
  <c r="O687" i="11"/>
  <c r="M687" i="11" s="1"/>
  <c r="O715" i="11"/>
  <c r="M715" i="11" s="1"/>
  <c r="O743" i="11"/>
  <c r="M743" i="11" s="1"/>
  <c r="O283" i="11"/>
  <c r="M283" i="11" s="1"/>
  <c r="O380" i="11"/>
  <c r="M380" i="11" s="1"/>
  <c r="O422" i="11"/>
  <c r="M422" i="11" s="1"/>
  <c r="O464" i="11"/>
  <c r="M464" i="11" s="1"/>
  <c r="O506" i="11"/>
  <c r="M506" i="11" s="1"/>
  <c r="O548" i="11"/>
  <c r="M548" i="11" s="1"/>
  <c r="O576" i="11"/>
  <c r="M576" i="11" s="1"/>
  <c r="O604" i="11"/>
  <c r="M604" i="11" s="1"/>
  <c r="O632" i="11"/>
  <c r="M632" i="11" s="1"/>
  <c r="O16" i="11"/>
  <c r="M16" i="11" s="1"/>
  <c r="O30" i="11"/>
  <c r="M30" i="11" s="1"/>
  <c r="O44" i="11"/>
  <c r="M44" i="11" s="1"/>
  <c r="O58" i="11"/>
  <c r="M58" i="11" s="1"/>
  <c r="O72" i="11"/>
  <c r="M72" i="11" s="1"/>
  <c r="O86" i="11"/>
  <c r="M86" i="11" s="1"/>
  <c r="O100" i="11"/>
  <c r="M100" i="11" s="1"/>
  <c r="O114" i="11"/>
  <c r="M114" i="11" s="1"/>
  <c r="O128" i="11"/>
  <c r="M128" i="11" s="1"/>
  <c r="O142" i="11"/>
  <c r="M142" i="11" s="1"/>
  <c r="O156" i="11"/>
  <c r="M156" i="11" s="1"/>
  <c r="O170" i="11"/>
  <c r="M170" i="11" s="1"/>
  <c r="O184" i="11"/>
  <c r="M184" i="11" s="1"/>
  <c r="O198" i="11"/>
  <c r="M198" i="11" s="1"/>
  <c r="O212" i="11"/>
  <c r="M212" i="11" s="1"/>
  <c r="O226" i="11"/>
  <c r="M226" i="11" s="1"/>
  <c r="O240" i="11"/>
  <c r="M240" i="11" s="1"/>
  <c r="O254" i="11"/>
  <c r="M254" i="11" s="1"/>
  <c r="O268" i="11"/>
  <c r="M268" i="11" s="1"/>
  <c r="O282" i="11"/>
  <c r="M282" i="11" s="1"/>
  <c r="O296" i="11"/>
  <c r="M296" i="11" s="1"/>
  <c r="O310" i="11"/>
  <c r="M310" i="11" s="1"/>
  <c r="O324" i="11"/>
  <c r="M324" i="11" s="1"/>
  <c r="O338" i="11"/>
  <c r="M338" i="11" s="1"/>
  <c r="O352" i="11"/>
  <c r="M352" i="11" s="1"/>
  <c r="O366" i="11"/>
  <c r="M366" i="11" s="1"/>
  <c r="O379" i="11"/>
  <c r="M379" i="11" s="1"/>
  <c r="O393" i="11"/>
  <c r="M393" i="11" s="1"/>
  <c r="O407" i="11"/>
  <c r="M407" i="11" s="1"/>
  <c r="O421" i="11"/>
  <c r="M421" i="11" s="1"/>
  <c r="O435" i="11"/>
  <c r="M435" i="11" s="1"/>
  <c r="O449" i="11"/>
  <c r="M449" i="11" s="1"/>
  <c r="O463" i="11"/>
  <c r="M463" i="11" s="1"/>
  <c r="O477" i="11"/>
  <c r="M477" i="11" s="1"/>
  <c r="O491" i="11"/>
  <c r="M491" i="11" s="1"/>
  <c r="O505" i="11"/>
  <c r="M505" i="11" s="1"/>
  <c r="O519" i="11"/>
  <c r="M519" i="11" s="1"/>
  <c r="O533" i="11"/>
  <c r="M533" i="11" s="1"/>
  <c r="O561" i="11"/>
  <c r="M561" i="11" s="1"/>
  <c r="O589" i="11"/>
  <c r="M589" i="11" s="1"/>
  <c r="O603" i="11"/>
  <c r="M603" i="11" s="1"/>
  <c r="O617" i="11"/>
  <c r="M617" i="11" s="1"/>
  <c r="O659" i="11"/>
  <c r="M659" i="11" s="1"/>
  <c r="O17" i="11"/>
  <c r="M17" i="11" s="1"/>
  <c r="O31" i="11"/>
  <c r="M31" i="11" s="1"/>
  <c r="O45" i="11"/>
  <c r="M45" i="11" s="1"/>
  <c r="O59" i="11"/>
  <c r="M59" i="11" s="1"/>
  <c r="O73" i="11"/>
  <c r="M73" i="11" s="1"/>
  <c r="O87" i="11"/>
  <c r="M87" i="11" s="1"/>
  <c r="O101" i="11"/>
  <c r="M101" i="11" s="1"/>
  <c r="O115" i="11"/>
  <c r="M115" i="11" s="1"/>
  <c r="O129" i="11"/>
  <c r="M129" i="11" s="1"/>
  <c r="O143" i="11"/>
  <c r="M143" i="11" s="1"/>
  <c r="O157" i="11"/>
  <c r="M157" i="11" s="1"/>
  <c r="O171" i="11"/>
  <c r="M171" i="11" s="1"/>
  <c r="O185" i="11"/>
  <c r="M185" i="11" s="1"/>
  <c r="O199" i="11"/>
  <c r="M199" i="11" s="1"/>
  <c r="O213" i="11"/>
  <c r="M213" i="11" s="1"/>
  <c r="O227" i="11"/>
  <c r="M227" i="11" s="1"/>
  <c r="O241" i="11"/>
  <c r="M241" i="11" s="1"/>
  <c r="O255" i="11"/>
  <c r="M255" i="11" s="1"/>
  <c r="O297" i="11"/>
  <c r="M297" i="11" s="1"/>
  <c r="O311" i="11"/>
  <c r="M311" i="11" s="1"/>
  <c r="O325" i="11"/>
  <c r="M325" i="11" s="1"/>
  <c r="O339" i="11"/>
  <c r="M339" i="11" s="1"/>
  <c r="O353" i="11"/>
  <c r="M353" i="11" s="1"/>
  <c r="O367" i="11"/>
  <c r="M367" i="11" s="1"/>
  <c r="O408" i="11"/>
  <c r="M408" i="11" s="1"/>
  <c r="O436" i="11"/>
  <c r="M436" i="11" s="1"/>
  <c r="O478" i="11"/>
  <c r="M478" i="11" s="1"/>
  <c r="O534" i="11"/>
  <c r="M534" i="11" s="1"/>
  <c r="O590" i="11"/>
  <c r="M590" i="11" s="1"/>
  <c r="O646" i="11"/>
  <c r="M646" i="11" s="1"/>
  <c r="O9" i="11"/>
  <c r="M9" i="11" s="1"/>
  <c r="O47" i="11"/>
  <c r="M47" i="11" s="1"/>
  <c r="O79" i="11"/>
  <c r="M79" i="11" s="1"/>
  <c r="O111" i="11"/>
  <c r="M111" i="11" s="1"/>
  <c r="O145" i="11"/>
  <c r="M145" i="11" s="1"/>
  <c r="O177" i="11"/>
  <c r="M177" i="11" s="1"/>
  <c r="O209" i="11"/>
  <c r="M209" i="11" s="1"/>
  <c r="O237" i="11"/>
  <c r="M237" i="11" s="1"/>
  <c r="O265" i="11"/>
  <c r="M265" i="11" s="1"/>
  <c r="O293" i="11"/>
  <c r="M293" i="11" s="1"/>
  <c r="O321" i="11"/>
  <c r="M321" i="11" s="1"/>
  <c r="O349" i="11"/>
  <c r="M349" i="11" s="1"/>
  <c r="O377" i="11"/>
  <c r="M377" i="11" s="1"/>
  <c r="O404" i="11"/>
  <c r="M404" i="11" s="1"/>
  <c r="O432" i="11"/>
  <c r="M432" i="11" s="1"/>
  <c r="O459" i="11"/>
  <c r="M459" i="11" s="1"/>
  <c r="O484" i="11"/>
  <c r="M484" i="11" s="1"/>
  <c r="O509" i="11"/>
  <c r="M509" i="11" s="1"/>
  <c r="O535" i="11"/>
  <c r="M535" i="11" s="1"/>
  <c r="O557" i="11"/>
  <c r="M557" i="11" s="1"/>
  <c r="O582" i="11"/>
  <c r="M582" i="11" s="1"/>
  <c r="O607" i="11"/>
  <c r="M607" i="11" s="1"/>
  <c r="O633" i="11"/>
  <c r="M633" i="11" s="1"/>
  <c r="O655" i="11"/>
  <c r="M655" i="11" s="1"/>
  <c r="O679" i="11"/>
  <c r="M679" i="11" s="1"/>
  <c r="O702" i="11"/>
  <c r="M702" i="11" s="1"/>
  <c r="O722" i="11"/>
  <c r="M722" i="11" s="1"/>
  <c r="O745" i="11"/>
  <c r="M745" i="11" s="1"/>
  <c r="O460" i="11"/>
  <c r="M460" i="11" s="1"/>
  <c r="O511" i="11"/>
  <c r="M511" i="11" s="1"/>
  <c r="O536" i="11"/>
  <c r="M536" i="11" s="1"/>
  <c r="O584" i="11"/>
  <c r="M584" i="11" s="1"/>
  <c r="O609" i="11"/>
  <c r="M609" i="11" s="1"/>
  <c r="O634" i="11"/>
  <c r="M634" i="11" s="1"/>
  <c r="O656" i="11"/>
  <c r="M656" i="11" s="1"/>
  <c r="O703" i="11"/>
  <c r="M703" i="11" s="1"/>
  <c r="O724" i="11"/>
  <c r="M724" i="11" s="1"/>
  <c r="O746" i="11"/>
  <c r="M746" i="11" s="1"/>
  <c r="O661" i="11"/>
  <c r="M661" i="11" s="1"/>
  <c r="O704" i="11"/>
  <c r="M704" i="11" s="1"/>
  <c r="O747" i="11"/>
  <c r="M747" i="11" s="1"/>
  <c r="O54" i="11"/>
  <c r="M54" i="11" s="1"/>
  <c r="O118" i="11"/>
  <c r="M118" i="11" s="1"/>
  <c r="O186" i="11"/>
  <c r="M186" i="11" s="1"/>
  <c r="O244" i="11"/>
  <c r="M244" i="11" s="1"/>
  <c r="O300" i="11"/>
  <c r="M300" i="11" s="1"/>
  <c r="O356" i="11"/>
  <c r="M356" i="11" s="1"/>
  <c r="O411" i="11"/>
  <c r="M411" i="11" s="1"/>
  <c r="O466" i="11"/>
  <c r="M466" i="11" s="1"/>
  <c r="O514" i="11"/>
  <c r="M514" i="11" s="1"/>
  <c r="O564" i="11"/>
  <c r="M564" i="11" s="1"/>
  <c r="O612" i="11"/>
  <c r="M612" i="11" s="1"/>
  <c r="O662" i="11"/>
  <c r="M662" i="11" s="1"/>
  <c r="O705" i="11"/>
  <c r="M705" i="11" s="1"/>
  <c r="O749" i="11"/>
  <c r="M749" i="11" s="1"/>
  <c r="O277" i="11"/>
  <c r="M277" i="11" s="1"/>
  <c r="O494" i="11"/>
  <c r="M494" i="11" s="1"/>
  <c r="O640" i="11"/>
  <c r="M640" i="11" s="1"/>
  <c r="O731" i="11"/>
  <c r="M731" i="11" s="1"/>
  <c r="O135" i="11"/>
  <c r="M135" i="11" s="1"/>
  <c r="O261" i="11"/>
  <c r="M261" i="11" s="1"/>
  <c r="O502" i="11"/>
  <c r="M502" i="11" s="1"/>
  <c r="O205" i="11"/>
  <c r="M205" i="11" s="1"/>
  <c r="O402" i="11"/>
  <c r="M402" i="11" s="1"/>
  <c r="O652" i="11"/>
  <c r="M652" i="11" s="1"/>
  <c r="O174" i="11"/>
  <c r="M174" i="11" s="1"/>
  <c r="O403" i="11"/>
  <c r="M403" i="11" s="1"/>
  <c r="O606" i="11"/>
  <c r="M606" i="11" s="1"/>
  <c r="O18" i="11"/>
  <c r="M18" i="11" s="1"/>
  <c r="O48" i="11"/>
  <c r="M48" i="11" s="1"/>
  <c r="O82" i="11"/>
  <c r="M82" i="11" s="1"/>
  <c r="O116" i="11"/>
  <c r="M116" i="11" s="1"/>
  <c r="O146" i="11"/>
  <c r="M146" i="11" s="1"/>
  <c r="O180" i="11"/>
  <c r="M180" i="11" s="1"/>
  <c r="O214" i="11"/>
  <c r="M214" i="11" s="1"/>
  <c r="O242" i="11"/>
  <c r="M242" i="11" s="1"/>
  <c r="O270" i="11"/>
  <c r="M270" i="11" s="1"/>
  <c r="O298" i="11"/>
  <c r="M298" i="11" s="1"/>
  <c r="O326" i="11"/>
  <c r="M326" i="11" s="1"/>
  <c r="O354" i="11"/>
  <c r="M354" i="11" s="1"/>
  <c r="O381" i="11"/>
  <c r="M381" i="11" s="1"/>
  <c r="O409" i="11"/>
  <c r="M409" i="11" s="1"/>
  <c r="O437" i="11"/>
  <c r="M437" i="11" s="1"/>
  <c r="O486" i="11"/>
  <c r="M486" i="11" s="1"/>
  <c r="O558" i="11"/>
  <c r="M558" i="11" s="1"/>
  <c r="O680" i="11"/>
  <c r="M680" i="11" s="1"/>
  <c r="O725" i="11"/>
  <c r="M725" i="11" s="1"/>
  <c r="O20" i="11"/>
  <c r="M20" i="11" s="1"/>
  <c r="O88" i="11"/>
  <c r="M88" i="11" s="1"/>
  <c r="O152" i="11"/>
  <c r="M152" i="11" s="1"/>
  <c r="O216" i="11"/>
  <c r="M216" i="11" s="1"/>
  <c r="O272" i="11"/>
  <c r="M272" i="11" s="1"/>
  <c r="O328" i="11"/>
  <c r="M328" i="11" s="1"/>
  <c r="O383" i="11"/>
  <c r="M383" i="11" s="1"/>
  <c r="O439" i="11"/>
  <c r="M439" i="11" s="1"/>
  <c r="O488" i="11"/>
  <c r="M488" i="11" s="1"/>
  <c r="O539" i="11"/>
  <c r="M539" i="11" s="1"/>
  <c r="O586" i="11"/>
  <c r="M586" i="11" s="1"/>
  <c r="O637" i="11"/>
  <c r="M637" i="11" s="1"/>
  <c r="O683" i="11"/>
  <c r="M683" i="11" s="1"/>
  <c r="O726" i="11"/>
  <c r="M726" i="11" s="1"/>
  <c r="O305" i="11"/>
  <c r="M305" i="11" s="1"/>
  <c r="O469" i="11"/>
  <c r="M469" i="11" s="1"/>
  <c r="O592" i="11"/>
  <c r="M592" i="11" s="1"/>
  <c r="O688" i="11"/>
  <c r="M688" i="11" s="1"/>
  <c r="O167" i="11"/>
  <c r="M167" i="11" s="1"/>
  <c r="O738" i="11"/>
  <c r="M738" i="11" s="1"/>
  <c r="O233" i="11"/>
  <c r="M233" i="11" s="1"/>
  <c r="O553" i="11"/>
  <c r="M553" i="11" s="1"/>
  <c r="O139" i="11"/>
  <c r="M139" i="11" s="1"/>
  <c r="O554" i="11"/>
  <c r="M554" i="11" s="1"/>
  <c r="O264" i="11"/>
  <c r="M264" i="11" s="1"/>
  <c r="O458" i="11"/>
  <c r="M458" i="11" s="1"/>
  <c r="O654" i="11"/>
  <c r="M654" i="11" s="1"/>
  <c r="O19" i="11"/>
  <c r="M19" i="11" s="1"/>
  <c r="O51" i="11"/>
  <c r="M51" i="11" s="1"/>
  <c r="O83" i="11"/>
  <c r="M83" i="11" s="1"/>
  <c r="O117" i="11"/>
  <c r="M117" i="11" s="1"/>
  <c r="O149" i="11"/>
  <c r="M149" i="11" s="1"/>
  <c r="O181" i="11"/>
  <c r="M181" i="11" s="1"/>
  <c r="O215" i="11"/>
  <c r="M215" i="11" s="1"/>
  <c r="O243" i="11"/>
  <c r="M243" i="11" s="1"/>
  <c r="O271" i="11"/>
  <c r="M271" i="11" s="1"/>
  <c r="O299" i="11"/>
  <c r="M299" i="11" s="1"/>
  <c r="O327" i="11"/>
  <c r="M327" i="11" s="1"/>
  <c r="O355" i="11"/>
  <c r="M355" i="11" s="1"/>
  <c r="O382" i="11"/>
  <c r="M382" i="11" s="1"/>
  <c r="O410" i="11"/>
  <c r="M410" i="11" s="1"/>
  <c r="O438" i="11"/>
  <c r="M438" i="11" s="1"/>
  <c r="O465" i="11"/>
  <c r="M465" i="11" s="1"/>
  <c r="O487" i="11"/>
  <c r="M487" i="11" s="1"/>
  <c r="O512" i="11"/>
  <c r="M512" i="11" s="1"/>
  <c r="O537" i="11"/>
  <c r="M537" i="11" s="1"/>
  <c r="O563" i="11"/>
  <c r="M563" i="11" s="1"/>
  <c r="O585" i="11"/>
  <c r="M585" i="11" s="1"/>
  <c r="O610" i="11"/>
  <c r="M610" i="11" s="1"/>
  <c r="O635" i="11"/>
  <c r="M635" i="11" s="1"/>
  <c r="O682" i="11"/>
  <c r="M682" i="11" s="1"/>
  <c r="O23" i="11"/>
  <c r="M23" i="11" s="1"/>
  <c r="O55" i="11"/>
  <c r="M55" i="11" s="1"/>
  <c r="O89" i="11"/>
  <c r="M89" i="11" s="1"/>
  <c r="O121" i="11"/>
  <c r="M121" i="11" s="1"/>
  <c r="O153" i="11"/>
  <c r="M153" i="11" s="1"/>
  <c r="O187" i="11"/>
  <c r="M187" i="11" s="1"/>
  <c r="O219" i="11"/>
  <c r="M219" i="11" s="1"/>
  <c r="O247" i="11"/>
  <c r="M247" i="11" s="1"/>
  <c r="O275" i="11"/>
  <c r="M275" i="11" s="1"/>
  <c r="O303" i="11"/>
  <c r="M303" i="11" s="1"/>
  <c r="O331" i="11"/>
  <c r="M331" i="11" s="1"/>
  <c r="O359" i="11"/>
  <c r="M359" i="11" s="1"/>
  <c r="O386" i="11"/>
  <c r="M386" i="11" s="1"/>
  <c r="O414" i="11"/>
  <c r="M414" i="11" s="1"/>
  <c r="O442" i="11"/>
  <c r="M442" i="11" s="1"/>
  <c r="O467" i="11"/>
  <c r="M467" i="11" s="1"/>
  <c r="O493" i="11"/>
  <c r="M493" i="11" s="1"/>
  <c r="O515" i="11"/>
  <c r="M515" i="11" s="1"/>
  <c r="O540" i="11"/>
  <c r="M540" i="11" s="1"/>
  <c r="O565" i="11"/>
  <c r="M565" i="11" s="1"/>
  <c r="O591" i="11"/>
  <c r="M591" i="11" s="1"/>
  <c r="O613" i="11"/>
  <c r="M613" i="11" s="1"/>
  <c r="O638" i="11"/>
  <c r="M638" i="11" s="1"/>
  <c r="O663" i="11"/>
  <c r="M663" i="11" s="1"/>
  <c r="O684" i="11"/>
  <c r="M684" i="11" s="1"/>
  <c r="O707" i="11"/>
  <c r="M707" i="11" s="1"/>
  <c r="O730" i="11"/>
  <c r="M730" i="11" s="1"/>
  <c r="O750" i="11"/>
  <c r="M750" i="11" s="1"/>
  <c r="O26" i="11"/>
  <c r="M26" i="11" s="1"/>
  <c r="O60" i="11"/>
  <c r="M60" i="11" s="1"/>
  <c r="O90" i="11"/>
  <c r="M90" i="11" s="1"/>
  <c r="O124" i="11"/>
  <c r="M124" i="11" s="1"/>
  <c r="O158" i="11"/>
  <c r="M158" i="11" s="1"/>
  <c r="O188" i="11"/>
  <c r="M188" i="11" s="1"/>
  <c r="O221" i="11"/>
  <c r="M221" i="11" s="1"/>
  <c r="O249" i="11"/>
  <c r="M249" i="11" s="1"/>
  <c r="O333" i="11"/>
  <c r="M333" i="11" s="1"/>
  <c r="O361" i="11"/>
  <c r="M361" i="11" s="1"/>
  <c r="O388" i="11"/>
  <c r="M388" i="11" s="1"/>
  <c r="O416" i="11"/>
  <c r="M416" i="11" s="1"/>
  <c r="O444" i="11"/>
  <c r="M444" i="11" s="1"/>
  <c r="O516" i="11"/>
  <c r="M516" i="11" s="1"/>
  <c r="O542" i="11"/>
  <c r="M542" i="11" s="1"/>
  <c r="O567" i="11"/>
  <c r="M567" i="11" s="1"/>
  <c r="O614" i="11"/>
  <c r="M614" i="11" s="1"/>
  <c r="O665" i="11"/>
  <c r="M665" i="11" s="1"/>
  <c r="O708" i="11"/>
  <c r="M708" i="11" s="1"/>
  <c r="O752" i="11"/>
  <c r="M752" i="11" s="1"/>
  <c r="O693" i="11"/>
  <c r="M693" i="11" s="1"/>
  <c r="O201" i="11"/>
  <c r="M201" i="11" s="1"/>
  <c r="O694" i="11"/>
  <c r="M694" i="11" s="1"/>
  <c r="O202" i="11"/>
  <c r="M202" i="11" s="1"/>
  <c r="O373" i="11"/>
  <c r="M373" i="11" s="1"/>
  <c r="O626" i="11"/>
  <c r="M626" i="11" s="1"/>
  <c r="O173" i="11"/>
  <c r="M173" i="11" s="1"/>
  <c r="O529" i="11"/>
  <c r="M529" i="11" s="1"/>
  <c r="O740" i="11"/>
  <c r="M740" i="11" s="1"/>
  <c r="O236" i="11"/>
  <c r="M236" i="11" s="1"/>
  <c r="O376" i="11"/>
  <c r="M376" i="11" s="1"/>
  <c r="O483" i="11"/>
  <c r="M483" i="11" s="1"/>
  <c r="O677" i="11"/>
  <c r="M677" i="11" s="1"/>
  <c r="O27" i="11"/>
  <c r="M27" i="11" s="1"/>
  <c r="O61" i="11"/>
  <c r="M61" i="11" s="1"/>
  <c r="O93" i="11"/>
  <c r="M93" i="11" s="1"/>
  <c r="O125" i="11"/>
  <c r="M125" i="11" s="1"/>
  <c r="O159" i="11"/>
  <c r="M159" i="11" s="1"/>
  <c r="O191" i="11"/>
  <c r="M191" i="11" s="1"/>
  <c r="O222" i="11"/>
  <c r="M222" i="11" s="1"/>
  <c r="O250" i="11"/>
  <c r="M250" i="11" s="1"/>
  <c r="O278" i="11"/>
  <c r="M278" i="11" s="1"/>
  <c r="O306" i="11"/>
  <c r="M306" i="11" s="1"/>
  <c r="O334" i="11"/>
  <c r="M334" i="11" s="1"/>
  <c r="O362" i="11"/>
  <c r="M362" i="11" s="1"/>
  <c r="O389" i="11"/>
  <c r="M389" i="11" s="1"/>
  <c r="O417" i="11"/>
  <c r="M417" i="11" s="1"/>
  <c r="O445" i="11"/>
  <c r="M445" i="11" s="1"/>
  <c r="O470" i="11"/>
  <c r="M470" i="11" s="1"/>
  <c r="O495" i="11"/>
  <c r="M495" i="11" s="1"/>
  <c r="O521" i="11"/>
  <c r="M521" i="11" s="1"/>
  <c r="O543" i="11"/>
  <c r="M543" i="11" s="1"/>
  <c r="O568" i="11"/>
  <c r="M568" i="11" s="1"/>
  <c r="O593" i="11"/>
  <c r="M593" i="11" s="1"/>
  <c r="O619" i="11"/>
  <c r="M619" i="11" s="1"/>
  <c r="O641" i="11"/>
  <c r="M641" i="11" s="1"/>
  <c r="O666" i="11"/>
  <c r="M666" i="11" s="1"/>
  <c r="O689" i="11"/>
  <c r="M689" i="11" s="1"/>
  <c r="O710" i="11"/>
  <c r="M710" i="11" s="1"/>
  <c r="O732" i="11"/>
  <c r="M732" i="11" s="1"/>
  <c r="O753" i="11"/>
  <c r="M753" i="11" s="1"/>
  <c r="O472" i="11"/>
  <c r="M472" i="11" s="1"/>
  <c r="O570" i="11"/>
  <c r="M570" i="11" s="1"/>
  <c r="O620" i="11"/>
  <c r="M620" i="11" s="1"/>
  <c r="O668" i="11"/>
  <c r="M668" i="11" s="1"/>
  <c r="O754" i="11"/>
  <c r="M754" i="11" s="1"/>
  <c r="O598" i="11"/>
  <c r="M598" i="11" s="1"/>
  <c r="O736" i="11"/>
  <c r="M736" i="11" s="1"/>
  <c r="O314" i="11"/>
  <c r="M314" i="11" s="1"/>
  <c r="O526" i="11"/>
  <c r="M526" i="11" s="1"/>
  <c r="O717" i="11"/>
  <c r="M717" i="11" s="1"/>
  <c r="O104" i="11"/>
  <c r="M104" i="11" s="1"/>
  <c r="O528" i="11"/>
  <c r="M528" i="11" s="1"/>
  <c r="O235" i="11"/>
  <c r="M235" i="11" s="1"/>
  <c r="O481" i="11"/>
  <c r="M481" i="11" s="1"/>
  <c r="O719" i="11"/>
  <c r="M719" i="11" s="1"/>
  <c r="O208" i="11"/>
  <c r="M208" i="11" s="1"/>
  <c r="O431" i="11"/>
  <c r="M431" i="11" s="1"/>
  <c r="O628" i="11"/>
  <c r="M628" i="11" s="1"/>
  <c r="O32" i="11"/>
  <c r="M32" i="11" s="1"/>
  <c r="O62" i="11"/>
  <c r="M62" i="11" s="1"/>
  <c r="O96" i="11"/>
  <c r="M96" i="11" s="1"/>
  <c r="O130" i="11"/>
  <c r="M130" i="11" s="1"/>
  <c r="O160" i="11"/>
  <c r="M160" i="11" s="1"/>
  <c r="O194" i="11"/>
  <c r="M194" i="11" s="1"/>
  <c r="O223" i="11"/>
  <c r="M223" i="11" s="1"/>
  <c r="O251" i="11"/>
  <c r="M251" i="11" s="1"/>
  <c r="O279" i="11"/>
  <c r="M279" i="11" s="1"/>
  <c r="O307" i="11"/>
  <c r="M307" i="11" s="1"/>
  <c r="O335" i="11"/>
  <c r="M335" i="11" s="1"/>
  <c r="O363" i="11"/>
  <c r="M363" i="11" s="1"/>
  <c r="O390" i="11"/>
  <c r="M390" i="11" s="1"/>
  <c r="O418" i="11"/>
  <c r="M418" i="11" s="1"/>
  <c r="O446" i="11"/>
  <c r="M446" i="11" s="1"/>
  <c r="O497" i="11"/>
  <c r="M497" i="11" s="1"/>
  <c r="O522" i="11"/>
  <c r="M522" i="11" s="1"/>
  <c r="O544" i="11"/>
  <c r="M544" i="11" s="1"/>
  <c r="O595" i="11"/>
  <c r="M595" i="11" s="1"/>
  <c r="O642" i="11"/>
  <c r="M642" i="11" s="1"/>
  <c r="O690" i="11"/>
  <c r="M690" i="11" s="1"/>
  <c r="O711" i="11"/>
  <c r="M711" i="11" s="1"/>
  <c r="O733" i="11"/>
  <c r="M733" i="11" s="1"/>
  <c r="O712" i="11"/>
  <c r="M712" i="11" s="1"/>
  <c r="O648" i="11"/>
  <c r="M648" i="11" s="1"/>
  <c r="O258" i="11"/>
  <c r="M258" i="11" s="1"/>
  <c r="O624" i="11"/>
  <c r="M624" i="11" s="1"/>
  <c r="O172" i="11"/>
  <c r="M172" i="11" s="1"/>
  <c r="O428" i="11"/>
  <c r="M428" i="11" s="1"/>
  <c r="O739" i="11"/>
  <c r="M739" i="11" s="1"/>
  <c r="O263" i="11"/>
  <c r="M263" i="11" s="1"/>
  <c r="O375" i="11"/>
  <c r="M375" i="11" s="1"/>
  <c r="O456" i="11"/>
  <c r="M456" i="11" s="1"/>
  <c r="O605" i="11"/>
  <c r="M605" i="11" s="1"/>
  <c r="O110" i="11"/>
  <c r="M110" i="11" s="1"/>
  <c r="O530" i="11"/>
  <c r="M530" i="11" s="1"/>
  <c r="O744" i="11"/>
  <c r="M744" i="11" s="1"/>
  <c r="O33" i="11"/>
  <c r="M33" i="11" s="1"/>
  <c r="O65" i="11"/>
  <c r="M65" i="11" s="1"/>
  <c r="O97" i="11"/>
  <c r="M97" i="11" s="1"/>
  <c r="O131" i="11"/>
  <c r="M131" i="11" s="1"/>
  <c r="O163" i="11"/>
  <c r="M163" i="11" s="1"/>
  <c r="O195" i="11"/>
  <c r="M195" i="11" s="1"/>
  <c r="O228" i="11"/>
  <c r="M228" i="11" s="1"/>
  <c r="O256" i="11"/>
  <c r="M256" i="11" s="1"/>
  <c r="O284" i="11"/>
  <c r="M284" i="11" s="1"/>
  <c r="O312" i="11"/>
  <c r="M312" i="11" s="1"/>
  <c r="O340" i="11"/>
  <c r="M340" i="11" s="1"/>
  <c r="O368" i="11"/>
  <c r="M368" i="11" s="1"/>
  <c r="O395" i="11"/>
  <c r="M395" i="11" s="1"/>
  <c r="O423" i="11"/>
  <c r="M423" i="11" s="1"/>
  <c r="O451" i="11"/>
  <c r="M451" i="11" s="1"/>
  <c r="O473" i="11"/>
  <c r="M473" i="11" s="1"/>
  <c r="O498" i="11"/>
  <c r="M498" i="11" s="1"/>
  <c r="O523" i="11"/>
  <c r="M523" i="11" s="1"/>
  <c r="O549" i="11"/>
  <c r="M549" i="11" s="1"/>
  <c r="O571" i="11"/>
  <c r="M571" i="11" s="1"/>
  <c r="O596" i="11"/>
  <c r="M596" i="11" s="1"/>
  <c r="O621" i="11"/>
  <c r="M621" i="11" s="1"/>
  <c r="O647" i="11"/>
  <c r="M647" i="11" s="1"/>
  <c r="O669" i="11"/>
  <c r="M669" i="11" s="1"/>
  <c r="O691" i="11"/>
  <c r="M691" i="11" s="1"/>
  <c r="O735" i="11"/>
  <c r="M735" i="11" s="1"/>
  <c r="O670" i="11"/>
  <c r="M670" i="11" s="1"/>
  <c r="O230" i="11"/>
  <c r="M230" i="11" s="1"/>
  <c r="O599" i="11"/>
  <c r="M599" i="11" s="1"/>
  <c r="O138" i="11"/>
  <c r="M138" i="11" s="1"/>
  <c r="O345" i="11"/>
  <c r="M345" i="11" s="1"/>
  <c r="O455" i="11"/>
  <c r="M455" i="11" s="1"/>
  <c r="O600" i="11"/>
  <c r="M600" i="11" s="1"/>
  <c r="O696" i="11"/>
  <c r="M696" i="11" s="1"/>
  <c r="O107" i="11"/>
  <c r="M107" i="11" s="1"/>
  <c r="O347" i="11"/>
  <c r="M347" i="11" s="1"/>
  <c r="O627" i="11"/>
  <c r="M627" i="11" s="1"/>
  <c r="O144" i="11"/>
  <c r="M144" i="11" s="1"/>
  <c r="O348" i="11"/>
  <c r="M348" i="11" s="1"/>
  <c r="O581" i="11"/>
  <c r="M581" i="11" s="1"/>
  <c r="O34" i="11"/>
  <c r="M34" i="11" s="1"/>
  <c r="O68" i="11"/>
  <c r="M68" i="11" s="1"/>
  <c r="O102" i="11"/>
  <c r="M102" i="11" s="1"/>
  <c r="O132" i="11"/>
  <c r="M132" i="11" s="1"/>
  <c r="O166" i="11"/>
  <c r="M166" i="11" s="1"/>
  <c r="O200" i="11"/>
  <c r="M200" i="11" s="1"/>
  <c r="O229" i="11"/>
  <c r="M229" i="11" s="1"/>
  <c r="O257" i="11"/>
  <c r="M257" i="11" s="1"/>
  <c r="O285" i="11"/>
  <c r="M285" i="11" s="1"/>
  <c r="O313" i="11"/>
  <c r="M313" i="11" s="1"/>
  <c r="O341" i="11"/>
  <c r="M341" i="11" s="1"/>
  <c r="O369" i="11"/>
  <c r="M369" i="11" s="1"/>
  <c r="O396" i="11"/>
  <c r="M396" i="11" s="1"/>
  <c r="O424" i="11"/>
  <c r="M424" i="11" s="1"/>
  <c r="O452" i="11"/>
  <c r="M452" i="11" s="1"/>
  <c r="O474" i="11"/>
  <c r="M474" i="11" s="1"/>
  <c r="O500" i="11"/>
  <c r="M500" i="11" s="1"/>
  <c r="O525" i="11"/>
  <c r="M525" i="11" s="1"/>
  <c r="O550" i="11"/>
  <c r="M550" i="11" s="1"/>
  <c r="O572" i="11"/>
  <c r="M572" i="11" s="1"/>
  <c r="O623" i="11"/>
  <c r="M623" i="11" s="1"/>
  <c r="O716" i="11"/>
  <c r="M716" i="11" s="1"/>
  <c r="O342" i="11"/>
  <c r="M342" i="11" s="1"/>
  <c r="O479" i="11"/>
  <c r="M479" i="11" s="1"/>
  <c r="O577" i="11"/>
  <c r="M577" i="11" s="1"/>
  <c r="O674" i="11"/>
  <c r="M674" i="11" s="1"/>
  <c r="O40" i="11"/>
  <c r="M40" i="11" s="1"/>
  <c r="O317" i="11"/>
  <c r="M317" i="11" s="1"/>
  <c r="O400" i="11"/>
  <c r="M400" i="11" s="1"/>
  <c r="O578" i="11"/>
  <c r="M578" i="11" s="1"/>
  <c r="O651" i="11"/>
  <c r="M651" i="11" s="1"/>
  <c r="O718" i="11"/>
  <c r="M718" i="11" s="1"/>
  <c r="O75" i="11"/>
  <c r="M75" i="11" s="1"/>
  <c r="O291" i="11"/>
  <c r="M291" i="11" s="1"/>
  <c r="O507" i="11"/>
  <c r="M507" i="11" s="1"/>
  <c r="O676" i="11"/>
  <c r="M676" i="11" s="1"/>
  <c r="O76" i="11"/>
  <c r="M76" i="11" s="1"/>
  <c r="O292" i="11"/>
  <c r="M292" i="11" s="1"/>
  <c r="O508" i="11"/>
  <c r="M508" i="11" s="1"/>
  <c r="O698" i="11"/>
  <c r="M698" i="11" s="1"/>
  <c r="O37" i="11"/>
  <c r="M37" i="11" s="1"/>
  <c r="O69" i="11"/>
  <c r="M69" i="11" s="1"/>
  <c r="O103" i="11"/>
  <c r="M103" i="11" s="1"/>
  <c r="O286" i="11"/>
  <c r="M286" i="11" s="1"/>
  <c r="O370" i="11"/>
  <c r="M370" i="11" s="1"/>
  <c r="O397" i="11"/>
  <c r="M397" i="11" s="1"/>
  <c r="O425" i="11"/>
  <c r="M425" i="11" s="1"/>
  <c r="O453" i="11"/>
  <c r="M453" i="11" s="1"/>
  <c r="O501" i="11"/>
  <c r="M501" i="11" s="1"/>
  <c r="O551" i="11"/>
  <c r="M551" i="11" s="1"/>
  <c r="O649" i="11"/>
  <c r="M649" i="11" s="1"/>
  <c r="O74" i="11"/>
  <c r="M74" i="11" s="1"/>
  <c r="O289" i="11"/>
  <c r="M289" i="11" s="1"/>
  <c r="O480" i="11"/>
  <c r="M480" i="11" s="1"/>
  <c r="O675" i="11"/>
  <c r="M675" i="11" s="1"/>
  <c r="O41" i="11"/>
  <c r="M41" i="11" s="1"/>
  <c r="O319" i="11"/>
  <c r="M319" i="11" s="1"/>
  <c r="O430" i="11"/>
  <c r="M430" i="11" s="1"/>
  <c r="O579" i="11"/>
  <c r="M579" i="11" s="1"/>
  <c r="O697" i="11"/>
  <c r="M697" i="11" s="1"/>
  <c r="O46" i="11"/>
  <c r="M46" i="11" s="1"/>
  <c r="O320" i="11"/>
  <c r="M320" i="11" s="1"/>
  <c r="O556" i="11"/>
  <c r="M556" i="11" s="1"/>
  <c r="O721" i="11"/>
  <c r="M721" i="11" s="1"/>
  <c r="N111" i="10"/>
  <c r="L111" i="10" s="1"/>
  <c r="N31" i="10"/>
  <c r="L31" i="10" s="1"/>
  <c r="N110" i="10"/>
  <c r="L110" i="10" s="1"/>
  <c r="N112" i="10"/>
  <c r="L112" i="10" s="1"/>
  <c r="H4017" i="15"/>
  <c r="H4025" i="15"/>
  <c r="H4033" i="15"/>
  <c r="H4041" i="15"/>
  <c r="H4049" i="15"/>
  <c r="H4064" i="15"/>
  <c r="H4072" i="15"/>
  <c r="H4080" i="15"/>
  <c r="H4018" i="15"/>
  <c r="H4026" i="15"/>
  <c r="H4034" i="15"/>
  <c r="H4042" i="15"/>
  <c r="H4050" i="15"/>
  <c r="H4057" i="15"/>
  <c r="H4065" i="15"/>
  <c r="H4073" i="15"/>
  <c r="H4081" i="15"/>
  <c r="H4019" i="15"/>
  <c r="H4027" i="15"/>
  <c r="H4035" i="15"/>
  <c r="H4043" i="15"/>
  <c r="H4051" i="15"/>
  <c r="H4058" i="15"/>
  <c r="H4066" i="15"/>
  <c r="H4074" i="15"/>
  <c r="H4082" i="15"/>
  <c r="H4020" i="15"/>
  <c r="H4028" i="15"/>
  <c r="H4036" i="15"/>
  <c r="H4044" i="15"/>
  <c r="H4052" i="15"/>
  <c r="H4059" i="15"/>
  <c r="H4067" i="15"/>
  <c r="H4075" i="15"/>
  <c r="H4083" i="15"/>
  <c r="H4021" i="15"/>
  <c r="H4029" i="15"/>
  <c r="H4037" i="15"/>
  <c r="H4045" i="15"/>
  <c r="H4053" i="15"/>
  <c r="H4060" i="15"/>
  <c r="H4068" i="15"/>
  <c r="H4076" i="15"/>
  <c r="H4014" i="15"/>
  <c r="H4022" i="15"/>
  <c r="H4030" i="15"/>
  <c r="H4038" i="15"/>
  <c r="H4046" i="15"/>
  <c r="H4054" i="15"/>
  <c r="H4061" i="15"/>
  <c r="H4069" i="15"/>
  <c r="H4077" i="15"/>
  <c r="H4015" i="15"/>
  <c r="H4023" i="15"/>
  <c r="H4031" i="15"/>
  <c r="H4039" i="15"/>
  <c r="H4047" i="15"/>
  <c r="H4055" i="15"/>
  <c r="H4062" i="15"/>
  <c r="H4070" i="15"/>
  <c r="H4078" i="15"/>
  <c r="B4016" i="15"/>
  <c r="H4016" i="15" s="1"/>
  <c r="H4024" i="15"/>
  <c r="H4032" i="15"/>
  <c r="H4040" i="15"/>
  <c r="H4048" i="15"/>
  <c r="H4056" i="15"/>
  <c r="H4063" i="15"/>
  <c r="H4071" i="15"/>
  <c r="H4079" i="15"/>
  <c r="N109" i="10"/>
  <c r="L109" i="10" s="1"/>
  <c r="Q40" i="16"/>
  <c r="Q12" i="16"/>
  <c r="Q13" i="16"/>
  <c r="N106" i="10"/>
  <c r="L106" i="10" s="1"/>
  <c r="N107" i="10"/>
  <c r="L107" i="10" s="1"/>
  <c r="Q28" i="16"/>
  <c r="Q27" i="16"/>
  <c r="Q36" i="16"/>
  <c r="Q23" i="16"/>
  <c r="Q22" i="16"/>
  <c r="N108" i="10"/>
  <c r="L108" i="10" s="1"/>
  <c r="N35" i="10"/>
  <c r="L35" i="10" s="1"/>
  <c r="N41" i="10"/>
  <c r="N42" i="10"/>
  <c r="N71" i="10"/>
  <c r="L71" i="10" s="1"/>
  <c r="N29" i="10"/>
  <c r="Q18" i="16"/>
  <c r="Q17" i="16"/>
  <c r="Q7" i="16"/>
  <c r="Q8" i="16"/>
  <c r="K21" i="14"/>
  <c r="J21" i="14" s="1"/>
  <c r="K17" i="14"/>
  <c r="J17" i="14" s="1"/>
  <c r="K11" i="14"/>
  <c r="J11" i="14" s="1"/>
  <c r="K5" i="14"/>
  <c r="J5" i="14" s="1"/>
  <c r="K20" i="14"/>
  <c r="J20" i="14" s="1"/>
  <c r="Q32" i="16"/>
  <c r="K7" i="14"/>
  <c r="J7" i="14" s="1"/>
  <c r="K13" i="14"/>
  <c r="J13" i="14" s="1"/>
  <c r="K9" i="14"/>
  <c r="J9" i="14" s="1"/>
  <c r="K15" i="14"/>
  <c r="J15" i="14" s="1"/>
  <c r="N49" i="10"/>
  <c r="N68" i="10"/>
  <c r="L68" i="10" s="1"/>
  <c r="N96" i="10"/>
  <c r="N12" i="10"/>
  <c r="L12" i="10" s="1"/>
  <c r="N26" i="10"/>
  <c r="L26" i="10" s="1"/>
  <c r="N75" i="10"/>
  <c r="L75" i="10" s="1"/>
  <c r="O5" i="11"/>
  <c r="M5" i="11" s="1"/>
  <c r="N27" i="10"/>
  <c r="L27" i="10" s="1"/>
  <c r="N33" i="10"/>
  <c r="L33" i="10" s="1"/>
  <c r="N60" i="10"/>
  <c r="L60" i="10" s="1"/>
  <c r="N86" i="10"/>
  <c r="L86" i="10" s="1"/>
  <c r="N101" i="10"/>
  <c r="L101" i="10" s="1"/>
  <c r="N8" i="10"/>
  <c r="L8" i="10" s="1"/>
  <c r="N16" i="10"/>
  <c r="L16" i="10" s="1"/>
  <c r="N22" i="10"/>
  <c r="L22" i="10" s="1"/>
  <c r="N45" i="10"/>
  <c r="L45" i="10" s="1"/>
  <c r="N53" i="10"/>
  <c r="N79" i="10"/>
  <c r="L79" i="10" s="1"/>
  <c r="N102" i="10"/>
  <c r="L102" i="10" s="1"/>
  <c r="N38" i="10"/>
  <c r="L38" i="10" s="1"/>
  <c r="N7" i="10"/>
  <c r="L7" i="10" s="1"/>
  <c r="N20" i="10"/>
  <c r="L20" i="10" s="1"/>
  <c r="N85" i="10"/>
  <c r="L85" i="10" s="1"/>
  <c r="N105" i="10"/>
  <c r="L105" i="10" s="1"/>
  <c r="N104" i="10"/>
  <c r="L104" i="10" s="1"/>
  <c r="N100" i="10"/>
  <c r="L100" i="10" s="1"/>
  <c r="N95" i="10"/>
  <c r="L95" i="10" s="1"/>
  <c r="N90" i="10"/>
  <c r="N74" i="10"/>
  <c r="L74" i="10" s="1"/>
  <c r="N70" i="10"/>
  <c r="L70" i="10" s="1"/>
  <c r="N67" i="10"/>
  <c r="L67" i="10" s="1"/>
  <c r="N63" i="10"/>
  <c r="L63" i="10" s="1"/>
  <c r="N59" i="10"/>
  <c r="L59" i="10" s="1"/>
  <c r="N52" i="10"/>
  <c r="N32" i="10"/>
  <c r="L32" i="10" s="1"/>
  <c r="N18" i="10"/>
  <c r="L18" i="10" s="1"/>
  <c r="N89" i="10"/>
  <c r="N84" i="10"/>
  <c r="L84" i="10" s="1"/>
  <c r="N81" i="10"/>
  <c r="L81" i="10" s="1"/>
  <c r="N77" i="10"/>
  <c r="L77" i="10" s="1"/>
  <c r="N48" i="10"/>
  <c r="L48" i="10" s="1"/>
  <c r="N44" i="10"/>
  <c r="L44" i="10" s="1"/>
  <c r="N40" i="10"/>
  <c r="L40" i="10" s="1"/>
  <c r="N36" i="10"/>
  <c r="L36" i="10" s="1"/>
  <c r="N25" i="10"/>
  <c r="L25" i="10" s="1"/>
  <c r="N14" i="10"/>
  <c r="N10" i="10"/>
  <c r="L10" i="10" s="1"/>
  <c r="N6" i="10"/>
  <c r="L6" i="10" s="1"/>
  <c r="N99" i="10"/>
  <c r="L99" i="10" s="1"/>
  <c r="N94" i="10"/>
  <c r="L94" i="10" s="1"/>
  <c r="N88" i="10"/>
  <c r="N73" i="10"/>
  <c r="N66" i="10"/>
  <c r="L66" i="10" s="1"/>
  <c r="N62" i="10"/>
  <c r="L62" i="10" s="1"/>
  <c r="N58" i="10"/>
  <c r="L58" i="10" s="1"/>
  <c r="N55" i="10"/>
  <c r="L55" i="10" s="1"/>
  <c r="N51" i="10"/>
  <c r="L51" i="10" s="1"/>
  <c r="N28" i="10"/>
  <c r="L28" i="10" s="1"/>
  <c r="N21" i="10"/>
  <c r="L21" i="10" s="1"/>
  <c r="N93" i="10"/>
  <c r="N83" i="10"/>
  <c r="L83" i="10" s="1"/>
  <c r="N80" i="10"/>
  <c r="L80" i="10" s="1"/>
  <c r="N76" i="10"/>
  <c r="L76" i="10" s="1"/>
  <c r="N69" i="10"/>
  <c r="L69" i="10" s="1"/>
  <c r="N47" i="10"/>
  <c r="L47" i="10" s="1"/>
  <c r="N43" i="10"/>
  <c r="L43" i="10" s="1"/>
  <c r="N39" i="10"/>
  <c r="L39" i="10" s="1"/>
  <c r="N24" i="10"/>
  <c r="L24" i="10" s="1"/>
  <c r="N17" i="10"/>
  <c r="L17" i="10" s="1"/>
  <c r="N13" i="10"/>
  <c r="N9" i="10"/>
  <c r="L9" i="10" s="1"/>
  <c r="N5" i="10"/>
  <c r="L5" i="10" s="1"/>
  <c r="N103" i="10"/>
  <c r="L103" i="10" s="1"/>
  <c r="N98" i="10"/>
  <c r="L98" i="10" s="1"/>
  <c r="N92" i="10"/>
  <c r="N87" i="10"/>
  <c r="L87" i="10" s="1"/>
  <c r="N72" i="10"/>
  <c r="N65" i="10"/>
  <c r="N61" i="10"/>
  <c r="L61" i="10" s="1"/>
  <c r="N57" i="10"/>
  <c r="L57" i="10" s="1"/>
  <c r="N54" i="10"/>
  <c r="L54" i="10" s="1"/>
  <c r="N50" i="10"/>
  <c r="L50" i="10" s="1"/>
  <c r="N34" i="10"/>
  <c r="L34" i="10" s="1"/>
  <c r="N19" i="10"/>
  <c r="L19" i="10" s="1"/>
  <c r="N15" i="10"/>
  <c r="L15" i="10" s="1"/>
  <c r="N78" i="10"/>
  <c r="N97" i="10"/>
  <c r="L97" i="10" s="1"/>
  <c r="N11" i="10"/>
  <c r="L11" i="10" s="1"/>
  <c r="N23" i="10"/>
  <c r="L23" i="10" s="1"/>
  <c r="N37" i="10"/>
  <c r="L37" i="10" s="1"/>
  <c r="N46" i="10"/>
  <c r="L46" i="10" s="1"/>
  <c r="N64" i="10"/>
  <c r="L64" i="10" s="1"/>
  <c r="N91" i="10"/>
  <c r="N30" i="10"/>
  <c r="L30" i="10" s="1"/>
  <c r="N56" i="10"/>
  <c r="L56" i="10" s="1"/>
  <c r="N82" i="10"/>
  <c r="L82" i="10" s="1"/>
  <c r="K6" i="14"/>
  <c r="J6" i="14" s="1"/>
  <c r="K8" i="14"/>
  <c r="J8" i="14" s="1"/>
  <c r="K10" i="14"/>
  <c r="J10" i="14" s="1"/>
  <c r="K12" i="14"/>
  <c r="J12" i="14" s="1"/>
  <c r="K14" i="14"/>
  <c r="J14" i="14" s="1"/>
  <c r="K22" i="14"/>
  <c r="J22" i="14" s="1"/>
  <c r="K19" i="14"/>
  <c r="J19" i="14" s="1"/>
  <c r="K16" i="14"/>
  <c r="J16" i="14" s="1"/>
  <c r="P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tc={9E56265E-66D4-4BF0-BC50-BB1A0AAB6587}</author>
    <author>tc={F352EFDD-9D54-4E27-AFCD-2D147BBDBF34}</author>
    <author>tc={07CB81F0-B3FA-429F-9522-F55DCEB77600}</author>
    <author>tc={9657264A-5AC2-4E8F-814A-9F95939ED84D}</author>
  </authors>
  <commentList>
    <comment ref="G7" authorId="0" shapeId="0" xr:uid="{9E56265E-66D4-4BF0-BC50-BB1A0AAB65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03/10/2023</t>
      </text>
    </comment>
    <comment ref="G13" authorId="1" shapeId="0" xr:uid="{F352EFDD-9D54-4E27-AFCD-2D147BBDBF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03/10/2023</t>
      </text>
    </comment>
    <comment ref="G14" authorId="2" shapeId="0" xr:uid="{07CB81F0-B3FA-429F-9522-F55DCEB776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03/10/2023</t>
      </text>
    </comment>
    <comment ref="G22" authorId="3" shapeId="0" xr:uid="{9657264A-5AC2-4E8F-814A-9F95939ED8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ver. Enviado para o SGI 29-01-2025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tc={2040E087-4FCC-4387-B658-9BE198331C41}</author>
  </authors>
  <commentList>
    <comment ref="D10" authorId="0" shapeId="0" xr:uid="{2040E087-4FCC-4387-B658-9BE198331C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Substituir o nome de acordo com a nova IM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Baccili Castilho</author>
  </authors>
  <commentList>
    <comment ref="F745" authorId="0" shapeId="0" xr:uid="{14FE1C4A-2958-4891-9A20-8836A283B4F0}">
      <text>
        <r>
          <rPr>
            <sz val="9"/>
            <color indexed="81"/>
            <rFont val="Segoe UI"/>
            <family val="2"/>
          </rPr>
          <t xml:space="preserve">Secção da Torre
AnchorBolts (parafusos ancoragem)
Poço
Elevador 
</t>
        </r>
      </text>
    </comment>
    <comment ref="F746" authorId="0" shapeId="0" xr:uid="{88FDCB5B-F33C-4F06-AD53-7786F5935EF5}">
      <text>
        <r>
          <rPr>
            <sz val="9"/>
            <color indexed="81"/>
            <rFont val="Segoe UI"/>
            <family val="2"/>
          </rPr>
          <t>Estrutural</t>
        </r>
      </text>
    </comment>
    <comment ref="F748" authorId="0" shapeId="0" xr:uid="{4B225A5A-0C0A-42DB-8B36-A918DC463F3E}">
      <text>
        <r>
          <rPr>
            <sz val="9"/>
            <color indexed="81"/>
            <rFont val="Segoe UI"/>
            <family val="2"/>
          </rPr>
          <t>Inspeção estutrural do HUB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tc={1E5D22D8-3249-45D8-83B3-6B2C0C4E90AD}</author>
    <author>tc={099552C5-558A-4C74-AE02-727786166AD2}</author>
    <author>tc={D9A156F1-C3D0-492C-9011-BA70A386FE6B}</author>
    <author>tc={E9A1BBF2-8E40-4DB6-A318-B534FE7EFC60}</author>
    <author>tc={1B7C26F0-CAC7-41CA-B615-3CB05A21A151}</author>
    <author>tc={BAD2F90B-2842-4077-A663-BD22DD887276}</author>
    <author>tc={DE9A557A-2730-4455-9331-0939951F6215}</author>
    <author>tc={0C4FD4CA-00CC-44E8-9ABC-D4CC52F5D93E}</author>
    <author>tc={B18CB5AB-866D-4C3C-9FC9-099D2B3D3468}</author>
    <author>tc={5845D603-157C-4AB7-8BCB-181D9FF9FECD}</author>
    <author>tc={2E18937B-3D45-417C-BB55-7C425035E40D}</author>
    <author>tc={96428BD8-640C-49FA-83DC-8237B8144CA2}</author>
    <author>tc={C0958EA6-8B2A-4AD6-B8B7-A6F39C616B77}</author>
  </authors>
  <commentList>
    <comment ref="K225" authorId="0" shapeId="0" xr:uid="{1E5D22D8-3249-45D8-83B3-6B2C0C4E90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Publicado no Sharepoint pasta da elétrica</t>
      </text>
    </comment>
    <comment ref="K226" authorId="1" shapeId="0" xr:uid="{099552C5-558A-4C74-AE02-727786166A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Publicado no Sharepoint pasta da elétrica</t>
      </text>
    </comment>
    <comment ref="F348" authorId="2" shapeId="0" xr:uid="{D9A156F1-C3D0-492C-9011-BA70A386FE6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Antigo 10.00 e tbm estamos separando em 3 mpp0 1 e 2 
</t>
      </text>
    </comment>
    <comment ref="F349" authorId="3" shapeId="0" xr:uid="{E9A1BBF2-8E40-4DB6-A318-B534FE7EFC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Antigo 10.00 e tbm estamos separando em 3 mpp0 1 e 2 
</t>
      </text>
    </comment>
    <comment ref="F350" authorId="4" shapeId="0" xr:uid="{1B7C26F0-CAC7-41CA-B615-3CB05A21A15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Antigo 10.00 e tbm estamos separando em 3 mpp0 1 e 2 
</t>
      </text>
    </comment>
    <comment ref="F351" authorId="5" shapeId="0" xr:uid="{BAD2F90B-2842-4077-A663-BD22DD8872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Antigo 10.06</t>
      </text>
    </comment>
    <comment ref="F352" authorId="6" shapeId="0" xr:uid="{DE9A557A-2730-4455-9331-0939951F62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Antigo 10.5</t>
      </text>
    </comment>
    <comment ref="G411" authorId="7" shapeId="0" xr:uid="{0C4FD4CA-00CC-44E8-9ABC-D4CC52F5D9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alterado para bimestral</t>
      </text>
    </comment>
    <comment ref="G423" authorId="8" shapeId="0" xr:uid="{B18CB5AB-866D-4C3C-9FC9-099D2B3D34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alterado para trimestral </t>
      </text>
    </comment>
    <comment ref="F474" authorId="9" shapeId="0" xr:uid="{5845D603-157C-4AB7-8BCB-181D9FF9FE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de 01.11 </t>
      </text>
    </comment>
    <comment ref="F504" authorId="10" shapeId="0" xr:uid="{2E18937B-3D45-417C-BB55-7C425035E4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de 003.05 para 021</t>
      </text>
    </comment>
    <comment ref="M666" authorId="11" shapeId="0" xr:uid="{96428BD8-640C-49FA-83DC-8237B8144C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Fidel, solicitou numeração, MM esta sendo revisado 16-03-2026.</t>
      </text>
    </comment>
    <comment ref="M740" authorId="12" shapeId="0" xr:uid="{C0958EA6-8B2A-4AD6-B8B7-A6F39C616B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Fidel 16/03/2026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Baccili Castilho</author>
  </authors>
  <commentList>
    <comment ref="C34" authorId="0" shapeId="0" xr:uid="{86D22772-AA4D-4ABB-B804-1622D733683A}">
      <text>
        <r>
          <rPr>
            <sz val="9"/>
            <color indexed="81"/>
            <rFont val="Segoe UI"/>
            <family val="2"/>
          </rPr>
          <t xml:space="preserve">Secção da Torre
AnchorBolts (parafusos ancoragem)
Poço
Elevador 
</t>
        </r>
      </text>
    </comment>
    <comment ref="C35" authorId="0" shapeId="0" xr:uid="{F76AFE98-A936-4FB3-8560-58F10B7A2802}">
      <text>
        <r>
          <rPr>
            <sz val="9"/>
            <color indexed="81"/>
            <rFont val="Segoe UI"/>
            <family val="2"/>
          </rPr>
          <t>Estrutural</t>
        </r>
      </text>
    </comment>
    <comment ref="C37" authorId="0" shapeId="0" xr:uid="{FA373354-52A9-4406-A613-804891AE25AA}">
      <text>
        <r>
          <rPr>
            <sz val="9"/>
            <color indexed="81"/>
            <rFont val="Segoe UI"/>
            <family val="2"/>
          </rPr>
          <t>Inspeção estutrural do HUB</t>
        </r>
      </text>
    </comment>
  </commentList>
</comments>
</file>

<file path=xl/sharedStrings.xml><?xml version="1.0" encoding="utf-8"?>
<sst xmlns="http://schemas.openxmlformats.org/spreadsheetml/2006/main" count="36031" uniqueCount="13326">
  <si>
    <t>PMS LIST - ELECTROMECHANICAL ENGINEERING</t>
  </si>
  <si>
    <t>TOTAL DOCUMENTS</t>
  </si>
  <si>
    <t>Instrução de manutenção /Maintenance instruction</t>
  </si>
  <si>
    <t>Electrical Maintenance Instructions</t>
  </si>
  <si>
    <t>Mechanical Maintenance Instructions</t>
  </si>
  <si>
    <t>Normative and Managerial Maintenance Instructions</t>
  </si>
  <si>
    <t>TOTAL</t>
  </si>
  <si>
    <t>Total Instruções CTGBr "Por"</t>
  </si>
  <si>
    <t>Total Instructions CTGBr "Eng"</t>
  </si>
  <si>
    <t>Instrução de operaçaõ/Operating instruction</t>
  </si>
  <si>
    <t>Instruções de operação local</t>
  </si>
  <si>
    <t>Instruções de operação sistêmica</t>
  </si>
  <si>
    <t>Guia de manutenção/Maintenance guide</t>
  </si>
  <si>
    <t>JUR</t>
  </si>
  <si>
    <t>CHV</t>
  </si>
  <si>
    <t>SAG</t>
  </si>
  <si>
    <t>CN1</t>
  </si>
  <si>
    <t>CN2</t>
  </si>
  <si>
    <t>CPV</t>
  </si>
  <si>
    <t>TAQ</t>
  </si>
  <si>
    <t>ROS</t>
  </si>
  <si>
    <t>PLM</t>
  </si>
  <si>
    <t>RET</t>
  </si>
  <si>
    <t>ILS</t>
  </si>
  <si>
    <t>JUP</t>
  </si>
  <si>
    <t>STO</t>
  </si>
  <si>
    <t>GAR</t>
  </si>
  <si>
    <t>Total Guias CTGBr "Por"</t>
  </si>
  <si>
    <t>Total Guides CTGBr "Eng"</t>
  </si>
  <si>
    <t>Guia de operação/Operation guide</t>
  </si>
  <si>
    <t>Protocolo/Protocol</t>
  </si>
  <si>
    <t xml:space="preserve">Total Protocolos CTGBr </t>
  </si>
  <si>
    <t>Total Protocols CTGBr "Eng"</t>
  </si>
  <si>
    <t>Manual de manutenção/Maintenance manual</t>
  </si>
  <si>
    <t xml:space="preserve">Total Manuals CTGBr </t>
  </si>
  <si>
    <t>Manual de operação/Operation Manual</t>
  </si>
  <si>
    <t>Política/Politic</t>
  </si>
  <si>
    <t>Políticas "Por"</t>
  </si>
  <si>
    <t>Politics "Eng"</t>
  </si>
  <si>
    <t xml:space="preserve">Total Politics CTGBr </t>
  </si>
  <si>
    <t>ARN</t>
  </si>
  <si>
    <t>SDP</t>
  </si>
  <si>
    <t>COG</t>
  </si>
  <si>
    <t>UHE</t>
  </si>
  <si>
    <t>Total Manuais CTGBr "Por"</t>
  </si>
  <si>
    <t>Total Manuals CTGBr "Eng"</t>
  </si>
  <si>
    <t>IM - INSTRUÇÕES DE MANUTENÇÃO (MAINTENANCE INSTRUCTIONS)</t>
  </si>
  <si>
    <t>TIPO/TYPE</t>
  </si>
  <si>
    <t>NUMERO / NUMBER</t>
  </si>
  <si>
    <t>DESCRIÇÃO</t>
  </si>
  <si>
    <t>DESCRIPTION</t>
  </si>
  <si>
    <t>Por.</t>
  </si>
  <si>
    <t xml:space="preserve">Ing. </t>
  </si>
  <si>
    <t>Data aprovação</t>
  </si>
  <si>
    <t>Status</t>
  </si>
  <si>
    <t>Status data</t>
  </si>
  <si>
    <t>Revisão/Novo</t>
  </si>
  <si>
    <t>Instruções Manutenção Normativas e Gerenciais</t>
  </si>
  <si>
    <t>IM-ENG-001</t>
  </si>
  <si>
    <t>Diretrizes da Manutenção</t>
  </si>
  <si>
    <t>Maintenance Guidelines</t>
  </si>
  <si>
    <t>X</t>
  </si>
  <si>
    <t>Publicado</t>
  </si>
  <si>
    <t>IM-ENG-002</t>
  </si>
  <si>
    <t>Instrução Treinam Tec Prod Eletric e Mec</t>
  </si>
  <si>
    <t>Training policy for electrical and mechanical technicians</t>
  </si>
  <si>
    <t>IM-ENG-003</t>
  </si>
  <si>
    <t>Procedimento analise e comunic deslig. forçado UG</t>
  </si>
  <si>
    <t>Procedure for analyzing and reporting forced outages</t>
  </si>
  <si>
    <t>Instruções Manutenção Elétrica</t>
  </si>
  <si>
    <t>IM-ENG-004</t>
  </si>
  <si>
    <t>Medição de Aterramento</t>
  </si>
  <si>
    <t>Procedure for inspection of ligthning arrester and grounding systems</t>
  </si>
  <si>
    <t>Instruções Manutenção Mecânica</t>
  </si>
  <si>
    <t>IM-ENG-005</t>
  </si>
  <si>
    <t>Vasos de Pressão</t>
  </si>
  <si>
    <t>Procedure for testing pressure vessels</t>
  </si>
  <si>
    <t>IM-ENG-006</t>
  </si>
  <si>
    <t>Utilização do Maximo 7.6</t>
  </si>
  <si>
    <t>Work Order - Quick Reference Manual (MAXIMO®)</t>
  </si>
  <si>
    <t>IM-ENG-007</t>
  </si>
  <si>
    <t>Procedimento para recuperar Cavitação</t>
  </si>
  <si>
    <t>Procedures for recovering Cavitation</t>
  </si>
  <si>
    <t>IM-ENG-008</t>
  </si>
  <si>
    <t>Teste de Chama em Reles Buchholz</t>
  </si>
  <si>
    <t>Procedure to perform Flame Test (relay Buchhoz)</t>
  </si>
  <si>
    <t>IM-ENG-009</t>
  </si>
  <si>
    <t>Ensaio de Isolação em Geradores e Motores</t>
  </si>
  <si>
    <t>Insulation Testing in Generators and Engines</t>
  </si>
  <si>
    <t>-</t>
  </si>
  <si>
    <t>Cancelada</t>
  </si>
  <si>
    <t>IM-ENG-010</t>
  </si>
  <si>
    <t>Procedimento de Impedimento Para Intervenções no Gerador</t>
  </si>
  <si>
    <t>Procedure to isolate generator during maintenance</t>
  </si>
  <si>
    <t>IM-ENG-013</t>
  </si>
  <si>
    <t>Ensaios de Termovisão</t>
  </si>
  <si>
    <t>Procedure for Thermovison testings</t>
  </si>
  <si>
    <t>IM-ENG-014</t>
  </si>
  <si>
    <t>Gerenciamento Grandes Manutenções</t>
  </si>
  <si>
    <t>Procedure for manage major maintenances</t>
  </si>
  <si>
    <t>IM-ENG-015</t>
  </si>
  <si>
    <t>Auditoria Processos OeM</t>
  </si>
  <si>
    <t>Audit Processes O&amp;M</t>
  </si>
  <si>
    <t>IM-ENG-016</t>
  </si>
  <si>
    <t>Utilização do Nível Ótico N3</t>
  </si>
  <si>
    <t>Use of Optical Level N3</t>
  </si>
  <si>
    <t>IM-ENG-017</t>
  </si>
  <si>
    <t>Coleta e Análise de Óleo Isolante</t>
  </si>
  <si>
    <t xml:space="preserve">Procedures to take sample of isolating oil </t>
  </si>
  <si>
    <t>IM-ENG-018</t>
  </si>
  <si>
    <t>Monitoramento e tratam oleo lubrific</t>
  </si>
  <si>
    <t>Lubrication Oil Condition Monitoring</t>
  </si>
  <si>
    <t>IM-ENG-019</t>
  </si>
  <si>
    <t>Conjunto de Aterramento Temporário para Manutenção</t>
  </si>
  <si>
    <t>Temporary grounding set for maintenance</t>
  </si>
  <si>
    <t>IM-ENG-020</t>
  </si>
  <si>
    <t>Manutenções Preventivas Periódicas 0</t>
  </si>
  <si>
    <t>Periodic Preventive Maintenance type 0</t>
  </si>
  <si>
    <t>IM-ENG-021</t>
  </si>
  <si>
    <t>Manutenções Preventivas Periódicas 1</t>
  </si>
  <si>
    <t>Periodic Preventive Maintenance type 1</t>
  </si>
  <si>
    <t>IM-ENG-022</t>
  </si>
  <si>
    <t>Manutenções Preventivas Periódicas 2</t>
  </si>
  <si>
    <t>Periodic Preventive Maintenance type 2</t>
  </si>
  <si>
    <t>IM-ENG-023</t>
  </si>
  <si>
    <t>Sistema de Ar Comprimido</t>
  </si>
  <si>
    <t>Procedures for maintenance air compressed equipments</t>
  </si>
  <si>
    <t>IM-ENG-026</t>
  </si>
  <si>
    <t>Formulário com Medidas de Segurança</t>
  </si>
  <si>
    <t>Safety risk control measures</t>
  </si>
  <si>
    <t>IM-ENG-028</t>
  </si>
  <si>
    <t>Procedimento para alteração de set points parâmetros e ordem de ajustes</t>
  </si>
  <si>
    <t>Procedure for changing set points, parameters and order of adjustments</t>
  </si>
  <si>
    <t>IM-ENG-030</t>
  </si>
  <si>
    <t>Dispositivos de Içamento</t>
  </si>
  <si>
    <t>Procedures for the use of lifting accessories</t>
  </si>
  <si>
    <t>IM-ENG-031</t>
  </si>
  <si>
    <t>Ensaios em Alto Potencial</t>
  </si>
  <si>
    <t>Procedures to perform high potencial tests</t>
  </si>
  <si>
    <t>IM-ENG-032</t>
  </si>
  <si>
    <t>Ensaios com Ultra-Som</t>
  </si>
  <si>
    <t>Procedures for Ultrasoud tests</t>
  </si>
  <si>
    <t>IM-ENG-033</t>
  </si>
  <si>
    <t>Ensaio de Corona Visual em Enrolamentos Estatóricos</t>
  </si>
  <si>
    <t>IM-ENG-034</t>
  </si>
  <si>
    <t>Ensaios de Rendimento em Geradores Síncronos</t>
  </si>
  <si>
    <t>Performance tests on synchronous generators</t>
  </si>
  <si>
    <t>IM-ENG-035</t>
  </si>
  <si>
    <t xml:space="preserve">Ensaios de fator de potência em hidrogerador </t>
  </si>
  <si>
    <t>IM-ENG-036</t>
  </si>
  <si>
    <t>Ensaios e Verificações em Disjuntores</t>
  </si>
  <si>
    <t>Maintenance tests on H. V. circuit breaker</t>
  </si>
  <si>
    <t>IM-ENG-037</t>
  </si>
  <si>
    <t>Pequenos reparos em geradores hidráulicos</t>
  </si>
  <si>
    <t>Minor repairs on hydraulic generators</t>
  </si>
  <si>
    <t xml:space="preserve">Publicado </t>
  </si>
  <si>
    <t>IM-ENG-038.1</t>
  </si>
  <si>
    <t>Diagramas de padrões técnicos</t>
  </si>
  <si>
    <t>Diagrams of technical standard system</t>
  </si>
  <si>
    <t>IM-ENG-038.2</t>
  </si>
  <si>
    <t>Princípios e regras para elaboração de padrões técnicos</t>
  </si>
  <si>
    <t>Principles and rules for developing technical standards</t>
  </si>
  <si>
    <t>IM-ENG-038.3</t>
  </si>
  <si>
    <t>Padrões técnicos no nivel das UHEs</t>
  </si>
  <si>
    <t>Site level technical standards</t>
  </si>
  <si>
    <t>IM-ENG-038.4</t>
  </si>
  <si>
    <t>Procedimento Geração doc adm, relatórios e desenhos téc</t>
  </si>
  <si>
    <t xml:space="preserve">Generating technical reports and administrative documents </t>
  </si>
  <si>
    <t>IM-ENG-038.5</t>
  </si>
  <si>
    <t>Procedimento para arquivamento de documentos digitais</t>
  </si>
  <si>
    <t xml:space="preserve">Archiving Technical documents </t>
  </si>
  <si>
    <t>IM-ENG-042</t>
  </si>
  <si>
    <t>Manut Conexões Flex aparafusadas barram media tensão</t>
  </si>
  <si>
    <t>Maintenance of flexible power shunts installed in Medium Voltage</t>
  </si>
  <si>
    <t>IM-ENG-043</t>
  </si>
  <si>
    <t>Manutenção de Cabos de Alta Tensão Isolados a Óleo</t>
  </si>
  <si>
    <t>Maintenance of Oil Insulated High Voltage Cables</t>
  </si>
  <si>
    <t>IM-ENG-046</t>
  </si>
  <si>
    <t>Inspeção e Reparos em Trincas de Pás dos Hidrogeradores</t>
  </si>
  <si>
    <t>Procedures for inspect and repair cracks in wicket gates and turbine blades</t>
  </si>
  <si>
    <t>IM-ENG-047</t>
  </si>
  <si>
    <t>Manutenção, Ensaios, Transporte e Armazenagem de Buchas</t>
  </si>
  <si>
    <t xml:space="preserve">Medium and High Voltage Bushings - Maintenance, tests, transport and storage </t>
  </si>
  <si>
    <t>IM-ENG-048</t>
  </si>
  <si>
    <t>Recepção, Inspeção e Armazenamento de Equipamentos de Alta Tensão</t>
  </si>
  <si>
    <t>Reception, Inspection and Storage of High Voltage Equipments</t>
  </si>
  <si>
    <t>IM-ENG-050</t>
  </si>
  <si>
    <t>Grupo Diesel de Emergência</t>
  </si>
  <si>
    <t>Procedures for Maintenance of  Emergency Diesel Generator</t>
  </si>
  <si>
    <t>IM-ENG-051</t>
  </si>
  <si>
    <t>Controle de Mexilhão Dourado</t>
  </si>
  <si>
    <t>Golden Mussel Control</t>
  </si>
  <si>
    <t>IM-ENG-053</t>
  </si>
  <si>
    <t>Ensaio de Isolação de Equipamentos</t>
  </si>
  <si>
    <t xml:space="preserve"> Equipment Insulation Tests</t>
  </si>
  <si>
    <t>IM-ENG-054</t>
  </si>
  <si>
    <t>Fator Potência e Medida de Capacitância dos Hidrogeradores</t>
  </si>
  <si>
    <t>Power Factor and Capacitance Measurement of Hydrogenerators</t>
  </si>
  <si>
    <t>IM-ENG-057</t>
  </si>
  <si>
    <t>Vedação de Eixo</t>
  </si>
  <si>
    <t>Shaft Seal</t>
  </si>
  <si>
    <t>IM-ENG-058</t>
  </si>
  <si>
    <t>Líquidos Penetrantes</t>
  </si>
  <si>
    <t xml:space="preserve">Procedures for Penetrant test </t>
  </si>
  <si>
    <t>IM-ENG-062</t>
  </si>
  <si>
    <t>Reguladores De Tensão</t>
  </si>
  <si>
    <t>Voltage Regulators</t>
  </si>
  <si>
    <t>IM-ENG-063</t>
  </si>
  <si>
    <t>Ensaio no Sistema de Excitação</t>
  </si>
  <si>
    <t>Excitation System Test</t>
  </si>
  <si>
    <t>IM-ENG-064</t>
  </si>
  <si>
    <t>Sistema Preditivo de Coletas Online e Offline</t>
  </si>
  <si>
    <t>Procedures for use the online predictive system (MDM)</t>
  </si>
  <si>
    <t>IM-ENG-065</t>
  </si>
  <si>
    <t>Ensaios em equipamentos elétricos CA</t>
  </si>
  <si>
    <t>Tests on AC Electrical Equipment</t>
  </si>
  <si>
    <t>IM-ENG-069</t>
  </si>
  <si>
    <t>Ensaios em Transformadores de Potencial</t>
  </si>
  <si>
    <t>Potential Transformer Testings</t>
  </si>
  <si>
    <t>IM-ENG-070</t>
  </si>
  <si>
    <t>Manutenção Preventiva de Retificadores e Baterias Ventiladas</t>
  </si>
  <si>
    <t>Procedure for maintenance of rectifiers and vented batteries</t>
  </si>
  <si>
    <t>IM-ENG-071</t>
  </si>
  <si>
    <t>Manutenção Preventiva de Retificadores e Baterias Seladas</t>
  </si>
  <si>
    <t>Procedure for maintenance of rectifiers and sealed batteries</t>
  </si>
  <si>
    <t>IM-ENG-072</t>
  </si>
  <si>
    <t>Proteção Anticorrosiva Equip Eletrom Usinas, Eclusas e SE</t>
  </si>
  <si>
    <t>Anticorrosive Protection Equip Eletrom Plants, Locks and SE</t>
  </si>
  <si>
    <t>IM-ENG-074</t>
  </si>
  <si>
    <t>Medição de Vazão</t>
  </si>
  <si>
    <t>Flow Measurement</t>
  </si>
  <si>
    <t>IM-ENG-079</t>
  </si>
  <si>
    <t>Código de Cores</t>
  </si>
  <si>
    <t>Equipment color code</t>
  </si>
  <si>
    <t>IM-ENG-080</t>
  </si>
  <si>
    <t>Procedimento de Pintura Para Combate ao Mexilhão Dourado</t>
  </si>
  <si>
    <t xml:space="preserve">Procedures for apply nonstick painting to control golden mussel </t>
  </si>
  <si>
    <t>IM-ENG-089</t>
  </si>
  <si>
    <t>Calibração de Transdutores e Grandezas Elétricas</t>
  </si>
  <si>
    <t>Procedure for calibration of electrical transducers</t>
  </si>
  <si>
    <t>IM-ENG-106</t>
  </si>
  <si>
    <t>Centragem e Verticalidade</t>
  </si>
  <si>
    <t>Centering and Verticality of Vertical Generating Unit</t>
  </si>
  <si>
    <t>IM-ENG-109</t>
  </si>
  <si>
    <t>Determinação do Kt</t>
  </si>
  <si>
    <t>Determination of Kt</t>
  </si>
  <si>
    <t>IM-ENG-110</t>
  </si>
  <si>
    <t>Ensaios em Transformadores Reguladores e Reatores</t>
  </si>
  <si>
    <t>Procedures for electrical testing (transformers and bushings)</t>
  </si>
  <si>
    <t>IM-ENG-111</t>
  </si>
  <si>
    <t>Concentricidade Circularidade dos Hidrogeradores</t>
  </si>
  <si>
    <t>Procedure to checkn circularity and concentricity of generators</t>
  </si>
  <si>
    <t>IM-ENG-125</t>
  </si>
  <si>
    <t>Aplicação e manutenção de isoladores e cadeias de isolação</t>
  </si>
  <si>
    <t>Insulator chain Maintenance procedurte</t>
  </si>
  <si>
    <t>IM-ENG-140</t>
  </si>
  <si>
    <t>Escovas de Carvão – Teoria e Utilização</t>
  </si>
  <si>
    <t>Carbon Brushes - Theory and maintenance</t>
  </si>
  <si>
    <t>IM-ENG-141</t>
  </si>
  <si>
    <t>Sistema de Monitoramento Online para UHEs</t>
  </si>
  <si>
    <t>Online monitoring system for HPPs</t>
  </si>
  <si>
    <t>IM-ENG-142</t>
  </si>
  <si>
    <t>Monitoramento de Oscilações do Conjunto Rotativo de Unidades Geradoras</t>
  </si>
  <si>
    <t>Procedures for monitor generating unit vibration</t>
  </si>
  <si>
    <t>IM-ENG-143</t>
  </si>
  <si>
    <t>Análise de oscilação de máquinas usando o sistema MDM</t>
  </si>
  <si>
    <t>Machine oscillation analysis using the MDM system</t>
  </si>
  <si>
    <t xml:space="preserve">Desenvolvimento </t>
  </si>
  <si>
    <t>IM-ENG-144</t>
  </si>
  <si>
    <t xml:space="preserve">Vibracomp </t>
  </si>
  <si>
    <t>IM-ENG-145</t>
  </si>
  <si>
    <t xml:space="preserve"> Medição do Entreferro do  Gerador</t>
  </si>
  <si>
    <t>Measuring Generator Air Gap</t>
  </si>
  <si>
    <t>IM-ENG-148</t>
  </si>
  <si>
    <t>Critérios de Recunhagem</t>
  </si>
  <si>
    <t>Procedure to identify loose wedges</t>
  </si>
  <si>
    <t>IM-ENG-159</t>
  </si>
  <si>
    <t>Salvamento de Peixes Rio Paranapanema</t>
  </si>
  <si>
    <t>Procedures for rescue fishes in generating units (Rio Paranapanema)</t>
  </si>
  <si>
    <t>Salvamento de Peixes Rio Sapucai Mirim</t>
  </si>
  <si>
    <t>Procedures for rescue fishes in generating units (Rio Sapucai Mirim)</t>
  </si>
  <si>
    <t>IM-ENG-160</t>
  </si>
  <si>
    <t>Determinação da Linha Neutra de Excitatrizes Rotativas</t>
  </si>
  <si>
    <t>Determination of Neutral Line of Rotary Exciters</t>
  </si>
  <si>
    <t>IM-ENG-170</t>
  </si>
  <si>
    <t>Ensaios Sobre Metal Patente</t>
  </si>
  <si>
    <t>Procedures for testing bearing pads (babit)</t>
  </si>
  <si>
    <t>IM-ENG-180</t>
  </si>
  <si>
    <t>Manutenção em Trocadores de Calor</t>
  </si>
  <si>
    <t>Procedures for giving maintenance in heat exchangers</t>
  </si>
  <si>
    <t>IM-ENG-185</t>
  </si>
  <si>
    <t>Secagem dos Hidrogeradores</t>
  </si>
  <si>
    <t>Procedures for drying of generators</t>
  </si>
  <si>
    <t>IM-ENG-266</t>
  </si>
  <si>
    <t>Ensaio em Transformadores de Corrente</t>
  </si>
  <si>
    <t>Procedures for CT Testings</t>
  </si>
  <si>
    <t>IM-ENG-267</t>
  </si>
  <si>
    <t>Procedimento Para Aferição de Instrumentos</t>
  </si>
  <si>
    <t>Procedure for calibration of mesuring instruments</t>
  </si>
  <si>
    <t>IM-ENG-268</t>
  </si>
  <si>
    <t>Identificação de Equipamentos em Instalações</t>
  </si>
  <si>
    <t>Equipment identification</t>
  </si>
  <si>
    <t>IM-ENG-269</t>
  </si>
  <si>
    <t>Relatorio Mensal Desempenho Usinas</t>
  </si>
  <si>
    <t>Performance monthly report</t>
  </si>
  <si>
    <t>IM-ENG-270</t>
  </si>
  <si>
    <t>Medição de Espessura de Tubulação</t>
  </si>
  <si>
    <t>Procedure for measuring the thickness of the pipe</t>
  </si>
  <si>
    <t>IM-ENG-280</t>
  </si>
  <si>
    <t>Manutenção Preditiva</t>
  </si>
  <si>
    <t>Predictive Maintenance</t>
  </si>
  <si>
    <t>IM-ENG-290</t>
  </si>
  <si>
    <t>Manutenção Rotineira</t>
  </si>
  <si>
    <t>Routine Maintenance</t>
  </si>
  <si>
    <t>IM-ENG-300</t>
  </si>
  <si>
    <t>Classificação de Risco de Ativos</t>
  </si>
  <si>
    <t>Asset Risk Rating</t>
  </si>
  <si>
    <t>IM-ENG-301</t>
  </si>
  <si>
    <t>Manutenções Preventivas Periódicas 0 - Renováveis</t>
  </si>
  <si>
    <t>Periodic Preventive Maintenance type 0 - Renewables</t>
  </si>
  <si>
    <t>IM-ENG-302</t>
  </si>
  <si>
    <t>Manutenções Preventivas Periódicas 1 - Renováveis</t>
  </si>
  <si>
    <t>Periodic Preventive Maintenance type 1 - Renewables</t>
  </si>
  <si>
    <t>IM-ENG-303</t>
  </si>
  <si>
    <t>Manutenções Preventivas Periódicas 2 - Renováveis</t>
  </si>
  <si>
    <t>Periodic Preventive Maintenance type 2 - Renewables</t>
  </si>
  <si>
    <t>IM-ENG-310</t>
  </si>
  <si>
    <t xml:space="preserve">Ensaio de Índice </t>
  </si>
  <si>
    <t>Index Test</t>
  </si>
  <si>
    <t>IM-ENG-320</t>
  </si>
  <si>
    <t>Jumpeamento de barras ou bobinas multi-espiras estatóricas</t>
  </si>
  <si>
    <t>Jumping generator stator bars or coils</t>
  </si>
  <si>
    <t>IM-ENG-340</t>
  </si>
  <si>
    <t>Vazão de ar geradores bulbo</t>
  </si>
  <si>
    <t>Bulb Generators Air Flow</t>
  </si>
  <si>
    <t>IM-ENG-350</t>
  </si>
  <si>
    <t>Gestão da Mudança</t>
  </si>
  <si>
    <t>Change management</t>
  </si>
  <si>
    <t>IM-ENG-360</t>
  </si>
  <si>
    <t>Comitê Técnico da CTG Brasil</t>
  </si>
  <si>
    <t>Establishing CTG Brasil Technical Committee</t>
  </si>
  <si>
    <t>IM-ENG-361</t>
  </si>
  <si>
    <t>Gestão da avaliação e diagnóstico dos equipamentos</t>
  </si>
  <si>
    <t>Management of equipment evaluation and diagnosis</t>
  </si>
  <si>
    <t>IM-ENG-362</t>
  </si>
  <si>
    <t>Avaliação da Condição dos equipamentos eletromecanicos</t>
  </si>
  <si>
    <t>Condition assessment of electromechanical equipment</t>
  </si>
  <si>
    <t>IM-ENG-364</t>
  </si>
  <si>
    <t>Armazenamento e conservação de materiais sobressalentes eletromecânicos</t>
  </si>
  <si>
    <t>Storage and conservation of electromechanical</t>
  </si>
  <si>
    <t>IM-ENG-365</t>
  </si>
  <si>
    <t>Gestão de peças sobressalentes</t>
  </si>
  <si>
    <t>Spare parts management</t>
  </si>
  <si>
    <t>IM-ENG-366</t>
  </si>
  <si>
    <t>Gerenciamento da manutenção dos equipamentos e instalações</t>
  </si>
  <si>
    <t>Maintenance Management of Equipment and Facilities</t>
  </si>
  <si>
    <t>IM-ENG-380</t>
  </si>
  <si>
    <t>Planejamento Programação e Controle de Manutenção</t>
  </si>
  <si>
    <t>Planning, Schedule and Maintenance Control</t>
  </si>
  <si>
    <t>IM-ENG-390</t>
  </si>
  <si>
    <t>Guia para comisionamento de unidades geradoras hidráulicas</t>
  </si>
  <si>
    <t>Guide for Commissioning hydro generating units</t>
  </si>
  <si>
    <t>IM-ENG-400</t>
  </si>
  <si>
    <t>Critérios de Manutenção de Válvula Distribuidora</t>
  </si>
  <si>
    <t>Distributor Valves - Maintenance Criteria</t>
  </si>
  <si>
    <t>IM-ENG-401</t>
  </si>
  <si>
    <t>Instrução de determinação de vazamento em cilindros hidraulicos sem vedação</t>
  </si>
  <si>
    <t>Instruction for determining leakage in hydraulic cylinders without seals</t>
  </si>
  <si>
    <t>IM-ENG-402</t>
  </si>
  <si>
    <t>Alinhamento do Mecanismo Interno dos Rotores Kaplan</t>
  </si>
  <si>
    <t>Attention Points for Kaplan Runner Mechanism Alignment</t>
  </si>
  <si>
    <t>x</t>
  </si>
  <si>
    <t>IM-ENG-321</t>
  </si>
  <si>
    <t>Controle de Acesso ao Housing do Gerador</t>
  </si>
  <si>
    <t>Access Control of the Generator Housing
tem menu de contexto</t>
  </si>
  <si>
    <t>IM-ENG-30.1</t>
  </si>
  <si>
    <t>Inspeção em Dispositivos Especiais de Içamento</t>
  </si>
  <si>
    <t>Instruction on Special Lifting Devices</t>
  </si>
  <si>
    <t xml:space="preserve">    GM - GUIAS DE MANUTENÇÃO (MAINTENANCE GUIDES) </t>
  </si>
  <si>
    <t>UHE/HPP</t>
  </si>
  <si>
    <t>Data</t>
  </si>
  <si>
    <t>Status validade</t>
  </si>
  <si>
    <t>Revisão /novo</t>
  </si>
  <si>
    <t>GM-CHV-00_Atividades antes e depois da MPP</t>
  </si>
  <si>
    <t>GM-CHV-00_Activities before and after MPP</t>
  </si>
  <si>
    <t>GM-CHV-01_Turbina e equipamentos auxiliares</t>
  </si>
  <si>
    <t>GM-CHV-01_Turbine and its Auxiliary Equipment</t>
  </si>
  <si>
    <t>GM-CHV-02_Generator Mechanical Part and Its Auxiliary Equipment</t>
  </si>
  <si>
    <t>GM-CHV-03_Gerador-Parte elétrica</t>
  </si>
  <si>
    <t>GM-CHV-03_Generator-Electric parts</t>
  </si>
  <si>
    <t>GM-CHV-04_Sistemas Auxiliares da Unidade Geradora</t>
  </si>
  <si>
    <t>GM-CHV-04_Generating Unit Auxiliary Control System</t>
  </si>
  <si>
    <t>GM-CHV-05_Barramento de Saída do Gerador e Seus Acessórios</t>
  </si>
  <si>
    <t>GM-CHV-05_Generator Output Buses and Its Accessories</t>
  </si>
  <si>
    <t>GM-CHV-06_Transformador Elevador</t>
  </si>
  <si>
    <t>GM-CHV-06_Step-up Transformer</t>
  </si>
  <si>
    <t>GM-CHV-07_Transformadores a Seco</t>
  </si>
  <si>
    <t>GM-CHV-07_Dry-type Transformer</t>
  </si>
  <si>
    <t>GM-CHV-08_Equipamentos de Alta Tensão</t>
  </si>
  <si>
    <t xml:space="preserve">GM-CHV-08_High Voltage Equipment </t>
  </si>
  <si>
    <t>GM-CHV-09_Painéis de Média Tensão</t>
  </si>
  <si>
    <t>GM-CHV-09_Medium Voltage Switch Cabinet</t>
  </si>
  <si>
    <t>GM-CHV-10_Painéis de Baixa Tensão</t>
  </si>
  <si>
    <t>GM-CHV-10_Low Voltage Switch Cabinet</t>
  </si>
  <si>
    <t>GM-CHV-11_Cabos de Potência até 35kV</t>
  </si>
  <si>
    <t>GM-CHV-11_Power Cable Up to 35kV</t>
  </si>
  <si>
    <t>GM-CHV-12_Estação de Operacão - Computador</t>
  </si>
  <si>
    <t>GM-CHV-12_Operation Station - Computer</t>
  </si>
  <si>
    <t>GM-CHV-13_Unidade de Aquisição e Controle (UAC)</t>
  </si>
  <si>
    <t>GM-CHV-13_Central unit of acquisition and control (UAC)</t>
  </si>
  <si>
    <t>GM-CHV-14_Sistema de Comunicação</t>
  </si>
  <si>
    <t>GM-CHV-14_Communication system</t>
  </si>
  <si>
    <t>GM-CHV-15_Proteção da Unidade Geradora</t>
  </si>
  <si>
    <t>GM-CHV-15_Generation Unit Protection</t>
  </si>
  <si>
    <t>GM-CHV-17_Sistema de proteção do serviço auxiliar</t>
  </si>
  <si>
    <t>GM-CHV-17_Auxiliary Power System protection</t>
  </si>
  <si>
    <t>GM-CHV-18_Sistema de Excitação</t>
  </si>
  <si>
    <t>GM-CHV-18_Excitation System</t>
  </si>
  <si>
    <t>GM-CHV-19_Sistema de Corrente Contínua</t>
  </si>
  <si>
    <t>GM-CHV-19_Direct Current System</t>
  </si>
  <si>
    <t>GM-CHV-20_Regulador de velocidade - Parte Mecânica</t>
  </si>
  <si>
    <t>GM-CHV-20_Speed Governor System - Mechanical Part</t>
  </si>
  <si>
    <t>GM-CHV-21_Regulador de Velocidade - Parte Elétrica</t>
  </si>
  <si>
    <t>GM-CHV-21_Speed Governor System - Electrical Part</t>
  </si>
  <si>
    <t>GM-CHV-22_Compressor de ar</t>
  </si>
  <si>
    <t>GM-CHV-22_Air Compressor</t>
  </si>
  <si>
    <t>GM-CHV-23_Sistema de água de resfriamento</t>
  </si>
  <si>
    <t>GM-CHV-23_Cooling Water System</t>
  </si>
  <si>
    <t>GM-CHV-24_Gerador Diesel</t>
  </si>
  <si>
    <t>GM-CHV-24_Diesel Generator</t>
  </si>
  <si>
    <t>GM-CHV-25_Sistema de Medição de Faturamento</t>
  </si>
  <si>
    <t>GM-CHV-25_Energy Measurement System</t>
  </si>
  <si>
    <t>GM-CHV-26_Sistema de drenagem e esgotamento</t>
  </si>
  <si>
    <t>GM-CHV-26_Drainage and Dewatering System</t>
  </si>
  <si>
    <t>GM-CHV-27_Sistema separador de óleo</t>
  </si>
  <si>
    <t>GM-CHV-27_Oil-Separator System</t>
  </si>
  <si>
    <t>GM-CHV-28_Comporta de manutenção</t>
  </si>
  <si>
    <t>GM-CHV-28_Stoplog</t>
  </si>
  <si>
    <t>GM-CHV-29_Grade</t>
  </si>
  <si>
    <t>GM-CHV-29_Trash Rack</t>
  </si>
  <si>
    <t>GM-CHV-40_Sistema de iluminação e pontos de tomada</t>
  </si>
  <si>
    <t>GM-CHV-40_Lighting system and outlet points</t>
  </si>
  <si>
    <t>GM-CHV-41_Sistema Proteção Descargas Atmosféricas (SPDA)</t>
  </si>
  <si>
    <t>GM-CHV-41_Lightining Protection system</t>
  </si>
  <si>
    <t>GM-CHV-51_Transformadores auxiliares imersos em óleo</t>
  </si>
  <si>
    <t xml:space="preserve">GM-CHV-51_Oil-immersed Auxiliary Transformer </t>
  </si>
  <si>
    <t>GM-CHV-59_Sistema_CFTV</t>
  </si>
  <si>
    <t>GM-CHV-59_CCTV System</t>
  </si>
  <si>
    <t>GM-CHV-60_Sistema anti incêndio</t>
  </si>
  <si>
    <t>GM-CHV-60_Firefighting System</t>
  </si>
  <si>
    <t>GM-CHV-61_Comporta de vertedouro</t>
  </si>
  <si>
    <t>GM-CHV-61_Spillway Gate</t>
  </si>
  <si>
    <t>GM-CHV-62_Comporta de emergência</t>
  </si>
  <si>
    <t>GM-CHV-62_Emergency Gate</t>
  </si>
  <si>
    <t>GM-CHV-63_Ponte rolante jusante</t>
  </si>
  <si>
    <t>GM-CHV-63_Downstream Bridge Crane</t>
  </si>
  <si>
    <t>GM-CHV-64_Valvula borboleta</t>
  </si>
  <si>
    <t>GM-CHV-64_Butterfly Valve</t>
  </si>
  <si>
    <t>GM-CHV-65_Comporta vertedor Sistema hidráulico</t>
  </si>
  <si>
    <t>GM-CHV-65_Hydraulic Hoist</t>
  </si>
  <si>
    <t>GM-CHV-66_Guincho</t>
  </si>
  <si>
    <t>GM-CHV-66_Winch</t>
  </si>
  <si>
    <t>GM-CHV-71_Sistema de Manutenção Preditiva (MDM)</t>
  </si>
  <si>
    <t>GM-CHV-71_Predictive Maintenance System (MDM)</t>
  </si>
  <si>
    <t>30.1</t>
  </si>
  <si>
    <t>GM-CHV-30.1_Pórtico do vertedouro</t>
  </si>
  <si>
    <t>GM-CHV-30.1_Spillway Gantry Crane</t>
  </si>
  <si>
    <t>30.2</t>
  </si>
  <si>
    <t>GM-CHV-30.2_Pórtico da tomada d`água</t>
  </si>
  <si>
    <t>GM-CHV-30.2_TDA Gantry Crane</t>
  </si>
  <si>
    <t>30.3</t>
  </si>
  <si>
    <t>GM-CHV-30.3_200T Pórtico rolante</t>
  </si>
  <si>
    <t>GM-CHV-30.3_200t Gantry Crane</t>
  </si>
  <si>
    <t>GM-CHV-31_Ponte rolante</t>
  </si>
  <si>
    <t>GM-CHV-31_Bridge Crane</t>
  </si>
  <si>
    <t>32.1</t>
  </si>
  <si>
    <t>GM-CHV-32.1_Ponte rolante auxiliar</t>
  </si>
  <si>
    <t>GM-CHV-32.1_Auxiliary Bridge Crane</t>
  </si>
  <si>
    <t>32.2</t>
  </si>
  <si>
    <t>GM-CHV-32.2_Ponte rolante almoxarifado</t>
  </si>
  <si>
    <t>GM-CHV-32.2_Warehouse Bridge Crane</t>
  </si>
  <si>
    <t>GM-CHV-32_Ponte rolante auxiliar</t>
  </si>
  <si>
    <t>GM-CHV-32_Auxiliary Bridge Crane</t>
  </si>
  <si>
    <t>GM-CHV-34_Depósito de óleo hidráulico-Eng</t>
  </si>
  <si>
    <t>GM-CHV-34_Hydraulic oil depot-Eng</t>
  </si>
  <si>
    <t>Em dia</t>
  </si>
  <si>
    <t>GM-CHV-35_Conduto forçado - parte metálica</t>
  </si>
  <si>
    <t>GM-CHV-35_Hpenstock</t>
  </si>
  <si>
    <t>GM-CN1-00_Atividades antes e depois da MPP</t>
  </si>
  <si>
    <t>GM-CN1-00_Activities before and after MPP</t>
  </si>
  <si>
    <t>GM-CN1-01_Turbina e equipamentos auxiliares</t>
  </si>
  <si>
    <t>GM-CN1-01_Turbine and its Auxiliary Equipment</t>
  </si>
  <si>
    <t>GM-CN1-02_Parte Mecanica Gerador e auxiliares</t>
  </si>
  <si>
    <t>GM-CN1-02_Generator Mechanical Part and Its Auxiliary Equipment</t>
  </si>
  <si>
    <t>GM-CN1-03_Gerador-Parte elétrica</t>
  </si>
  <si>
    <t>GM-CN1-03_Generator-Electric parts</t>
  </si>
  <si>
    <t>GM-CN1-04_Sistemas Auxiliares da Unidade Geradora</t>
  </si>
  <si>
    <t>GM-CN1-04_Generating Unit Auxiliary Control System</t>
  </si>
  <si>
    <t>GM-CN1-05_Barramento de Saída do Gerador e Seus Acessórios</t>
  </si>
  <si>
    <t>GM-CN1-05_Generator Output Buses and Its Accessories</t>
  </si>
  <si>
    <t>GM-CN1-06_Transformador Elevador</t>
  </si>
  <si>
    <t>GM-CN1-06_Step-up Transformer</t>
  </si>
  <si>
    <t>GM-CN1-07_Transformadores a Seco</t>
  </si>
  <si>
    <t>GM-CN1-07_Dry-type Transformer</t>
  </si>
  <si>
    <t>GM-CN1-08_Equipamentos de Alta Tensão</t>
  </si>
  <si>
    <t>GM-CN1-08_High Voltage Equipment</t>
  </si>
  <si>
    <t>GM-CN1-09_Painéis de Média Tensão</t>
  </si>
  <si>
    <t>GM-CN1-09_Medium Voltage Switch Cabinet</t>
  </si>
  <si>
    <t>GM-CN1-10_Painéis de Baixa Tensão</t>
  </si>
  <si>
    <t>GM-CN1-10_Low Voltage Switch Cabinet</t>
  </si>
  <si>
    <t>GM-CN1-11_Cabos de Potência até 35kV</t>
  </si>
  <si>
    <t>GM-CN1-11_Power Cable Up to 35kV</t>
  </si>
  <si>
    <t>GM-CN1-12_Estação de Operação</t>
  </si>
  <si>
    <t>GM-CN1-12_Host Computer</t>
  </si>
  <si>
    <t>GM-CN1-13_Unidade de Aquisição e Controle (UAC)</t>
  </si>
  <si>
    <t>GM-CN1-13_Local Control Unit</t>
  </si>
  <si>
    <t>GM-CN1-14_Sistema de Comunicação</t>
  </si>
  <si>
    <t>GM-CN1-14_Communication system</t>
  </si>
  <si>
    <t>GM-CN1-15_Proteção da Unidade Geradora</t>
  </si>
  <si>
    <t>GM-CN1-15_Generation Unit Protection</t>
  </si>
  <si>
    <t>GM-CN1-17_Sistema de proteção do serviço auxiliar</t>
  </si>
  <si>
    <t>GM-CN1-17_Auxiliary Power System protection</t>
  </si>
  <si>
    <t>GM-CN1-18_Sistema de Excitação</t>
  </si>
  <si>
    <t>GM-CN1-18_Excitation System</t>
  </si>
  <si>
    <t>GM-CN1-19_Sistema de Corrente Contínua</t>
  </si>
  <si>
    <t>GM-CN1-19_Direct Current System</t>
  </si>
  <si>
    <t>GM-CN1-20_Sistema regulação velocidade - Parte Mecanica</t>
  </si>
  <si>
    <t>GM-CN1-20_Speed Governor System - Mechanical Part</t>
  </si>
  <si>
    <t>GM-CN1-21_Regulador de Velocidade - Parte Elétrica</t>
  </si>
  <si>
    <t>GM-CN1-21_Speed Governor System - Electrical Part</t>
  </si>
  <si>
    <t>GM-CN1-22_Compressor de ar</t>
  </si>
  <si>
    <t>GM-CN1-22_Air Compressor</t>
  </si>
  <si>
    <t>GM-CN1-23_Sistema de água de refrigeração</t>
  </si>
  <si>
    <t>GM-CN1-23_Cooling Water System</t>
  </si>
  <si>
    <t>GM-CN1-25_Sistema de Medição de Faturamento</t>
  </si>
  <si>
    <t>GM-CN1-25_Energy Measurement System</t>
  </si>
  <si>
    <t>GM-CN1-26_Sistema de drenagem e esgotamento</t>
  </si>
  <si>
    <t>GM-CN1-26_Drainage and Dewatering System</t>
  </si>
  <si>
    <t>GM-CN1-27_Sistema separador de óleo</t>
  </si>
  <si>
    <t>GM-CN1-27_Oil-Separator System</t>
  </si>
  <si>
    <t>GM-CN1-28_Comporta de Manutenção</t>
  </si>
  <si>
    <t>GM-CN1-28_Stoplog</t>
  </si>
  <si>
    <t>GM-CN1-29_Grade</t>
  </si>
  <si>
    <t>GM-CN1-29_Trash Rack</t>
  </si>
  <si>
    <t>GM-CN1-33_Elevador</t>
  </si>
  <si>
    <t>GM-CN1-33_Elevator</t>
  </si>
  <si>
    <t>GM-CN1-40_Sistema de iluminação e pontos de tomada</t>
  </si>
  <si>
    <t>GM-CN1-40_Lighting system and outlet points</t>
  </si>
  <si>
    <t>GM-CN1-41_Sistema Proteção Descargas Atmosféricas (SPDA)</t>
  </si>
  <si>
    <t>GM-CN1-41_Lightning protection system</t>
  </si>
  <si>
    <t>GM-CN1-51_Transformadores imersos a oleo ate 35kV</t>
  </si>
  <si>
    <t>GM-CN1-51_Oil-immersed Transformer up to 35kV</t>
  </si>
  <si>
    <t>GM-CN1-53_Linha de transmissão aérea</t>
  </si>
  <si>
    <t>GM-CN1-53_Overhead Transmission Line</t>
  </si>
  <si>
    <t>GM-CN1-56_Busbar Protection</t>
  </si>
  <si>
    <t>GM-CN1-57_Proteção de Linha de Transmissão</t>
  </si>
  <si>
    <t>GM-CN1-57_Transmission Line Protection</t>
  </si>
  <si>
    <t>GM-CN1-58_Sistema de ventilação</t>
  </si>
  <si>
    <t>GM-CN1-58_Ventilation System</t>
  </si>
  <si>
    <t>GM-CN1-59_Sistema_CFTV</t>
  </si>
  <si>
    <t>GM-CN1-59_CCTV System</t>
  </si>
  <si>
    <t>GM-CN1-60_Sistema anti incêndio</t>
  </si>
  <si>
    <t>GM-CN1-60_Firefighting System</t>
  </si>
  <si>
    <t>GM-CN1-61_Comporta de vertedouro</t>
  </si>
  <si>
    <t>GM-CN1-61_Spillway Gate</t>
  </si>
  <si>
    <t>GM-CN1-62_Comporta de emergência</t>
  </si>
  <si>
    <t>GM-CN1-62_Emergency Gate</t>
  </si>
  <si>
    <t>GM-CN1-65_Comporta de emergência Sistema hidráulico</t>
  </si>
  <si>
    <t>GM-CN1-65_Hydraulic Hoist (emergency）</t>
  </si>
  <si>
    <t>GM-CN1-65_Comporta vertedor Sistema hidráulico</t>
  </si>
  <si>
    <t>GM-CN1-65_Hydraulic Hoist (spillway）</t>
  </si>
  <si>
    <t>GM-CN1-71_Instrução de Manutenção Preditiva (MDM)</t>
  </si>
  <si>
    <t>GM-CN1-71_Predictive Maintenance System (MDM)</t>
  </si>
  <si>
    <t>GM-CN1-30_Pórtico de montante</t>
  </si>
  <si>
    <t>GM-CN1-30_Upstream Gantry Crane</t>
  </si>
  <si>
    <t>GM-CN1-31_Ponte rolante</t>
  </si>
  <si>
    <t>GM-CN1-31_Bridge Crane</t>
  </si>
  <si>
    <t>GM-CN1-34_Deposito de óleo hidráulico-Eng</t>
  </si>
  <si>
    <t>GM-CN1-34_Hydraulic Oil Depot-Eng</t>
  </si>
  <si>
    <t>GM-CN1-63_Pórtico de jusante</t>
  </si>
  <si>
    <t>GM-CN1-63_Downstream Gantry Crane</t>
  </si>
  <si>
    <t>Alerta</t>
  </si>
  <si>
    <t>GM-CN1-86_Sistema de cloro pastilha</t>
  </si>
  <si>
    <t>GM-CN1-86_Tablet chlorine system</t>
  </si>
  <si>
    <t>GM-CN2-00_Atividades antes e depois da MPP</t>
  </si>
  <si>
    <t>GM-CN2-00_Activities before and after MPP</t>
  </si>
  <si>
    <t>GM-CN2-01_Turbina e equipamentos auxiliares</t>
  </si>
  <si>
    <t>GM-CN2-01_Turbine and its Auxiliary Equipment</t>
  </si>
  <si>
    <t>GM-CN2-02_Parte Mecanica Gerador e auxiliares</t>
  </si>
  <si>
    <t>GM-CN2-02_Generator Mechanical Part and Its Auxiliary Equipment</t>
  </si>
  <si>
    <t>GM-CN2-03_Gerador-Parte elétrica</t>
  </si>
  <si>
    <t>GM-CN2-03_Generator-Electric parts</t>
  </si>
  <si>
    <t>GM-CN2-04_Sistemas Auxiliares da Unidade Geradora</t>
  </si>
  <si>
    <t>GM-CN2-04_Generating Unit Auxiliary Control System</t>
  </si>
  <si>
    <t>GM-CN2-05_Barramento de Saída do Gerador e Seus Acessórios</t>
  </si>
  <si>
    <t>GM-CN2-05_Generator Output Buses and Its Accessories</t>
  </si>
  <si>
    <t>GM-CN2-06_Transformador Elevador</t>
  </si>
  <si>
    <t>GM-CN2-06_Step-up Transformer</t>
  </si>
  <si>
    <t>GM-CN2-07_Transformadores a Seco</t>
  </si>
  <si>
    <t>GM-CN2-07_Dry-type Transformer</t>
  </si>
  <si>
    <t>GM-CN2-08_Equipamentos de Alta Tensão</t>
  </si>
  <si>
    <t>GM-CN2-08_High Voltage Equipment</t>
  </si>
  <si>
    <t>GM-CN2-09_Painéis de Média Tensão</t>
  </si>
  <si>
    <t>GM-CN2-09_Medium Voltage Switch Cabinet</t>
  </si>
  <si>
    <t>GM-CN2-10_Painéis de Baixa Tensão</t>
  </si>
  <si>
    <t>GM-CN2-10_Low Voltage Switch Cabinet</t>
  </si>
  <si>
    <t>GM-CN2-11_Cabos de Potência até 35kV</t>
  </si>
  <si>
    <t>GM-CN2-11_Power Cable Up to 35kV</t>
  </si>
  <si>
    <t>GM-CN2-12_Estação de Operação</t>
  </si>
  <si>
    <t>GM-CN2-12_Host Computer</t>
  </si>
  <si>
    <t>GM-CN2-13_Unidade de Aquisição e Controle (UAC)</t>
  </si>
  <si>
    <t>GM-CN2-13_Local Control Unit</t>
  </si>
  <si>
    <t>GM-CN2-14_Sistema de Comunicação</t>
  </si>
  <si>
    <t>GM-CN2-14_Communication system</t>
  </si>
  <si>
    <t>GM-CN2-15_Proteção da Unidade Geradora</t>
  </si>
  <si>
    <t>GM-CN2-15_Generation Unit Protection</t>
  </si>
  <si>
    <t>GM-CN2-17_Sistema de proteção do serviço auxiliar</t>
  </si>
  <si>
    <t>GM-CN2-17_Auxiliary Power System protection</t>
  </si>
  <si>
    <t>GM-CN2-18_Sistema de Excitação</t>
  </si>
  <si>
    <t>GM-CN2-18_Excitation System</t>
  </si>
  <si>
    <t>GM-CN2-19_Sistema de Corrente Contínua</t>
  </si>
  <si>
    <t>GM-CN2-19_Direct Current System</t>
  </si>
  <si>
    <t>GM-CN2-20_Sistema regulação velocidade - Parte Mecanica</t>
  </si>
  <si>
    <t>GM-CN2-20_Speed Governor System - Mechanical Part</t>
  </si>
  <si>
    <t>GM-CN2-21_Regulador de Velocidade - Parte Elétrica</t>
  </si>
  <si>
    <t>GM-CN2-21_Speed Governor System - Electrical Part</t>
  </si>
  <si>
    <t>GM-CN2-22_Compressor de ar</t>
  </si>
  <si>
    <t>GM-CN2-22_Air Compressor</t>
  </si>
  <si>
    <t>GM-CN2-23_Sistema de água de refrigeração</t>
  </si>
  <si>
    <t>GM-CN2-23_Cooling Water System</t>
  </si>
  <si>
    <t>GM-CN2-24_Gerador Diesel</t>
  </si>
  <si>
    <t>GM-CN2-24_Diesel Generator</t>
  </si>
  <si>
    <t>GM-CN2-25_Sistema de Medição de Faturamento</t>
  </si>
  <si>
    <t>GM-CN2-25_Energy Measurement System</t>
  </si>
  <si>
    <t>GM-CN2-26_Sistema de drenagem e esgotamento</t>
  </si>
  <si>
    <t>GM-CN2-26_Drainage and Dewatering System</t>
  </si>
  <si>
    <t>GM-CN2-27_Sistema separador de óleo</t>
  </si>
  <si>
    <t>GM-CN2-27_Oil-Separator System</t>
  </si>
  <si>
    <t>GM-CN2-28_Comporta de Manutenção</t>
  </si>
  <si>
    <t>GM-CN2-28_Stoplog</t>
  </si>
  <si>
    <t>GM-CN2-29_Grade</t>
  </si>
  <si>
    <t>GM-CN2-29_Trash Rack</t>
  </si>
  <si>
    <t>GM-CN2-33_Elevador</t>
  </si>
  <si>
    <t>GM-CN2-33_Elevator</t>
  </si>
  <si>
    <t>GM-CN2-40_Sistema de iluminação e pontos de tomada</t>
  </si>
  <si>
    <t>GM-CN2-40_Lighting system and outlet points</t>
  </si>
  <si>
    <t>GM-CN2-41_Sistema Proteção Descargas Atmosféricas (SPDA)</t>
  </si>
  <si>
    <t>GM-CN2-41_Lightning protection system</t>
  </si>
  <si>
    <t>GM-CN2-51_Transformadores imersos a oleo ate 35kV</t>
  </si>
  <si>
    <t>GM-CN2-51_Oil-immersed Transformer up to 35kV</t>
  </si>
  <si>
    <t>GM-CN2-53_Linha de transmissão aérea</t>
  </si>
  <si>
    <t>GM-CN2-53_Overhead Transmission Line</t>
  </si>
  <si>
    <t>GM-CN2-56_Proteção de Barras</t>
  </si>
  <si>
    <t>GM-CN2-56_Busbar Protection</t>
  </si>
  <si>
    <t>GM-CN2-57_Proteção de Linha de Transmissão</t>
  </si>
  <si>
    <t>GM-CN2-57_Transmission line protection</t>
  </si>
  <si>
    <t>GM-CN2-58_Sistema de ventilação</t>
  </si>
  <si>
    <t>GM-CN2-58_Ventilation System</t>
  </si>
  <si>
    <t>GM-CN2-59_Sistema_CFTV</t>
  </si>
  <si>
    <t>GM-CN2-59_CCTV System</t>
  </si>
  <si>
    <t>GM-CN2-60_Sistema anti incêndio</t>
  </si>
  <si>
    <t>GM-CN2-60_Firefighting System</t>
  </si>
  <si>
    <t>GM-CN2-61_Comporta de vertedouro</t>
  </si>
  <si>
    <t>GM-CN2-61_Spillway Gate</t>
  </si>
  <si>
    <t>GM-CN2-62_Comporta de emergência</t>
  </si>
  <si>
    <t>GM-CN2-62_Emergency Gate</t>
  </si>
  <si>
    <t>GM-CN2-65_Comporta de emergência Sistema hidráulico</t>
  </si>
  <si>
    <t>GM-CN2-65_Hydraulic Hoist (emergency）</t>
  </si>
  <si>
    <t>GM-CN2-65_Comporta vertedor Sistema hidráulico</t>
  </si>
  <si>
    <t>GM-CN2-65_Hydraulic Hoist (spillway）</t>
  </si>
  <si>
    <t>GM-CN2-71_Instrução de Manutenção Preditiva (MDM)</t>
  </si>
  <si>
    <t>GM-CN2-71_Predictive Maintenance System (MDM)</t>
  </si>
  <si>
    <t>GM-CN2-30_Pórtico de montante</t>
  </si>
  <si>
    <t>GM-CN2-30_Upstream Gantry Crane</t>
  </si>
  <si>
    <t>GM-CN2-31_Ponte rolante</t>
  </si>
  <si>
    <t>GM-CN2-31_Bridge Crane</t>
  </si>
  <si>
    <t>GM-CN2-34_Deposito de óleo hidráulico-Eng</t>
  </si>
  <si>
    <t>GM-CN2-34_Hydraulic Oil Depot-Eng</t>
  </si>
  <si>
    <t>GM-CN2-63_Pórtico de jusante</t>
  </si>
  <si>
    <t>GM-CN2-63_Downstream Gantry Crane</t>
  </si>
  <si>
    <t>GM-CN2-86_Sistema de cloro pastilha</t>
  </si>
  <si>
    <t>GM-CN2-86_Tablet chlorine system</t>
  </si>
  <si>
    <t>GM-CPV-00_Atividades antes e depois da MPP</t>
  </si>
  <si>
    <t>GM-CPV-00_Activities before and after MPP</t>
  </si>
  <si>
    <t>GM-CPV-01_Guia de Manutenção da Turbina e seus equipamentos auxiliares</t>
  </si>
  <si>
    <t>GM-CPV-01_Turbine and its Auxiliary Equipment</t>
  </si>
  <si>
    <t>GM-CPV-02_Guia de Manutenção do gerador e seus equipamentos auxiliares parte mecânica</t>
  </si>
  <si>
    <t>GM-CPV-02_Generator Mechanical Part and Its Auxiliary Equipment</t>
  </si>
  <si>
    <t>GM-CPV-03_Gerador-Parte elétrica</t>
  </si>
  <si>
    <t>GM-CPV-03_Generator-Electric parts</t>
  </si>
  <si>
    <t>GM-CPV-04_Sistemas Auxiliares da Unidade Geradora</t>
  </si>
  <si>
    <t>GM-CPV-04_Generating Unit Auxiliary Control System</t>
  </si>
  <si>
    <t>GM-CPV-05_Barramento de Saída do Gerador e Seus Acessórios</t>
  </si>
  <si>
    <t>GM-CPV-05_Generator Output Buses and Its Accessories</t>
  </si>
  <si>
    <t>GM-CPV-06_Transformador Elevador</t>
  </si>
  <si>
    <t>GM-CPV-06_Step-up Transformer</t>
  </si>
  <si>
    <t>GM-CPV-07_Transformadores a Seco</t>
  </si>
  <si>
    <t>GM-CPV-07_Dry-type Transformer (Reactor)</t>
  </si>
  <si>
    <t>GM-CPV-08_Equipamentos de Alta Tensão</t>
  </si>
  <si>
    <t>GM-CPV-08_High Voltage Equipment</t>
  </si>
  <si>
    <t>GM-CPV-09_Painéis de Média Tensão</t>
  </si>
  <si>
    <t>GM-CPV-09_Medium Voltage Switch Cabinet</t>
  </si>
  <si>
    <t>GM-CPV-10_Painéis de Baixa Tensão</t>
  </si>
  <si>
    <t>GM-CPV-10_Low Voltage Switch Cabinet</t>
  </si>
  <si>
    <t>GM-CPV-11_Cabos de Potência até 35kV</t>
  </si>
  <si>
    <t>GM-CPV-11_Power Cable Up to 35kV</t>
  </si>
  <si>
    <t>GM-CPV-12_Estação de Operacão</t>
  </si>
  <si>
    <t>GM-CPV-12_Host Computer</t>
  </si>
  <si>
    <t>GM-CPV-13_Unidade de Aquisição e Controle (UAC)</t>
  </si>
  <si>
    <t>GM-CPV-13_Local Control Unit</t>
  </si>
  <si>
    <t>GM-CPV-14_Sistema de Comunicação</t>
  </si>
  <si>
    <t>GM-CPV-14_Communication system</t>
  </si>
  <si>
    <t>GM-CPV-15_Proteção da Unidade Geradora</t>
  </si>
  <si>
    <t>GM-CPV-15_Generation Unit Protection</t>
  </si>
  <si>
    <t>GM-CPV-17_Sistema de proteção do serviço auxiliar</t>
  </si>
  <si>
    <t>GM-CPV-17_Auxiliary Power System protection</t>
  </si>
  <si>
    <t>GM-CPV-18_Sistema de Excitação</t>
  </si>
  <si>
    <t>GM-CPV-18_Excitation System</t>
  </si>
  <si>
    <t>GM-CPV-19_Sistema de Corrente Contínua</t>
  </si>
  <si>
    <t>GM-CPV-19_Direct Current System</t>
  </si>
  <si>
    <t>GM-CPV-20_ Guia de Manutenção do sistema regulador de velocidades - Parte mecânica</t>
  </si>
  <si>
    <t>GM-CPV-20_Speed Governor System - Mechanical Part</t>
  </si>
  <si>
    <t>GM-CPV-21_Regulador de Velocidade - Parte Elétrica</t>
  </si>
  <si>
    <t>GM-CPV-21_Speed Governor System - Electrical Part</t>
  </si>
  <si>
    <t>GM-CPV-22_Compressor de ar</t>
  </si>
  <si>
    <t>GM-CPV-22_Air Compressor</t>
  </si>
  <si>
    <t>GM-CPV-23_Guia de Manutenção do Sistema de Água de Resfriamento</t>
  </si>
  <si>
    <t>GM-CPV-23_Cooling Water System</t>
  </si>
  <si>
    <t>GM-CPV-24_Diesel Generator</t>
  </si>
  <si>
    <t>GM-CPV-24_Gerador Diesel</t>
  </si>
  <si>
    <t>GM-CPV-25_Sistema de Medição de Faturamento</t>
  </si>
  <si>
    <t>GM-CPV-25_Energy Measurement System</t>
  </si>
  <si>
    <t>GM-CPV-26_Guia de Manutenção do Sistema de Drenagem e Esgotamento</t>
  </si>
  <si>
    <t>GM-CPV-26_Drainage and Dewatering System</t>
  </si>
  <si>
    <t>GM-CPV-27_Guia de Manutenção do Sistema de Separador de Óleo</t>
  </si>
  <si>
    <t>GM-CPV-27_Oil-Separator System</t>
  </si>
  <si>
    <t>GM-CPV-28_Guia de Manutenção dos stop-logs</t>
  </si>
  <si>
    <t>GM-CPV-28_Stoplog</t>
  </si>
  <si>
    <t>GM-CPV-29_Guia de Manutenção das Grades Tomada d agua</t>
  </si>
  <si>
    <t>GM-CPV-29_Trash Rack</t>
  </si>
  <si>
    <t>GM-CPV-33_Guia de Manutenção do Elevador</t>
  </si>
  <si>
    <t>GM-CPV-33_Elevator</t>
  </si>
  <si>
    <t>GM-CPV-40_Sistema de iluminação e pontos de tomada</t>
  </si>
  <si>
    <t>GM-CPV-40_Lighting system and outlet points</t>
  </si>
  <si>
    <t>GM-CPV-41_Sistema Proteção Descargas Atmosféricas (SPDA)</t>
  </si>
  <si>
    <t>GM-CPV-41_Lightning protection system</t>
  </si>
  <si>
    <t>GM-CPV-51_Transformadores auxiliares imersos em óleo</t>
  </si>
  <si>
    <t>GM-CPV-51_Oil-immersed Auxiliary Transformer</t>
  </si>
  <si>
    <t>GM-CPV-58_Guia de Manutenção do sistema de ventilação</t>
  </si>
  <si>
    <t>GM-CPV-58_Ventilation System</t>
  </si>
  <si>
    <t>GM-CPV-59_Sistema_CFTV</t>
  </si>
  <si>
    <t>GM-CPV-59_CCTV System</t>
  </si>
  <si>
    <t>GM-CPV-60_Guia de Manutenção de Sistema de Combate a Incêndios</t>
  </si>
  <si>
    <t>GM-CPV-60_Firefighting System</t>
  </si>
  <si>
    <t>GM-CPV-61_Guia de Manutenção das comportas do vertedouro</t>
  </si>
  <si>
    <t>GM-CPV-61_Spillway Gate</t>
  </si>
  <si>
    <t>GM-CPV-62_Guia de Manutenção da comporta de emergência</t>
  </si>
  <si>
    <t>GM-CPV-62_Emergency Gate</t>
  </si>
  <si>
    <t>GM-CPV-63_Ponte rolante jusante</t>
  </si>
  <si>
    <t>GM-CPV-63_Downstream Gantry Crane</t>
  </si>
  <si>
    <t>GM-CPV-65_Comporta de emergência Sistema hidráulico</t>
  </si>
  <si>
    <t>GM-CPV-65_Hydraulic Hoist - Emergency Gate</t>
  </si>
  <si>
    <t>GM-CPV-65_Comporta vertedor Sistema hidráulico</t>
  </si>
  <si>
    <t>GM-CPV-65_Hydraulic Hoist - Spillway Gate</t>
  </si>
  <si>
    <t>GM-CPV-71_Instrução de Manutenção Preditiva (MDM)</t>
  </si>
  <si>
    <t>GM-CPV-71_Predictive Maintenance System (MDM)</t>
  </si>
  <si>
    <t>GM-CPV-30.1_Pórtico de montante</t>
  </si>
  <si>
    <t>GM-CPV-30.1_Upstream Gantry Crane</t>
  </si>
  <si>
    <t>GM-CPV-30.2_Pórtico do vertedouro</t>
  </si>
  <si>
    <t>GM-CPV-30.2_Spillway Gantry Crane</t>
  </si>
  <si>
    <t>GM-CPV-31_Ponte rolante</t>
  </si>
  <si>
    <t>GM-CPV-31_Bridge Crane</t>
  </si>
  <si>
    <t>GM-CPV-32_Ponte rolante auxiliar</t>
  </si>
  <si>
    <t>GM-CPV-32_Auxiliary Bridge Crane</t>
  </si>
  <si>
    <t>GM-CPV-34_Depósito Óleo Hidráulico-Eng</t>
  </si>
  <si>
    <t>GM-CPV-34_Hydraulic Oil Depot-Eng</t>
  </si>
  <si>
    <t>GM-CPV-35_Conduto forçado</t>
  </si>
  <si>
    <t>GM-CPV-35_Penstock</t>
  </si>
  <si>
    <t>GM-GAR-00_Atividades antes e depois da MPP</t>
  </si>
  <si>
    <t>GM-GAR-00_Activities before and after MPP</t>
  </si>
  <si>
    <t>GM-GAR-01_Turbina e seus equipamentos auxiliares. PCH</t>
  </si>
  <si>
    <t>GM-GAR-01_Turbine and its Auxiliary Equipment PCH</t>
  </si>
  <si>
    <t>GM-GAR-01_Turbina e seus equipamentos auxiliares</t>
  </si>
  <si>
    <t>GM-GAR-01_Turbine and its Auxiliary Equipment</t>
  </si>
  <si>
    <t>GM-GAR-02_Gerador e auxiliares - Parte Mecânica PCH</t>
  </si>
  <si>
    <t>GM-GAR-02_Generator Mechanical Part and  Auxiliary Equipment SPP</t>
  </si>
  <si>
    <t>GM-GAR-02_Gerador e auxiliares - Parte Mecânica</t>
  </si>
  <si>
    <t>GM-GAR-02_Generator Mechanical Part and Its Auxiliary Equipment</t>
  </si>
  <si>
    <t>GM-GAR-03_Gerador-Parte elétrica</t>
  </si>
  <si>
    <t>GM-GAR-03_Generator-Electric parts</t>
  </si>
  <si>
    <t>GM-GAR-04_Sistemas Auxiliares da Unidade Geradora</t>
  </si>
  <si>
    <t>GM-GAR-04_Generating Unit Auxiliary Control System</t>
  </si>
  <si>
    <t>GM-GAR-05_Barramento de Saída do Gerador e Seus Acessórios</t>
  </si>
  <si>
    <t>GM-GAR-05_Generator Output Buses and Its Accessories</t>
  </si>
  <si>
    <t>GM-GAR-06_Transformador Elevador</t>
  </si>
  <si>
    <t>GM-GAR-06_Step-up Transformer</t>
  </si>
  <si>
    <t>GM-GAR-07_Transformadores a Seco</t>
  </si>
  <si>
    <t>GM-GAR-07_Dry-type Transformer</t>
  </si>
  <si>
    <t>GM-GAR-08_Equipamentos de Alta Tensão</t>
  </si>
  <si>
    <t>GM-GAR-08_High Voltage Equipment</t>
  </si>
  <si>
    <t>GM-GAR-09_Painéis de Média Tensão</t>
  </si>
  <si>
    <t>GM-GAR-09_Medium Voltage Switch Cabinet</t>
  </si>
  <si>
    <t>GM-GAR-10_Painéis de Baixa Tensão</t>
  </si>
  <si>
    <t>GM-GAR-10_Low Voltage Switch Cabinet</t>
  </si>
  <si>
    <t>GM-GAR-11_Cabos de Potência até 35kV</t>
  </si>
  <si>
    <t>GM-GAR-11_Power Cable Up to 35kV</t>
  </si>
  <si>
    <t>GM-GAR-12_Estação de Operacão</t>
  </si>
  <si>
    <t>GM-GAR-12_Host Computer</t>
  </si>
  <si>
    <t>GM-GAR-13_Unidade de Aquisição e Controle (UAC)</t>
  </si>
  <si>
    <t>GM-GAR-13_Local Control Unit</t>
  </si>
  <si>
    <t>GM-GAR-14_Sistema de Comunicação</t>
  </si>
  <si>
    <t>GM-GAR-14_Communication system</t>
  </si>
  <si>
    <t>GM-GAR-15_Proteção da Unidade Geradora</t>
  </si>
  <si>
    <t>GM-GAR-15_Generation Unit Protection</t>
  </si>
  <si>
    <t>GM-GAR-17_Sistema de proteção do serviço auxiliar</t>
  </si>
  <si>
    <t>GM-GAR-17_Auxiliary Power System protection</t>
  </si>
  <si>
    <t>GM-GAR-18_Sistema de Excitação</t>
  </si>
  <si>
    <t>GM-GAR-18_Excitation System</t>
  </si>
  <si>
    <t>GM-GAR-19_Sistema de Corrente Contínua</t>
  </si>
  <si>
    <t>GM-GAR-19_Direct Current System</t>
  </si>
  <si>
    <t>GM-GAR-20_Regulador de Velocidades - Parte Mecânica</t>
  </si>
  <si>
    <t>GM-GAR-20_Speed Governor System - Mechanical Part</t>
  </si>
  <si>
    <t>GM-GAR-21_Regulador de Velocidade - Parte Elétrica</t>
  </si>
  <si>
    <t>GM-GAR-21_Speed Governor System - Electrical Part</t>
  </si>
  <si>
    <t>GM-GAR-22_Compressor de ar</t>
  </si>
  <si>
    <t>GM-GAR-22_Air Compressor</t>
  </si>
  <si>
    <t>GM-GAR-23_Sistema de água de resfriamento</t>
  </si>
  <si>
    <t>GM-GAR-23_Cooling Water System</t>
  </si>
  <si>
    <t>GM-GAR-24_Gerador Diesel</t>
  </si>
  <si>
    <t>GM-GAR-24_Diesel Generator</t>
  </si>
  <si>
    <t>GM-GAR-25_Sistema de Medição de Faturamento</t>
  </si>
  <si>
    <t>GM-GAR-25_Energy Measurement System</t>
  </si>
  <si>
    <t>GM-GAR-26_Sistema de drenagem e esgotamento</t>
  </si>
  <si>
    <t>GM-GAR-26_Drainage and Dewatering System</t>
  </si>
  <si>
    <t>GM-GAR-27_Separador água-óleo</t>
  </si>
  <si>
    <t>GM-GAR-27_Oil-Separator System</t>
  </si>
  <si>
    <t>GM-GAR-28_Comporta de Manutenção</t>
  </si>
  <si>
    <t>GM-GAR-28_Stoplog</t>
  </si>
  <si>
    <t>GM-GAR-29_Grade</t>
  </si>
  <si>
    <t>GM-GAR-29_Trash Rack</t>
  </si>
  <si>
    <t>GM-GAR-33_Elevador</t>
  </si>
  <si>
    <t>GM-GAR-33_Elevator</t>
  </si>
  <si>
    <t>GM-GAR-40_Sistema de iluminação e pontos de tomada</t>
  </si>
  <si>
    <t>GM-GAR-40_Lighting system and outlet points</t>
  </si>
  <si>
    <t>GM-GAR-41_Sistema Proteção Descargas Atmosféricas (SPDA)</t>
  </si>
  <si>
    <t>GM-GAR-41_Lightning protection system</t>
  </si>
  <si>
    <t>GM-GAR-51_Transformadores auxiliares imersos em óleo</t>
  </si>
  <si>
    <t>GM-GAR-51_Oil-immersed Auxiliary Transformer</t>
  </si>
  <si>
    <t>GM-GAR-53_Linha de transmissão aérea</t>
  </si>
  <si>
    <t>GM-GAR-53_Overhead Transmission Line</t>
  </si>
  <si>
    <t>GM-GAR-55_Registrador de Perturbação</t>
  </si>
  <si>
    <t>GM-GAR-55_Fault Recording Device</t>
  </si>
  <si>
    <t>GM-GAR-56_Proteção de Barras</t>
  </si>
  <si>
    <t>GM-GAR-56_Busbar Protection</t>
  </si>
  <si>
    <t>GM-GAR-57_Proteção de Linha de Transmissão</t>
  </si>
  <si>
    <t>GM-GAR-57_Transmission Line protection</t>
  </si>
  <si>
    <t>GM-GAR-58_Sistema de ventilação</t>
  </si>
  <si>
    <t>GM-GAR-58_Ventilation System</t>
  </si>
  <si>
    <t>GM-GAR-59_Sistema_CFTV</t>
  </si>
  <si>
    <t>GM-GAR-59_CCTV System</t>
  </si>
  <si>
    <t>GM-GAR-60_Sistema combate incêndio</t>
  </si>
  <si>
    <t>GM-GAR-60_Firefighting System</t>
  </si>
  <si>
    <t>GM-GAR-62_Comporta de emergência</t>
  </si>
  <si>
    <t>GM-GAR-62_Emergency Gate</t>
  </si>
  <si>
    <t>GM-GAR-64_Válvula borboleta</t>
  </si>
  <si>
    <t>GM-GAR-64_Butterfly Valve</t>
  </si>
  <si>
    <t>GM-GAR-71_Sistema de Manutenção Preditiva (MDM)</t>
  </si>
  <si>
    <t>GM-GAR-71_Predictive Maintenance System (MDM)</t>
  </si>
  <si>
    <t>GM-GAR-30_Pórtico Montante</t>
  </si>
  <si>
    <t>GM-GAR-30_Upstream Gantry Crane</t>
  </si>
  <si>
    <t>GM-GAR-31_Ponte rolante</t>
  </si>
  <si>
    <t>GM-GAR-31_Bridge Crane</t>
  </si>
  <si>
    <t>GM-GAR-32_Ponte Rolante Auxiliar</t>
  </si>
  <si>
    <t>GM-GAR-32_Auxiliary Bridge Crane</t>
  </si>
  <si>
    <t>GM-GAR-32.1_Ponte Rolante Auxiliar</t>
  </si>
  <si>
    <t>GM-GAR-32.1_Auxiliary Bridge Crane</t>
  </si>
  <si>
    <t>GM-GAR-32.2_Pórtico Montante-PCH</t>
  </si>
  <si>
    <t>GM-GAR-32.2_Upstream Gantry Crane-SHP</t>
  </si>
  <si>
    <t>32.3</t>
  </si>
  <si>
    <t>GM-GAR-32.3_Monovia Válvula Dispersora-PCH</t>
  </si>
  <si>
    <t>GM-GAR-32.3_Dispersing Valve Monorail-SHP</t>
  </si>
  <si>
    <t>32.4</t>
  </si>
  <si>
    <t>GM-GAR-32.4_Monovia Jusante-PCH</t>
  </si>
  <si>
    <t>GM-GAR-32.4_Downstream Gate Monorail Equipment-SHP</t>
  </si>
  <si>
    <t>GM-GAR-34_Depósito de Óleo Hidráulico-Eng</t>
  </si>
  <si>
    <t>GM-GAR-34_Hydraulic Oil Depot-Eng</t>
  </si>
  <si>
    <t xml:space="preserve">GM-GAR-35_Conduto forçado </t>
  </si>
  <si>
    <t>GM-GAR-35_Penstock</t>
  </si>
  <si>
    <t>35.1</t>
  </si>
  <si>
    <t xml:space="preserve">GM-GAR-35.1_Conduto forçado UG04 </t>
  </si>
  <si>
    <t>GM-GAR-35.1_Penstock PU04</t>
  </si>
  <si>
    <t>GM-GAR-86_Sistema de cloro pastilha</t>
  </si>
  <si>
    <t>GM-GAR-86_Tablet chlorine system</t>
  </si>
  <si>
    <t>86.1</t>
  </si>
  <si>
    <t>GM-GAR-86.1_Sistema de cloro pastilha</t>
  </si>
  <si>
    <t>GM-GAR-86.1_Tablet chlorine system</t>
  </si>
  <si>
    <t>GM-GAR-63_Pórtico jusante</t>
  </si>
  <si>
    <t>GM-GAR-63_Downstream Gantry Crane</t>
  </si>
  <si>
    <t>GM-ILS-00_Atividades antes e depois da MPP</t>
  </si>
  <si>
    <t>GM-ILS-00_Activities before and after MPP</t>
  </si>
  <si>
    <t>GM-ILS-01_Turbina e seus equipamentos auxiliares</t>
  </si>
  <si>
    <t>GM-ILS-01_Turbine and its Auxiliary Equipment</t>
  </si>
  <si>
    <t>GM-ILS-02_Gerador e seus equipamentos auxiliares - Parte Mecânica</t>
  </si>
  <si>
    <t>GM-ILS-02_Generator Mechanical Part and Its Auxiliary Equipment</t>
  </si>
  <si>
    <t>GM-ILS-03_Gerador-Parte elétrica</t>
  </si>
  <si>
    <t>GM-ILS-03_Generator-Electric parts</t>
  </si>
  <si>
    <t>GM-ILS-04_Sistemas Auxiliares da Unidade Geradora</t>
  </si>
  <si>
    <t>GM-ILS-04_Generating Unit Auxiliary Control System</t>
  </si>
  <si>
    <t>GM-ILS-05_Barramento de Saída do Gerador e Seus Acessórios</t>
  </si>
  <si>
    <t>GM-ILS-05_Generator Output Buses and Its Accessories</t>
  </si>
  <si>
    <t>GM-ILS-06_Transformador Elevador</t>
  </si>
  <si>
    <t>GM-ILS-06_Step-up Transformer</t>
  </si>
  <si>
    <t>GM-ILS-07_Transformadores a Seco</t>
  </si>
  <si>
    <t>GM-ILS-07_Dry-type Transformer</t>
  </si>
  <si>
    <t>GM-ILS-08_Equipamentos de Alta Tensão</t>
  </si>
  <si>
    <t>GM-ILS-08_High Voltage Equipment</t>
  </si>
  <si>
    <t>GM-ILS-09_Painéis de Média Tensão</t>
  </si>
  <si>
    <t>GM-ILS-09_Medium Voltage Switch Cabinet</t>
  </si>
  <si>
    <t>GM-ILS-10_Painéis de Baixa Tensão</t>
  </si>
  <si>
    <t>GM-ILS-10_Low Voltage Switch Cabinet</t>
  </si>
  <si>
    <t>GM-ILS-11_Cabos de Potência até 35kV</t>
  </si>
  <si>
    <t>GM-ILS-11_Power Cable Up to 35kV</t>
  </si>
  <si>
    <t>GM-ILS-12_Estação de Operação</t>
  </si>
  <si>
    <t>GM-ILS-12_Host Computer</t>
  </si>
  <si>
    <t>GM-ILS-13_Unidade de Aquisição e Contole (UAC)</t>
  </si>
  <si>
    <t>GM-ILS-13_Local Control Unit</t>
  </si>
  <si>
    <t>GM-ILS-14_Sistema de Comunicação</t>
  </si>
  <si>
    <t>GM-ILS-14_Communication System</t>
  </si>
  <si>
    <t>GM-ILS-15_Proteção da Unidade Geradora</t>
  </si>
  <si>
    <t>GM-ILS-15_Generation Unit Protection</t>
  </si>
  <si>
    <t>GM-ILS-16_Proteção do Disjuntor de Alta Tensão</t>
  </si>
  <si>
    <t>GM-ILS-16_High Voltage Circuit Breaker protection</t>
  </si>
  <si>
    <t>GM-ILS-17_Sistema de proteção do serviço auxiliar</t>
  </si>
  <si>
    <t>GM-ILS-17_Auxiliary Power System protection</t>
  </si>
  <si>
    <t>GM-ILS-18_Sistema de Excitação</t>
  </si>
  <si>
    <t>GM-ILS-18_Excitation System</t>
  </si>
  <si>
    <t>GM-ILS-19_Sistema de Corrente Contínua</t>
  </si>
  <si>
    <t>GM-ILS-19_Direct Current System</t>
  </si>
  <si>
    <t>GM-ILS-20_Regulador de Velocidades - Parte Mecânica</t>
  </si>
  <si>
    <t>GM-ILS-20_Speed Governor System - Mechanical Part</t>
  </si>
  <si>
    <t>GM-ILS-21_Regulador de Velocidade - Parte Elétrica</t>
  </si>
  <si>
    <t>GM-ILS-21_Speed Governor System - Electrical Part</t>
  </si>
  <si>
    <t>GM-ILS-22_Compressor de ar</t>
  </si>
  <si>
    <t>GM-ILS-22_Air Compressor</t>
  </si>
  <si>
    <t>22.1</t>
  </si>
  <si>
    <t xml:space="preserve">GM-ILS-22.1_Compressor de ar do Sistema de Rebaixamento </t>
  </si>
  <si>
    <t xml:space="preserve">GM-ILS-22.1_Air Compressor of Synchronous Condensor  </t>
  </si>
  <si>
    <t>GM-ILS-23_Sistema de água de resfriamento</t>
  </si>
  <si>
    <t>GM-ILS-23_Cooling Water System</t>
  </si>
  <si>
    <t>GM-ILS-24_Gerador Diesel</t>
  </si>
  <si>
    <t>GM-ILS-24_Diesel Generator</t>
  </si>
  <si>
    <t>GM-ILS-25_Sistema de Medição de Faturamento</t>
  </si>
  <si>
    <t>GM-ILS-25 - Energy Measurement System</t>
  </si>
  <si>
    <t>GM-ILS-26_Sistema de drenagem e esgotamento</t>
  </si>
  <si>
    <t>GM-ILS-26_Drainage and Dewatering System</t>
  </si>
  <si>
    <t>GM-ILS-27_Separador água-óleo</t>
  </si>
  <si>
    <t>GM-ILS-27_Oil-Separator System</t>
  </si>
  <si>
    <t>GM-ILS-28_Comporta de Manutenção</t>
  </si>
  <si>
    <t>GM-ILS-28_Stoplog</t>
  </si>
  <si>
    <t>GM-ILS-29_Grade</t>
  </si>
  <si>
    <t>GM-ILS-29_Trash Rack</t>
  </si>
  <si>
    <t>GM-ILS-33_Elevador</t>
  </si>
  <si>
    <t>GM-ILS-33_Elevator</t>
  </si>
  <si>
    <t>GM-ILS-40_Sistema de iluminação e pontos de tomada</t>
  </si>
  <si>
    <t>GM-ILS-40_Lighting system and outlet points</t>
  </si>
  <si>
    <t>GM-ILS-41_Sistema Proteção Descargas Atmosféricas (SPDA)</t>
  </si>
  <si>
    <t>GM-ILS-41_Lightning protection system</t>
  </si>
  <si>
    <t>GM-ILS-51_Transformadores auxiliares imersos em óleo</t>
  </si>
  <si>
    <t>GM-ILS-51_Oil-immersed Auxiliary Transformer</t>
  </si>
  <si>
    <t>GM-ILS-55_Registrador de Perturbação</t>
  </si>
  <si>
    <t>GM-ILS-55_Fault Recording Device</t>
  </si>
  <si>
    <t>GM-ILS-56_Proteção de Barras</t>
  </si>
  <si>
    <t>GM-ILS-56_Busbar Protection</t>
  </si>
  <si>
    <t>GM-ILS-58_Sistema de ventilação</t>
  </si>
  <si>
    <t>GM-ILS-58_Ventilation System</t>
  </si>
  <si>
    <t>GM-ILS-59_Sistema_CFTV</t>
  </si>
  <si>
    <t>GM-ILS-59_CCTV System</t>
  </si>
  <si>
    <t>GM-ILS-60_Sistema combate incêndio</t>
  </si>
  <si>
    <t>GM-ILS-60_Firefighting System</t>
  </si>
  <si>
    <t>GM-ILS-61_Comporta de vertedouro</t>
  </si>
  <si>
    <t>GM-ILS-61_Spillway Gate</t>
  </si>
  <si>
    <t>GM-ILS-62_Comporta de emergência</t>
  </si>
  <si>
    <t>GM-ILS-62_Emergency Gate</t>
  </si>
  <si>
    <t>GM-ILS-65_Comporta vertedor Sistema hidráulico</t>
  </si>
  <si>
    <t>GM-ILS-65_Hydraulic Hoist （emergency）</t>
  </si>
  <si>
    <t>GM-ILS-67_Sistema de acionamento por correntes</t>
  </si>
  <si>
    <t>GM-ILS-67_Chain System</t>
  </si>
  <si>
    <t>GM-ILS-68_Máquina Limpa-Grades</t>
  </si>
  <si>
    <t>GM-ILS-68_Cleaning Machine</t>
  </si>
  <si>
    <t>GM-ILS-71_Instrução de Manutenção Preditiva (MDM)</t>
  </si>
  <si>
    <t>GM-ILS-71_Predictive Maintenance System (MDM)</t>
  </si>
  <si>
    <t>GM-ILS-30_Pórtico de montante</t>
  </si>
  <si>
    <t>GM-ILS-30_Upstream Gantry Crane</t>
  </si>
  <si>
    <t>GM-ILS-31_Ponte rolante</t>
  </si>
  <si>
    <t>GM-ILS-31_Bridge Crane</t>
  </si>
  <si>
    <t>GM-ILS-32.1_Ponte rolante auxiliar</t>
  </si>
  <si>
    <t>GM-ILS-32.1_Auxiliary Bridge Crane</t>
  </si>
  <si>
    <t>GM-ILS-32.2_Ponte rolante auxiliar</t>
  </si>
  <si>
    <t>GM-ILS-32.2_Auxiliary Bridge Crane</t>
  </si>
  <si>
    <t>GM-ILS-32.3_Ponte rolante-Galeria dos filtros</t>
  </si>
  <si>
    <t>GM-ILS-32.3_ Bridge Crane-Filters gallery</t>
  </si>
  <si>
    <t>GM-ILS-32.4_Ponte rolante-Hall de montagem</t>
  </si>
  <si>
    <t>GM-ILS-32.4_Bridge Crane-Assembly hall</t>
  </si>
  <si>
    <t>32.5</t>
  </si>
  <si>
    <t>GM-ILS-32.5_Portico rolante-Comporta emergência-160 e 20T</t>
  </si>
  <si>
    <t>GM-ILS-32.5_Emergency gate Gantry Crane-160 e 20T</t>
  </si>
  <si>
    <t>32.6</t>
  </si>
  <si>
    <t>GM-ILS-32.6_Elevador monta carga</t>
  </si>
  <si>
    <t>GM-ILS-32.6_Elevator mounts cargo</t>
  </si>
  <si>
    <t>32.7</t>
  </si>
  <si>
    <t>GM-ILS-32.7_Ponte rolante-Monta carga</t>
  </si>
  <si>
    <t>GM-ILS-32.7_ Bridge Crane-Mounts cargo</t>
  </si>
  <si>
    <t>GM-ILS-34_Deposito de óleo hidráulico</t>
  </si>
  <si>
    <t>GM-ILS-34_Hydraulic Oil Depot-Eng</t>
  </si>
  <si>
    <t>63.1</t>
  </si>
  <si>
    <t>GM-ILS-63.1_Ponte rolante jusante- 400KN</t>
  </si>
  <si>
    <t>GM-ILS-63.1_Downstream Bridge Crane-400kN</t>
  </si>
  <si>
    <t>63.2</t>
  </si>
  <si>
    <t>GM-ILS-63.2_Portico rolante jusante-280 e 50T</t>
  </si>
  <si>
    <t>GM-ILS-63.2_Downstream Gantry Crane-280 e 50T</t>
  </si>
  <si>
    <t>GM-ILS-84_Tratamento de esgoto</t>
  </si>
  <si>
    <t>GM-ILS-84_Sewage treatment</t>
  </si>
  <si>
    <t>GM-ILS-35_Conduto forçado</t>
  </si>
  <si>
    <t>GM-ILS-35_Penstock</t>
  </si>
  <si>
    <t xml:space="preserve">GM-ILS-87_Inspeção dos Dispositivos de Içamento das linhas de Eixo </t>
  </si>
  <si>
    <t>GM-ILS-87_Shaft Lines Lifting Devices</t>
  </si>
  <si>
    <t>GM-ILS-72_Rebocador Urubupunga</t>
  </si>
  <si>
    <t xml:space="preserve">GM-ILS-72_Urubupunga Tugboat </t>
  </si>
  <si>
    <t>GM-JUP-00_Atividades antes e depois da MPP</t>
  </si>
  <si>
    <t>GM-JUP-00_Activities before and after MPP</t>
  </si>
  <si>
    <t>GM-JUP-01_Turbina e seus equipamentos auxiliares</t>
  </si>
  <si>
    <t>GM-JUP-01_Turbine and its Auxiliary Equipment</t>
  </si>
  <si>
    <t>GM-JUP-02_Gerador e seus equipamentos auxiliares - Parte Mecânica</t>
  </si>
  <si>
    <t>GM-JUP-02_Generator Mechanical Part and Its Auxiliary Equipment</t>
  </si>
  <si>
    <t>GM-JUP-03_Gerador-Parte elétrica</t>
  </si>
  <si>
    <t>GM-JUP-03_Generator-Electric parts</t>
  </si>
  <si>
    <t>GM-JUP-04_Sistemas Auxiliares da Unidade Geradora</t>
  </si>
  <si>
    <t>GM-JUP-04_Generating Unit Auxiliary Control System</t>
  </si>
  <si>
    <t>GM-JUP-05_Barramento de Saída do Gerador e Seus Acessórios</t>
  </si>
  <si>
    <t>GM-JUP-05_Generator Output Buses and Its Accessories</t>
  </si>
  <si>
    <t>GM-JUP-06_Transformador Elevador</t>
  </si>
  <si>
    <t>GM-JUP-06_Step-up Transformer</t>
  </si>
  <si>
    <t>GM-JUP-07_Transformadores a Seco</t>
  </si>
  <si>
    <t>GM-JUP-07_Dry-type Transformer</t>
  </si>
  <si>
    <t>GM-JUP-08_Equipamento de Alta Tensão</t>
  </si>
  <si>
    <t>GM-JUP-08_High Voltage Equipment</t>
  </si>
  <si>
    <t>GM-JUP-09_Painéis de Média Tensão</t>
  </si>
  <si>
    <t>GM-JUP-09_Medium Voltage Switch Cabinet</t>
  </si>
  <si>
    <t>GM-JUP-10_Painéis de Baixa Tensão</t>
  </si>
  <si>
    <t>GM-JUP-10_Low Voltage Switch Cabinet</t>
  </si>
  <si>
    <t>GM-JUP-11_Cabos de Potência até 35kV</t>
  </si>
  <si>
    <t>GM-JUP-11_Power Cable Up to 35kV</t>
  </si>
  <si>
    <t>GM-JUP-12_Estação de Operação</t>
  </si>
  <si>
    <t>GM-JUP-12_Host Computer</t>
  </si>
  <si>
    <t>GM-JUP-13_Unidade de Aquisição e Contole (UAC)</t>
  </si>
  <si>
    <t>GM-JUP-13_Local Control Unit</t>
  </si>
  <si>
    <t>GM-JUP-14_Sistema de Comunicação</t>
  </si>
  <si>
    <t>GM-JUP-14_Communication system</t>
  </si>
  <si>
    <t>GM-JUP-15_Proteção da Unidade Geradora</t>
  </si>
  <si>
    <t>GM-JUP-15_Generation Unit Protection</t>
  </si>
  <si>
    <t>GM-JUP-16_Proteção do Disjuntor de Alta Tensão</t>
  </si>
  <si>
    <t>GM-JUP-16_High Voltage Circuit Breaker protection</t>
  </si>
  <si>
    <t>GM-JUP-17_Sistema de proteção do serviço auxiliar</t>
  </si>
  <si>
    <t>GM-JUP-17_Auxiliary Power System protection</t>
  </si>
  <si>
    <t>GM-JUP-18_Sistema de Excitação</t>
  </si>
  <si>
    <t>GM-JUP-18_Excitation System</t>
  </si>
  <si>
    <t>GM-JUP-19_Sistema de Corrente Contínua</t>
  </si>
  <si>
    <t>GM-JUP-19_Direct Current System</t>
  </si>
  <si>
    <t>GM-JUP-20_Regulador de Velocidades - Parte Mecânica</t>
  </si>
  <si>
    <t>GM-JUP-20_Speed Governor System - Mechanical Part</t>
  </si>
  <si>
    <t>GM-JUP-21_Regulador de Velocidade - Parte Elétrica</t>
  </si>
  <si>
    <t>GM-JUP-21_Speed Governor System - Electrical Part</t>
  </si>
  <si>
    <t>GM-JUP-22_Compressor de ar</t>
  </si>
  <si>
    <t>GM-JUP-22_Air Compressor</t>
  </si>
  <si>
    <t>GM-JUP-23_Sistema de água de resfriamento</t>
  </si>
  <si>
    <t>GM-JUP-23_Cooling Water System</t>
  </si>
  <si>
    <t>GM-JUP-24_Gerador Diesel</t>
  </si>
  <si>
    <t>GM-JUP-24_Diesel Generator</t>
  </si>
  <si>
    <t>GM-JUP-25_Sistema de Medição de Faturamento</t>
  </si>
  <si>
    <t>GM-JUP-25_Energy Measurement System</t>
  </si>
  <si>
    <t>GM-JUP-26_Sistema de drenagem e esgotamento</t>
  </si>
  <si>
    <t>GM-JUP-26_Drainage and Dewatering System</t>
  </si>
  <si>
    <t>GM-JUP-27_Separador água-óleo</t>
  </si>
  <si>
    <t>GM-JUP-27_Oil-Separator System</t>
  </si>
  <si>
    <t>GM-JUP-28_Comporta de Manutenção</t>
  </si>
  <si>
    <t>GM-JUP-28_Stoplog</t>
  </si>
  <si>
    <t>GM-JUP-29_Grades</t>
  </si>
  <si>
    <t>GM-JUP-29_Trash Rack</t>
  </si>
  <si>
    <t>GM-JUP-33_Elevador</t>
  </si>
  <si>
    <t>GM-JUP-33_Elevator</t>
  </si>
  <si>
    <t>GM-JUP-40_Sistema de iluminação e pontos de tomada</t>
  </si>
  <si>
    <t>GM-JUP-40_Lighting system and outlet points</t>
  </si>
  <si>
    <t>GM-JUP-41_Sistema Proteção Descargas Atmosféricas (SPDA)</t>
  </si>
  <si>
    <t>GM-JUP-41_Lightning protection system</t>
  </si>
  <si>
    <t>GM-JUP-51_Transformadores auxiliares imersos em óleo</t>
  </si>
  <si>
    <t>GM-JUP-51_Oil-immersed Auxiliary Transformer</t>
  </si>
  <si>
    <t>GM-JUP-55_Registrador de Perturbação</t>
  </si>
  <si>
    <t>GM-JUP-55_Fault Recording Device</t>
  </si>
  <si>
    <t>GM-JUP-56_Proteção de Barras</t>
  </si>
  <si>
    <t>GM-JUP-56_Busbar Protection</t>
  </si>
  <si>
    <t>GM-JUP-58_Sistema de ventilação</t>
  </si>
  <si>
    <t>GM-JUP-58_Ventilation System</t>
  </si>
  <si>
    <t>GM-JUP-59_Sistema_CFTV</t>
  </si>
  <si>
    <t>GM-JUP-59_CCTV System</t>
  </si>
  <si>
    <t>GM-JUP-60_Sistema combate incêndio</t>
  </si>
  <si>
    <t>GM-JUP-60_Firefighting System</t>
  </si>
  <si>
    <t>GM-JUP-62_Comporta de emergência</t>
  </si>
  <si>
    <t>GM-JUP-62_Emergency Gate</t>
  </si>
  <si>
    <t>GM-JUP-63.1_Ponte rolante jusante</t>
  </si>
  <si>
    <t>GM-JUP-63.1_Downstream Bridge Crane</t>
  </si>
  <si>
    <t>GM-JUP-63.2_Ponte rolante dos transformadores</t>
  </si>
  <si>
    <t>GM-JUP-63.2_Transformers Bridge cranes</t>
  </si>
  <si>
    <t>63.3</t>
  </si>
  <si>
    <t>GM-JUP-63.3_Ponte rolante da comporta de emergência</t>
  </si>
  <si>
    <t>GM-JUP-63.3_Emergency gate Bridge Crane</t>
  </si>
  <si>
    <t>GM-JUP-64_Válvula borboleta</t>
  </si>
  <si>
    <t>GM-JUP-64_Butterfly Valve</t>
  </si>
  <si>
    <t>GM-JUP-65_Sistema Hidráulico da comporta</t>
  </si>
  <si>
    <t>GM-JUP-65_Hydraulic Hoist (emergency)</t>
  </si>
  <si>
    <t>GM-JUP-66_Guincho</t>
  </si>
  <si>
    <t>GM-JUP-66_Winch</t>
  </si>
  <si>
    <t>GM-JUP-67_Sistema de acionamento por correntes</t>
  </si>
  <si>
    <t>GM-JUP-67_Chain System</t>
  </si>
  <si>
    <t>GM-JUP-68_Máquina Limpa-Grades</t>
  </si>
  <si>
    <t>GM-JUP-68_Cleaning Machine</t>
  </si>
  <si>
    <t>GM-JUP-71_Instrução de Manutenção Preditiva (MDM)</t>
  </si>
  <si>
    <t>GM-JUP-71_Predictive Maintenance System (MDM)</t>
  </si>
  <si>
    <t>GM-JUP-30.1_ Pórtico da tomada d`água</t>
  </si>
  <si>
    <t>GM-JUP-30.1_Inlet Gantry Crane</t>
  </si>
  <si>
    <t>GM-JUP-30.2_Pórtico vertedouro</t>
  </si>
  <si>
    <t>GM-JUP-30.2_Spillway Gantry Crane</t>
  </si>
  <si>
    <t>GM-JUP-32.1_Ponte rolante auxiliar</t>
  </si>
  <si>
    <t>GM-JUP-32.1_Auxiliary Bridge Crane</t>
  </si>
  <si>
    <t>GM-JUP-32.2_Ponte rolante sala do regulador de velocidade</t>
  </si>
  <si>
    <t>GM-JUP-32.2_Speed Governor Room Bridge Crane</t>
  </si>
  <si>
    <t>GM-JUP-32.3_Ponte rolante almoxarifado-Galpão novo</t>
  </si>
  <si>
    <t>GM-JUP-32.3_Warehouse Bridge Crane-New Shed</t>
  </si>
  <si>
    <t>GM-JUP-32.4_Ponte rolante almoxarifado-Galpão 6F</t>
  </si>
  <si>
    <t>GM-JUP-32.4_Warehouse Bridge Crane-Shed 6F</t>
  </si>
  <si>
    <t>GM-JUP-31_Ponte rolante</t>
  </si>
  <si>
    <t>GM-JUP-31_Bridge Crane</t>
  </si>
  <si>
    <t>GM-JUP-32_Ponte rolante auxiliar</t>
  </si>
  <si>
    <t>GM-JUP-32_Auxiliary Bridge Crane</t>
  </si>
  <si>
    <t>GM-JUP-34_Deposito de óleo hidráulico</t>
  </si>
  <si>
    <t>GM-JUP-34_Hydraulic Oil Depot-Eng</t>
  </si>
  <si>
    <t xml:space="preserve">GM-JUP-72_Barrageiro </t>
  </si>
  <si>
    <t xml:space="preserve">GM-JUP-72_Barrageiro Boat </t>
  </si>
  <si>
    <t>GM-JUR-00_Atividades antes e depois da MPP</t>
  </si>
  <si>
    <t>GM-JUR-00_Activities before and after MPP</t>
  </si>
  <si>
    <t>GM-JUR-01_Turbina e equipamentos auxiliares</t>
  </si>
  <si>
    <t>GM-JUR-01_Turbine and its Auxiliary Equipment</t>
  </si>
  <si>
    <t>GM-JUR-02_Gerador e equipamentos auxiliares - Parte Mecânica</t>
  </si>
  <si>
    <t>GM-JUR-02_Generator Mechanical Part and Its Auxiliary Equipment</t>
  </si>
  <si>
    <t>GM-JUR-03_Gerador-Parte elétrica</t>
  </si>
  <si>
    <t>GM-JUR-03_Generator-Electric parts</t>
  </si>
  <si>
    <t>GM-JUR-04_Sistemas Auxiliares da Unidade Geradora</t>
  </si>
  <si>
    <t>GM-JUR-04_Generating Unit Auxiliary Control System</t>
  </si>
  <si>
    <t>GM-JUR-05_Barramento de Saída do Gerador e Seus Acessórios</t>
  </si>
  <si>
    <t>GM-JUR-05_Generator Output Buses and Its Accessories</t>
  </si>
  <si>
    <t>GM-JUR-06_Transformador Elevador</t>
  </si>
  <si>
    <t>GM-JUR-06_Step-up Transformer</t>
  </si>
  <si>
    <t>GM-JUR-07_Transformadores a Seco</t>
  </si>
  <si>
    <t>GM-JUR-07_Dry-type Transformer</t>
  </si>
  <si>
    <t>GM-JUR-08_Equipamentos de Alta Tensão</t>
  </si>
  <si>
    <t>GM-JUR-08_High Voltage Equipment</t>
  </si>
  <si>
    <t>GM-JUR-09_Painéis de Média Tensão</t>
  </si>
  <si>
    <t>GM-JUR-09_Medium Voltage Switch Cabinet</t>
  </si>
  <si>
    <t>GM-JUR-10_Painéis de Baixa Tensão</t>
  </si>
  <si>
    <t>GM-JUR-10_Low Voltage Switch Cabinet</t>
  </si>
  <si>
    <t>GM-JUR-11_Cabos de Potência até 35kV</t>
  </si>
  <si>
    <t>GM-JUR-11_Power Cable Up to 35kV</t>
  </si>
  <si>
    <t>GM-JUR-12_Estação de Operacão</t>
  </si>
  <si>
    <t>GM-JUR-12_Host Computer</t>
  </si>
  <si>
    <t>GM-JUR-13_Unidade de Aquisição e Controle (UAC)</t>
  </si>
  <si>
    <t>GM-JUR-13_Local Control Unit</t>
  </si>
  <si>
    <t>GM-JUR-14_Sistema de Comunicação</t>
  </si>
  <si>
    <t>GM-JUR-14_Communication system</t>
  </si>
  <si>
    <t>GM-JUR-15_Proteção da Unidade Geradora</t>
  </si>
  <si>
    <t>GM-JUR-15_Generation Unit Protection</t>
  </si>
  <si>
    <t>GM-JUR-17_Sistema de proteção do serviço auxiliar</t>
  </si>
  <si>
    <t>GM-JUR-17_Auxiliary Power System protection</t>
  </si>
  <si>
    <t>GM-JUR-18_Sistema de Excitação</t>
  </si>
  <si>
    <t>GM-JUR-18_Excitation System</t>
  </si>
  <si>
    <t>GM-JUR-19_Sistema de Corrente Contínua</t>
  </si>
  <si>
    <t>GM-JUR-19_Direct Current System</t>
  </si>
  <si>
    <t>GM-JUR-20_Regulador de velocidade - Parte Mecânica</t>
  </si>
  <si>
    <t>GM-JUR-20_Speed Governor System - Mechanical Part</t>
  </si>
  <si>
    <t>GM-JUR-21_Regulador de Velocidade - Parte Elétrica</t>
  </si>
  <si>
    <t>GM-JUR-21_Speed Governor System - Electrical Part</t>
  </si>
  <si>
    <t>GM-JUR-22_Compressor de ar</t>
  </si>
  <si>
    <t>GM-JUR-22_Air Compressor</t>
  </si>
  <si>
    <t>GM-JUR-23_Sistema de água de resfriamento</t>
  </si>
  <si>
    <t>GM-JUR-23_Cooling Water System</t>
  </si>
  <si>
    <t>GM-JUR-24_Diesel Generator</t>
  </si>
  <si>
    <t>GM-JUR-24_Gerador Diesel</t>
  </si>
  <si>
    <t>GM-JUR-25_Sistema de Medição de Faturamento</t>
  </si>
  <si>
    <t>GM-JUR-25_Energy Measurement System</t>
  </si>
  <si>
    <t>GM-JUR-26_Sistema de drenagem e esgotamento</t>
  </si>
  <si>
    <t>GM-JUR-26_Drainage and Dewatering System</t>
  </si>
  <si>
    <t>GM-JUR-27_Sistema separador de óleo</t>
  </si>
  <si>
    <t>GM-JUR-27_Oil-Separator System</t>
  </si>
  <si>
    <t>GM-JUR-28_Comporta de manutenção</t>
  </si>
  <si>
    <t>GM-JUR-28_Stoplog</t>
  </si>
  <si>
    <t>GM-JUR-30.1_Pórtico montante</t>
  </si>
  <si>
    <t>GM-JUR-30.1_Upstream Gantry Crane</t>
  </si>
  <si>
    <t>GM-JUR-30.2_Pórtico dos transformadores</t>
  </si>
  <si>
    <t>GM-JUR-30.2_Transformers Gantry Crane</t>
  </si>
  <si>
    <t>GM-JUR-29_Grade</t>
  </si>
  <si>
    <t>GM-JUR-29_Trash Rack</t>
  </si>
  <si>
    <t>GM-JUR-33_Elevador</t>
  </si>
  <si>
    <t>GM-JUR-33_Elevator</t>
  </si>
  <si>
    <t>GM-JUR-40_Sistema de iluminação e pontos de tomada</t>
  </si>
  <si>
    <t>GM-JUR-40_Lighting system and outlet points</t>
  </si>
  <si>
    <t>GM-JUR-41_Sistema Proteção Descargas Atmosféricas (SPDA)</t>
  </si>
  <si>
    <t>GM-JUR-41_Lightning protection system</t>
  </si>
  <si>
    <t>GM-JUR-51_Transformadores auxiliares imersos a oleo</t>
  </si>
  <si>
    <t>GM-JUR-51_Oil-immersed Auxiliary Transformer</t>
  </si>
  <si>
    <t>GM-JUR-58_Sistema de ventilação</t>
  </si>
  <si>
    <t>GM-JUR-58_Ventilation System</t>
  </si>
  <si>
    <t>GM-JUR-59_Sistema_CFTV</t>
  </si>
  <si>
    <t>GM-JUR-59_CCTV System</t>
  </si>
  <si>
    <t>GM-JUR-60_Sistema anti incêndio</t>
  </si>
  <si>
    <t>GM-JUR-60_Firefighting System</t>
  </si>
  <si>
    <t>GM-JUR-61_Comporta de vertedouro</t>
  </si>
  <si>
    <t>GM-JUR-61_Spillway Gate</t>
  </si>
  <si>
    <t>GM-JUR-62_Comporta de emergência</t>
  </si>
  <si>
    <t>GM-JUR-62_Emergency Gate</t>
  </si>
  <si>
    <t>GM-JUR-65_Comporta de emergência Sistema hidráulico</t>
  </si>
  <si>
    <t>GM-JUR-65_Hydraulic Hoist （emergency）</t>
  </si>
  <si>
    <t>GM-JUR-65_Comporta vertedor Sistema hidráulico</t>
  </si>
  <si>
    <t>GM-JUR-65_Hydraulic Hoist （spillway）</t>
  </si>
  <si>
    <t>GM-JUR-67_Sistema de acionamento por correntes</t>
  </si>
  <si>
    <t>GM-JUR-67_Chain System</t>
  </si>
  <si>
    <t>GM-JUR-71_Sistema de Manutenção Preditiva (MDM)</t>
  </si>
  <si>
    <t>GM-JUR-71_Predictive Maintenance System (MDM)</t>
  </si>
  <si>
    <t>GM-JUR-30_Pórtico montante</t>
  </si>
  <si>
    <t>GM-JUR-30_Upstream Gantry Crane</t>
  </si>
  <si>
    <t>GM-JUR-31_Ponte rolante</t>
  </si>
  <si>
    <t>GM-JUR-31_Bridge Crane</t>
  </si>
  <si>
    <t>GM-JUR-32_Ponte rolante auxiliar</t>
  </si>
  <si>
    <t>GM-JUR-32_Auxiliary Bridge Crane</t>
  </si>
  <si>
    <t>GM-JUR-34_Depósito de óleo hidráulico-Eng</t>
  </si>
  <si>
    <t>GM-JUR-34_Hydraulic Oil Depot-Eng</t>
  </si>
  <si>
    <t>GM-JUR-35_Conduto forçado</t>
  </si>
  <si>
    <t>GM-JUR-35_Penstock</t>
  </si>
  <si>
    <t>GM-JUR-63_Pórtico jusante</t>
  </si>
  <si>
    <t>GM-JUR-63_Downstream Gantry Crane</t>
  </si>
  <si>
    <t>GM-PLM-00_Atividades antes e depois da MPP</t>
  </si>
  <si>
    <t>GM-PLM-00_Activities before and after MPP</t>
  </si>
  <si>
    <t>GM-PLM-01_Turbina e seus equipamentos auxiliares</t>
  </si>
  <si>
    <t>GM-PLM-01_Turbine and its Auxiliary Equipment</t>
  </si>
  <si>
    <t>GM-PLM-02_Gerador e seus equipamentos auxiliares parte mecânica</t>
  </si>
  <si>
    <t>GM-PLM-02_Generator Mechanical Part and Its Auxiliary Equipment</t>
  </si>
  <si>
    <t>GM-PLM-03_Gerador-Parte elétrica</t>
  </si>
  <si>
    <t>GM-PLM-03_Generator-Electric parts</t>
  </si>
  <si>
    <t>GM-PLM-04_Sistemas Auxiliares da Unidade Geradora</t>
  </si>
  <si>
    <t>GM-PLM-04_Generating Unit Auxiliary Control System</t>
  </si>
  <si>
    <t>GM-PLM-05_Barramento de Saída do Gerador e Seus Acessórios</t>
  </si>
  <si>
    <t>GM-PLM-05_Generator Output Buses and Its Accessories</t>
  </si>
  <si>
    <t>GM-PLM-06_Transformador Elevador</t>
  </si>
  <si>
    <t>GM-PLM-06_Step-up Transformer</t>
  </si>
  <si>
    <t>GM-PLM-07_Transformadores a Seco</t>
  </si>
  <si>
    <t>GM-PLM-07_Dry-type Transformer</t>
  </si>
  <si>
    <t>GM-PLM-08_Equipamentos de Alta Tensão</t>
  </si>
  <si>
    <t>GM-PLM-08_High Voltage Equipment</t>
  </si>
  <si>
    <t>GM-PLM-09_Painéis de Média Tensão</t>
  </si>
  <si>
    <t>GM-PLM-09_Medium Voltage Switch Cabinet</t>
  </si>
  <si>
    <t>GM-PLM-10_Painéis de Baixa Tensão</t>
  </si>
  <si>
    <t>GM-PLM-10_Low Voltage Switch Cabinet</t>
  </si>
  <si>
    <t>GM-PLM-11_Cabos de Potência até 35kV</t>
  </si>
  <si>
    <t>GM-PLM-11_Power Cable Up to 35kV</t>
  </si>
  <si>
    <t>GM-PLM-12_Estação de Operacão</t>
  </si>
  <si>
    <t>GM-PLM-12_Host Computer</t>
  </si>
  <si>
    <t>GM-PLM-13_Unidade de Aquisição e Controle (UAC)</t>
  </si>
  <si>
    <t>GM-PLM-13_Local Control Unit</t>
  </si>
  <si>
    <t>GM-PLM-14_Sistema de Comunicação</t>
  </si>
  <si>
    <t>GM-PLM-14_Communication system</t>
  </si>
  <si>
    <t>GM-PLM-15_Proteção da Unidade Geradora</t>
  </si>
  <si>
    <t>GM-PLM-15_Generation Unit Protection</t>
  </si>
  <si>
    <t>GM-PLM-17_Sistema de proteção do serviço auxiliar</t>
  </si>
  <si>
    <t>GM-PLM-17_Auxiliary Power System protection</t>
  </si>
  <si>
    <t>GM-PLM-18_Sistema de Excitação</t>
  </si>
  <si>
    <t>GM-PLM-18_Excitation System</t>
  </si>
  <si>
    <t>GM-PLM-19_Sistema de Corrente Contínua</t>
  </si>
  <si>
    <t>GM-PLM-19_Direct Current System</t>
  </si>
  <si>
    <t>GM-PLM-20_Regulador de velocidades parte mecânica</t>
  </si>
  <si>
    <t>GM-PLM-20_Speed Governor System - Mechanical Part</t>
  </si>
  <si>
    <t>GM-PLM-21_Regulador de Velocidade - Parte Elétrica</t>
  </si>
  <si>
    <t>GM-PLM-21_Speed Governor System - Electrical Part</t>
  </si>
  <si>
    <t>GM-PLM-22_Compressor de ar</t>
  </si>
  <si>
    <t>GM-PLM-22_Air Compressor</t>
  </si>
  <si>
    <t>GM-PLM-23_Manutenção do Sistema de Água de Resfriamento</t>
  </si>
  <si>
    <t>GM-PLM-23_Cooling Water System</t>
  </si>
  <si>
    <t>GM-PLM-24_Gerador Diesel</t>
  </si>
  <si>
    <t>GM-PLM-24_Diesel Generator</t>
  </si>
  <si>
    <t>GM-PLM-25_Sistema de Medição de Faturamento</t>
  </si>
  <si>
    <t>GM-PLM-25_Energy Measurement System</t>
  </si>
  <si>
    <t>GM-PLM-26_Manutenção do Sistema de Drenagem e Esgotamento</t>
  </si>
  <si>
    <t>GM-PLM-26_Drainage and Dewatering System</t>
  </si>
  <si>
    <t>GM-PLM-27_Manutenção do Sistema de Separador de Óleo</t>
  </si>
  <si>
    <t>GM-PLM-27_Oil-Separator System</t>
  </si>
  <si>
    <t>GM-PLM-28_Manutenção de Stop log</t>
  </si>
  <si>
    <t>GM-PLM-28_Stoplog</t>
  </si>
  <si>
    <t>GM-PLM-29_Grades</t>
  </si>
  <si>
    <t>GM-PLM-29_Trash Rack</t>
  </si>
  <si>
    <t>GM-PLM-40_Sistema de iluminação e pontos de tomada</t>
  </si>
  <si>
    <t>GM-PLM-40_Lighting system and outlet points</t>
  </si>
  <si>
    <t>GM-PLM-41_Sistema Proteção Descargas Atmosféricas (SPDA)</t>
  </si>
  <si>
    <t>GM-PLM-41_Lightning protection system</t>
  </si>
  <si>
    <t>GM-PLM-59_Sistema_CFTV</t>
  </si>
  <si>
    <t>GM-PLM-59_CCTV System</t>
  </si>
  <si>
    <t>GM-PLM-60_Sistema de Combate a Incêndios</t>
  </si>
  <si>
    <t>GM-PLM-60_Firefighting System</t>
  </si>
  <si>
    <t>GM-PLM-61_Comporta do Vertedouro</t>
  </si>
  <si>
    <t>GM-PLM-61_Spillway Gate</t>
  </si>
  <si>
    <t>GM-PLM-62_Comporta de Emergência</t>
  </si>
  <si>
    <t>GM-PLM-62_Emergency Gate</t>
  </si>
  <si>
    <t>GM-PLM-65_Comporta de emergência Sistema hidráulico</t>
  </si>
  <si>
    <t>GM-PLM-65_Hydraulic Hoist (emergency）</t>
  </si>
  <si>
    <t>GM-PLM-65_Comporta vertedor Sistema hidráulico</t>
  </si>
  <si>
    <t>GM-PLM-65_Hydraulic Hoist (spillway）</t>
  </si>
  <si>
    <t>GM-PLM-71_Instrução de Manutenção Preditiva (MDM)</t>
  </si>
  <si>
    <t>GM-PLM-71_Predictive Maintenance System (MDM)</t>
  </si>
  <si>
    <t>GM-PLM-30_Pórtico de montante</t>
  </si>
  <si>
    <t>GM-PLM-30_Upstream Gantry Crane</t>
  </si>
  <si>
    <t>GM-PLM-31_Ponte rolante</t>
  </si>
  <si>
    <t>GM-PLM-31_Bridge Crane</t>
  </si>
  <si>
    <t>GM-PLM-34_Depósito óleo hidráulico-Eng</t>
  </si>
  <si>
    <t>GM-PLM-34_Hydraulic Oil Depot-Eng</t>
  </si>
  <si>
    <t>GM-RET-00_Atividades antes e depois da MPP</t>
  </si>
  <si>
    <t>GM-RET-00_Activities before and after MPP</t>
  </si>
  <si>
    <t>GM-RET-01_Turbina e seus equipamentos auxiliares</t>
  </si>
  <si>
    <t>GM-RET-01_Turbine and its Auxiliary Equipment</t>
  </si>
  <si>
    <t>GM-RET-02_Gerador e seus equipamentos auxiliares parte mecânica</t>
  </si>
  <si>
    <t>GM-RET-02_Generator Mechanical Part and Its Auxiliary Equipment</t>
  </si>
  <si>
    <t>GM-RET-03_Gerador-Parte elétrica</t>
  </si>
  <si>
    <t>GM-RET-03_Generator-Electric parts</t>
  </si>
  <si>
    <t>GM-RET-04_Sistemas Auxiliares da Unidade Geradora</t>
  </si>
  <si>
    <t>GM-RET-04_Generating Unit Auxiliary Control System</t>
  </si>
  <si>
    <t>GM-RET-05_Barramento de Saída do Gerador e Seus Acessórios</t>
  </si>
  <si>
    <t>GM-RET-05_Generator Output Buses and Its Accessories</t>
  </si>
  <si>
    <t>GM-RET-06_Transformador Elevador</t>
  </si>
  <si>
    <t>GM-RET-06_Step-up Transformer</t>
  </si>
  <si>
    <t>GM-RET-07_Transformadores a Seco</t>
  </si>
  <si>
    <t>GM-RET-07_Dry-type Transformer</t>
  </si>
  <si>
    <t>GM-RET-08_Equipamentos de Alta Tensão</t>
  </si>
  <si>
    <t>GM-RET-08_High Voltage Equipment</t>
  </si>
  <si>
    <t>GM-RET-09_Painéis de Média Tensão</t>
  </si>
  <si>
    <t>GM-RET-09_Medium Voltage Switch Cabinet</t>
  </si>
  <si>
    <t>GM-RET-10_Painéis de Baixa Tensão</t>
  </si>
  <si>
    <t>GM-RET-10_Low Voltage Switch Cabinet</t>
  </si>
  <si>
    <t>GM-RET-11_Cabos de Potência até 35kV</t>
  </si>
  <si>
    <t>GM-RET-11_Power Cable Up to 35kV</t>
  </si>
  <si>
    <t>GM-RET-12_Estação de Operacão</t>
  </si>
  <si>
    <t>GM-RET-12_Host Computer</t>
  </si>
  <si>
    <t>GM-RET-13_Unidade de Aquisição e Controle (UAC)</t>
  </si>
  <si>
    <t>GM-RET-13_Local Control Unit</t>
  </si>
  <si>
    <t>GM-RET-14_Sistema de Comunicação</t>
  </si>
  <si>
    <t>GM-RET-14_Communication system</t>
  </si>
  <si>
    <t>GM-RET-15_Proteção da Unidade Geradora</t>
  </si>
  <si>
    <t>GM-RET-15_Generation Unit Protection</t>
  </si>
  <si>
    <t>GM-RET-17_Sistema de proteção do serviço auxiliar</t>
  </si>
  <si>
    <t>GM-RET-17_Auxiliary Power System protection</t>
  </si>
  <si>
    <t>GM-RET-18_Sistema de Excitação</t>
  </si>
  <si>
    <t>GM-RET-18_Excitation System</t>
  </si>
  <si>
    <t>GM-RET-19_Sistema de Corrente Contínua</t>
  </si>
  <si>
    <t>GM-RET-19_Direct Current System</t>
  </si>
  <si>
    <t>GM-RET-20_Regulador de velocidades parte mecânica</t>
  </si>
  <si>
    <t>GM-RET-20_Speed Governor System - Mechanical Part</t>
  </si>
  <si>
    <t>GM-RET-21_Regulador de Velocidade - Parte Elétrica</t>
  </si>
  <si>
    <t>GM-RET-21_Speed Governor System - Electrical Part</t>
  </si>
  <si>
    <t>GM-RET-22_Compressor de ar</t>
  </si>
  <si>
    <t>GM-RET-22_Air Compressor</t>
  </si>
  <si>
    <t>GM-RET-23_Manutenção do Sistema de Água de Resfriamento</t>
  </si>
  <si>
    <t>GM-RET-23_Cooling Water System</t>
  </si>
  <si>
    <t>GM-RET-24_Gerador Diesel</t>
  </si>
  <si>
    <t>GM-RET-24_Diesel Generator</t>
  </si>
  <si>
    <t>GM-RET-25_Sistema de Medição de Faturamento</t>
  </si>
  <si>
    <t>GM-RET-25_Energy Measurement System</t>
  </si>
  <si>
    <t>GM-RET-26_Manutenção do Sistema de Drenagem e Esgotamento</t>
  </si>
  <si>
    <t>GM-RET-26_Drainage and Dewatering System</t>
  </si>
  <si>
    <t>GM-RET-27_Manutenção do Sistema de Separador de Óleo</t>
  </si>
  <si>
    <t>GM-RET-27_Oil-Separator System</t>
  </si>
  <si>
    <t>GM-RET-28_Manutenção de Stop log</t>
  </si>
  <si>
    <t>GM-RET-28_Stoplog</t>
  </si>
  <si>
    <t>GM-RET-29_Grades</t>
  </si>
  <si>
    <t>GM-RET-29_Trash Rack</t>
  </si>
  <si>
    <t>GM-RET-40_Sistema de iluminação e pontos de tomada</t>
  </si>
  <si>
    <t>GM-RET-40_Lighting system and outlet points</t>
  </si>
  <si>
    <t>GM-RET-41_Sistema Proteção Descargas Atmosféricas (SPDA)</t>
  </si>
  <si>
    <t>GM-RET-41_Lightning protection system</t>
  </si>
  <si>
    <t>GM-RET-59_Sistema_CFTV</t>
  </si>
  <si>
    <t>GM-RET-59_CCTV System</t>
  </si>
  <si>
    <t>GM-RET-60_Sistema de Combate a Incêndios</t>
  </si>
  <si>
    <t>GM-RET-60_Firefighting System</t>
  </si>
  <si>
    <t>GM-RET-61_Comporta do Vertedouro</t>
  </si>
  <si>
    <t>GM-RET-61_Spillway Gate</t>
  </si>
  <si>
    <t>GM-RET-62_Comporta de Emergência</t>
  </si>
  <si>
    <t>GM-RET-62_Emergency Gate</t>
  </si>
  <si>
    <t>GM-RET-65_Comporta de emergência Sistema hidráulico</t>
  </si>
  <si>
    <t>GM-RET-65_Hydraulic Hoist （emergency）</t>
  </si>
  <si>
    <t>GM-RET-65_Comporta vertedor Sistema hidráulico</t>
  </si>
  <si>
    <t>GM-RET-65_Hydraulic Hoist （spillway）</t>
  </si>
  <si>
    <t>GM-RET-71_Instrução de Manutenção Preditiva (MDM)</t>
  </si>
  <si>
    <t>GM-RET-71_Predictive Maintenance System (MDM)</t>
  </si>
  <si>
    <t>GM-RET-30_Pórtico Montante</t>
  </si>
  <si>
    <t>GM-RET-30_Upstream Gantry Crane</t>
  </si>
  <si>
    <t>GM-RET-31_Ponte rolante</t>
  </si>
  <si>
    <t>GM-RET-31_Bridge Crane</t>
  </si>
  <si>
    <t>GM-RET-34_Depósito de óleo hidráulico-Eng</t>
  </si>
  <si>
    <t>GM-RET-34_Hydraulic Oil Depot-Eng</t>
  </si>
  <si>
    <t>GM-ROS-00_Atividades antes e depois da MPP</t>
  </si>
  <si>
    <t>GM-ROS-00_Activities before and after MPP</t>
  </si>
  <si>
    <t>GM-ROS-01_Turbina e seus Acessórios</t>
  </si>
  <si>
    <t>GM-ROS-01_Turbine and its Auxiliary Equipment</t>
  </si>
  <si>
    <t>GM-ROS-02_Gerador parte Mecânica e Auxiliares</t>
  </si>
  <si>
    <t>GM-ROS-02_Generator Mechanical Part and Its Auxiliary Equipment</t>
  </si>
  <si>
    <t>GM-ROS-03_Gerador-Parte elétrica</t>
  </si>
  <si>
    <t>GM-ROS-03_Generator-Electric parts</t>
  </si>
  <si>
    <t>GM-ROS-04_Sistemas Auxiliares da Unidade Geradora</t>
  </si>
  <si>
    <t>GM-ROS-04_Generating Unit Auxiliary Control System</t>
  </si>
  <si>
    <t>GM-ROS-05_Barramento de Saída do Gerador e Seus Acessórios</t>
  </si>
  <si>
    <t>GM-ROS-05_Generator Output Buses and Its Accessories</t>
  </si>
  <si>
    <t>GM-ROS-06_Transformador Elevador</t>
  </si>
  <si>
    <t>GM-ROS-06_Step-up Transformer</t>
  </si>
  <si>
    <t>GM-ROS-07_Transformadores a Seco</t>
  </si>
  <si>
    <t>GM-ROS-07_Dry-type Transformer</t>
  </si>
  <si>
    <t>GM-ROS-08_Equipamentos de Alta Tensão</t>
  </si>
  <si>
    <t>GM-ROS-08_High Voltage Equipment</t>
  </si>
  <si>
    <t>GM-ROS-09_Painéis de Média Tensão</t>
  </si>
  <si>
    <t>GM-ROS-09_Medium Voltage Switch Cabinet</t>
  </si>
  <si>
    <t>GM-ROS-10_Painéis de Baixa Tensão</t>
  </si>
  <si>
    <t>GM-ROS-10_Low Voltage Switch Cabinet</t>
  </si>
  <si>
    <t>GM-ROS-11_Cabos de Potência até 35kV</t>
  </si>
  <si>
    <t>GM-ROS-11_Power Cable Up to 35kV</t>
  </si>
  <si>
    <t>GM-ROS-12_Estação de Operacão</t>
  </si>
  <si>
    <t>GM-ROS-12_Host Computer</t>
  </si>
  <si>
    <t>GM-ROS-13_Unidade de Aquisição e Controle (UAC)</t>
  </si>
  <si>
    <t>GM-ROS-13_Local Control Unit</t>
  </si>
  <si>
    <t>GM-ROS-14_Sistema de Comunicação</t>
  </si>
  <si>
    <t>GM-ROS-14_Communication system</t>
  </si>
  <si>
    <t>GM-ROS-15_Proteção da Unidade Geradora</t>
  </si>
  <si>
    <t>GM-ROS-15_Generation Unit Protection</t>
  </si>
  <si>
    <t>GM-ROS-17_Sistema de proteção do serviço auxiliar</t>
  </si>
  <si>
    <t>GM-ROS-17_Auxiliary Power System protection</t>
  </si>
  <si>
    <t>GM-ROS-18_Sistema de Excitação</t>
  </si>
  <si>
    <t>GM-ROS-18_Excitation System</t>
  </si>
  <si>
    <t>GM-ROS-19_Sistema de Corrente Contínua</t>
  </si>
  <si>
    <t>GM-ROS-19_Direct Current System</t>
  </si>
  <si>
    <t>GM-ROS-20_Regulador de Velocidade – Parte Mecânica</t>
  </si>
  <si>
    <t>GM-ROS-20_Speed Governor System - Mechanical Part</t>
  </si>
  <si>
    <t>GM-ROS-21_Regulador de Velocidade - Parte Elétrica</t>
  </si>
  <si>
    <t>GM-ROS-21_Speed Governor System - Electrical Part</t>
  </si>
  <si>
    <t>GM-ROS-22_ Compressor de ar</t>
  </si>
  <si>
    <t>GM-ROS-22_Air Compressor</t>
  </si>
  <si>
    <t>GM-ROS-23_sistema de resfriamento de água</t>
  </si>
  <si>
    <t>GM-ROS-23_Cooling Water System</t>
  </si>
  <si>
    <t>GM-ROS-24_Diesel Generator</t>
  </si>
  <si>
    <t>GM-ROS-24_Gerador Diesel</t>
  </si>
  <si>
    <t>GM-ROS-25_Sistema de Medição de Faturamento</t>
  </si>
  <si>
    <t>GM-ROS-25_Energy Measurement System</t>
  </si>
  <si>
    <t>GM-ROS-26_Sistema de Drenagem e Esgotamento</t>
  </si>
  <si>
    <t>GM-ROS-26_Drainage and Dewatering System</t>
  </si>
  <si>
    <t>GM-ROS-27_Sistema Separador de Óleo</t>
  </si>
  <si>
    <t>GM-ROS-27_Oil-Separator System</t>
  </si>
  <si>
    <t>GM-ROS-28_Comporta de Manutenção</t>
  </si>
  <si>
    <t>GM-ROS-28_Stoplog</t>
  </si>
  <si>
    <t>GM-ROS-29_Grade</t>
  </si>
  <si>
    <t>GM-ROS-29_Trash Rack</t>
  </si>
  <si>
    <t>GM-ROS-33_Elevador</t>
  </si>
  <si>
    <t>GM-ROS-33_Elevator</t>
  </si>
  <si>
    <t>GM-ROS-40_Sistema de iluminação e pontos de tomada</t>
  </si>
  <si>
    <t>GM-ROS-40_Lighting system and outlet points</t>
  </si>
  <si>
    <t>GM-ROS-41_Sistema Proteção Descargas Atmosféricas (SPDA)</t>
  </si>
  <si>
    <t>GM-ROS-41_Lightning protection system</t>
  </si>
  <si>
    <t>GM-ROS-51_Transformadores auxiliares imersos em óleo</t>
  </si>
  <si>
    <t>GM-ROS-51_Oil-immersed Auxiliary Transformer</t>
  </si>
  <si>
    <t>GM-ROS-52_Reator imerso em óleo</t>
  </si>
  <si>
    <t>GM-ROS-52_Oil-immersed Reactor</t>
  </si>
  <si>
    <t>GM-ROS-58_Sistema de ventilação</t>
  </si>
  <si>
    <t>GM-ROS-58_Ventilation System</t>
  </si>
  <si>
    <t>GM-ROS-59_Sistema_CFTV</t>
  </si>
  <si>
    <t>GM-ROS-59_CCTV System</t>
  </si>
  <si>
    <t>GM-ROS-60_Sistema de Combate a Incêndios</t>
  </si>
  <si>
    <t>GM-ROS-60_Firefighting System</t>
  </si>
  <si>
    <t>GM-ROS-61_Comporta Vertedouro</t>
  </si>
  <si>
    <t>GM-ROS-61_Spillway Gate</t>
  </si>
  <si>
    <t>GM-ROS-62_Comporta de emergência</t>
  </si>
  <si>
    <t>GM-ROS-62_Emergency Gate</t>
  </si>
  <si>
    <t>GM-ROS-65_Comporta de emergência Sistema hidráulico</t>
  </si>
  <si>
    <t>GM-ROS-65_Hydraulic Hoist （emergency）</t>
  </si>
  <si>
    <t>GM-ROS-65_Comporta vertedor Sistema hidráulico</t>
  </si>
  <si>
    <t>GM-ROS-65_Hydraulic Hoist （spillway）</t>
  </si>
  <si>
    <t>GM-ROS-68_Máquina limpa grades</t>
  </si>
  <si>
    <t>GM-ROS-68_Cleaning Machine</t>
  </si>
  <si>
    <t>GM-ROS-71_Instrução de Manutenção Preditiva (MDM)</t>
  </si>
  <si>
    <t>GM-ROS-71_Predictive Maintenance System (MDM)</t>
  </si>
  <si>
    <t>GM-ROS-30_Pórtico Montante</t>
  </si>
  <si>
    <t>GM-ROS-30_Upstream Gantry Crane</t>
  </si>
  <si>
    <t>GM-ROS-31_Ponte rolante</t>
  </si>
  <si>
    <t>GM-ROS-31_Bridge Crane</t>
  </si>
  <si>
    <t>GM-ROS-32_Ponte rolante auxiliar</t>
  </si>
  <si>
    <t>GM-ROS-32_Auxiliary Bridge Crane</t>
  </si>
  <si>
    <t>GM-ROS-34_Deposito de óleo hidráulico</t>
  </si>
  <si>
    <t>GM-ROS-34_Hydraulic Oil Depot-Eng</t>
  </si>
  <si>
    <t>GM-ROS-86_Sistema de cloro pastilha</t>
  </si>
  <si>
    <t>GM-ROS-86_Tablet chlorine system</t>
  </si>
  <si>
    <t>GM-ROS-63_Pórtico de jusante</t>
  </si>
  <si>
    <t>GM-ROS-63_Downstream Gantry Crane</t>
  </si>
  <si>
    <t>GM-SAG-00_Atividades antes e depois da MPP</t>
  </si>
  <si>
    <t>GM-SAG-00_Activities before and after MPP</t>
  </si>
  <si>
    <t>GM-SAG-01_Turbina e equipamentos auxiliares</t>
  </si>
  <si>
    <t>GM-SAG-01_Turbine and its Auxiliary Equipment</t>
  </si>
  <si>
    <t>GM-SAG-02_Parte Mecanica do Gerador e equipamentos auxiliares</t>
  </si>
  <si>
    <t>GM-SAG-02_Generator Mechanical Part and Its Auxiliary Equipment</t>
  </si>
  <si>
    <t>GM-SAG-03_Gerador-Parte elétrica</t>
  </si>
  <si>
    <t>GM-SAG-03_Generator-Electric parts</t>
  </si>
  <si>
    <t>GM-SAG-04_Sistemas Auxiliares da Unidade Geradora</t>
  </si>
  <si>
    <t>GM-SAG-04_Generating Unit Auxiliary Control System</t>
  </si>
  <si>
    <t>GM-SAG-05_Barramento de Saída do Gerador e Seus Acessórios</t>
  </si>
  <si>
    <t>GM-SAG-05_Generator Output Buses and Its Accessories</t>
  </si>
  <si>
    <t>GM-SAG-06_Transformador Elevador</t>
  </si>
  <si>
    <t>GM-SAG-06_Step-up Transformer</t>
  </si>
  <si>
    <t>GM-SAG-07_Transformadores a Seco</t>
  </si>
  <si>
    <t>GM-SAG-07_Dry-type Transformer</t>
  </si>
  <si>
    <t>GM-SAG-08_Equipamentos de Alta Tensão</t>
  </si>
  <si>
    <t>GM-SAG-08_High Voltage Equipment</t>
  </si>
  <si>
    <t>GM-SAG-09_Painéis de Média Tensão</t>
  </si>
  <si>
    <t>GM-SAG-09_Medium Voltage Switch Cabinet</t>
  </si>
  <si>
    <t>GM-SAG-10_Painéis de Baixa Tensão</t>
  </si>
  <si>
    <t>GM-SAG-10_Low Voltage Switch Cabinet</t>
  </si>
  <si>
    <t>GM-SAG-11_Cabos de Potência até 35kV</t>
  </si>
  <si>
    <t>GM-SAG-11_Power Cable Up to 35kV</t>
  </si>
  <si>
    <t>GM-SAG-12_Estação de Operacão</t>
  </si>
  <si>
    <t>GM-SAG-12_Host Computer</t>
  </si>
  <si>
    <t>GM-SAG-13_Unidade de Aquisição e Controle (UAC)</t>
  </si>
  <si>
    <t>GM-SAG-13_Local Control Unit</t>
  </si>
  <si>
    <t>GM-SAG-14_Sistema de Comunicação</t>
  </si>
  <si>
    <t>GM-SAG-14_Communication system</t>
  </si>
  <si>
    <t>GM-SAG-15_Proteção da Unidade Geradora</t>
  </si>
  <si>
    <t>GM-SAG-15_Generation Unit Protection</t>
  </si>
  <si>
    <t>GM-SAG-17_Sistema de proteção do serviço auxiliar</t>
  </si>
  <si>
    <t>GM-SAG-17_Auxiliary Power System protection</t>
  </si>
  <si>
    <t>GM-SAG-18_Sistema de Excitação</t>
  </si>
  <si>
    <t>GM-SAG-18_Excitation System</t>
  </si>
  <si>
    <t>GM-SAG-19_Sistema de Corrente Contínua</t>
  </si>
  <si>
    <t>GM-SAG-19_Direct Current System</t>
  </si>
  <si>
    <t>GM-SAG-20_Regulador de velocidade - Parte Mecânica</t>
  </si>
  <si>
    <t>GM-SAG-20_Speed Governor System - Mechanical Part</t>
  </si>
  <si>
    <t>GM-SAG-21_Regulador de Velocidade - Parte Elétrica</t>
  </si>
  <si>
    <t>GM-SAG-21_Speed Governor System - Electrical Part</t>
  </si>
  <si>
    <t>GM-SAG-22_Compressor de ar</t>
  </si>
  <si>
    <t>GM-SAG-22_Air Compressor</t>
  </si>
  <si>
    <t>GM-SAG-23_Sistema de água de refrigeração</t>
  </si>
  <si>
    <t>GM-SAG-23_Cooling Water System</t>
  </si>
  <si>
    <t>GM-SAG-24_Gerador Diesel</t>
  </si>
  <si>
    <t>GM-SAG-24_Diesel Generator</t>
  </si>
  <si>
    <t>GM-SAG-25_Sistema de Medição de Faturamento</t>
  </si>
  <si>
    <t>GM-SAG-25_Energy Measurement System</t>
  </si>
  <si>
    <t>GM-SAG-26_Sistema de drenagem e esgotamento</t>
  </si>
  <si>
    <t>GM-SAG-26_Drainage and Dewatering System</t>
  </si>
  <si>
    <t>GM-SAG-27_Oil-Separator System</t>
  </si>
  <si>
    <t>GM-SAG-28_Comporta de manutenção</t>
  </si>
  <si>
    <t>GM-SAG-28_Stoplog</t>
  </si>
  <si>
    <t>GM-SAG-29_Grade</t>
  </si>
  <si>
    <t>GM-SAG-29_Trash Rack</t>
  </si>
  <si>
    <t>GM-SAG-32_Ponte rolante-UG Aux</t>
  </si>
  <si>
    <t>GM-SAG-32_ Bridge Crane-PU-Aux</t>
  </si>
  <si>
    <t>GM-SAG-30_Pórtico Tomada d`água e vertedouro</t>
  </si>
  <si>
    <t>GM-SAG-30_Upstream and spyllway Gantry Crane</t>
  </si>
  <si>
    <t>GM-SAG-33_Elevador</t>
  </si>
  <si>
    <t>GM-SAG-33_Elevator</t>
  </si>
  <si>
    <t>GM-SAG-40_Sistema de iluminação e pontos de tomada</t>
  </si>
  <si>
    <t>GM-SAG-40_Lighting system and outlet points</t>
  </si>
  <si>
    <t>GM-SAG-41_Sistema Proteção Descargas Atmosféricas (SPDA)</t>
  </si>
  <si>
    <t>GM-SAG-41_Lightning protection system</t>
  </si>
  <si>
    <t>GM-SAG-58_Sistema de ventilação</t>
  </si>
  <si>
    <t>GM-SAG-58_Ventilation System</t>
  </si>
  <si>
    <t>GM-SAG-59_Sistema_CFTV</t>
  </si>
  <si>
    <t>GM-SAG-59_CCTV System</t>
  </si>
  <si>
    <t>GM-SAG-60_Sistema anti incêndio</t>
  </si>
  <si>
    <t>GM-SAG-60_Firefighting System</t>
  </si>
  <si>
    <t>GM-SAG-61_Comporta de vertedouro</t>
  </si>
  <si>
    <t>GM-SAG-61_Spillway Gate</t>
  </si>
  <si>
    <t>GM-SAG-67_Sistema de acionamento por correntes</t>
  </si>
  <si>
    <t>GM-SAG-67_Chain System</t>
  </si>
  <si>
    <t>GM-SAG-68_Máquina Limpa-Grades</t>
  </si>
  <si>
    <t>GM-SAG-68_Cleaning Machine</t>
  </si>
  <si>
    <t>GM-SAG-71_Guia de Manutenção Preditiva (MDM)</t>
  </si>
  <si>
    <t>GM-SAG-71_Predictive Maintenance System (MDM)</t>
  </si>
  <si>
    <t>GM-SAG-30_Pórtico Tomada d`água</t>
  </si>
  <si>
    <t>GM-SAG-30_Upstream Gantry Crane</t>
  </si>
  <si>
    <t>GM-SAG-31_Ponte rolante</t>
  </si>
  <si>
    <t>GM-SAG-31_Bridge Crane</t>
  </si>
  <si>
    <t>GM-SAG-34_Deposito de óleo hidráulico -Eng</t>
  </si>
  <si>
    <t>GM-SAG-34_Hydraulic oil depot -Eng</t>
  </si>
  <si>
    <t>GM-SAG-63_Pórtico jusante</t>
  </si>
  <si>
    <t>GM-SAG-63_Downstream Gantry Crane</t>
  </si>
  <si>
    <t>GM-STO-00_Atividades antes e depois da MPP</t>
  </si>
  <si>
    <t>GM-STO-00_Activities before and after MPP</t>
  </si>
  <si>
    <t>GM-STO-01_Turbina e seus equipamentos auxiliares</t>
  </si>
  <si>
    <t>GM-STO-01_Turbine and its Auxiliary Equipment</t>
  </si>
  <si>
    <t>GM-STO-02_Gerador e seus equipamentos auxiliares - Parte Mecânica</t>
  </si>
  <si>
    <t>GM-STO-02_Generator Mechanical Part and Its Auxiliary Equipment</t>
  </si>
  <si>
    <t>GM-STO-03_Gerador-Parte elétrica</t>
  </si>
  <si>
    <t>GM-STO-03_Generator-Electric parts</t>
  </si>
  <si>
    <t>GM-STO-04_Sistemas Auxiliares da Unidade Geradora</t>
  </si>
  <si>
    <t>GM-STO-04_Generating Unit Auxiliary Control System</t>
  </si>
  <si>
    <t>GM-STO-05_Barramento de Saída do Gerador e Seus Acessórios</t>
  </si>
  <si>
    <t>GM-STO-05_Generator Output Buses and Its Accessories</t>
  </si>
  <si>
    <t>GM-STO-06_Transformador Elevador</t>
  </si>
  <si>
    <t>GM-STO-06_Step-up Transformer</t>
  </si>
  <si>
    <t>GM-STO-07_Transformadores a Seco</t>
  </si>
  <si>
    <t>GM-STO-07_Dry-type Transformer</t>
  </si>
  <si>
    <t>GM-STO-08_Equipamentos de Alta Tensão</t>
  </si>
  <si>
    <t>GM-STO-08_High Voltage Equipment</t>
  </si>
  <si>
    <t>GM-STO-09_Painéis de Média Tensão</t>
  </si>
  <si>
    <t>GM-STO-09_Medium Voltage Switch Cabinet</t>
  </si>
  <si>
    <t>GM-STO-10_Painéis de Baixa Tensão</t>
  </si>
  <si>
    <t>GM-STO-10_Low Voltage Switch Cabinet</t>
  </si>
  <si>
    <t>GM-STO-11_Cabos de Potência até 35kV</t>
  </si>
  <si>
    <t>GM-STO-11_Power Cable Up to 35kV</t>
  </si>
  <si>
    <t>GM-STO-12_Estação de Operação</t>
  </si>
  <si>
    <t>GM-STO-12_Host Computer</t>
  </si>
  <si>
    <t>GM-STO-13_Unidade de Aquisição e Contole (UAC)</t>
  </si>
  <si>
    <t>GM-STO-13_Local Control Unit</t>
  </si>
  <si>
    <t>GM-STO-14_Sistema de Comunicação</t>
  </si>
  <si>
    <t>GM-STO-14_Communication system</t>
  </si>
  <si>
    <t>GM-STO-15_Proteção da Unidade Geradora</t>
  </si>
  <si>
    <t>GM-STO-15_Generation Unit Protection</t>
  </si>
  <si>
    <t>GM-STO-17_Sistema de proteção do serviço auxiliar</t>
  </si>
  <si>
    <t>GM-STO-17_Auxiliary Power System protection</t>
  </si>
  <si>
    <t>GM-STO-18_Sistema de Excitação</t>
  </si>
  <si>
    <t>GM-STO-18_Excitation System</t>
  </si>
  <si>
    <t>GM-STO-19_Sistema de Corrente Contínua</t>
  </si>
  <si>
    <t>GM-STO-19_Direct Current System</t>
  </si>
  <si>
    <t>GM-STO-20_Regulador de Velocidades - Parte Mecânica</t>
  </si>
  <si>
    <t>GM-STO-20_Speed Governor System - Mechanical Part</t>
  </si>
  <si>
    <t>GM-STO-21_Regulador de Velocidade - Parte Elétrica</t>
  </si>
  <si>
    <t>GM-STO-21_Speed Governor System - Electrical Part</t>
  </si>
  <si>
    <t>GM-STO-22_Compressor de ar</t>
  </si>
  <si>
    <t>GM-STO-22_Air Compressor</t>
  </si>
  <si>
    <t>GM-STO-23_Sistema de água de resfriamento</t>
  </si>
  <si>
    <t>GM-STO-23_Cooling Water System</t>
  </si>
  <si>
    <t>GM-STO-24_Gerador Diesel</t>
  </si>
  <si>
    <t>GM-STO-24_Diesel Generator</t>
  </si>
  <si>
    <t>GM-STO-25_Sistema de Medição de Faturamento</t>
  </si>
  <si>
    <t>GM-STO-25_Energy Measurement System</t>
  </si>
  <si>
    <t>GM-STO-26_Sistema de drenagem e esgotamento</t>
  </si>
  <si>
    <t>GM-STO-26-2019 Drainage and Dewatering System</t>
  </si>
  <si>
    <t>GM-STO-27_Separador água-óleo</t>
  </si>
  <si>
    <t>GM-STO-27_Oil-Separator System</t>
  </si>
  <si>
    <t>GM-STO-28_Comporta de Manutenção</t>
  </si>
  <si>
    <t>GM-STO-28_Stoplog</t>
  </si>
  <si>
    <t>GM-STO-29_Grade</t>
  </si>
  <si>
    <t>GM-STO-29_Trash Rack</t>
  </si>
  <si>
    <t>GM-STO-40_Sistema de iluminação e pontos de tomada</t>
  </si>
  <si>
    <t>GM-STO-40_Lighting system and outlet points</t>
  </si>
  <si>
    <t>GM-STO-41_Sistema Proteção Descargas Atmosféricas (SPDA)</t>
  </si>
  <si>
    <t>GM-STO-41_Lightning protection system</t>
  </si>
  <si>
    <t>GM-STO-53_Linha de transmissão aérea</t>
  </si>
  <si>
    <t>GM-STO-53_Overhead Transmission Line</t>
  </si>
  <si>
    <t>GM-STO-55_Registrador de Perturbação</t>
  </si>
  <si>
    <t>GM-STO-55_Fault Recording Device</t>
  </si>
  <si>
    <t>GM-STO-56_Proteção de Barras</t>
  </si>
  <si>
    <t>GM-STO-56_Busbar Protection</t>
  </si>
  <si>
    <t>GM-STO-57_Proteção de Linha de Transmissão</t>
  </si>
  <si>
    <t>GM-STO-57_Transmission Line protection</t>
  </si>
  <si>
    <t>GM-STO-58_Sistema de ventilação</t>
  </si>
  <si>
    <t>GM-STO-58_Ventilation System</t>
  </si>
  <si>
    <t>GM-STO-59_Sistema_CFTV</t>
  </si>
  <si>
    <t>GM-STO-59_CCTV System</t>
  </si>
  <si>
    <t>GM-STO-60_Sistema combate incêndio</t>
  </si>
  <si>
    <t>GM-STO-60_Firefighting System</t>
  </si>
  <si>
    <t>GM-STO-61_Comporta de vertedouro</t>
  </si>
  <si>
    <t>GM-STO-61_Spillway Gate</t>
  </si>
  <si>
    <t>GM-STO-62_Comporta de emergência</t>
  </si>
  <si>
    <t>GM-STO-62_Emergency Gate</t>
  </si>
  <si>
    <t>GM-STO-65_Comporta de emergência Sistema hidráulico</t>
  </si>
  <si>
    <t>GM-STO-65_Hydraulic Hoist （emergency）</t>
  </si>
  <si>
    <t>GM-STO-65_Comporta vertedor Sistema hidráulico</t>
  </si>
  <si>
    <t>GM-STO-65_Hydraulic Hoist （spillway）</t>
  </si>
  <si>
    <t>GM-STO-71_Instrução de Manutenção Preditiva (MDM)</t>
  </si>
  <si>
    <t>GM-STO-71_Predictive Maintenance System (MDM)</t>
  </si>
  <si>
    <t>GM-STO-30_Pórtico montante</t>
  </si>
  <si>
    <t>GM-STO-30_Upstream Gantry Crane</t>
  </si>
  <si>
    <t>GM-STO-31_Ponte Rolante</t>
  </si>
  <si>
    <t>GM-STO-31_Bridge Crane</t>
  </si>
  <si>
    <t>GM-STO-34_Depósito de óleo hidráulico-Eng</t>
  </si>
  <si>
    <t>GM-STO-34_Hydraulic Oil Depot-Eng</t>
  </si>
  <si>
    <t>GM-STO-35_Conduto forçado</t>
  </si>
  <si>
    <t>GM-STO-35_Penstock</t>
  </si>
  <si>
    <t>GM-STO-63_Pórtico de jusante</t>
  </si>
  <si>
    <t>GM-STO-63_Downstream Gantry Crane</t>
  </si>
  <si>
    <t>GM-TAQ-00_Atividades antes e depois da MPP</t>
  </si>
  <si>
    <t>GM-TAQ-00_Activities before and after MPP</t>
  </si>
  <si>
    <t>GM-TAQ-01_Turbina e equipamentos auxiliares</t>
  </si>
  <si>
    <t>GM-TAQ-01_Turbine and its Auxiliary Equipment</t>
  </si>
  <si>
    <t>GM-TAQ-02_Gerador parte Mecânica e Auxiliares</t>
  </si>
  <si>
    <t>GM-TAQ-02_Generator Mechanical Part and Its Auxiliary Equipment</t>
  </si>
  <si>
    <t>GM-TAQ-03_Gerador-Parte elétrica</t>
  </si>
  <si>
    <t>GM-TAQ-03_Generator-Electric parts</t>
  </si>
  <si>
    <t>GM-TAQ-04_Sistemas Auxiliares da Unidade Geradora</t>
  </si>
  <si>
    <t>GM-TAQ-04_Generating Unit Auxiliary Control System</t>
  </si>
  <si>
    <t>GM-TAQ-05_Barramento Saída Gerador e  Acessórios</t>
  </si>
  <si>
    <t>GM-TAQ-05_Generator Output Buses and Its Accessories</t>
  </si>
  <si>
    <t>GM-TAQ-06_Transformador Elevador</t>
  </si>
  <si>
    <t>GM-TAQ-06_Step-up Transformer</t>
  </si>
  <si>
    <t>GM-TAQ-07_Transformadores a Seco</t>
  </si>
  <si>
    <t>GM-TAQ-07_Dry-type Transformer</t>
  </si>
  <si>
    <t>GM-TAQ-08_Equipamentos de Alta Tensão</t>
  </si>
  <si>
    <t>GM-TAQ-08_High Voltage Equipment</t>
  </si>
  <si>
    <t>GM-TAQ-09_Painéis de Média Tensão</t>
  </si>
  <si>
    <t>GM-TAQ-09_Medium Voltage Switch Cabinet</t>
  </si>
  <si>
    <t>GM-TAQ-10_Painéis de Baixa Tensão</t>
  </si>
  <si>
    <t>GM-TAQ-10_Low Voltage Switch Cabinet</t>
  </si>
  <si>
    <t>GM-TAQ-11_Cabos de Potência até 35kV</t>
  </si>
  <si>
    <t>GM-TAQ-11_Power Cable Up to 35kV</t>
  </si>
  <si>
    <t>GM-TAQ-12_Estação de Operação</t>
  </si>
  <si>
    <t>GM-TAQ-12_Host Computer</t>
  </si>
  <si>
    <t>GM-TAQ-13_Unidade de Aquisição e Controle (UAC)</t>
  </si>
  <si>
    <t>GM-TAQ-13_Local Control Unit</t>
  </si>
  <si>
    <t>GM-TAQ-14_Sistema de Comunicação</t>
  </si>
  <si>
    <t>GM-TAQ-14_Communication system</t>
  </si>
  <si>
    <t>GM-TAQ-15_Proteção da Unidade Geradora</t>
  </si>
  <si>
    <t>GM-TAQ-15_Generation Unit Protection</t>
  </si>
  <si>
    <t>GM-TAQ-17_Sistema de proteção do serviço auxiliar</t>
  </si>
  <si>
    <t>GM-TAQ-17_Auxiliary Power System protection</t>
  </si>
  <si>
    <t>GM-TAQ-18_Sistema de Excitação</t>
  </si>
  <si>
    <t>GM-TAQ-18_Excitation System</t>
  </si>
  <si>
    <t>GM-TAQ-19_Sistema de Corrente Contínua</t>
  </si>
  <si>
    <t>GM-TAQ-19_Direct Current System</t>
  </si>
  <si>
    <t>GM-TAQ-20_Regulador de Velocidade  – Parte Mecânica</t>
  </si>
  <si>
    <t>GM-TAQ-20_Speed Governor  - Mechanical Part</t>
  </si>
  <si>
    <t>GM-TAQ-21_Regulador de Velocidade - Parte Elétrica</t>
  </si>
  <si>
    <t>GM-TAQ-21_Speed Governor - Electrical Part</t>
  </si>
  <si>
    <t>GM-TAQ-22_Compressor de ar</t>
  </si>
  <si>
    <t>GM-TAQ-22_Air Compressor</t>
  </si>
  <si>
    <t>GM-TAQ-23_sistema de resfriamento de água</t>
  </si>
  <si>
    <t>GM-TAQ-23_Cooling Water System</t>
  </si>
  <si>
    <t>GM-TAQ-24_Gerador Diesel</t>
  </si>
  <si>
    <t>GM-TAQ-24_Diesel Generator</t>
  </si>
  <si>
    <t>GM-TAQ-25_Sistema de Medição de Faturamento</t>
  </si>
  <si>
    <t>GM-TAQ-25_Energy Measurement System</t>
  </si>
  <si>
    <t>GM-TAQ-26_Sistema de Drenagem e Esgotamento</t>
  </si>
  <si>
    <t>GM-TAQ-26_Drainage and Dewatering System</t>
  </si>
  <si>
    <t>GM-TAQ-27_Sistema separador de óleo</t>
  </si>
  <si>
    <t>GM-TAQ-27_Oil-Separator System</t>
  </si>
  <si>
    <t>GM-TAQ-28_Manutenção Stoplog</t>
  </si>
  <si>
    <t>GM-TAQ-28_Stoplog</t>
  </si>
  <si>
    <t>GM-TAQ-29_Manutenção das grades de tomada d'água</t>
  </si>
  <si>
    <t>GM-TAQ-29_Trash Rack</t>
  </si>
  <si>
    <t>GM-TAQ-33_Manutenção Elevador</t>
  </si>
  <si>
    <t>GM-TAQ-33_Elevator</t>
  </si>
  <si>
    <t>GM-TAQ-40_Sistema de iluminação e pontos de tomada</t>
  </si>
  <si>
    <t>GM-TAQ-40_Lighting system and outlet points</t>
  </si>
  <si>
    <t>GM-TAQ-41_Sistema Proteção Descargas Atmosféricas (SPDA)</t>
  </si>
  <si>
    <t>GM-TAQ-41_Lightning protection system</t>
  </si>
  <si>
    <t>GM-TAQ-51_Transformadores auxiliares imersos em óleo</t>
  </si>
  <si>
    <t>GM-TAQ-51_Oil-immersed Auxiliary Transformer</t>
  </si>
  <si>
    <t>GM-TAQ-52_Reator imerso a óleo</t>
  </si>
  <si>
    <t>GM-TAQ-52_Oil-immersed Reactor</t>
  </si>
  <si>
    <t>GM-TAQ-58_Sistema de Ventilação</t>
  </si>
  <si>
    <t>GM-TAQ-58_Ventilation System</t>
  </si>
  <si>
    <t>GM-TAQ-60_Sistema de Combate a Incêndio</t>
  </si>
  <si>
    <t>GM-TAQ-60_Firefighting System</t>
  </si>
  <si>
    <t>GM-TAQ-61_Comporta de Vertedouro</t>
  </si>
  <si>
    <t>GM-TAQ-61_Spillway Gate</t>
  </si>
  <si>
    <t>GM-TAQ-62_Comporta de Emergência</t>
  </si>
  <si>
    <t>GM-TAQ-62_Emergency Gate</t>
  </si>
  <si>
    <t>GM-TAQ-65_Comporta de emergência Sistema hidráulico</t>
  </si>
  <si>
    <t>GM-TAQ-65_Hydraulic Hoist （emergency）</t>
  </si>
  <si>
    <t>GM-TAQ-65_Comporta vertedor Sistema hidráulico</t>
  </si>
  <si>
    <t>GM-TAQ-65_Hydraulic Hoist （spillway）</t>
  </si>
  <si>
    <t>GM-TAQ-68_Máquina Limpa Grades</t>
  </si>
  <si>
    <t>GM-TAQ-68_Cleaning Machine</t>
  </si>
  <si>
    <t>GM-TAQ-71_Sistema de Manutenção Preditiva (MDM)</t>
  </si>
  <si>
    <t>GM-TAQ-71_Predictive Maintenance System (MDM)</t>
  </si>
  <si>
    <t>GM-TAQ-30_Pórtico rolante de montante</t>
  </si>
  <si>
    <t>GM-TAQ-30_Upstream Gantry Crane</t>
  </si>
  <si>
    <t>GM-TAQ-31_Pontes rolantes</t>
  </si>
  <si>
    <t>GM-TAQ-31_Bridge Crane</t>
  </si>
  <si>
    <t>GM-TAQ-32_Ponte rolante auxiliar</t>
  </si>
  <si>
    <t>GM-TAQ-32_Auxiliary Bridge Crane</t>
  </si>
  <si>
    <t>GM-TAQ-86_Sistema de cloro pastilha</t>
  </si>
  <si>
    <t>GM-TAQ-86_Tablet chlorine system</t>
  </si>
  <si>
    <t>GM-TAQ-59_Sistema_CFTV</t>
  </si>
  <si>
    <t>GM-TAQ-59_CCTV System</t>
  </si>
  <si>
    <t>GM-TAQ-63_Ponte rolante de jusante</t>
  </si>
  <si>
    <t>GM-TAQ-63_Downstream Bridge Crane</t>
  </si>
  <si>
    <t>61.1</t>
  </si>
  <si>
    <t>GM-JUP-61.1_Comporta de vertedouro</t>
  </si>
  <si>
    <t>GM-JUP-61.1_Spillway Gate</t>
  </si>
  <si>
    <t>61.2</t>
  </si>
  <si>
    <t>GM-JUP-61.2_Comporta de vertedouro - Fundo</t>
  </si>
  <si>
    <t>GM-JUP-61.2_Spillway Gate - Bottom Outlet</t>
  </si>
  <si>
    <t>GM-JUP-86_Sistema de cloro pastilha</t>
  </si>
  <si>
    <t>GM-JUP-86_Tablet chlorine system</t>
  </si>
  <si>
    <t xml:space="preserve">GM-JUP-87_Dispositivo de Içamento - Plataforma de veiculos </t>
  </si>
  <si>
    <t>GM-JUP-87_Lifting device - Lifting Platform</t>
  </si>
  <si>
    <t xml:space="preserve">GM-JUP-35_Conduto forçado </t>
  </si>
  <si>
    <t>GM-JUP-35_Penstock</t>
  </si>
  <si>
    <t>GM-ARN-300_Painel Fotovoltáico</t>
  </si>
  <si>
    <t>GM-ARN-300_Photovoltaic panels</t>
  </si>
  <si>
    <t>GM-ARN-301_Tracker</t>
  </si>
  <si>
    <t>GM-ARN-302_Inversor</t>
  </si>
  <si>
    <t>GM-ARN-302_Inverter</t>
  </si>
  <si>
    <t>GM-ARN-303_Estação de transformação</t>
  </si>
  <si>
    <t>GM-ARN-303_Transformer station</t>
  </si>
  <si>
    <t>GM-ARN-306_Transformador Elevador</t>
  </si>
  <si>
    <t>GM-ARN-306_Step-up Transformer</t>
  </si>
  <si>
    <t>GM-ARN-308_Equipamentos de Alta Tensão</t>
  </si>
  <si>
    <t>GM-ARN-308_High Voltage Equipment</t>
  </si>
  <si>
    <t>GM-ARN-310_Painéis de Baixa Tensão</t>
  </si>
  <si>
    <t>GM-ARN-310_Low Voltage Switch Cabinet</t>
  </si>
  <si>
    <t>GM-ARN-311_Cabos de Potência até 35kV</t>
  </si>
  <si>
    <t>GM-ARN-311_Power Cable Up to 35kV</t>
  </si>
  <si>
    <t>GM-ARN-312_Micromputador SCADA</t>
  </si>
  <si>
    <t>GM-ARN-312_SCADA Computer</t>
  </si>
  <si>
    <t>GM-ARN-314_Sistema de Telecomunicação</t>
  </si>
  <si>
    <t>GM-ARN-314_Telecommunication system</t>
  </si>
  <si>
    <t>GM-ARN-315_Proteção elétrica</t>
  </si>
  <si>
    <t>GM-ARN-315_Electrical Protection</t>
  </si>
  <si>
    <t>GM-ARN-317_Sistema de proteção do serviço auxiliar</t>
  </si>
  <si>
    <t>GM-ARN-317_Auxiliary Power System protection</t>
  </si>
  <si>
    <t>GM-ARN-319_Sistema de Corrente Contínua</t>
  </si>
  <si>
    <t>GM-ARN-319_Direct Current System</t>
  </si>
  <si>
    <t>GM-ARN-324_Gerador Diesel</t>
  </si>
  <si>
    <t>GM-ARN-324_Diesel Generator</t>
  </si>
  <si>
    <t>GM-ARN-325_Sistema de Medição de Faturamento</t>
  </si>
  <si>
    <t>GM-ARN-325_Billing power metering system</t>
  </si>
  <si>
    <t>GM-ARN-327_Sistema separador de óleo</t>
  </si>
  <si>
    <t>GM-ARN-327_Oil-Separator System</t>
  </si>
  <si>
    <t>GM-ARN-340_Sistema de iluminação e tomada</t>
  </si>
  <si>
    <t>GM-ARN-340_Lighting system and outlet points</t>
  </si>
  <si>
    <t>GM-ARN-341_Sistema Proteção Descargas Atmosféricas (SPDA)</t>
  </si>
  <si>
    <t>GM-ARN-341_Lightining Protection system</t>
  </si>
  <si>
    <t>GM-ARN-351_Transformadores auxiliares imersos em óleo</t>
  </si>
  <si>
    <t>GM-ARN-351_Oil-immersed Auxiliary Transformer</t>
  </si>
  <si>
    <t>GM-ARN-359_Sistema_CFTV</t>
  </si>
  <si>
    <t>GM-ARN-359_CCTV System</t>
  </si>
  <si>
    <t>GM-ARN-360_Sistema combate incêndio</t>
  </si>
  <si>
    <t>GM-ARN-360_Firefighting System</t>
  </si>
  <si>
    <t>GM-COG-12_Micromputador SCADA</t>
  </si>
  <si>
    <t>GM-COG-12_SCADA computer</t>
  </si>
  <si>
    <t>GM-SDP-601_Pás</t>
  </si>
  <si>
    <t>GM-SDP-601_Blades</t>
  </si>
  <si>
    <t>GM-SDP-602_Inversor</t>
  </si>
  <si>
    <t>GM-SDP-602_Inverter</t>
  </si>
  <si>
    <t>GM-SDP-603_Gerador parte elétrica</t>
  </si>
  <si>
    <t>GM-SDP-603_Generator electrical parts</t>
  </si>
  <si>
    <t>GM-SDP-606_Transformador Elevador</t>
  </si>
  <si>
    <t>GM-SDP-606_Step-up Transformer</t>
  </si>
  <si>
    <t>GM-SDP-608_Equipamentos de Alta Tensão</t>
  </si>
  <si>
    <t>GM-SDP-608_High Voltage Equipment</t>
  </si>
  <si>
    <t>GM-SDP-609_Painéis de Média Tensão</t>
  </si>
  <si>
    <t>GM-SDP-609_Medium Voltage Switch Cabinet</t>
  </si>
  <si>
    <t>GM-SDP-610_Painéis de Baixa Tensão</t>
  </si>
  <si>
    <t>GM-SDP-610_Low Voltage Switch Cabinet</t>
  </si>
  <si>
    <t>GM-SDP-611_Cabos de Potência até 35kV</t>
  </si>
  <si>
    <t>GM-SDP-611_Power Cable Up to 35kV</t>
  </si>
  <si>
    <t>GM-SDP-612_Micromputador SCADA</t>
  </si>
  <si>
    <t>GM-SDP-612_SCADA Computer</t>
  </si>
  <si>
    <t>GM-SDP-614_Sistema de Telecomunicação</t>
  </si>
  <si>
    <t>GM-SDP-614_Telecommunication system</t>
  </si>
  <si>
    <t>GM-SDP-615_Proteção elétrica</t>
  </si>
  <si>
    <t>GM-SDP-615_Electrical Protection</t>
  </si>
  <si>
    <t>GM-SDP-617_Sistema de proteção do serviço auxiliar</t>
  </si>
  <si>
    <t>GM-SDP-617_Auxiliary Power System protection</t>
  </si>
  <si>
    <t>GM-SDP-619_Sistema de Corrente Contínua</t>
  </si>
  <si>
    <t>GM-SDP-619_Direct Current System</t>
  </si>
  <si>
    <t>GM-SDP-624_Gerador Diesel</t>
  </si>
  <si>
    <t>GM-SDP-624_Diesel Generator</t>
  </si>
  <si>
    <t>GM-SDP-625_Sistema de Medição de Faturamento</t>
  </si>
  <si>
    <t>GM-SDP-625_Billing power metering system</t>
  </si>
  <si>
    <t>GM-SDP-627_Sistema de separação água-óleo</t>
  </si>
  <si>
    <t>GM-SDP-627_Oil-water separator</t>
  </si>
  <si>
    <t>GM-SDP-630_Torre do Aerogerador</t>
  </si>
  <si>
    <t>GM-SDP-630_WTG Tower</t>
  </si>
  <si>
    <t>GM-SDP-631_Nacelle</t>
  </si>
  <si>
    <t>GM-SDP-632_Multiplicador de velocidade</t>
  </si>
  <si>
    <t>GM-SDP-632_Gearbox</t>
  </si>
  <si>
    <t>GM-SDP-633_Sistema posicionamento Pás</t>
  </si>
  <si>
    <t>GM-SDP-633_Blade pitch system</t>
  </si>
  <si>
    <t>GM-SDP-634_Sistema posicionamento Nacelle</t>
  </si>
  <si>
    <t>GM-SDP-634_Yam system</t>
  </si>
  <si>
    <t>GM-SDP-640_Sistema de iluminação e pontos de tomada</t>
  </si>
  <si>
    <t>GM-SDP-640_Lighting system and outlet points</t>
  </si>
  <si>
    <t>GM-SDP-641_Sistema Proteção Descargas Atmosféricas (SPDA)</t>
  </si>
  <si>
    <t>GM-SDP-641_Lightining Protection system</t>
  </si>
  <si>
    <t>GM-SDP-651_Transformadores auxiliares imersos em óleo</t>
  </si>
  <si>
    <t>GM-SDP-651_Oil-immersed Auxiliary Transformer</t>
  </si>
  <si>
    <t>GM-SDP-653_Linha de transmissão aérea</t>
  </si>
  <si>
    <t>GM-SDP-653_Overhead Transmission Line</t>
  </si>
  <si>
    <t>GM-SDP-659_Sistema_CFTV</t>
  </si>
  <si>
    <t>GM-SDP-659_CCTV System</t>
  </si>
  <si>
    <t>GM-SDP-660_Sistema combate incêndio</t>
  </si>
  <si>
    <t>GM-SDP-660_Firefighting System</t>
  </si>
  <si>
    <t>GM-ILS-684_Tratamento de esgoto</t>
  </si>
  <si>
    <t>GM-ILS-684_Sewage treatment</t>
  </si>
  <si>
    <t>POL -  POLÍTICAS PMS (PMS POLICIES)</t>
  </si>
  <si>
    <t xml:space="preserve">TOTAL </t>
  </si>
  <si>
    <t xml:space="preserve">Em dia </t>
  </si>
  <si>
    <t xml:space="preserve">Alerta </t>
  </si>
  <si>
    <t xml:space="preserve">Vencido </t>
  </si>
  <si>
    <t>NÚMERO</t>
  </si>
  <si>
    <t xml:space="preserve">Data aprovação </t>
  </si>
  <si>
    <t xml:space="preserve">Status validade </t>
  </si>
  <si>
    <t>POL-PMS-001</t>
  </si>
  <si>
    <t>Política de Gestão da Produção e Inovação</t>
  </si>
  <si>
    <t>Production and Technology Management Policy</t>
  </si>
  <si>
    <t>POL-PMS-002</t>
  </si>
  <si>
    <t>Política de Gestão dos Padrões Técnicos</t>
  </si>
  <si>
    <t>Technical Standards Management Policy</t>
  </si>
  <si>
    <t>POL-PMS-003</t>
  </si>
  <si>
    <t>Procedimento de gestão operacional das UHEs</t>
  </si>
  <si>
    <t>Operation Management Procedure</t>
  </si>
  <si>
    <t>POL-PMS-004</t>
  </si>
  <si>
    <t>Gestão da manutenção e modernização das UHEs</t>
  </si>
  <si>
    <t>Maintenance and Modernization Management</t>
  </si>
  <si>
    <t>POL-PMS-005</t>
  </si>
  <si>
    <t>Gerenciamento de Saúde e Segurança na Operação e Manutenção</t>
  </si>
  <si>
    <t>Safe Operation  Maintenance Management</t>
  </si>
  <si>
    <t xml:space="preserve">POL-PMS-006 </t>
  </si>
  <si>
    <t>Investigação de Acidentes e Incidentes</t>
  </si>
  <si>
    <t>Accidents and Incident Investigation</t>
  </si>
  <si>
    <t>POL-PMS-007</t>
  </si>
  <si>
    <t>Identificação e Controle de Riscos Ocultos</t>
  </si>
  <si>
    <t>Hidden Risk Identification Control</t>
  </si>
  <si>
    <t>POL-PMS-010</t>
  </si>
  <si>
    <t>Gestão das alterações de projeto</t>
  </si>
  <si>
    <t>Management of Design changes</t>
  </si>
  <si>
    <t>POL-PMS-011</t>
  </si>
  <si>
    <t>Política de Gestão da Calibração dos instrumentos</t>
  </si>
  <si>
    <t>Instruments Calibration Management Policy</t>
  </si>
  <si>
    <t>POL-PMS-012</t>
  </si>
  <si>
    <t>Política de Segurança Cibernética para o Ambiente SCADA</t>
  </si>
  <si>
    <t>Cybersecurity Policy for the Scada Environment</t>
  </si>
  <si>
    <t>POL-PMS-014</t>
  </si>
  <si>
    <t>Gerenciamento de Projetos da Engenharia</t>
  </si>
  <si>
    <t>Engineering Projects Management</t>
  </si>
  <si>
    <t>POL-PMS-015</t>
  </si>
  <si>
    <t>Gestão de Mudanças de Escopo em Projetos de Engenharia</t>
  </si>
  <si>
    <t>Scope Changes Management for Engineering Projects</t>
  </si>
  <si>
    <t>POL-PMS-016</t>
  </si>
  <si>
    <t>Comissionamento e Entrega de Ativos</t>
  </si>
  <si>
    <t>Commissioning and Assets Handover</t>
  </si>
  <si>
    <t xml:space="preserve">POL-PMS-017 </t>
  </si>
  <si>
    <t>Abertura e Encerramento de Projetos</t>
  </si>
  <si>
    <t>Opening and Closure of Engineering Projects</t>
  </si>
  <si>
    <t xml:space="preserve">POL-PMS-018 </t>
  </si>
  <si>
    <t xml:space="preserve"> Gestão de Riscos dos Projetos da Engenharia</t>
  </si>
  <si>
    <t xml:space="preserve">Engineering Project Risk Management – </t>
  </si>
  <si>
    <t xml:space="preserve">POL-PMS-019 </t>
  </si>
  <si>
    <t>Lições Aprendidas – Projetos da Engenharia</t>
  </si>
  <si>
    <t>Lessons Learned – Engineering projects</t>
  </si>
  <si>
    <t>POL-PMS-020</t>
  </si>
  <si>
    <t>Monitoramento e Controle de Cronogramas de Projetos de Engenharia</t>
  </si>
  <si>
    <t>Monitoring and Control of Project Schedules</t>
  </si>
  <si>
    <t>POL-PMS-021</t>
  </si>
  <si>
    <t xml:space="preserve">Politica de Gestão Orçamentária de Projetos CAPEX da Engenharia </t>
  </si>
  <si>
    <t>Engineering Capex Project Budget Management Policy</t>
  </si>
  <si>
    <t>MM - MANUAIS DE MANUTENÇÃO (MAINTENANCE MANUAL)</t>
  </si>
  <si>
    <t>Nº EQUIP</t>
  </si>
  <si>
    <t>SUB ITEM</t>
  </si>
  <si>
    <t>CÓDIGO</t>
  </si>
  <si>
    <t>DESCRIÇÃO COMPLETA</t>
  </si>
  <si>
    <t xml:space="preserve">Observação </t>
  </si>
  <si>
    <t>MM-UHE-018.01</t>
  </si>
  <si>
    <t>Regulador Integrado Velocidade e Tensao -  RTVX G2</t>
  </si>
  <si>
    <t>Manual Sistema de Excitação</t>
  </si>
  <si>
    <t>MM-JUR-000.02</t>
  </si>
  <si>
    <t>Procedimentos Execução Mergulho Profissional</t>
  </si>
  <si>
    <t>Manual Atividades antes e depois da MPP</t>
  </si>
  <si>
    <t>MM-JUR-001.02</t>
  </si>
  <si>
    <t>Procedimentos Para Ajustes de Verticalidade e Mancais</t>
  </si>
  <si>
    <t>Manual Turbina</t>
  </si>
  <si>
    <t>MM-JUR-001.25</t>
  </si>
  <si>
    <t>Plano de Lubrificação da Turbina</t>
  </si>
  <si>
    <t>MM-JUR-006.00</t>
  </si>
  <si>
    <t>Coleta de Amostras de Óleo Isolante</t>
  </si>
  <si>
    <t>Manual Transformador Elevador</t>
  </si>
  <si>
    <t>MM-JUR-020.06</t>
  </si>
  <si>
    <t>Plano de Lubrificação do RV</t>
  </si>
  <si>
    <t>Manual Regulador de Velocidade - Parte Mecânica</t>
  </si>
  <si>
    <t>MM-JUR-022.03</t>
  </si>
  <si>
    <t>Plano de Lubrificação dos Compressores</t>
  </si>
  <si>
    <t>Manual Compressores</t>
  </si>
  <si>
    <t>MM-JUR-023.03</t>
  </si>
  <si>
    <t>Plano de Lubrificação do sistema de Refrigeração</t>
  </si>
  <si>
    <t>Manual Sistema de água de refrigeração</t>
  </si>
  <si>
    <t>MM-JUR-024.01</t>
  </si>
  <si>
    <t>Procedimento Para Reabastecimento dos GAE</t>
  </si>
  <si>
    <t>Manual Gerador Diesel</t>
  </si>
  <si>
    <t>MM-JUR-024.04</t>
  </si>
  <si>
    <t>Plano de Lubrificação do GAE</t>
  </si>
  <si>
    <t>MM-JUR-026.07</t>
  </si>
  <si>
    <t>Plano de Lubrificação do Sistema Drenagem e Esg</t>
  </si>
  <si>
    <t>Manual Sistema de drenagem e esgotamento</t>
  </si>
  <si>
    <t>MM-JUR-028.02</t>
  </si>
  <si>
    <t>Procedimento Manuseio Comportas de Manutenção</t>
  </si>
  <si>
    <t>Manual Comporta de Manutenção</t>
  </si>
  <si>
    <t>MM-JUR-033.01</t>
  </si>
  <si>
    <t>Plano de Lubrificação do Elevador</t>
  </si>
  <si>
    <t>Manual Elevador</t>
  </si>
  <si>
    <t>MM-JUR-034.01</t>
  </si>
  <si>
    <t>Plano de Lubrificação do Deposito Óleo</t>
  </si>
  <si>
    <t>Manual Deposito Óleo</t>
  </si>
  <si>
    <t>MM-JUR-041.00</t>
  </si>
  <si>
    <t>Manutenção Preventiva  SPDA – Escopo 2</t>
  </si>
  <si>
    <t>Sistema Proteção Descargas Atmosféricas (SPDA)</t>
  </si>
  <si>
    <t>MM-JUR-041.01</t>
  </si>
  <si>
    <t>Manutenção Preventiva  SPDA – Escopo 1</t>
  </si>
  <si>
    <t>MM-JUR-058.02</t>
  </si>
  <si>
    <t>Plano de Lubrificação Sistema Ventilação</t>
  </si>
  <si>
    <t>Manual Ventilação</t>
  </si>
  <si>
    <t>MM-JUR-060.02</t>
  </si>
  <si>
    <t>Manual de Manutenção sistema LGE</t>
  </si>
  <si>
    <t>Manual Sistema de Combate a Incêndio</t>
  </si>
  <si>
    <t>MM-JUR-060.03</t>
  </si>
  <si>
    <t>Plano de Lubrificação Combate Incêndio</t>
  </si>
  <si>
    <t>MM-JUR-065.01</t>
  </si>
  <si>
    <t>Plano de Lubrificação Central Hidrau Comporta Emerg</t>
  </si>
  <si>
    <t>Manual Unidade Hidráulica da Comporta de Emergência</t>
  </si>
  <si>
    <t>MM-JUR-065.02</t>
  </si>
  <si>
    <t>Plano de Lubrificação Central Hidrau do VS</t>
  </si>
  <si>
    <t>Manual Unidade Hidráulica da Comporta de Vertedouro</t>
  </si>
  <si>
    <t>MM-JUR-066.01</t>
  </si>
  <si>
    <t>Plano de Lubrificação do Sistema de Elevação</t>
  </si>
  <si>
    <t>Manual Sistema de Elevação (Guinchos)</t>
  </si>
  <si>
    <t>MM-CHV-000.02</t>
  </si>
  <si>
    <t xml:space="preserve">MM-CHV-001.02 </t>
  </si>
  <si>
    <t>MM-CHV-001.25</t>
  </si>
  <si>
    <t>MM-CHV-006.00</t>
  </si>
  <si>
    <t>Transformador Elevador</t>
  </si>
  <si>
    <t>MM-CHV-020.06</t>
  </si>
  <si>
    <t>MM-CHV-022.03</t>
  </si>
  <si>
    <t>MM-CHV-023.03</t>
  </si>
  <si>
    <t>MM-CHV-024.01</t>
  </si>
  <si>
    <t>MM-CHV-024.04</t>
  </si>
  <si>
    <t>MM-CHV-026.07</t>
  </si>
  <si>
    <t>MM-CHV-028.02</t>
  </si>
  <si>
    <t>MM-CHV-041.00</t>
  </si>
  <si>
    <t>MM-CHV-041.01</t>
  </si>
  <si>
    <t>MM-CHV-051.00</t>
  </si>
  <si>
    <t>MCP0 nos Transformadores Auxiliares Imersos em Óleo</t>
  </si>
  <si>
    <t>Transformadores auxiliares imersos em óleo</t>
  </si>
  <si>
    <t>MM-CHV-051.01</t>
  </si>
  <si>
    <t>MCP1 nos Transformadores Auxiliares Imersos em Óleo</t>
  </si>
  <si>
    <t>MM-CHV-060.02</t>
  </si>
  <si>
    <t>MM-CHV-064.01</t>
  </si>
  <si>
    <t>Plano de Lubrificação da Válvula Borboleta</t>
  </si>
  <si>
    <t>Manual Válvula Borboleta</t>
  </si>
  <si>
    <t>MM-CHV-065.01</t>
  </si>
  <si>
    <t>MM-CHV-065.02</t>
  </si>
  <si>
    <t>MM-SAG-000.02</t>
  </si>
  <si>
    <t>MM-SAG-001.02</t>
  </si>
  <si>
    <t>MM-SAG-001.25</t>
  </si>
  <si>
    <t>MM-SAG-003.00</t>
  </si>
  <si>
    <t>Manutenção Preventiva Periódica Tipo MPP0 no Gerador</t>
  </si>
  <si>
    <t>Gerador-Parte elétrica</t>
  </si>
  <si>
    <t>MM-SAG-003.01</t>
  </si>
  <si>
    <t>Manutenção Preventiva Periódica Tipo MPP1 no Gerador</t>
  </si>
  <si>
    <t>MM-SAG-003.02</t>
  </si>
  <si>
    <t>Manutenção Preventiva Periódica Tipo MPP2 no Gerador</t>
  </si>
  <si>
    <t>MM-SAG-004.00</t>
  </si>
  <si>
    <t>Manutenção Preventiva Periódica Tipo 0 no Sistemas Auxiliares da Unidade Geradora</t>
  </si>
  <si>
    <t>Sistemas Auxiliares da Unidade Geradora</t>
  </si>
  <si>
    <t>MM-SAG-004.01</t>
  </si>
  <si>
    <t>Manutenção Preventiva Periódica Tipo 1 no Sistemas Auxiliares da Unidade Geradora</t>
  </si>
  <si>
    <t>MM-SAG-004.02</t>
  </si>
  <si>
    <t>Manutenção Preventiva Periódica Tipo 2 no Sistemas Auxiliares da Unidade Geradora</t>
  </si>
  <si>
    <t>MM-SAG-006.00</t>
  </si>
  <si>
    <t>MM-SAG-013.03</t>
  </si>
  <si>
    <t>Intervenção nos Controladores Lógicos Programáveis Siemens</t>
  </si>
  <si>
    <t>MM-SAG-015.01</t>
  </si>
  <si>
    <t>Comunicação Relés Proteção SIPROTEC 4 e 5</t>
  </si>
  <si>
    <t>Proteção da Unidade Geradora</t>
  </si>
  <si>
    <t>MM-SAG-021.00</t>
  </si>
  <si>
    <t>Manutenção Preventiva Periódica Tipo 0 no Regulador de Velocidade – Partes Elétricas</t>
  </si>
  <si>
    <t>Regulador de Velocidade - Parte Elétrica</t>
  </si>
  <si>
    <t>MM-SAG-021.01</t>
  </si>
  <si>
    <t>Manutenção Preventiva Periódica Tipo 1 no Regulador de Velocidade – Partes Elétricas</t>
  </si>
  <si>
    <t>MM-SAG-021.02</t>
  </si>
  <si>
    <t>Manutenção Preventiva Periódica Tipo 2 no Regulador de Velocidade – Partes Elétricas</t>
  </si>
  <si>
    <t>MM-SAG-022.03</t>
  </si>
  <si>
    <t>MM-SAG-023.03</t>
  </si>
  <si>
    <t>MM-SAG-024.01</t>
  </si>
  <si>
    <t>MM-SAG-024.04</t>
  </si>
  <si>
    <t>MM-SAG-026.00</t>
  </si>
  <si>
    <t>Sistema de Drenagem - MCP0</t>
  </si>
  <si>
    <t>MM-SAG-026.01</t>
  </si>
  <si>
    <t>Sistema de Drenagem - MCP1</t>
  </si>
  <si>
    <t>MM-SAG-026.07</t>
  </si>
  <si>
    <t>MM-SAG-028.02</t>
  </si>
  <si>
    <t>MM-SAG-030.00</t>
  </si>
  <si>
    <t>Manutençao Preventiva Pórtico 50T MCP0)</t>
  </si>
  <si>
    <t>Manual Pórtico Montante</t>
  </si>
  <si>
    <t>MM-SAG-030.01</t>
  </si>
  <si>
    <t>Plano de Lubrificação do Pórtico Montante</t>
  </si>
  <si>
    <t>MM-SAG-030.02</t>
  </si>
  <si>
    <t>Manutenção Preventiva Pórtico 50T (MCP1)</t>
  </si>
  <si>
    <t>MM-SAG-030.03</t>
  </si>
  <si>
    <t>Manutençao Preventiva Pórtico 12T (MCP0)</t>
  </si>
  <si>
    <t>MM-SAG-030.04</t>
  </si>
  <si>
    <t>Manutençao Preventiva Pórtico 12T (MCP1)</t>
  </si>
  <si>
    <t>MM-SAG-031.00</t>
  </si>
  <si>
    <t>Manutenção Preventiva Ponte Rolante 136_23T (MCP0)</t>
  </si>
  <si>
    <t>Ponte Rolante Auxiliar</t>
  </si>
  <si>
    <t>MM-SAG-031.01</t>
  </si>
  <si>
    <t>Manutenção Preventiva Ponte Rolante 136_23T (MCP1)</t>
  </si>
  <si>
    <t>MM-SAG-031.21</t>
  </si>
  <si>
    <t>Plano de Lubrificação da Ponte Rolante</t>
  </si>
  <si>
    <t>Manual Ponte Rolante Princip</t>
  </si>
  <si>
    <t>MM-SAG-033.00</t>
  </si>
  <si>
    <t>MCP0 Elevador</t>
  </si>
  <si>
    <t>MM-SAG-033.01</t>
  </si>
  <si>
    <t>MM-SAG-041.00</t>
  </si>
  <si>
    <t>Manutenção Preventiva SPDA - Escopo 2</t>
  </si>
  <si>
    <t>MM-SAG-041.01</t>
  </si>
  <si>
    <t>Manutenção Preventiva SPDA - Escopo 1</t>
  </si>
  <si>
    <t>MM-SAG-058.02</t>
  </si>
  <si>
    <t>MM-SAG-060.02</t>
  </si>
  <si>
    <t>MM-SAG-063.00</t>
  </si>
  <si>
    <t>Manutençao Preventiva Pórtico 25T (MCP0)</t>
  </si>
  <si>
    <t>Manual Pórtico Jusante</t>
  </si>
  <si>
    <t>MM-SAG-063.01</t>
  </si>
  <si>
    <t>Plano de Lubrificação do Pórtico Jusante</t>
  </si>
  <si>
    <t>MM-SAG-063.02</t>
  </si>
  <si>
    <t>Manutençao Preventiva Pórtico 25T (MCP1)</t>
  </si>
  <si>
    <t>MM-SAG-065.02</t>
  </si>
  <si>
    <t>MM-SAG-068.01</t>
  </si>
  <si>
    <t>Plano de Lubrificação do Limpa Grades</t>
  </si>
  <si>
    <t>Manual Limpa Grades</t>
  </si>
  <si>
    <t>MM-CN1-000.02</t>
  </si>
  <si>
    <t>MM-CN1-001.03</t>
  </si>
  <si>
    <t>Procedimento de Desmontagem MGG</t>
  </si>
  <si>
    <t>MM-CN1-001.25</t>
  </si>
  <si>
    <t>MM-CN1-002.01</t>
  </si>
  <si>
    <t>Manual de Manutenção do Gerador Parte Mecânica MPP0, 1 e 2</t>
  </si>
  <si>
    <t>Gerador-Parte mecanica</t>
  </si>
  <si>
    <t>MM-CN1-003.00</t>
  </si>
  <si>
    <t>anutenção Preventiva Periódica Tipo MPP0 no Gerador</t>
  </si>
  <si>
    <t>MM-CN1-003.01</t>
  </si>
  <si>
    <t>anutenção Preventiva Periódica Tipo MPP1 no Gerador</t>
  </si>
  <si>
    <t>MM-CN1-003.02</t>
  </si>
  <si>
    <t>anutenção Preventiva Periódica Tipo MPP2 no Gerador</t>
  </si>
  <si>
    <t>MM-CN1-003.03</t>
  </si>
  <si>
    <t>Manutenção Preventiva nos Coletores</t>
  </si>
  <si>
    <t>MM-CN1-004.00</t>
  </si>
  <si>
    <t>Manutenção Preventiva Periódica Tipo 0 nos Sistemas Auxiliares da Unidade Geradora</t>
  </si>
  <si>
    <t>MM-CN1-004.01</t>
  </si>
  <si>
    <t>Manutenção Preventiva Periódica Tipo 1 nos Sistemas Auxiliares da Unidade Geradora</t>
  </si>
  <si>
    <t>MM-CN1-004.02</t>
  </si>
  <si>
    <t>Manutenção Preventiva Periódica Tipo 2 nos Sistemas Auxiliares da Unidade Geradora</t>
  </si>
  <si>
    <t>MM-CN1-006.00</t>
  </si>
  <si>
    <t>MM-CN1-019.00</t>
  </si>
  <si>
    <t>Manutenção Complementar Preventiva Tipo 0 no Sistema de Corrente Contínua</t>
  </si>
  <si>
    <t>Sistema de Corrente Contínua</t>
  </si>
  <si>
    <t>MM-CN1-019.01</t>
  </si>
  <si>
    <t>MM-CN1-019.02</t>
  </si>
  <si>
    <t>MM-CN1-020.06</t>
  </si>
  <si>
    <t>MM-CN1-022.03</t>
  </si>
  <si>
    <t>MM-CN1-023.03</t>
  </si>
  <si>
    <t>MM-CN1-024.01</t>
  </si>
  <si>
    <t>MM-CN1-024.04</t>
  </si>
  <si>
    <t>MM-CN1-026.07</t>
  </si>
  <si>
    <t>MM-CN1-028.02</t>
  </si>
  <si>
    <t>MM-CN1-030.00</t>
  </si>
  <si>
    <t>Manutenção Preventiva - Pórtico Montante 25-03t. e Limpa Grades (MCP1)</t>
  </si>
  <si>
    <t>MM-CN1-030.01</t>
  </si>
  <si>
    <t>MM-CN1-031.21</t>
  </si>
  <si>
    <t>MM-CN1-033.00</t>
  </si>
  <si>
    <t>Elevador</t>
  </si>
  <si>
    <t>MM-CN1-041.00</t>
  </si>
  <si>
    <t>MM-CN1-041.01</t>
  </si>
  <si>
    <t>MM-CN1-058.02</t>
  </si>
  <si>
    <t>MM-CN1-060.02</t>
  </si>
  <si>
    <t>MM-CN1-063.00</t>
  </si>
  <si>
    <t>Manutenção Preventiva - Pórtico Jusante 25t (MCP1)</t>
  </si>
  <si>
    <t>MM-CN1-063.01</t>
  </si>
  <si>
    <t>MM-CN1-065.01</t>
  </si>
  <si>
    <t>MM-CN1-065.02</t>
  </si>
  <si>
    <t>MM-CN1-068.01</t>
  </si>
  <si>
    <t>MM-CN1-084.01</t>
  </si>
  <si>
    <t>Plano de Lubrificação do Tratamento Esgoto</t>
  </si>
  <si>
    <t>Manual Tratamento de esgoto</t>
  </si>
  <si>
    <t>MM-CN2-000.02</t>
  </si>
  <si>
    <t>MM-CN2-001.03</t>
  </si>
  <si>
    <t>MM-CN2-001.25</t>
  </si>
  <si>
    <t>MM-CN2-002.01</t>
  </si>
  <si>
    <t>MM-CN2-002.16</t>
  </si>
  <si>
    <t>Plano de Lubrificação do Gerador</t>
  </si>
  <si>
    <t>Manual Gerador-Parte mecânica</t>
  </si>
  <si>
    <t>MM-CN2-003.00</t>
  </si>
  <si>
    <t>MM-CN2-003.01</t>
  </si>
  <si>
    <t>MM-CN2-003.02</t>
  </si>
  <si>
    <t>MM-CN2-003.03</t>
  </si>
  <si>
    <t>MM-CN2-004.00</t>
  </si>
  <si>
    <t>MM-CN2-004.01</t>
  </si>
  <si>
    <t>MM-CN2-004.02</t>
  </si>
  <si>
    <t>MM-CN2-006.00</t>
  </si>
  <si>
    <t>MM-CN2-019.00</t>
  </si>
  <si>
    <t>MM-CN2-019.01</t>
  </si>
  <si>
    <t>MM-CN2-019.02</t>
  </si>
  <si>
    <t>MM-CN2-020.06</t>
  </si>
  <si>
    <t>MM-CN2-022.03</t>
  </si>
  <si>
    <t>MM-CN2-023.03</t>
  </si>
  <si>
    <t>MM-CN2-024.01</t>
  </si>
  <si>
    <t>MM-CN2-024.04</t>
  </si>
  <si>
    <t>MM-CN2-026.00</t>
  </si>
  <si>
    <t>Manutenção preventiva no Sistema de Drenagem e Esgotamento - MCP0</t>
  </si>
  <si>
    <t>MM-CN2-026.01</t>
  </si>
  <si>
    <t>Manutenção preventiva no Sistema de Drenagem e Esgotamento - MCP1</t>
  </si>
  <si>
    <t>MM-CN2-026.07</t>
  </si>
  <si>
    <t>MM-CN2-028.02</t>
  </si>
  <si>
    <t>MM-CN2-030.00</t>
  </si>
  <si>
    <t>MM-CN2-030.01</t>
  </si>
  <si>
    <t>MM-CN2-031.21</t>
  </si>
  <si>
    <t>MM-CN2-033.00</t>
  </si>
  <si>
    <t>Elevador de Passageiros - MCP0</t>
  </si>
  <si>
    <t>MM-CN2-041.00</t>
  </si>
  <si>
    <t>MM-CN2-041.01</t>
  </si>
  <si>
    <t>MM-CN2-058.02</t>
  </si>
  <si>
    <t>MM-CN2-058.03</t>
  </si>
  <si>
    <t>Manual Ventilação - ar condicionado</t>
  </si>
  <si>
    <t>MM-CN2-060.02</t>
  </si>
  <si>
    <t>MM-CN2-063.00</t>
  </si>
  <si>
    <t>Manutenção Preventiva - Pórtico Jusante 25t (MPP1)</t>
  </si>
  <si>
    <t>MM-CN2-063.01</t>
  </si>
  <si>
    <t>MM-CN2-065.01</t>
  </si>
  <si>
    <t>MM-CN2-065.02</t>
  </si>
  <si>
    <t>MM-CN2-084.01</t>
  </si>
  <si>
    <t>MM-CPV-000.02</t>
  </si>
  <si>
    <t>MM-CPV-001.01</t>
  </si>
  <si>
    <t>Roteiro Para Montagem Guarda Chuva</t>
  </si>
  <si>
    <t>MM-CPV-001.02</t>
  </si>
  <si>
    <t>MM-CPV-001.25</t>
  </si>
  <si>
    <t>MM-CPV-003.00</t>
  </si>
  <si>
    <t>Manutenção Preventiva Periódica Tipo 0 no Gerador - Partes Elétricas</t>
  </si>
  <si>
    <t>MM-CPV-003.02</t>
  </si>
  <si>
    <t>Inspeção no Pacote Estatórico</t>
  </si>
  <si>
    <t>Manual Gerador-Parte elétrica</t>
  </si>
  <si>
    <t>MM-CPV-005.00</t>
  </si>
  <si>
    <t>Manutenção Preventiva Periódica Tipo 0 no Barramento de Saída do Gerador e seus Acessórios</t>
  </si>
  <si>
    <t>Barramento de Saída do Gerador e Seus Acessórios</t>
  </si>
  <si>
    <t>MM-CPV-006.00</t>
  </si>
  <si>
    <t>-Manutenção Preventiva Periódica Tipo 0 em Transformadores Elevadores</t>
  </si>
  <si>
    <t>MM-CPV-006.01</t>
  </si>
  <si>
    <t>MM-CPV-007.00</t>
  </si>
  <si>
    <t>Manutenção Preventiva Periódica Tipo O em Transformador a Seco (Reatores)</t>
  </si>
  <si>
    <t>Transformadores a Seco</t>
  </si>
  <si>
    <t>MM-CPV-008.00</t>
  </si>
  <si>
    <t>Manutenção Preventiva Periódica Tipo O em Equipamentos de Alta Tensão</t>
  </si>
  <si>
    <t>Equipamentos de Alta Tensão</t>
  </si>
  <si>
    <t>MM-CPV-008.01</t>
  </si>
  <si>
    <t>MM-CPV-008.02</t>
  </si>
  <si>
    <t>Manutenção Preventiva Periódica Tipo 0 em Seccionadoras de Alta Tensão</t>
  </si>
  <si>
    <t>MM-CPV-008.03</t>
  </si>
  <si>
    <t>Manutenção Preventiva Periódica Tipo 0 em Transformador de Corrente</t>
  </si>
  <si>
    <t>MM-CPV-008.04</t>
  </si>
  <si>
    <t>Manutenção Preventiva Periódica Tipo 0 em Disjuntores</t>
  </si>
  <si>
    <t>MM-CPV-010.00</t>
  </si>
  <si>
    <t>Manutenção Complementar Preventiva Tipo 0 nos Painéis de Baixa Tensão</t>
  </si>
  <si>
    <t>Painéis de Baixa Tensão</t>
  </si>
  <si>
    <t>MM-CPV-015.00</t>
  </si>
  <si>
    <t>Manutenção Preventiva Periódica Tipo 0 na Proteção da Unidade Geradora</t>
  </si>
  <si>
    <t>MM-CPV-018.01</t>
  </si>
  <si>
    <t>Roteiro Para Ensaios no Sistema de Excitação</t>
  </si>
  <si>
    <t>MM-CPV-020.06</t>
  </si>
  <si>
    <t>MM-CPV-022.03</t>
  </si>
  <si>
    <t>MM-CPV-024.01</t>
  </si>
  <si>
    <t>MM-CPV-024.04</t>
  </si>
  <si>
    <t>MM-CPV-026.07</t>
  </si>
  <si>
    <t>MM-CPV-027.00</t>
  </si>
  <si>
    <t>Manutenção Complementar Preventiva Tipo 0 Sistema Separador de Óleo</t>
  </si>
  <si>
    <t>Sistema separador água-óleo</t>
  </si>
  <si>
    <t>MM-CPV-028.00</t>
  </si>
  <si>
    <t>Manutenção Complementar  Preventiva Tipo 0 nas Comportas de Manutenção - Stop-logs</t>
  </si>
  <si>
    <t>MM-CPV-028.02</t>
  </si>
  <si>
    <t>MM-CPV-030.00</t>
  </si>
  <si>
    <t>Manutenção Complementar Preventiva  Tipo 0 na Pórtico Montante</t>
  </si>
  <si>
    <t>Pórtico Montante</t>
  </si>
  <si>
    <t>MM-CPV-030.01</t>
  </si>
  <si>
    <t>Manutenção Complementar Preventiva  Tipo 0 na Pórtico Vertedouro</t>
  </si>
  <si>
    <t>MM-CPV-031.00</t>
  </si>
  <si>
    <t xml:space="preserve">Manutenção Complementar Preventiva  Tipo 0 na Ponte Rolante Principal e Asservida
</t>
  </si>
  <si>
    <t>MM-CPV-031.21</t>
  </si>
  <si>
    <t>MM-CPV-032.00</t>
  </si>
  <si>
    <t>Manutenção Complementar Preventiva  Tipo 0 na Ponte Auxiliar</t>
  </si>
  <si>
    <t>MM-CPV-033.00</t>
  </si>
  <si>
    <t xml:space="preserve">Elevador </t>
  </si>
  <si>
    <t>MM-CPV-040.00</t>
  </si>
  <si>
    <t>Manutenção Complementar Preventiva Tipo 0 no Sistema de Iluminação e Tomadas</t>
  </si>
  <si>
    <t>Sistema  iluminação e tomadas</t>
  </si>
  <si>
    <t>MM-CPV-041.00</t>
  </si>
  <si>
    <t>Manutenção Complementar Preventiva Tipo 0 em SPDA</t>
  </si>
  <si>
    <t>MM-CPV-051.00</t>
  </si>
  <si>
    <t>Manutenção Complementar Preventiva Tipo 0 em Transformadores auxiliares imersos em óleo</t>
  </si>
  <si>
    <t>MM-CPV-058.00</t>
  </si>
  <si>
    <t>Manutenção Complementar Preventiva Tipo 0 no Sistema de Ventilação</t>
  </si>
  <si>
    <t>Sistema de ventilação</t>
  </si>
  <si>
    <t>MM-CPV-058.02</t>
  </si>
  <si>
    <t>MM-CPV-060.02</t>
  </si>
  <si>
    <t>MM-CPV-060.03</t>
  </si>
  <si>
    <t>MM-CPV-061.00</t>
  </si>
  <si>
    <t>Manutenção Complementar Preventiva Tipo 0 Comportas do Vertedouro</t>
  </si>
  <si>
    <t>Comporta de Vertedouro</t>
  </si>
  <si>
    <t>MM-CPV-063.00</t>
  </si>
  <si>
    <t>Manutenção Complementar Preventiva  Tipo 0 na Ponte Rolante Jusante</t>
  </si>
  <si>
    <t>Pórtico Jusante</t>
  </si>
  <si>
    <t>MM-CPV-065.00</t>
  </si>
  <si>
    <t>Manutenção Complementar Preventiva Tipo 0 Sistema Hidráulico Comportas do Vertedouro</t>
  </si>
  <si>
    <t>MM-CPV-065.01</t>
  </si>
  <si>
    <t>MM-CPV-065.02</t>
  </si>
  <si>
    <t>Manutenção Preventiva Programada Tipo 0 no Sistema de Manutenção Preventiva (MDM)</t>
  </si>
  <si>
    <t>MM-GAR-001.00</t>
  </si>
  <si>
    <t>Manual de medição de folga dos mancais de guia das turbinas das Unidades Geradoras 1, 2 e 3</t>
  </si>
  <si>
    <t>Turbina e equipamentos auxiliares</t>
  </si>
  <si>
    <t>MM-GAR-001.01</t>
  </si>
  <si>
    <t>Manutenção Preventiva no Sistema e Seus Auxiliares MPP0</t>
  </si>
  <si>
    <t>MM-GAR-001.02</t>
  </si>
  <si>
    <t>Manutenção Preventiva no Sistema e Seus Auxiliares MPP1</t>
  </si>
  <si>
    <t>MM-GAR-002.01</t>
  </si>
  <si>
    <t>Substituição do radiador do gerador UGs Francis</t>
  </si>
  <si>
    <t>MM-GAR-003.01</t>
  </si>
  <si>
    <t>Partes Elétricas UHE Garibaldi UG-01 - MPP0</t>
  </si>
  <si>
    <t>MM-GAR-003.02</t>
  </si>
  <si>
    <t>Partes Elétricas UHE Garibaldi UG-02 - MPP0</t>
  </si>
  <si>
    <t>MM-GAR-003.03</t>
  </si>
  <si>
    <t>Partes Elétricas UHE Garibaldi UG-03 - MPP0</t>
  </si>
  <si>
    <t>MM-GAR-003.04</t>
  </si>
  <si>
    <t>Partes Elétricas UHE Garibaldi UG-01 - MPP1</t>
  </si>
  <si>
    <t>MM-GAR-003.05</t>
  </si>
  <si>
    <t>Partes Elétricas UHE Garibaldi UG-02 - MPP1</t>
  </si>
  <si>
    <t>MM-GAR-003.06</t>
  </si>
  <si>
    <t>Partes Elétricas UHE Garibaldi UG-03 - MPP1</t>
  </si>
  <si>
    <t>MM-GAR-006.01</t>
  </si>
  <si>
    <t>MPP0 do transformador elevador 01 (TE-U1)</t>
  </si>
  <si>
    <t>MM-GAR-006.02</t>
  </si>
  <si>
    <t>MPP0 do transformador elevador 02 (TE-U2)</t>
  </si>
  <si>
    <t>MM-GAR-006.03</t>
  </si>
  <si>
    <t>MPP0 do transformador elevador 03 (TE-U3)</t>
  </si>
  <si>
    <t>MM-GAR-006.04</t>
  </si>
  <si>
    <t>MPP0 do transformador elevador 04 (TE-U4)</t>
  </si>
  <si>
    <t>MM-GAR-006.05</t>
  </si>
  <si>
    <t xml:space="preserve">Coleta de Óleo Isolante nos Transformadores Elevadores </t>
  </si>
  <si>
    <t>MM-GAR-007.01</t>
  </si>
  <si>
    <t>Manutenção preventiva nos transformadores de serviço auxiliar 04, 05, 06 e 07</t>
  </si>
  <si>
    <t>MM-GAR-007.02</t>
  </si>
  <si>
    <t>Manutenção MPP1 nos Transformadores a seco</t>
  </si>
  <si>
    <t>MM-GAR-007.03</t>
  </si>
  <si>
    <t>Manutenção MPP0 nos Transformadores a seco</t>
  </si>
  <si>
    <t>MM-GAR-008.01</t>
  </si>
  <si>
    <t>Ensaio de Termovisão</t>
  </si>
  <si>
    <t>MM-GAR-008.02</t>
  </si>
  <si>
    <t>Manutenção Preventiva nos DJ 230KV - MPP0</t>
  </si>
  <si>
    <t>MM-GAR-008.03</t>
  </si>
  <si>
    <t>Manutenção Preventiva nos DJ 230KV - MPP1</t>
  </si>
  <si>
    <t>MM-GAR-008.04</t>
  </si>
  <si>
    <t>Manutenção Preventiva nas seccionadoras de 230kV - MPP0</t>
  </si>
  <si>
    <t>MM-GAR-008.05</t>
  </si>
  <si>
    <t>Manutenção Preventiva nas seccionadoras de 230kV - MPP1</t>
  </si>
  <si>
    <t>MM-GAR-009.00</t>
  </si>
  <si>
    <t>Manutenção preventiva nos painéis de média tensão - MPP0</t>
  </si>
  <si>
    <t>MM-GAR-010.01</t>
  </si>
  <si>
    <t>MCP0 no quadro de distribuição da unidade 01 (QCA-U1)</t>
  </si>
  <si>
    <t>MM-GAR-010.02</t>
  </si>
  <si>
    <t xml:space="preserve">MCP0 no quadro de distribuição CA Subestação Garibaldi (QCA-SE) </t>
  </si>
  <si>
    <t>MM-GAR-010.03</t>
  </si>
  <si>
    <t xml:space="preserve">MCP0 no quadro de distribuição CA tomada  D’água (QCA-TA) </t>
  </si>
  <si>
    <t>MM-GAR-010.04</t>
  </si>
  <si>
    <t>MCP0 no quadro de distribuição CA geral de cargas (QCA G1)</t>
  </si>
  <si>
    <t>MM-GAR-010.05</t>
  </si>
  <si>
    <t>MCP0 no quadro de distribuição CA geral de cargas (QCA G2)</t>
  </si>
  <si>
    <t>MM-GAR-010.06</t>
  </si>
  <si>
    <t>MCP0 no quadro de distribuição CA da unidade geradora 02 (QCA U2)</t>
  </si>
  <si>
    <t>MM-GAR-010.07</t>
  </si>
  <si>
    <t>MCP0 no quadro de distribuição CA da unidade geradora 03 (QCA U3)</t>
  </si>
  <si>
    <t>MM-GAR-013.00</t>
  </si>
  <si>
    <t>Recomposição do SDSC - Sistema de Supervisão e Controle</t>
  </si>
  <si>
    <t>Unidade de Aquisição e Controle (UAC)</t>
  </si>
  <si>
    <t>MM-GAR-013.01</t>
  </si>
  <si>
    <t>Manutenção preventiva na unidade de aquisição e controle da UG01 da UHE Garibaldi</t>
  </si>
  <si>
    <t>MM-GAR-013.02</t>
  </si>
  <si>
    <t>Manutenção preventiva na unidade de aquisição e controle da UG02 da UHE Garibaldi</t>
  </si>
  <si>
    <t>MM-GAR-013.03</t>
  </si>
  <si>
    <t>Manutenção preventiva na unidade de aquisição e controle da UG03 da UHE Garibaldi</t>
  </si>
  <si>
    <t>MM-GAR-013.04</t>
  </si>
  <si>
    <t>Manutenção preventiva na unidade de aquisição e controle da UG04 da UHE Garibaldi</t>
  </si>
  <si>
    <t>MM-GAR-013.05</t>
  </si>
  <si>
    <t>Manutenção preventiva na unidade de aquisição e controle da UAC-CF da UHE Garibaldi</t>
  </si>
  <si>
    <t>MM-GAR-013.06</t>
  </si>
  <si>
    <t>Manutenção preventiva na unidade de aquisição e controle da UAC-PC da UHE Garibaldi</t>
  </si>
  <si>
    <t>MM-GAR-013.07</t>
  </si>
  <si>
    <t>Manutenção preventiva na unidade de aquisição e controle da SE-230KV da UHE Garibaldi</t>
  </si>
  <si>
    <t>MM-GAR-015.01</t>
  </si>
  <si>
    <t>Coleta de oscilógrafia dos relés de proteção Schweitzer da UHE Garibaldi</t>
  </si>
  <si>
    <t>MM-GAR-015.02</t>
  </si>
  <si>
    <t>Manutenção Preventiva Proteção da unidade geradora - MPP0</t>
  </si>
  <si>
    <t>MM-GAR-015.03</t>
  </si>
  <si>
    <t>Manutenção Preventiva Proteção da unidade geradora - MPP1</t>
  </si>
  <si>
    <t>MM-GAR-018.01</t>
  </si>
  <si>
    <t>Sistema de Excitação UHE Garibaldi TEX-U1</t>
  </si>
  <si>
    <t>Sistema de Excitação</t>
  </si>
  <si>
    <t>MM-GAR-018.02</t>
  </si>
  <si>
    <t>Sistema de Excitação UHE Garibaldi TEX-U2</t>
  </si>
  <si>
    <t>MM-GAR-018.03</t>
  </si>
  <si>
    <t>Sistema de Excitação UHE Garibaldi TEX-U3</t>
  </si>
  <si>
    <t>MM-GAR-019.01</t>
  </si>
  <si>
    <t>Manutenção em Sistemas Medição de Fuga a Terra</t>
  </si>
  <si>
    <t>MM-GAR-020.01</t>
  </si>
  <si>
    <t xml:space="preserve">Abastecimento e Medição de Pressão de Pré-Carga de Nitrogênio no Regulador de Velocidade da UG01 
</t>
  </si>
  <si>
    <t>Regulador de Velocidade - Parte Mecanica</t>
  </si>
  <si>
    <t>MM-GAR-020.02</t>
  </si>
  <si>
    <t xml:space="preserve">Abastecimento e Medição de Pressão de Pré-Carga de Nitrogênio no Regulador de Velocidade da UG02
</t>
  </si>
  <si>
    <t>MM-GAR-020.03</t>
  </si>
  <si>
    <t xml:space="preserve">Abastecimento e Medição de Pressão de Pré-Carga de Nitrogênio no Regulador de Velocidade da UG03
</t>
  </si>
  <si>
    <t>MM-GAR-020.04</t>
  </si>
  <si>
    <t>Manutenção preventiva no regulador de velocidade e sistema de regulação MPP0 (Parte mecânica) UG-01</t>
  </si>
  <si>
    <t>MM-GAR-020.05</t>
  </si>
  <si>
    <t>Manutenção preventiva no regulador de velocidade e sistema de regulação MPP0 (Parte mecânica) UG-02</t>
  </si>
  <si>
    <t>MM-GAR-020.06</t>
  </si>
  <si>
    <t>Manutenção preventiva no regulador de velocidade e sistema de regulação MPP0 (Parte mecânica) UG-03</t>
  </si>
  <si>
    <t>MM-GAR-021.01</t>
  </si>
  <si>
    <t>Acesso ao software e aplicação do regulador de velocidade Siemens Toolbox II da UHE Garibaldi</t>
  </si>
  <si>
    <t>MM-GAR-022.00</t>
  </si>
  <si>
    <t>Manutenção Preventiva nos compressores de ar de serviço - MCP0</t>
  </si>
  <si>
    <t>Sistema de Ar comprimido</t>
  </si>
  <si>
    <t>MM-GAR-022.01</t>
  </si>
  <si>
    <t>Manutenção Preventiva nos compressores de ar de serviço - MCP1</t>
  </si>
  <si>
    <t>MM-GAR-023.01</t>
  </si>
  <si>
    <t>Substituição de Válvula de Entrada de água do Sistema de Refriamento do FAAR UG01</t>
  </si>
  <si>
    <t>Sistema de água de refrigeração</t>
  </si>
  <si>
    <t>MM-GAR-023.02</t>
  </si>
  <si>
    <t>Substituição de Válvula de Entrada de água do Sistema de Refriamento do FAAR UG02</t>
  </si>
  <si>
    <t>MM-GAR-023.03</t>
  </si>
  <si>
    <t>Substituição de Válvula de Entrada de água do Sistema de Refriamento do FAAR UG03</t>
  </si>
  <si>
    <t>MM-GAR-023.04</t>
  </si>
  <si>
    <t>Manutenção preventiva no filtro autolimpante tipo cesto e filtros duplex do sistema de vedação deslizante do eixo da UG-01</t>
  </si>
  <si>
    <t>MM-GAR-023.05</t>
  </si>
  <si>
    <t>Manutenção preventiva no filtro autolimpante tipo cesto e filtros duplex do sistema de vedação deslizante do eixo da UG-02</t>
  </si>
  <si>
    <t>MM-GAR-023.06</t>
  </si>
  <si>
    <t>Manutenção preventiva no filtro autolimpante tipo cesto e filtros duplex do sistema de vedação deslizante do eixo da UG-03</t>
  </si>
  <si>
    <t>MM-GAR-023.07</t>
  </si>
  <si>
    <t>Manutenção preventiva no filtro autolimpante de água de resfriamento (FAAR) UG-01</t>
  </si>
  <si>
    <t>MM-GAR-023.08</t>
  </si>
  <si>
    <t>Manutenção preventiva no filtro autolimpante de água de resfriamento (FAAR) UG-02</t>
  </si>
  <si>
    <t>MM-GAR-023.09</t>
  </si>
  <si>
    <t>Manutenção preventiva no filtro autolimpante de água de resfriamento (FAAR) UG-03</t>
  </si>
  <si>
    <t>MM-GAR-023.10</t>
  </si>
  <si>
    <t>Manutenção Preventiva no sistema de água de resfriamento - MPP0</t>
  </si>
  <si>
    <t>MM-GAR-025.00</t>
  </si>
  <si>
    <t>Manutenção Sistema de medição de faturamento - MPP0</t>
  </si>
  <si>
    <t>Sistema de Medição de Faturamento</t>
  </si>
  <si>
    <t>MM-GAR-025.01</t>
  </si>
  <si>
    <t>Manutenção Sistema de medição de faturamento - MPP1</t>
  </si>
  <si>
    <t>MM-GAR-026.00</t>
  </si>
  <si>
    <t>Manutenção Preventiva do Poço de Drenagem MCP0</t>
  </si>
  <si>
    <t>Ponte Rolante Principal</t>
  </si>
  <si>
    <t>MM-GAR-026.01</t>
  </si>
  <si>
    <t>Manutenção Preventiva do Poço de Drenagem MCP1</t>
  </si>
  <si>
    <t>MM-GAR-026.02</t>
  </si>
  <si>
    <t>Manutenção Preventiva do Poço de Esgotamento e Enchimento MCP0</t>
  </si>
  <si>
    <t>MM-GAR-026.03</t>
  </si>
  <si>
    <t>Manutenção Preventiva do Poço de Esgotamento e Enchimento MCP1</t>
  </si>
  <si>
    <t>MM-GAR-028.00</t>
  </si>
  <si>
    <t xml:space="preserve">Movimentação das comportas ensecadeiras montante </t>
  </si>
  <si>
    <t>Comporta de Manutenção</t>
  </si>
  <si>
    <t>MM-GAR-028.01</t>
  </si>
  <si>
    <t>Movimentação das comportas ensecadeiras jusante</t>
  </si>
  <si>
    <t>MM-GAR-030.00</t>
  </si>
  <si>
    <t xml:space="preserve">Remoção de detritos da câmara de carga </t>
  </si>
  <si>
    <t>MM-GAR-030.01</t>
  </si>
  <si>
    <t>Manutenção Preventiva Portico Montante MCP0</t>
  </si>
  <si>
    <t>MM-GAR-030.02</t>
  </si>
  <si>
    <t>Manutenção Preventiva Portico Montante MCP1</t>
  </si>
  <si>
    <t>MM-GAR-030.03</t>
  </si>
  <si>
    <t>Manutenção Preventiva Monovias MCP0 ( Portico Montante)</t>
  </si>
  <si>
    <t>MM-GAR-030.04</t>
  </si>
  <si>
    <t>Manutenção Preventiva Monovias MCP1 ( Portico Montante)</t>
  </si>
  <si>
    <t>MM-GAR-030.05</t>
  </si>
  <si>
    <t>Manutenção Preventiva Monovias MCP0 ( Portico Montante PCH)</t>
  </si>
  <si>
    <t>MM-GAR-030.06</t>
  </si>
  <si>
    <t>Manutenção Preventiva Monovias MCP1 ( Portico Montante PCH)</t>
  </si>
  <si>
    <t>MM-GAR-031.00</t>
  </si>
  <si>
    <t>Manutenção Preventiva Ponte Rolante 1900x250x20 Kn MCP1</t>
  </si>
  <si>
    <t>MM-GAR-031.01</t>
  </si>
  <si>
    <t>Manutenção Preventiva Ponte Rolante 1900x250x20 Kn MCP0</t>
  </si>
  <si>
    <t>MM-GAR-032.00</t>
  </si>
  <si>
    <t>Manutenção Preventiva Ponte Rolante PCH MCP0</t>
  </si>
  <si>
    <t>MM-GAR-032.01</t>
  </si>
  <si>
    <t>MM-GAR-041.00</t>
  </si>
  <si>
    <t>Manutenção Preventiva no SPDA - MCP0</t>
  </si>
  <si>
    <t>MM-GAR-051.00</t>
  </si>
  <si>
    <t xml:space="preserve">Coleta de Óleo Isolante nos Transformadores Auxiliares </t>
  </si>
  <si>
    <t>MM-GAR-055.00</t>
  </si>
  <si>
    <t>Manutenção Preventiva no registrador de perturbação - MPP0</t>
  </si>
  <si>
    <t>Registradores Falhas</t>
  </si>
  <si>
    <t>MM-GAR-055.01</t>
  </si>
  <si>
    <t>Manutenção Preventiva no registrador de perturbação - MPP1</t>
  </si>
  <si>
    <t>MM-GAR-058.00</t>
  </si>
  <si>
    <t>Manutenção no sistema de ventilação e exaustão - MCP0</t>
  </si>
  <si>
    <t>MM-GAR-060.02</t>
  </si>
  <si>
    <t>MM-GAR-062.00</t>
  </si>
  <si>
    <t>Manutenção preventiva na comporta vagão - MPP0</t>
  </si>
  <si>
    <t>Comporta de Emergência</t>
  </si>
  <si>
    <t>MM-GAR-062.01</t>
  </si>
  <si>
    <t>Manutenção preventiva na comporta vagão - MPP1</t>
  </si>
  <si>
    <t>MM-GAR-063.00</t>
  </si>
  <si>
    <t>Manutenção Preventiva Portico Jusante MCP0</t>
  </si>
  <si>
    <t>MM-GAR-063.01</t>
  </si>
  <si>
    <t>MM-GAR-063.02</t>
  </si>
  <si>
    <t>Manutenção Preventiva Monovias MCPO (Portico Jusante)</t>
  </si>
  <si>
    <t>MM-GAR-063.03</t>
  </si>
  <si>
    <t>Manutenção Preventiva Monovias MCP1 (Portico Jusante)</t>
  </si>
  <si>
    <t>MM-GAR-086.00</t>
  </si>
  <si>
    <t xml:space="preserve">Manutenção preventiva no sistema de cloro da casa de força MCP0 </t>
  </si>
  <si>
    <t>Sistema de cloro pastilha</t>
  </si>
  <si>
    <t>MM-GAR-086.01</t>
  </si>
  <si>
    <t>Manutenção preventiva no sistema de cloro da casa de força MCP1</t>
  </si>
  <si>
    <t>MM-ILS-000.03</t>
  </si>
  <si>
    <t>Identificação e Calibrações Instrumentos de Medição e Ensaios</t>
  </si>
  <si>
    <t>MM-ILS-000.04</t>
  </si>
  <si>
    <t>Manual de despacho e recepção de materiais, equipamentos e instrumentos.</t>
  </si>
  <si>
    <t>MM-ILS-000.07</t>
  </si>
  <si>
    <t>Enchimento da UG</t>
  </si>
  <si>
    <t>MM-ILS-000.08</t>
  </si>
  <si>
    <t>Procedimento Aterramento Elétrico Temporário</t>
  </si>
  <si>
    <t>MM-ILS-001.00</t>
  </si>
  <si>
    <t>Manual de Manutenção da Vedação do Eixo das UGs 05 a 20 (Não Modernizadas)</t>
  </si>
  <si>
    <t>02.1</t>
  </si>
  <si>
    <t>MM-ILS-001.02.1</t>
  </si>
  <si>
    <t>Procedimentos Ajuste Mancal Escora UG's 01 a 04</t>
  </si>
  <si>
    <t>02.2</t>
  </si>
  <si>
    <t>MM-ILS-001.02.2</t>
  </si>
  <si>
    <t>Procedimentos Ajuste Mancal Escora UG's 05 a 16</t>
  </si>
  <si>
    <t>02.3</t>
  </si>
  <si>
    <t>MM-ILS-001.02.3</t>
  </si>
  <si>
    <t>Procedimentos Ajuste Mancal Escora UG's 17 a 20</t>
  </si>
  <si>
    <t>02.4</t>
  </si>
  <si>
    <t>MM-ILS-001.02.4</t>
  </si>
  <si>
    <t>Procedimentos Ajuste Mancal Inferior UG's 17 a 20</t>
  </si>
  <si>
    <t xml:space="preserve">CANCELADO </t>
  </si>
  <si>
    <t>02.5</t>
  </si>
  <si>
    <t>MM-ILS-001.02.5</t>
  </si>
  <si>
    <t>Procedimentos Ajuste Mancal Superior UG's 1 a 16</t>
  </si>
  <si>
    <t>02.6</t>
  </si>
  <si>
    <t>MM-ILS-001.02.6</t>
  </si>
  <si>
    <t>Procedimentos Ajuste Mancal Inferior UG's 17 a 20 e modernizadas</t>
  </si>
  <si>
    <t>02.9</t>
  </si>
  <si>
    <t>MM-ILS-001.02.9</t>
  </si>
  <si>
    <t>Procedimentos Ajuste Mancal Inferior UG 3</t>
  </si>
  <si>
    <t>MM-ILS-001.04</t>
  </si>
  <si>
    <t>Ajuste do MGT da UG03</t>
  </si>
  <si>
    <t>MM-ILS-001.05</t>
  </si>
  <si>
    <t>Inspeção Visual em Pré Distribuidor</t>
  </si>
  <si>
    <t>MM-ILS-001.06</t>
  </si>
  <si>
    <t>Inspeção Trincas Pré Distribuidor UG's</t>
  </si>
  <si>
    <t>MM-ILS-001.09</t>
  </si>
  <si>
    <t>Drenagem e Reposição de Óleo dos Equipamentos das UG's</t>
  </si>
  <si>
    <t>MM-ILS-001.10</t>
  </si>
  <si>
    <t xml:space="preserve">Manual de Ajuste dos MGIs das UGs modernizadas </t>
  </si>
  <si>
    <t>MM-ILS-001.11</t>
  </si>
  <si>
    <t>Manual de Lubrificação, Inspeção e Manutenção nas Unidades Geradoras 01 a 04</t>
  </si>
  <si>
    <t>MM-ILS-001.12</t>
  </si>
  <si>
    <t>Manual de Lubrificação, Inspeção e Manutenção nas Unidades Geradoras 05 a 16</t>
  </si>
  <si>
    <t>MM-ILS-001.66</t>
  </si>
  <si>
    <t>Medição de Verticalidade dos Eixos nas Unidades Geradoras</t>
  </si>
  <si>
    <t>MM-ILS-002.26</t>
  </si>
  <si>
    <t>Nivelamento e ajuste do mancal de escora das unidades geradoras 01 a 04.</t>
  </si>
  <si>
    <t>MM-ILS-002.27</t>
  </si>
  <si>
    <t>MM-ILS-003.00</t>
  </si>
  <si>
    <t>MANUAL DE MONTAGEM E DESMONTAGEM DE POLOS GERADORES SIEMENS</t>
  </si>
  <si>
    <t>MM-ILS-003.03</t>
  </si>
  <si>
    <t>Manutenção Preditiva - Inspeção de Termografia das Unidades Geradoras e Equipamentos do Bay</t>
  </si>
  <si>
    <t>MM-ILS-003.03.1</t>
  </si>
  <si>
    <t>Manual Ensaios Geradores - Parte 1 (Estator e Rotor)</t>
  </si>
  <si>
    <t>MM-ILS-003.04</t>
  </si>
  <si>
    <t>Anel Coletor Escovas Carvão</t>
  </si>
  <si>
    <t>MM-ILS-003.05</t>
  </si>
  <si>
    <t>Manual de Manutenção de MPP0 em Geradores</t>
  </si>
  <si>
    <t>MM-ILS-003.06</t>
  </si>
  <si>
    <t xml:space="preserve">Manual de manutenção anel coletor e escova de carvão </t>
  </si>
  <si>
    <t xml:space="preserve">Manual Gerador- Parte elétrica </t>
  </si>
  <si>
    <t>MM-ILS-003.08</t>
  </si>
  <si>
    <t>Manutenção de Manutenção de MPP1 em Geradores</t>
  </si>
  <si>
    <t>MM-ILS-003.09</t>
  </si>
  <si>
    <t>Transmissor de pressão diferencial 3051CD Rosemount</t>
  </si>
  <si>
    <t>MM-ILS-003.10</t>
  </si>
  <si>
    <t>MM-ILS-003.11</t>
  </si>
  <si>
    <t>Pressostato Eletrônico WIKA</t>
  </si>
  <si>
    <t>MM-ILS-003.12</t>
  </si>
  <si>
    <t>Transmissores e sensores de temperatura WIKA</t>
  </si>
  <si>
    <t>MM-ILS-004.00</t>
  </si>
  <si>
    <t>Testes dinâmicos de automatismos das unidades geradoras</t>
  </si>
  <si>
    <t>MM-ILS-004.01</t>
  </si>
  <si>
    <t>Alinhamento de Eixos de Conjuntos Rotativos Por Laser</t>
  </si>
  <si>
    <t>Manual Sistemas Auxiliares da Unidade Geradora</t>
  </si>
  <si>
    <t>MM-ILS-004.02</t>
  </si>
  <si>
    <t>MM-ILS-004.03</t>
  </si>
  <si>
    <t xml:space="preserve"> Transmissores e sensores de temperatura WIKA</t>
  </si>
  <si>
    <t>MM-ILS-004.05</t>
  </si>
  <si>
    <t>MCP0_Painél CMCS</t>
  </si>
  <si>
    <t>MM-ILS-004.06</t>
  </si>
  <si>
    <t>MCP1_Painél CMCS</t>
  </si>
  <si>
    <t>MM-ILS-004.08</t>
  </si>
  <si>
    <t>MPP0, MPP1 e MPP2 nos quadros Centro de Motores  CCM</t>
  </si>
  <si>
    <t>MM-ILS-004.09</t>
  </si>
  <si>
    <t>MM-ILS-004.10</t>
  </si>
  <si>
    <t>MPP0 nos Quadros Centro de Motores - CM</t>
  </si>
  <si>
    <t>MM-ILS-004.11</t>
  </si>
  <si>
    <t>MPP1 nos Quadros Centro de Motores - CM</t>
  </si>
  <si>
    <t>MM-ILS-004.12</t>
  </si>
  <si>
    <t>MPP2 nos Quadros Centro de Motores - CM</t>
  </si>
  <si>
    <t>MM-ILS-004.13</t>
  </si>
  <si>
    <t>MM-ILS-004.14</t>
  </si>
  <si>
    <t>MR Centro de Motores</t>
  </si>
  <si>
    <t>Manual Painéis de Baixa Tensão</t>
  </si>
  <si>
    <t>MM-ILS-005.01</t>
  </si>
  <si>
    <t>MM-ILS-006.09</t>
  </si>
  <si>
    <t>Ensaios em transformadores com equipamento Omicron CPC-100 e CP-TD1</t>
  </si>
  <si>
    <t>MM-ILS-006.10</t>
  </si>
  <si>
    <t>SITRAM TDCM -Sistema de monitoramento e diagnóstico dos transformadores</t>
  </si>
  <si>
    <t>MM-ILS-006.11</t>
  </si>
  <si>
    <t>Calibração e Update do sensor multisense 9</t>
  </si>
  <si>
    <t>MM-ILS-006.12</t>
  </si>
  <si>
    <t>MPP1 Transformador Elevador 440kV</t>
  </si>
  <si>
    <t>MM-ILS-006.13</t>
  </si>
  <si>
    <t>MPP2 Transformador Elevador 440kV</t>
  </si>
  <si>
    <t>MM-ILS-006.14</t>
  </si>
  <si>
    <t>MPP0 Transformador Elevador 440kV</t>
  </si>
  <si>
    <t>MM-ILS-006.15</t>
  </si>
  <si>
    <t>Coleta de óleo TR</t>
  </si>
  <si>
    <t>MM-ILS-007.04</t>
  </si>
  <si>
    <t>MCP-0 Transformadores a Seco</t>
  </si>
  <si>
    <t>MM-ILS-007.05</t>
  </si>
  <si>
    <t xml:space="preserve"> MCP-1 Transformadores a Seco</t>
  </si>
  <si>
    <t>MM-ILS-008.01</t>
  </si>
  <si>
    <t>Manual de Testes no Transformador de Corrente 440kV</t>
  </si>
  <si>
    <t>Manual Equipamentos de Alta Tensão</t>
  </si>
  <si>
    <t>MM-ILS-008.02</t>
  </si>
  <si>
    <t>MPP0_Seccionadora_Aterramento</t>
  </si>
  <si>
    <t>MM-ILS-008.03</t>
  </si>
  <si>
    <t>MPP1_Seccionadora_Aterramento</t>
  </si>
  <si>
    <t>MM-ILS-008.04</t>
  </si>
  <si>
    <t>MPP2_Seccionadora_Aterramento</t>
  </si>
  <si>
    <t>MM-ILS-008.05</t>
  </si>
  <si>
    <t>MPPGeral_Seccionadora_Aterramento</t>
  </si>
  <si>
    <t>MM-ILS-008.06</t>
  </si>
  <si>
    <t>MPP0_Seccionadora_Barra_440KV</t>
  </si>
  <si>
    <t>MM-ILS-008.07</t>
  </si>
  <si>
    <t>MPP1_Seccionadora_Barra_440KV</t>
  </si>
  <si>
    <t>MM-ILS-008.08</t>
  </si>
  <si>
    <t>MPP2_Seccionadora_Barra_440KV</t>
  </si>
  <si>
    <t>MM-ILS-008.09</t>
  </si>
  <si>
    <t>Geral_Seccionadora_Barra_440KV</t>
  </si>
  <si>
    <t>MM-ILS-008.10</t>
  </si>
  <si>
    <t>Equipamentos de AT - MPP0 Para-raios</t>
  </si>
  <si>
    <t>MM-ILS-008.11</t>
  </si>
  <si>
    <t>Equipamentos de AT - MPP1 Para-raios</t>
  </si>
  <si>
    <t>MM-ILS-008.12</t>
  </si>
  <si>
    <t>Equipamentos de AT - MPP2 Para-raios</t>
  </si>
  <si>
    <t>MM-ILS-008.13</t>
  </si>
  <si>
    <t>Manual de MPP0 no Transformador de Corrente 440kV</t>
  </si>
  <si>
    <t>MM-ILS-008.14</t>
  </si>
  <si>
    <t>Manual de MPP1 no Transformador de Corrente 440kVV</t>
  </si>
  <si>
    <t>MM-ILS-008.15</t>
  </si>
  <si>
    <t>Manual de MPP2 no Transformador de Corrente 440kV</t>
  </si>
  <si>
    <t>MM-ILS-008.16</t>
  </si>
  <si>
    <t>Manutenção Preventiva Periódica 0 - Disjuntor 440kV</t>
  </si>
  <si>
    <t>MM-ILS-008.17</t>
  </si>
  <si>
    <t xml:space="preserve">Manutenção Preventiva Periódica 1 - Disjuntor 440kV </t>
  </si>
  <si>
    <t>MM-ILS-008.18</t>
  </si>
  <si>
    <t xml:space="preserve">Manutenção Preventiva Periódica 2 - Disjuntor 440kV </t>
  </si>
  <si>
    <t>MM-ILS-008.19</t>
  </si>
  <si>
    <t>Manutenção e ensaios - Disjuntor 440kV</t>
  </si>
  <si>
    <t>MM-ILS-009.01</t>
  </si>
  <si>
    <t>MCP0_Painéis de Média Tensão_14,4kV</t>
  </si>
  <si>
    <t>Manual Painéis de Média Tensão</t>
  </si>
  <si>
    <t>MM-ILS-009.02</t>
  </si>
  <si>
    <t>MCP1_Painéis_Média_Tensão_14,4kV</t>
  </si>
  <si>
    <t>MM-ILS-009.03</t>
  </si>
  <si>
    <t>Painéis_Média_Tensão_Ensaios_Disjuntores_14,4KV_R1</t>
  </si>
  <si>
    <t>MM-ILS-009.04</t>
  </si>
  <si>
    <t>MR_Quadros Serviço Auxiliar 14,4KV</t>
  </si>
  <si>
    <t>Painéis de Média Tensão</t>
  </si>
  <si>
    <t>MM-ILS-010.01</t>
  </si>
  <si>
    <t>MCP0_Painéis_Baixa_Tensão_440V</t>
  </si>
  <si>
    <t>MM-ILS-010.02</t>
  </si>
  <si>
    <t>MCP1_Painéis_Baixa_Tensão_440V</t>
  </si>
  <si>
    <t>MM-ILS-010.03</t>
  </si>
  <si>
    <t>Caixa de Ensaios Gavetas CCM's</t>
  </si>
  <si>
    <t>MM-ILS-010.04</t>
  </si>
  <si>
    <t>MR_Quadros Serviço Auxiliar 440V</t>
  </si>
  <si>
    <t>MM-ILS-012.00</t>
  </si>
  <si>
    <t>Backup/Restore SCADA Software</t>
  </si>
  <si>
    <t>Micromputador SCADA</t>
  </si>
  <si>
    <t>MM-ILS-012.01</t>
  </si>
  <si>
    <t>Estação de Operação</t>
  </si>
  <si>
    <t>MM-ILS-013.01</t>
  </si>
  <si>
    <t>Unidade de Aquisição e Contole (UAC)- MPP</t>
  </si>
  <si>
    <t>MM-ILS-013.02</t>
  </si>
  <si>
    <t>Unidade de Aquisição e Contole (UAC)- Rede de Processo</t>
  </si>
  <si>
    <t>MM-ILS-015.01</t>
  </si>
  <si>
    <t>Manual Ensaios Bancada Proteções Relé REG670</t>
  </si>
  <si>
    <t>MM-ILS-015.02</t>
  </si>
  <si>
    <t>Manual de Manutenção da Proteção do Gerador</t>
  </si>
  <si>
    <t>MM-ILS-018.01</t>
  </si>
  <si>
    <t>MM-ILS-019.01</t>
  </si>
  <si>
    <t>MM-ILS-019.02</t>
  </si>
  <si>
    <t>Sistema de Corrente Continua</t>
  </si>
  <si>
    <t>MM-ILS-020.01</t>
  </si>
  <si>
    <t>Inspeção das Palhetas Móveis Acesso pelo Caracol</t>
  </si>
  <si>
    <t>MM-ILS-021.01</t>
  </si>
  <si>
    <t>Regulador de Velocidade - MPP</t>
  </si>
  <si>
    <t>MM-ILS-022.01</t>
  </si>
  <si>
    <t>Compressores Serviços Gerais</t>
  </si>
  <si>
    <t>MM-ILS-022.02</t>
  </si>
  <si>
    <t>Manutenções Preventivas Compressores Sistema Síncrono</t>
  </si>
  <si>
    <t>MM-ILS-023.01</t>
  </si>
  <si>
    <t>Manutenção Preventiva Filtros  Água Bruta Anual</t>
  </si>
  <si>
    <t>Substituição Válvula tubo de Interligação UG18</t>
  </si>
  <si>
    <t>MM-ILS-023.02</t>
  </si>
  <si>
    <t>Manual de manutenção de sistema de injeção de Cloro</t>
  </si>
  <si>
    <t>MM-ILS-023.05</t>
  </si>
  <si>
    <t>Filtro de água Bruta, modelo MKG UGs 03, 07, 09 e 20</t>
  </si>
  <si>
    <t>MM-ILS-024.01</t>
  </si>
  <si>
    <t>MM-ILS-024.02</t>
  </si>
  <si>
    <t>MM-ILS-024.03</t>
  </si>
  <si>
    <t>MM-ILS-025.00</t>
  </si>
  <si>
    <t>Manutenção, substituição, configuração e calibração Medidores Faturamento</t>
  </si>
  <si>
    <t>MM-ILS-026.01</t>
  </si>
  <si>
    <t>Poço Drenagem e Esgotamento 01 a 05 - Mensal</t>
  </si>
  <si>
    <t>MM-ILS-026.02</t>
  </si>
  <si>
    <t>Poços de Drenagem  A Semestral</t>
  </si>
  <si>
    <t>MM-ILS-026.03</t>
  </si>
  <si>
    <t>Poço de Drenagem  A  Anual</t>
  </si>
  <si>
    <t>MM-ILS-026.04</t>
  </si>
  <si>
    <t>Poço de drenagem  B Anual</t>
  </si>
  <si>
    <t>MM-ILS-026.05</t>
  </si>
  <si>
    <t>Poço de Drenagem e Esgotamento de 1a 5 Anual</t>
  </si>
  <si>
    <t>MM-ILS-026.06</t>
  </si>
  <si>
    <t>Desmontagem Montagem Bombas Drenagem</t>
  </si>
  <si>
    <t>MM-ILS-026.07</t>
  </si>
  <si>
    <t>Desmontagem Montagem Bombas Esgotamento</t>
  </si>
  <si>
    <t>MM-ILS-026.08</t>
  </si>
  <si>
    <t>Desmontagem Montagem Bombas Drenagem do poço A</t>
  </si>
  <si>
    <t>MM-ILS-030.02</t>
  </si>
  <si>
    <t>Manutenção Preventiva Pórtico 45T Semestral</t>
  </si>
  <si>
    <t>MM-ILS-031.01</t>
  </si>
  <si>
    <t>Manutenção Preventiva Ponte Rolante 20T Anual</t>
  </si>
  <si>
    <t>MM-ILS-031.02</t>
  </si>
  <si>
    <t>Manutenção Preventiva Ponte Rolante 20T Semestral</t>
  </si>
  <si>
    <t>MM-ILS-031.03</t>
  </si>
  <si>
    <t>Manutenção Preventiva Ponte Rolante 10T Anual</t>
  </si>
  <si>
    <t>MM-ILS-031.04</t>
  </si>
  <si>
    <t>Manutenção Preventiva Ponte Rolante 10T Semestral</t>
  </si>
  <si>
    <t>MM-ILS-031.05</t>
  </si>
  <si>
    <t>Manutenção Preventiva Ponte Rolante 35T Anual</t>
  </si>
  <si>
    <t>MM-ILS-031.06</t>
  </si>
  <si>
    <t xml:space="preserve">Manutenção Preventiva Ponte Rolante 35T Trimestral </t>
  </si>
  <si>
    <t>MM-ILS-031.07</t>
  </si>
  <si>
    <t>Manutenção Preventiva Ponte Rolante 40T Anual</t>
  </si>
  <si>
    <t>MM-ILS-031.08</t>
  </si>
  <si>
    <t>Manutenção Preventiva Ponte Rolante 40T Semestral</t>
  </si>
  <si>
    <t>MM-ILS-031.09</t>
  </si>
  <si>
    <t>Manutenção Preventiva Ponte Rolante 70T Anual</t>
  </si>
  <si>
    <t>MM-ILS-031.10</t>
  </si>
  <si>
    <t>Manutenção Preventiva Ponte Rolante 70T Semestral</t>
  </si>
  <si>
    <t>MM-ILS-031.11</t>
  </si>
  <si>
    <t>Manutenção Preventiva Pórtico Rolante 280_50 t Trimestral</t>
  </si>
  <si>
    <t>MM-ILS-031.12</t>
  </si>
  <si>
    <t>Manutenção Preventiva  Pórtico 45T Anual</t>
  </si>
  <si>
    <t>MM-ILS-031.13</t>
  </si>
  <si>
    <t>MM-ILS-031.14</t>
  </si>
  <si>
    <t>Manutenção  Preventiva Pórtico 160T Anual</t>
  </si>
  <si>
    <t>MM-ILS-031.15</t>
  </si>
  <si>
    <t>Manutenção Preventiva Pórtico Rolante 160_20 t Trimestral</t>
  </si>
  <si>
    <t>MM-ILS-031.16</t>
  </si>
  <si>
    <t>Manutenção Preventiva Pórtico 280T Anual</t>
  </si>
  <si>
    <t>MM-ILS-031.17</t>
  </si>
  <si>
    <t>Manutenção Preventiva Pórtico 280T Trimestral</t>
  </si>
  <si>
    <t>MM-ILS-031.18</t>
  </si>
  <si>
    <t>Monta Preventiva Monta Carga 30T Anual</t>
  </si>
  <si>
    <t>MM-ILS-031.19</t>
  </si>
  <si>
    <t xml:space="preserve">Manutenção Preventiva Monta Carga 30t Trimestral </t>
  </si>
  <si>
    <t>MM-ILS-031.20</t>
  </si>
  <si>
    <t>Soquetagem Cabo de Aço Pontes e Pórticos Rolantes</t>
  </si>
  <si>
    <t>MM-ILS-031.21</t>
  </si>
  <si>
    <t>Manutenção Preventiva Ponte Rolante 35T Man. Eletrica Bianual</t>
  </si>
  <si>
    <t>MM-ILS-031.22</t>
  </si>
  <si>
    <t xml:space="preserve">Manutenção Preventiva Ponte Rolante 35T Man. Eletrica Semestral </t>
  </si>
  <si>
    <t>MM-ILS-031.23</t>
  </si>
  <si>
    <t>Manutenção Preventiva Trimestral Ponte Rolante 280_50 t</t>
  </si>
  <si>
    <t>MM-ILS-032.00</t>
  </si>
  <si>
    <t>Manutenção Preventiva Trimestral Ponte Rolante 20t</t>
  </si>
  <si>
    <t>MM-ILS-040.00</t>
  </si>
  <si>
    <t>Manutenção Complementar Preventiva-MCP1
Quadros de Iluminação e Tomadas. (QL’s)</t>
  </si>
  <si>
    <t>MM-ILS-051.00</t>
  </si>
  <si>
    <t>Manual de MCP0 - TRSA</t>
  </si>
  <si>
    <t>MM-ILS-051.01</t>
  </si>
  <si>
    <t>MM-ILS-051.02</t>
  </si>
  <si>
    <t>MM-ILS-055.00</t>
  </si>
  <si>
    <t>Registrador de Perturbação</t>
  </si>
  <si>
    <t>MM-ILS-056.01</t>
  </si>
  <si>
    <t>Proteção de barras e falha disjuntor</t>
  </si>
  <si>
    <t>Manual Proteção de barras e falha disjuntor</t>
  </si>
  <si>
    <t>MM-ILS-058.01</t>
  </si>
  <si>
    <t>Manut Preventiva Sist Ventiladores e Exaustores CF Semestral</t>
  </si>
  <si>
    <t>MM-ILS-060.01</t>
  </si>
  <si>
    <t>Manual de Montagem e Desmontagem dos bancos de bateria de CO2</t>
  </si>
  <si>
    <t>MM-ILS-060.02</t>
  </si>
  <si>
    <t>MM-ILS-060.03</t>
  </si>
  <si>
    <t>MM-ILS-061.01</t>
  </si>
  <si>
    <t>Manutenção Preventiva do Rebocador Urubupunga Trimestral</t>
  </si>
  <si>
    <t>Manual Comporta de Vertedouro</t>
  </si>
  <si>
    <t>MM-ILS-062.00</t>
  </si>
  <si>
    <t>Comporta das unidades geradoras</t>
  </si>
  <si>
    <t>MM-ILS-068.01</t>
  </si>
  <si>
    <t>Manutenção Pórtico Limpa Grades Anual</t>
  </si>
  <si>
    <t>MM-ILS-083.01</t>
  </si>
  <si>
    <t>Manual de Manutenção na Estação de Tratamento de Água (ETA)</t>
  </si>
  <si>
    <t>Sistema de água potável</t>
  </si>
  <si>
    <t>MM-JUP-001.08</t>
  </si>
  <si>
    <t>Procedimento da Reforma do Aro Câmara</t>
  </si>
  <si>
    <t>MM-JUP-001.10</t>
  </si>
  <si>
    <t>Turbina e seus equipamentos auxiliares - UG's Não Modernizada</t>
  </si>
  <si>
    <t>MM-JUP-002.00</t>
  </si>
  <si>
    <t xml:space="preserve">Isolamento do radiador do gerador </t>
  </si>
  <si>
    <t>MM-JUP-002.01</t>
  </si>
  <si>
    <t xml:space="preserve">Substituição do radiador do gerador   </t>
  </si>
  <si>
    <t>MM-JUP-003.01</t>
  </si>
  <si>
    <t>Barramento Blindado de Saída das UG's</t>
  </si>
  <si>
    <t>MM-JUP-003.02</t>
  </si>
  <si>
    <t xml:space="preserve">MPP0  Geradores Auxiliares </t>
  </si>
  <si>
    <t>MM-JUP-003.03</t>
  </si>
  <si>
    <t>MPP0 Geradores Principais</t>
  </si>
  <si>
    <t>MM-JUP-003.04</t>
  </si>
  <si>
    <t xml:space="preserve">Atividade durante MPP0/MPP1 Regulador de Velocidade </t>
  </si>
  <si>
    <t>MM-JUP-003.06</t>
  </si>
  <si>
    <t>MPP0_Gerador e Equipamentos Auxiliares - UG's Não Modernizada</t>
  </si>
  <si>
    <t>MM-JUP-003.07</t>
  </si>
  <si>
    <t>MPP1 Estator e Rotor Unidades Geradoras Auxiliares</t>
  </si>
  <si>
    <t>MM-JUP-003.08</t>
  </si>
  <si>
    <t>Estator e Rotor Unidades Geradoras Principais</t>
  </si>
  <si>
    <t>MM-JUP-004.00</t>
  </si>
  <si>
    <t>MPPs_Sistemas Auxiliares da Unidade Geradora</t>
  </si>
  <si>
    <t>MM-JUP-005.01</t>
  </si>
  <si>
    <t xml:space="preserve">MPP0/MPP1 Barramento de Sáida do Garador e Seus Acessórios </t>
  </si>
  <si>
    <t>MM-JUP-005.02</t>
  </si>
  <si>
    <t xml:space="preserve">Termovisão em subestações e equipamentos de alta tensão </t>
  </si>
  <si>
    <t>MM-JUP-005.03</t>
  </si>
  <si>
    <t>Termovisão em Barramentos de saída da unidade geradora</t>
  </si>
  <si>
    <t>MM-JUP-005.04</t>
  </si>
  <si>
    <t>Termovisão em quadros de equipamentos e serviços auxiliares.</t>
  </si>
  <si>
    <t>MM-JUP-005.05</t>
  </si>
  <si>
    <t>MPPs Barramento de Saída do Gerador e Seus Acessórios Novo</t>
  </si>
  <si>
    <t>MM-JUP-006.01</t>
  </si>
  <si>
    <t>MPP0 Transformador Elevador 138KV e 440KV</t>
  </si>
  <si>
    <t>MM-JUP-006.02</t>
  </si>
  <si>
    <t>MPP1_Transformador Elevador  138KV e 440KV</t>
  </si>
  <si>
    <t>MM-JUP-006.03</t>
  </si>
  <si>
    <t>Coleta de Óleo Isolante nos Transformadores a Óleo</t>
  </si>
  <si>
    <t>MM-JUP-006.04</t>
  </si>
  <si>
    <t>Inspeção Preditiva Visual nos Transformdaores Elevadores e Cabos Isolados 138kv</t>
  </si>
  <si>
    <t>MM-JUP-007.01</t>
  </si>
  <si>
    <t>MPP0 Trafos à Seco - Excitação das UG's, UGA's e Serviço Auxiliar</t>
  </si>
  <si>
    <t>MM-JUP-007.02</t>
  </si>
  <si>
    <t>MPP1 Trafos à Seco - Excitação das UG's, UGA's e Serviço Auxiliar</t>
  </si>
  <si>
    <t>MM-JUP-008.01</t>
  </si>
  <si>
    <t>MPP0 em Transformadores de corrente 440kV</t>
  </si>
  <si>
    <t>MM-JUP-008.02</t>
  </si>
  <si>
    <t>MPP0 em Transformadores de corrente e Transformador de Potencial 138kV</t>
  </si>
  <si>
    <t>MM-JUP-008.03</t>
  </si>
  <si>
    <t>MPP0 nos disjuntores 138KV 3AP1 FG</t>
  </si>
  <si>
    <t>MM-JUP-008.04</t>
  </si>
  <si>
    <t>MPP0 nos seccionadores AT 400 E 138KV</t>
  </si>
  <si>
    <t>MM-JUP-008.05</t>
  </si>
  <si>
    <t>MPP0 nos disjuntores 440KV 3AT2</t>
  </si>
  <si>
    <t>MM-JUP-008.06</t>
  </si>
  <si>
    <t>MPP1_TC 440kV.</t>
  </si>
  <si>
    <t>MM-JUP-008.07</t>
  </si>
  <si>
    <t>MPP1_TC e TP 138kV.</t>
  </si>
  <si>
    <t>MM-JUP-008.08</t>
  </si>
  <si>
    <t>MPP1_Disjuntores 138KV 3AP1 FG</t>
  </si>
  <si>
    <t>MM-JUP-008.09</t>
  </si>
  <si>
    <t>MPP1_Seccionadores 440 e 138kV</t>
  </si>
  <si>
    <t>MM-JUP-008.10</t>
  </si>
  <si>
    <t>MPP1_Disjuntores 440KV 3AT2.</t>
  </si>
  <si>
    <t>MM-JUP-008.11</t>
  </si>
  <si>
    <t>MPP1_PARA-RAIO 138 e 440KV</t>
  </si>
  <si>
    <t>MM-JUP-008.12</t>
  </si>
  <si>
    <t>MM-JUP-008.13</t>
  </si>
  <si>
    <t xml:space="preserve">Manutenção Preventiva, Inspeção e testes em equipamentos de alta tensão das subestações </t>
  </si>
  <si>
    <t>MM-JUP-010.01</t>
  </si>
  <si>
    <t>MPC0 dos paineis de controle CCM das UG's e qDCA das UGA's</t>
  </si>
  <si>
    <t>MM-JUP-010.02</t>
  </si>
  <si>
    <t>MPC0 nos quadros Q1V, Q2V, q1V e q2V dos Vertedouros</t>
  </si>
  <si>
    <t>MM-JUP-013.01</t>
  </si>
  <si>
    <t>Manual de Manutenção H9000 
Procedimento Operacional do Sistema Hidrantes</t>
  </si>
  <si>
    <t>MM-JUP-013.02</t>
  </si>
  <si>
    <t>Manual de Manutenção Hycon
Procedimento Operacional do Sistema Hidrantes</t>
  </si>
  <si>
    <t>MM-JUP-013.03</t>
  </si>
  <si>
    <t>MPP0_Unidade de Aquisição e Controle (UAC)</t>
  </si>
  <si>
    <t>MM-JUP-015.01</t>
  </si>
  <si>
    <t>MM-JUP-015.02</t>
  </si>
  <si>
    <t>MPP0_Proteção da Unidade Geradora</t>
  </si>
  <si>
    <t>MM-JUP-017.01</t>
  </si>
  <si>
    <t>Equipamentos do Sistema de Proteção Digital do Serviço Auxiliar AC – 13, 8kV</t>
  </si>
  <si>
    <t>Sistema de proteção do serviço auxiliar</t>
  </si>
  <si>
    <t>MM-JUP-018.01</t>
  </si>
  <si>
    <t>Sistema de Excitação das UG's</t>
  </si>
  <si>
    <t>MM-JUP-018.02</t>
  </si>
  <si>
    <t>MPP0_Sistema de Excitação</t>
  </si>
  <si>
    <t>MM-JUP-021.00</t>
  </si>
  <si>
    <t>MPP0_Regulador de Velocidade - Parte Elétrica</t>
  </si>
  <si>
    <t>MM-JUP-026.01</t>
  </si>
  <si>
    <t>Manutenção Preventiva no Poço de Esgotamento e Enchimento da UHE Jupiá</t>
  </si>
  <si>
    <t>Sistema de drenagem e esgotamento</t>
  </si>
  <si>
    <t>MM-JUP-026.02</t>
  </si>
  <si>
    <t>Manutenção Preventiva no Poço de Drenagem da UHE Jupiá</t>
  </si>
  <si>
    <t>MM-JUP-029.00</t>
  </si>
  <si>
    <t xml:space="preserve">Manual de Limpeza de Grades UGs Modernizadas </t>
  </si>
  <si>
    <t>Grades de tomada d'água</t>
  </si>
  <si>
    <t>MM-JUP-030.00</t>
  </si>
  <si>
    <t>Manutenção Preventiva Trimestral e Anual Portico Montante</t>
  </si>
  <si>
    <t>MM-JUP-031.00</t>
  </si>
  <si>
    <t>Manutenção Preventiva Trimestral e Anual Ponte Rolante Principal</t>
  </si>
  <si>
    <t>MM-JUP-032.00</t>
  </si>
  <si>
    <t>Manutenção Preventiva Trimestral e Anual Ponte Rolante Auxiliar</t>
  </si>
  <si>
    <t>MM-JUP-033.01</t>
  </si>
  <si>
    <t>MCP0 em Elevadores</t>
  </si>
  <si>
    <t>MM-JUP-040.00</t>
  </si>
  <si>
    <t>Manutenção em Iluminação Casa de Máquinas</t>
  </si>
  <si>
    <t>MM-JUP-050.01</t>
  </si>
  <si>
    <t>Manual Cabo de alimentação de 138kV</t>
  </si>
  <si>
    <t>MM-JUP-056.01</t>
  </si>
  <si>
    <t>MM-JUP-060.00</t>
  </si>
  <si>
    <t>MM-JUP-060.01</t>
  </si>
  <si>
    <t>Manual de operação anti-incêndio
Procedimento Operacional do Sistema Hidrantes</t>
  </si>
  <si>
    <t>MM-JUP-062.01</t>
  </si>
  <si>
    <t>UHE JUP - Troca de vedações do Servomotor do Acumulador de Energia da Comporta de Emergência</t>
  </si>
  <si>
    <t>MM-JUP-062.02</t>
  </si>
  <si>
    <t xml:space="preserve">MPP0 Comporta de Emergência </t>
  </si>
  <si>
    <t>MM-JUP-062.03</t>
  </si>
  <si>
    <t>MPP0_Comporta de emergência</t>
  </si>
  <si>
    <t>MM-JUP-063.01</t>
  </si>
  <si>
    <t>Manutenção Preventiva Trimestral_Anual Portico Jusante</t>
  </si>
  <si>
    <t>MM-JUP-085.01</t>
  </si>
  <si>
    <t>Manutenção em Eclusas</t>
  </si>
  <si>
    <t>Manual Eclusas</t>
  </si>
  <si>
    <t>MM-PLM-000.02</t>
  </si>
  <si>
    <t>MM-PLM-001.25</t>
  </si>
  <si>
    <t>MM-PLM-006.00</t>
  </si>
  <si>
    <t>MM-PLM-022.03</t>
  </si>
  <si>
    <t>MM-PLM-023.03</t>
  </si>
  <si>
    <t>MM-PLM-024.01</t>
  </si>
  <si>
    <t>MM-PLM-024.04</t>
  </si>
  <si>
    <t>MM-PLM-026.07</t>
  </si>
  <si>
    <t>MM-PLM-028.02</t>
  </si>
  <si>
    <t>MM-PLM-030.01</t>
  </si>
  <si>
    <t>MM-PLM-031.21</t>
  </si>
  <si>
    <t>MM-PLM-041.00</t>
  </si>
  <si>
    <t>MM-PLM-041.01</t>
  </si>
  <si>
    <t>MM-PLM-060.02</t>
  </si>
  <si>
    <t>MM-PLM-065.01</t>
  </si>
  <si>
    <t>MM-PLM-065.02</t>
  </si>
  <si>
    <t>MM-RET-000.02</t>
  </si>
  <si>
    <t>MM-RET-001.25</t>
  </si>
  <si>
    <t>MM-RET-006.00</t>
  </si>
  <si>
    <t>MM-RET-022.03</t>
  </si>
  <si>
    <t>MM-RET-024.01</t>
  </si>
  <si>
    <t>MM-RET-024.04</t>
  </si>
  <si>
    <t>MM-RET-026.07</t>
  </si>
  <si>
    <t>MM-RET-028.02</t>
  </si>
  <si>
    <t>MM-RET-030.01</t>
  </si>
  <si>
    <t>MM-RET-031.21</t>
  </si>
  <si>
    <t>MM-RET-041.00</t>
  </si>
  <si>
    <t>MM-RET-041.01</t>
  </si>
  <si>
    <t>MM-RET-060.02</t>
  </si>
  <si>
    <t>MM-RET-065.01</t>
  </si>
  <si>
    <t>MM-RET-065.02</t>
  </si>
  <si>
    <t>MM-ROS-000.02</t>
  </si>
  <si>
    <t>MM-ROS-001.02</t>
  </si>
  <si>
    <t>MM-ROS-001.25</t>
  </si>
  <si>
    <t>MM-ROS-001.30</t>
  </si>
  <si>
    <t>Manual OeM turbina de ROS V-1 S-2</t>
  </si>
  <si>
    <t>MM-ROS-001.31</t>
  </si>
  <si>
    <t>MANUAL DE OPERAÇÃO E MANUTENÇÃO 2-2 UHE ROS</t>
  </si>
  <si>
    <t>MM-ROS-001.32</t>
  </si>
  <si>
    <t>Manual de Montagem e Comissionamento UHE ROS</t>
  </si>
  <si>
    <t>MM-ROS-002.00</t>
  </si>
  <si>
    <t>Substituição dos Radiadores do Gerador das UG's</t>
  </si>
  <si>
    <t>MM-ROS-003.01</t>
  </si>
  <si>
    <t>Manutenção no Núcleo do Estator</t>
  </si>
  <si>
    <t>MM-ROS-003.02</t>
  </si>
  <si>
    <t>Inspeção e Intervenção no Núcleo do Estator</t>
  </si>
  <si>
    <t>MM-ROS-004.00</t>
  </si>
  <si>
    <t>MPP0 nos sistemas auxiliares da unidade geradora - Parte elétrica</t>
  </si>
  <si>
    <t>MM-ROS-004.01</t>
  </si>
  <si>
    <t>MPP1 nos sistemas auxiliares da unidade geradora - Parte elétrica</t>
  </si>
  <si>
    <t>MM-ROS-006.00</t>
  </si>
  <si>
    <t>Coleta e Analise amostra oleo Isolante</t>
  </si>
  <si>
    <t>MM-ROS-007.00</t>
  </si>
  <si>
    <t>MPP0 Transformadores a Seco</t>
  </si>
  <si>
    <t>MM-ROS-007.01</t>
  </si>
  <si>
    <t>MPP1 Transformadores a Seco</t>
  </si>
  <si>
    <t>MM-ROS-008.01</t>
  </si>
  <si>
    <t>MM-ROS-009.00</t>
  </si>
  <si>
    <t>Manutenção Complementar Preventiva Tipo 0 nos Painéis de Média Tensão</t>
  </si>
  <si>
    <t>MM-ROS-010.00</t>
  </si>
  <si>
    <t>MCP0 nos Painéis de Baixa Tensão</t>
  </si>
  <si>
    <t>MM-ROS-011.00</t>
  </si>
  <si>
    <t>Manutenção Preventiva Periódica Tipo 0 nos Cabos de Potência até 35KV</t>
  </si>
  <si>
    <t>Cabos de Potência até 35kV</t>
  </si>
  <si>
    <t>MM-ROS-020.06</t>
  </si>
  <si>
    <t>MM-ROS-020.07</t>
  </si>
  <si>
    <t>Manual de  Operação e Manutenção do Sistema de regulação do RV</t>
  </si>
  <si>
    <t>MM-ROS-020.08</t>
  </si>
  <si>
    <t>Manual de Operação e Manutenção - Regulador Integrado REIVAX_REV0.0</t>
  </si>
  <si>
    <t>MM-ROS-022.03</t>
  </si>
  <si>
    <t>MM-ROS-023.03</t>
  </si>
  <si>
    <t>MM-ROS-024.01</t>
  </si>
  <si>
    <t>MM-ROS-024.04</t>
  </si>
  <si>
    <t>MM-ROS-025.00</t>
  </si>
  <si>
    <t>Sistema de Medição de Energia</t>
  </si>
  <si>
    <t>MM-ROS-026.00</t>
  </si>
  <si>
    <t xml:space="preserve"> Manutenção Sistema de Drenagem e Esgotamento</t>
  </si>
  <si>
    <t>MM-ROS-026.07</t>
  </si>
  <si>
    <t>MM-ROS-028.02</t>
  </si>
  <si>
    <t>MM-ROS-031.21</t>
  </si>
  <si>
    <t>MM-ROS-032.21</t>
  </si>
  <si>
    <t>Plano de Lubrificação da Ponte Rolante Aux</t>
  </si>
  <si>
    <t>Manual Ponte Rolante Aux</t>
  </si>
  <si>
    <t>MM-ROS-033.01</t>
  </si>
  <si>
    <t>Manutenção Preventiva Elevador Social - MCP2</t>
  </si>
  <si>
    <t>MM-ROS-033.02</t>
  </si>
  <si>
    <t>Manutenção Preventiva Elevador Social - MCP1</t>
  </si>
  <si>
    <t>MM-ROS-033.03</t>
  </si>
  <si>
    <t>Manutenção Preventiva Elevador Social - MCP0</t>
  </si>
  <si>
    <t>MM-ROS-041.00</t>
  </si>
  <si>
    <t>Sistema de proteção Contra Descargas Atmosféricas (SPDA)</t>
  </si>
  <si>
    <t>MM-ROS-060.00</t>
  </si>
  <si>
    <t xml:space="preserve"> Manutenção Complementar Preventiva LGE</t>
  </si>
  <si>
    <t>Sistema de Combate a Incêndio</t>
  </si>
  <si>
    <t>MM-ROS-060.02</t>
  </si>
  <si>
    <t>MM-ROS-065.01</t>
  </si>
  <si>
    <t>MM-ROS-065.02</t>
  </si>
  <si>
    <t>MM-STO-001.01</t>
  </si>
  <si>
    <t xml:space="preserve">Folgas Radiais e Ajuste em Mancal de Guia Inferior </t>
  </si>
  <si>
    <t>MM-STO-002.01</t>
  </si>
  <si>
    <t>MM-STO-006.00</t>
  </si>
  <si>
    <t>MM-STO-008.00</t>
  </si>
  <si>
    <t xml:space="preserve">Manutenção, testes e inspeção em equipamentos de alta tensão em subestação </t>
  </si>
  <si>
    <t>MM-STO-008.01</t>
  </si>
  <si>
    <t>MM-STO-015.01</t>
  </si>
  <si>
    <t>MM-STO-024.01</t>
  </si>
  <si>
    <t>MM-STO-026.00</t>
  </si>
  <si>
    <t xml:space="preserve">Esgotamento e Enchimento das UGs </t>
  </si>
  <si>
    <t>MM-STO-030.00</t>
  </si>
  <si>
    <t>Manutenção Preventiva Portico de Montante</t>
  </si>
  <si>
    <t>MM-STO-031.00</t>
  </si>
  <si>
    <t>Manutenção Preventiva Ponte Rolante</t>
  </si>
  <si>
    <t>MM-STO-040.00</t>
  </si>
  <si>
    <t>MM-STO-051.00</t>
  </si>
  <si>
    <t>Manutenção no transformador de serviço auxiliar TSA-03</t>
  </si>
  <si>
    <t>MM-STO-060.02</t>
  </si>
  <si>
    <t>MM-STO-063.00</t>
  </si>
  <si>
    <t>Manutenção Preventiva Pórtico de Jusante</t>
  </si>
  <si>
    <t>MM-TAQ-000.02</t>
  </si>
  <si>
    <t>MM-TAQ-001.02</t>
  </si>
  <si>
    <t>MM-TAQ-001.07</t>
  </si>
  <si>
    <t>Recuperação Trinca Pá Rotor Kaplan</t>
  </si>
  <si>
    <t>MM-TAQ-001.25</t>
  </si>
  <si>
    <t>MM-TAQ-006.01</t>
  </si>
  <si>
    <t>Movimentação dos transformadores TUSA</t>
  </si>
  <si>
    <t>MM-TAQ-006.02</t>
  </si>
  <si>
    <t xml:space="preserve"> Coleta de Óleo isolante</t>
  </si>
  <si>
    <t>MM-TAQ-008.01</t>
  </si>
  <si>
    <t>MM-TAQ-020.06</t>
  </si>
  <si>
    <t>MM-TAQ-022.03</t>
  </si>
  <si>
    <t>MM-TAQ-023.03</t>
  </si>
  <si>
    <t>MM-TAQ-024.01</t>
  </si>
  <si>
    <t>MM-TAQ-024.04</t>
  </si>
  <si>
    <t>MM-TAQ-026.01</t>
  </si>
  <si>
    <t>Manutenção Complementar Preventiva MCP1 – Poços de Drenagem UHE Taquaruçu</t>
  </si>
  <si>
    <t>MM-TAQ-026.02</t>
  </si>
  <si>
    <t>Manutenção Complementar Preventiva MCP0 – Poços de Drenagem UHE Taquaruçu</t>
  </si>
  <si>
    <t>MM-TAQ-026.03</t>
  </si>
  <si>
    <t xml:space="preserve"> Manutenção Complementar Preventiva MCP1 – Poço de Esgotamento UHE Taquaruçu</t>
  </si>
  <si>
    <t>MM-TAQ-026.04</t>
  </si>
  <si>
    <t>Manutenção Complementar Preventiva MCP0 – Poço de Esgotamento UHE Taquaruçu</t>
  </si>
  <si>
    <t>MM-TAQ-026.07</t>
  </si>
  <si>
    <t>MM-TAQ-028.02</t>
  </si>
  <si>
    <t>MM-TAQ-030.01</t>
  </si>
  <si>
    <t>Manutenção Preventiva Pótico Rolante Montante 900_160_50kN - Bienal</t>
  </si>
  <si>
    <t>MM-TAQ-030.03</t>
  </si>
  <si>
    <t>Manutenção Preventiva Pótico Rolante Montante 900_160_50kN - Trimestral</t>
  </si>
  <si>
    <t>MM-TAQ-031.21</t>
  </si>
  <si>
    <t>MM-TAQ-032.21</t>
  </si>
  <si>
    <t>MM-TAQ-032.02</t>
  </si>
  <si>
    <t xml:space="preserve">MM-TAQ-032.02 - Manutenção Preventiva Ponte Rolante Auxiliar 350kN - Bienal </t>
  </si>
  <si>
    <t>MM-TAQ-032.03</t>
  </si>
  <si>
    <t>Manutenção Preventiva Ponte Rolante Auxiliar 350kN - Trimestral</t>
  </si>
  <si>
    <t>MM-TAQ-032.04</t>
  </si>
  <si>
    <t>Manutenção Preventiva Ponte Rolante Auxiliar 350kN - Semestral</t>
  </si>
  <si>
    <t>MM-TAQ-033.01</t>
  </si>
  <si>
    <t>MM-TAQ-033.02</t>
  </si>
  <si>
    <t>MM-TAQ-033.03</t>
  </si>
  <si>
    <t>MM-TAQ-041.00</t>
  </si>
  <si>
    <t>Sistema de proteção contra descargas atmosféricas - SPDA</t>
  </si>
  <si>
    <t>MM-TAQ-060.02</t>
  </si>
  <si>
    <t>MM-TAQ-063.01</t>
  </si>
  <si>
    <t>Manutenção Preventiva Ponte Rolante Jusante 264kN - Bienal</t>
  </si>
  <si>
    <t>MM-TAQ-063.02</t>
  </si>
  <si>
    <t xml:space="preserve">Manutenção Preventiva Ponte Rolante Jusante 264kN - Semestral </t>
  </si>
  <si>
    <t>MM-TAQ-063.03</t>
  </si>
  <si>
    <t>Manutenção Preventiva Ponte Rolante Jusante 264kN - Trimestral</t>
  </si>
  <si>
    <t>MM-TAQ-065.01</t>
  </si>
  <si>
    <t>MM-TAQ-065.02</t>
  </si>
  <si>
    <t xml:space="preserve">ARN </t>
  </si>
  <si>
    <t>MM-ARN-300.00</t>
  </si>
  <si>
    <t>Módulos Fotovoltaicos</t>
  </si>
  <si>
    <t xml:space="preserve"> Módulos Fotovoltaicos</t>
  </si>
  <si>
    <t>MM-COG-012.00</t>
  </si>
  <si>
    <t>Backup_Restore SCADA Software</t>
  </si>
  <si>
    <t>SCADA COG</t>
  </si>
  <si>
    <t>PROTOCOLOS  DE ENSAIO (PROTOCOLS TEST)</t>
  </si>
  <si>
    <t>Ing.</t>
  </si>
  <si>
    <t xml:space="preserve">Data publicação </t>
  </si>
  <si>
    <t>PR-CHV-00-001</t>
  </si>
  <si>
    <t xml:space="preserve">PR-CHV-00-001Inspeção Líquido Penetrante </t>
  </si>
  <si>
    <t>PR-CHV-00-002</t>
  </si>
  <si>
    <t xml:space="preserve">PR-CHV-00-002Inspeção Partículas Magnéticas </t>
  </si>
  <si>
    <t>PR-CHV-00-003</t>
  </si>
  <si>
    <t xml:space="preserve">PR-CHV-00-003Inspeção Ultrassom </t>
  </si>
  <si>
    <t>PR-CHV-00-004</t>
  </si>
  <si>
    <t xml:space="preserve">PR-CHV-00-004Ensaio de motores elétricos </t>
  </si>
  <si>
    <t>PR-CHV-00-005</t>
  </si>
  <si>
    <t xml:space="preserve">PR-CHV-00-005Calibração de instrumentos </t>
  </si>
  <si>
    <t>PR-CHV-00-006</t>
  </si>
  <si>
    <t xml:space="preserve">PR-CHV-00-006Ensaio de motobombas </t>
  </si>
  <si>
    <t>PR-CHV-00-007</t>
  </si>
  <si>
    <t xml:space="preserve">PR-CHV-00-007Inspeção de torque de elementos de fixação </t>
  </si>
  <si>
    <t>PR-CHV-00-008</t>
  </si>
  <si>
    <t xml:space="preserve">PR-CHV-00-008Inspeção de pintura </t>
  </si>
  <si>
    <t>PR-CHV-00-009</t>
  </si>
  <si>
    <t xml:space="preserve">PR-CHV-00-009Aferição de Manômetros </t>
  </si>
  <si>
    <t>PR-CHV-01-001</t>
  </si>
  <si>
    <t xml:space="preserve">PR-CHV-01-001Inspeção de concreto da caixa espiral </t>
  </si>
  <si>
    <t>PR-CHV-01-002</t>
  </si>
  <si>
    <t xml:space="preserve">PR-CHV-01-002Medição de B0, folga e esmagamento </t>
  </si>
  <si>
    <t>PR-CHV-01-003</t>
  </si>
  <si>
    <t xml:space="preserve">PR-CHV-01-003Inspeção nas buchas auto-lubrificantes das palhetas diretrizes </t>
  </si>
  <si>
    <t>PR-CHV-01-004</t>
  </si>
  <si>
    <t xml:space="preserve">PR-CHV-01-004Inspeção em pinos e buchas do bielismo </t>
  </si>
  <si>
    <t>PR-CHV-01-005</t>
  </si>
  <si>
    <t xml:space="preserve">PR-CHV-01-005Inspeção de torque de elementos de fixação </t>
  </si>
  <si>
    <t>PR-CHV-01-006</t>
  </si>
  <si>
    <t xml:space="preserve">PR-CHV-01-006Inspeção na camisa do sevomotor Kaplan </t>
  </si>
  <si>
    <t>PR-CHV-01-014</t>
  </si>
  <si>
    <t xml:space="preserve">PR-CHV-01-014Inspeção dos parafusos do rotor </t>
  </si>
  <si>
    <t>PR-CHV-01-015</t>
  </si>
  <si>
    <t xml:space="preserve">PR-CHV-01-015Inspeção dos parafusos de acoplamento com o eixo principal </t>
  </si>
  <si>
    <t>PR-CHV-01-023</t>
  </si>
  <si>
    <t xml:space="preserve">PR-CHV-01-023Batimento da pista de inox da vedação do eixo </t>
  </si>
  <si>
    <t>PR-CHV-01-024</t>
  </si>
  <si>
    <t xml:space="preserve">PR-CHV-01-024Batimento do anel de desgaste da vedação do eixo </t>
  </si>
  <si>
    <t>PR-CHV-01-025</t>
  </si>
  <si>
    <t xml:space="preserve">PR-CHV-01-025Espessura do anel de desgaste da vedação do eixo </t>
  </si>
  <si>
    <t>PR-CHV-01-026</t>
  </si>
  <si>
    <t xml:space="preserve">PR-CHV-01-026Ensaio na vedação de manutenção </t>
  </si>
  <si>
    <t>PR-CHV-01-027</t>
  </si>
  <si>
    <t xml:space="preserve">PR-CHV-01-027Medição de tempo de recalque das bombas de drenagem da tampa </t>
  </si>
  <si>
    <t>PR-CHV-01-028</t>
  </si>
  <si>
    <t xml:space="preserve">PR-CHV-01-028Ensaio das bombas de injeção de água da vedação do eixo </t>
  </si>
  <si>
    <t>PR-CHV-01-034</t>
  </si>
  <si>
    <t xml:space="preserve">PR-CHV-01-034Inspeção no tubo de sucção e caixa espiral </t>
  </si>
  <si>
    <t>PR-CHV-01-035</t>
  </si>
  <si>
    <t xml:space="preserve">PR-CHV-01-035Inspeção dos parafusos de união da tampa superior com o pré-distribuidor após aperto </t>
  </si>
  <si>
    <t>PR-CHV-01-036</t>
  </si>
  <si>
    <t xml:space="preserve">PR-CHV-01-036Folga entre labirintos rotativos e estáticorotor Francis </t>
  </si>
  <si>
    <t>PR-CHV-01-039</t>
  </si>
  <si>
    <t xml:space="preserve">PR-CHV-01-039Inspeção no rotor Francis </t>
  </si>
  <si>
    <t>PR-CHV-01-041</t>
  </si>
  <si>
    <t xml:space="preserve">PR-CHV-01-041Inspeção em regiões cavitadasFrancis </t>
  </si>
  <si>
    <t>PR-CHV-02-001</t>
  </si>
  <si>
    <t xml:space="preserve">PR-CHV-02-001Medição e ajuste de centro, elevação e nível da cruzeta superiorFalta Informação do desenho </t>
  </si>
  <si>
    <t>PR-CHV-02-002</t>
  </si>
  <si>
    <t xml:space="preserve">PR-CHV-02-002Inspeção dos flanges da cruzeta </t>
  </si>
  <si>
    <t>PR-CHV-02-003</t>
  </si>
  <si>
    <t xml:space="preserve">PR-CHV-02-003Medição de circularidade e excentricidade do estator </t>
  </si>
  <si>
    <t>PR-CHV-02-004</t>
  </si>
  <si>
    <t xml:space="preserve">PR-CHV-02-004Insp. dos parafusos acop., pinos entre carcaça estator e pedestais </t>
  </si>
  <si>
    <t>PR-CHV-02-005</t>
  </si>
  <si>
    <t xml:space="preserve">PR-CHV-02-005Insp. do núcleo do estator </t>
  </si>
  <si>
    <t>PR-CHV-02-006</t>
  </si>
  <si>
    <t xml:space="preserve">PR-CHV-02-006Inspeção dos tirantes de fixação do núcleo do estator (isolação) </t>
  </si>
  <si>
    <t>PR-CHV-02-007</t>
  </si>
  <si>
    <t xml:space="preserve">PR-CHV-02-007Inspeção das guias de ar </t>
  </si>
  <si>
    <t>PR-CHV-02-008</t>
  </si>
  <si>
    <t xml:space="preserve">PR-CHV-02-008Medição do entreferro </t>
  </si>
  <si>
    <t>PR-CHV-02-009</t>
  </si>
  <si>
    <t xml:space="preserve">PR-CHV-02-009Medição de circularidade e excentricidade do rotor </t>
  </si>
  <si>
    <t>PR-CHV-02-010</t>
  </si>
  <si>
    <t xml:space="preserve">PR-CHV-02-010Ajuste da circularidade do rotor </t>
  </si>
  <si>
    <t>PR-CHV-02-011</t>
  </si>
  <si>
    <t xml:space="preserve">PR-CHV-02-011Medição do nivelamento dos polos </t>
  </si>
  <si>
    <t>PR-CHV-02-012</t>
  </si>
  <si>
    <t xml:space="preserve">PR-CHV-02-012Inspeção dos parafusos e pinos de acoplamento do rotor com o bloco de escora </t>
  </si>
  <si>
    <t>PR-CHV-02-013</t>
  </si>
  <si>
    <t xml:space="preserve">PR-CHV-02-013Inspeção da pista de frenagem </t>
  </si>
  <si>
    <t>PR-CHV-02-014</t>
  </si>
  <si>
    <t xml:space="preserve">PR-CHV-02-014Medição de centro (Caixa eixo) e ajuste do mancal guia </t>
  </si>
  <si>
    <t>PR-CHV-02-015</t>
  </si>
  <si>
    <t xml:space="preserve">PR-CHV-02-015Medição e ajuste do nivelamento dos segmentos do mancal de escora </t>
  </si>
  <si>
    <t>PR-CHV-02-016</t>
  </si>
  <si>
    <t xml:space="preserve">PR-CHV-02-016Medição de nivelamento e ajuste da superfície para a instalação dos segmentos do mancal de escora </t>
  </si>
  <si>
    <t>PR-CHV-02-017</t>
  </si>
  <si>
    <t xml:space="preserve">PR-CHV-02-017Inspeção dos espelhos do bloco de escora </t>
  </si>
  <si>
    <t>PR-CHV-02-018</t>
  </si>
  <si>
    <t xml:space="preserve">PR-CHV-02-018Inspeção dos parafusos e pinos do bloco de escora e o rotor do gerador </t>
  </si>
  <si>
    <t>PR-CHV-02-020</t>
  </si>
  <si>
    <t xml:space="preserve">PR-CHV-02-020Verificação do nível de óleo </t>
  </si>
  <si>
    <t>PR-CHV-02-023</t>
  </si>
  <si>
    <t xml:space="preserve">PR-CHV-02-023Medição de nivelamento das lonas de freio </t>
  </si>
  <si>
    <t>PR-CHV-02-024</t>
  </si>
  <si>
    <t xml:space="preserve">PR-CHV-02-024Inspeção dos macacos de frenagem </t>
  </si>
  <si>
    <t>PR-CHV-02-025</t>
  </si>
  <si>
    <t xml:space="preserve">PR-CHV-02-025Medição e ajuste da distância entre a lona de frenagem e a pista de frenagem </t>
  </si>
  <si>
    <t>PR-CHV-02-026</t>
  </si>
  <si>
    <t xml:space="preserve">PR-CHV-02-026Entreferro (run-out e verticalidadeDinâmico </t>
  </si>
  <si>
    <t>PR-CHV-02-027</t>
  </si>
  <si>
    <t xml:space="preserve">PR-CHV-02-027Verticalidade </t>
  </si>
  <si>
    <t>PR-CHV-02-028</t>
  </si>
  <si>
    <t xml:space="preserve">PR-CHV-02-028Run-out </t>
  </si>
  <si>
    <t>PR-CHV-02-029</t>
  </si>
  <si>
    <t xml:space="preserve">PR-CHV-02-029ComissionamentoVibração, oscilação, temperaturas, tempos e pressões </t>
  </si>
  <si>
    <t>PR-CHV-03-000</t>
  </si>
  <si>
    <t xml:space="preserve">PR-CHV-03-000-Manutencao Geradorinspeção e limpeza geral </t>
  </si>
  <si>
    <t>PR-CHV-03-001</t>
  </si>
  <si>
    <t xml:space="preserve">PR-CHV-03-001-Inspeção com termografia no Gerador </t>
  </si>
  <si>
    <t>PR-CHV-03-002</t>
  </si>
  <si>
    <t xml:space="preserve">PR-CHV-03-002-Inspeção no enrolamento do estatorcabeças de bobina </t>
  </si>
  <si>
    <t>PR-CHV-03-003</t>
  </si>
  <si>
    <t xml:space="preserve">PR-CHV-03-003-Inspeção no enrolamento do estatoraneis de surto e barramento circular </t>
  </si>
  <si>
    <t>PR-CHV-03-004</t>
  </si>
  <si>
    <t xml:space="preserve">PR-CHV-03-004-Inspeção no nucleo do estatordedos pressao e escadinha </t>
  </si>
  <si>
    <t>PR-CHV-03-005</t>
  </si>
  <si>
    <t xml:space="preserve">PR-CHV-03-005-Inspeção no nucleo do estatorcunhas de fechamento de ranhuras </t>
  </si>
  <si>
    <t>PR-CHV-03-006</t>
  </si>
  <si>
    <t xml:space="preserve">PR-CHV-03-006-Inspeção nos polosbobinas e conexoes principais e amortecedor </t>
  </si>
  <si>
    <t>PR-CHV-03-007</t>
  </si>
  <si>
    <t xml:space="preserve">PR-CHV-03-007-Inspeção campo- regulador_porta escovasanel coletor_polos </t>
  </si>
  <si>
    <t>PR-CHV-03-008</t>
  </si>
  <si>
    <t xml:space="preserve">PR-CHV-03-008-Manutencao Estatordesmontagem e montagem das conexoes flexiveis </t>
  </si>
  <si>
    <t>PR-CHV-03-009</t>
  </si>
  <si>
    <t xml:space="preserve">PR-CHV-03-009-Ensaios na substituiçao de barra </t>
  </si>
  <si>
    <t>PR-CHV-03-010</t>
  </si>
  <si>
    <t xml:space="preserve">PR-CHV-03-010-Manutencao Estatorsecagem enrolamento </t>
  </si>
  <si>
    <t>PR-CHV-03-011</t>
  </si>
  <si>
    <t xml:space="preserve">PR-CHV-03-011-Manutencao Polosmontagem e controle das conexoes principais e amortecedor </t>
  </si>
  <si>
    <t>PR-CHV-03-012</t>
  </si>
  <si>
    <t xml:space="preserve">PR-CHV-03-012-Manutencao Polos -substituição de polo </t>
  </si>
  <si>
    <t>PR-CHV-03-013</t>
  </si>
  <si>
    <t xml:space="preserve">PR-CHV-03-013-Manutancao Rotordesmontagem e montagem barramento de campo (002) </t>
  </si>
  <si>
    <t>PR-CHV-03-014</t>
  </si>
  <si>
    <t xml:space="preserve">PR-CHV-03-014-Manutancao porta escovas </t>
  </si>
  <si>
    <t>PR-CHV-03-015</t>
  </si>
  <si>
    <t xml:space="preserve">PR-CHV-03-015-Manutancao aneis coletores </t>
  </si>
  <si>
    <t>PR-CHV-03-016</t>
  </si>
  <si>
    <t xml:space="preserve">PR-CHV-03-016-Inspeção cubiculo aterramento neutro </t>
  </si>
  <si>
    <t>PR-CHV-03-101</t>
  </si>
  <si>
    <t xml:space="preserve">PR-CHV-03-101Testes enrolamento estator &amp; rotorisolação, IP, IA </t>
  </si>
  <si>
    <t>PR-CHV-03-102</t>
  </si>
  <si>
    <t xml:space="preserve">PR-CHV-03-102Testes enrolamento estator &amp; rotorResistência Ohmica </t>
  </si>
  <si>
    <t>PR-CHV-03-103</t>
  </si>
  <si>
    <t xml:space="preserve">PR-CHV-03-103Testes enrolamento estatorensaio de corrente de fuga </t>
  </si>
  <si>
    <t>PR-CHV-03-104</t>
  </si>
  <si>
    <t xml:space="preserve">PR-CHV-03-104Testes enrolamento estatortangente delta </t>
  </si>
  <si>
    <t>PR-CHV-03-105</t>
  </si>
  <si>
    <t xml:space="preserve">PR-CHV-03-105Testes enrolamento estator &amp; rotorTensao Aplicada (hipot) AC-CC </t>
  </si>
  <si>
    <t>PR-CHV-03-106</t>
  </si>
  <si>
    <t xml:space="preserve">PR-CHV-03-106Testes enrolamento rotorResistencia ohmica das conexoes polares </t>
  </si>
  <si>
    <t>PR-CHV-03-107</t>
  </si>
  <si>
    <t xml:space="preserve">PR-CHV-03-107Testes enrolamento rotorEnsaio de queda de tensao nos polos </t>
  </si>
  <si>
    <t>PR-CHV-03-108</t>
  </si>
  <si>
    <t xml:space="preserve">PR-CHV-03-108Testes circuito de campomedição isolação componentes </t>
  </si>
  <si>
    <t>PR-CHV-03-109</t>
  </si>
  <si>
    <t xml:space="preserve">PR-CHV-03-109Testes enrolamento estatortensão de ranhura </t>
  </si>
  <si>
    <t>PR-CHV-03-110</t>
  </si>
  <si>
    <t xml:space="preserve">PR-CHV-03-110Ensaios nos RTD's </t>
  </si>
  <si>
    <t>PR-CHV-03-111</t>
  </si>
  <si>
    <t xml:space="preserve">PR-CHV-03-111Testes enrolamento estator- Ensaio de corona visual </t>
  </si>
  <si>
    <t>PR-CHV-03-112</t>
  </si>
  <si>
    <t xml:space="preserve">PR-CHV-03-112Ensaios equipmts auxpainel de neutro RevA </t>
  </si>
  <si>
    <t>PR-CHV-03-113</t>
  </si>
  <si>
    <t xml:space="preserve">PR-CHV-03-113Ensaios nos aquecedores de maq parada </t>
  </si>
  <si>
    <t>PR-CHV-03-114</t>
  </si>
  <si>
    <t xml:space="preserve">PR-CHV-03-114Ensaios para levantamento das curvas caracterisitcas </t>
  </si>
  <si>
    <t>PR-CHV-03-115</t>
  </si>
  <si>
    <t xml:space="preserve">PR-CHV-03-115Ensaio de aquecimento do Gerador </t>
  </si>
  <si>
    <t>PR-CHV-04-001</t>
  </si>
  <si>
    <t xml:space="preserve">PR-CHV-04-001Ensaio de automatismo de motoresbombas </t>
  </si>
  <si>
    <t>PR-CHV-04-002</t>
  </si>
  <si>
    <t xml:space="preserve">PR-CHV-04-002Ensaio de automatismo do sistema hidráulico RV </t>
  </si>
  <si>
    <t>PR-CHV-04-003</t>
  </si>
  <si>
    <t xml:space="preserve">PR-CHV-04-003Ensaio de Fluxostatos </t>
  </si>
  <si>
    <t>PR-CHV-04-004</t>
  </si>
  <si>
    <t xml:space="preserve">PR-CHV-04-004Ensaio de fontes de alimentação </t>
  </si>
  <si>
    <t>PR-CHV-04-005</t>
  </si>
  <si>
    <t xml:space="preserve">PR-CHV-04-005Ensaio de Resistência de Isolação </t>
  </si>
  <si>
    <t>PR-CHV-04-006</t>
  </si>
  <si>
    <t xml:space="preserve">PR-CHV-04-006Ensaio de Pressostatos </t>
  </si>
  <si>
    <t>PR-CHV-04-007</t>
  </si>
  <si>
    <t xml:space="preserve">PR-CHV-04-007Ensaio de relés de subtensão </t>
  </si>
  <si>
    <t>PR-CHV-04-008</t>
  </si>
  <si>
    <t xml:space="preserve">PR-CHV-04-008Ensaio de relés temporizadores </t>
  </si>
  <si>
    <t>PR-CHV-04-009</t>
  </si>
  <si>
    <t xml:space="preserve">PR-CHV-04-009Ensaio de Resistência de contato em relés auxiliares </t>
  </si>
  <si>
    <t>PR-CHV-04-010</t>
  </si>
  <si>
    <t xml:space="preserve">PR-CHV-04-010Ensaio de sensores atuadores de posição </t>
  </si>
  <si>
    <t>PR-CHV-04-011</t>
  </si>
  <si>
    <t xml:space="preserve">PR-CHV-04-011Ensaio de simulação de partida e parada UAC </t>
  </si>
  <si>
    <t>PR-CHV-04-012</t>
  </si>
  <si>
    <t xml:space="preserve">PR-CHV-04-012Ensaio de sistema de água de refrigeração </t>
  </si>
  <si>
    <t>PR-CHV-04-013</t>
  </si>
  <si>
    <t xml:space="preserve">PR-CHV-04-013Ensaio de sistema de aquecimento gerador </t>
  </si>
  <si>
    <t>PR-CHV-04-014</t>
  </si>
  <si>
    <t xml:space="preserve">PR-CHV-04-014Ensaio de sistema de frenagem </t>
  </si>
  <si>
    <t>PR-CHV-04-015</t>
  </si>
  <si>
    <t xml:space="preserve">PR-CHV-04-015Ensaio de transferência automática de fontes </t>
  </si>
  <si>
    <t>PR-CHV-04-016</t>
  </si>
  <si>
    <t xml:space="preserve">PR-CHV-04-016Ensaio de transmissores de pressão </t>
  </si>
  <si>
    <t>PR-CHV-04-017</t>
  </si>
  <si>
    <t xml:space="preserve">PR-CHV-04-017Ensaio de transmissores de temperatura </t>
  </si>
  <si>
    <t>PR-CHV-04-018</t>
  </si>
  <si>
    <t xml:space="preserve">PR-CHV-04-018Ensaio de transmissores de vazão </t>
  </si>
  <si>
    <t>PR-CHV-04-019</t>
  </si>
  <si>
    <t xml:space="preserve">PR-CHV-04-019Ensaio dos sensores de pinos de cisalhamento das diretrizes </t>
  </si>
  <si>
    <t>PR-CHV-04-020</t>
  </si>
  <si>
    <t xml:space="preserve">PR-CHV-04-020Ensaio do sistema de filtragem de água de refrigeração </t>
  </si>
  <si>
    <t>PR-CHV-04-021</t>
  </si>
  <si>
    <t xml:space="preserve">PR-CHV-04-021Tabela de controle desconexão e conexão de cabos </t>
  </si>
  <si>
    <t>PR-CHV-04-022</t>
  </si>
  <si>
    <t xml:space="preserve">PR-CHV-04-022Ensaio de Transferencia de fontes de alimentação </t>
  </si>
  <si>
    <t>PR-CHV-05-000</t>
  </si>
  <si>
    <t xml:space="preserve">PR-CHV-05-000Itens de manutenção e teste </t>
  </si>
  <si>
    <t>PR-CHV-05-003</t>
  </si>
  <si>
    <t xml:space="preserve">PR-CHV-05-003Ensaio de isolação em barramento blindado </t>
  </si>
  <si>
    <t>PR-CHV-05-004</t>
  </si>
  <si>
    <t xml:space="preserve">PR-CHV-05-004Ensaio de tensão aplicada em barramento blindado </t>
  </si>
  <si>
    <t>PR-CHV-05-005</t>
  </si>
  <si>
    <t xml:space="preserve">PR-CHV-05-005Ensaio de TC de cubículos do gerador </t>
  </si>
  <si>
    <t>PR-CHV-05-006</t>
  </si>
  <si>
    <t xml:space="preserve">PR-CHV-05-006Ensaio de TP de cubículos do gerador </t>
  </si>
  <si>
    <t>PR-CHV-05-007</t>
  </si>
  <si>
    <t xml:space="preserve">PR-CHV-05-007Ensaio de protetores de surto do gerador </t>
  </si>
  <si>
    <t>PR-CHV-06-001</t>
  </si>
  <si>
    <t xml:space="preserve">PR-CHV-06-001Inspeção visual do tanque, sistema de preservação e resfriamento </t>
  </si>
  <si>
    <t>PR-CHV-06-002</t>
  </si>
  <si>
    <t xml:space="preserve">PR-CHV-06-002Inspeção visual das buchas </t>
  </si>
  <si>
    <t>PR-CHV-06-003</t>
  </si>
  <si>
    <t xml:space="preserve">PR-CHV-06-003Inspeção visual dos TCs de bucha </t>
  </si>
  <si>
    <t>PR-CHV-06-004</t>
  </si>
  <si>
    <t xml:space="preserve">PR-CHV-06-004Inspeção visual indicadores e termômetros </t>
  </si>
  <si>
    <t>PR-CHV-06-005</t>
  </si>
  <si>
    <t xml:space="preserve">PR-CHV-06-005Inspeção visual do relé de gás e DAP </t>
  </si>
  <si>
    <t>PR-CHV-06-006</t>
  </si>
  <si>
    <t xml:space="preserve">PR-CHV-06-006Inspeção visual painel de controle </t>
  </si>
  <si>
    <t>PR-CHV-06-007</t>
  </si>
  <si>
    <t xml:space="preserve">PR-CHV-06-007 e 06-021Ensaio de Resistência de isolamento </t>
  </si>
  <si>
    <t>PR-CHV-06-008</t>
  </si>
  <si>
    <t xml:space="preserve">PR-CHV-06-008Ensaio de Resistência elétrica dos Enrolamentos </t>
  </si>
  <si>
    <t>PR-CHV-06-009</t>
  </si>
  <si>
    <t xml:space="preserve">PR-CHV-06-009Ensaio de Fator de Potência e Capacitância dos enrolamentos </t>
  </si>
  <si>
    <t>PR-CHV-06-010</t>
  </si>
  <si>
    <t xml:space="preserve">PR-CHV-06-010Ensaio de relação de transformação </t>
  </si>
  <si>
    <t>PR-CHV-06-011</t>
  </si>
  <si>
    <t xml:space="preserve">PR-CHV-06-011Ensaio de Corrente de excitação monofásica </t>
  </si>
  <si>
    <t>PR-CHV-06-012</t>
  </si>
  <si>
    <t xml:space="preserve">PR-CHV-06-012Ensaio de impedância de curto-circuito </t>
  </si>
  <si>
    <t>PR-CHV-06-013</t>
  </si>
  <si>
    <t xml:space="preserve">PR-CHV-06-013-014-015Ensaio no RTD, Relé de Gás e DAP </t>
  </si>
  <si>
    <t>PR-CHV-06-016</t>
  </si>
  <si>
    <t xml:space="preserve">PR-CHV-06-016- Ensaio de Estanqueidade </t>
  </si>
  <si>
    <t>PR-CHV-06-018</t>
  </si>
  <si>
    <t xml:space="preserve">PR-CHV-06-018Ensaio de Fator de Potência e Capacitância das buchas </t>
  </si>
  <si>
    <t>PR-CHV-06-019</t>
  </si>
  <si>
    <t xml:space="preserve">PR-CHV-06-019Ensaio nos TCs </t>
  </si>
  <si>
    <t>PR-CHV-06-020</t>
  </si>
  <si>
    <t xml:space="preserve">PR-CHV-06-020Ensaio sistema de resfriamento </t>
  </si>
  <si>
    <t>PR-CHV-07-000</t>
  </si>
  <si>
    <t xml:space="preserve">PR-CHV-07-000Itens de manutenção e teste </t>
  </si>
  <si>
    <t>PR-CHV-07-001</t>
  </si>
  <si>
    <t xml:space="preserve">PR-CHV-07-001Ensaio de isolação em transformadores a seco </t>
  </si>
  <si>
    <t>PR-CHV-07-002</t>
  </si>
  <si>
    <t xml:space="preserve">PR-CHV-07-002Ensaio de resistência DC em transformadores à seco </t>
  </si>
  <si>
    <t>PR-CHV-07-003</t>
  </si>
  <si>
    <t xml:space="preserve">PR-CHV-07-003Ensaio de tensão aplicada em transformadores a seco </t>
  </si>
  <si>
    <t>PR-CHV-07-004</t>
  </si>
  <si>
    <t xml:space="preserve">PR-CHV-07-004Ensaio de relação de transformação e polaridade em transformadores a seco </t>
  </si>
  <si>
    <t>PR-CHV-07-005</t>
  </si>
  <si>
    <t xml:space="preserve">PR-CHV-07-005Ensaio de impedância em reatores à seco </t>
  </si>
  <si>
    <t>PR-CHV-09-000</t>
  </si>
  <si>
    <t xml:space="preserve">PR-CHV-09-000Itens de manutenção e teste </t>
  </si>
  <si>
    <t>PR-CHV-09-001</t>
  </si>
  <si>
    <t xml:space="preserve">PR-CHV-09-001Ensaio de resistência DC em barramento de painéis de média tensão </t>
  </si>
  <si>
    <t>PR-CHV-09-002</t>
  </si>
  <si>
    <t xml:space="preserve">PR-CHV-09-002Ensaio de isolação em barramento de painéis de média tensão </t>
  </si>
  <si>
    <t>PR-CHV-09-003</t>
  </si>
  <si>
    <t xml:space="preserve">PR-CHV-09-003Ensaio de tensão aplicada em barramento de painéis de média tensão </t>
  </si>
  <si>
    <t>PR-CHV-09-004</t>
  </si>
  <si>
    <t xml:space="preserve">PR-CHV-09-004Ensaio de disjuntores de média tensão </t>
  </si>
  <si>
    <t>PR-CHV-09-005</t>
  </si>
  <si>
    <t xml:space="preserve">PR-CHV-09-005Ensaio de tensão aplicada em disjuntores de média tensão </t>
  </si>
  <si>
    <t>PR-CHV-09-006</t>
  </si>
  <si>
    <t xml:space="preserve">PR-CHV-09-006Ensaio de TC de painéis de média tensão </t>
  </si>
  <si>
    <t>PR-CHV-09-007</t>
  </si>
  <si>
    <t xml:space="preserve">PR-CHV-09-007Ensaio de TP de painéis de média tensão </t>
  </si>
  <si>
    <t>PR-CHV-09-008</t>
  </si>
  <si>
    <t xml:space="preserve">PR-CHV-09-008Ensaio de protetores de surto de painéis de média tensão </t>
  </si>
  <si>
    <t>PR-CHV-10-000</t>
  </si>
  <si>
    <t xml:space="preserve">PR-CHV-10-000Itens de manutenção e teste </t>
  </si>
  <si>
    <t>PR-CHV-10-001</t>
  </si>
  <si>
    <t xml:space="preserve">PR-CHV-10-001Ensaio de isolação em barramento de painéis de baixa tensão </t>
  </si>
  <si>
    <t>PR-CHV-10-002</t>
  </si>
  <si>
    <t xml:space="preserve">PR-CHV-10-002Ensaio de resistência DC em barramento de painéis de baixa tensão </t>
  </si>
  <si>
    <t>PR-CHV-10-003</t>
  </si>
  <si>
    <t xml:space="preserve">PR-CHV-10-003Ensaio de tensão aplicada em barramento de painéis de baixa tensão </t>
  </si>
  <si>
    <t>PR-CHV-10-004</t>
  </si>
  <si>
    <t xml:space="preserve">PR-CHV-10-004Ensaio de disjuntores de caixa moldada em painéis de baixa tensão </t>
  </si>
  <si>
    <t>PR-CHV-10-005</t>
  </si>
  <si>
    <t xml:space="preserve">PR-CHV-10-005Ensaio de isolação em TP de painéis de baixa tensão </t>
  </si>
  <si>
    <t>PR-CHV-10-006</t>
  </si>
  <si>
    <t xml:space="preserve">PR-CHV-10-006Ensaio de isolação em cabos de painéis de baixa tensão </t>
  </si>
  <si>
    <t>PR-CHV-10-007</t>
  </si>
  <si>
    <t xml:space="preserve">PR-CHV-10-007- Ensaio de acoplamento automático de barras em painéis de baixa tensão </t>
  </si>
  <si>
    <t>PR-CHV-11-000</t>
  </si>
  <si>
    <t xml:space="preserve">PR-CHV-11-000Itens de manutenção e teste </t>
  </si>
  <si>
    <t>PR-CHV-11-001</t>
  </si>
  <si>
    <t xml:space="preserve">PR-CHV-11-001Ensaio de isolação em cabos até 35kV </t>
  </si>
  <si>
    <t>PR-CHV-11-002</t>
  </si>
  <si>
    <t xml:space="preserve">PR-CHV-11-002Ensaio de fator de perda dielétrica em cabos até 35kV </t>
  </si>
  <si>
    <t>PR-CHV-11-003</t>
  </si>
  <si>
    <t xml:space="preserve">PR-CHV-11-003Ensaio de tensão aplicada em cabos até 35kV </t>
  </si>
  <si>
    <t>PR-CHV-12-001</t>
  </si>
  <si>
    <t xml:space="preserve">PR-CHV-12-001Controle de alteração e backup software </t>
  </si>
  <si>
    <t>PR-CHV-13-001</t>
  </si>
  <si>
    <t xml:space="preserve">PR-CHV-13-001Resistência de Isolação </t>
  </si>
  <si>
    <t>PR-CHV-13-002</t>
  </si>
  <si>
    <t xml:space="preserve">PR-CHV-13-002Resistência de contato em relés auxiliares </t>
  </si>
  <si>
    <t>PR-CHV-13-003</t>
  </si>
  <si>
    <t xml:space="preserve">PR-CHV-13-003Ensaios em relés auxiliares </t>
  </si>
  <si>
    <t>PR-CHV-13-004</t>
  </si>
  <si>
    <t xml:space="preserve">PR-CHV-13-004Calibração de transdutores </t>
  </si>
  <si>
    <t>PR-CHV-13-005</t>
  </si>
  <si>
    <t xml:space="preserve">PR-CHV-13-005Ensaios em relés de sincronismo (ANSI 25) </t>
  </si>
  <si>
    <t>PR-CHV-13-006</t>
  </si>
  <si>
    <t xml:space="preserve">PR-CHV-13-006Controle de alteração e backup software </t>
  </si>
  <si>
    <t>PR-CHV-14-001</t>
  </si>
  <si>
    <t xml:space="preserve">PR-CHV-14-001Controle de alteração e backup software </t>
  </si>
  <si>
    <t>PR-CHV-15-001</t>
  </si>
  <si>
    <t xml:space="preserve">PR-CHV-15-001Ensaios em Transformadores de Corrente </t>
  </si>
  <si>
    <t>PR-CHV-15-002</t>
  </si>
  <si>
    <t xml:space="preserve">PR-CHV-15-002Ensaios em Transformadores de Potencial </t>
  </si>
  <si>
    <t>PR-CHV-15-003</t>
  </si>
  <si>
    <t xml:space="preserve">PR-CHV-15-003Ensaio de Isolação </t>
  </si>
  <si>
    <t>PR-CHV-15-004</t>
  </si>
  <si>
    <t xml:space="preserve">PR-CHV-15-004Ensaio de Resistência </t>
  </si>
  <si>
    <t>PR-CHV-15-005</t>
  </si>
  <si>
    <t xml:space="preserve">PR-CHV-15-005Ensaio de curva característica do TC </t>
  </si>
  <si>
    <t>PR-CHV-15-006</t>
  </si>
  <si>
    <t xml:space="preserve">PR-CHV-15-006Proteção Diferencial </t>
  </si>
  <si>
    <t>PR-CHV-15-007</t>
  </si>
  <si>
    <t xml:space="preserve">PR-CHV-15-007Proteção de Sobre e sub Frequência </t>
  </si>
  <si>
    <t>PR-CHV-15-009</t>
  </si>
  <si>
    <t xml:space="preserve">PR-CHV-15-009Proteção de Potencia Reversa </t>
  </si>
  <si>
    <t>PR-CHV-15-011</t>
  </si>
  <si>
    <t xml:space="preserve">PR-CHV-15-011Proteção de Subtensão </t>
  </si>
  <si>
    <t>PR-CHV-15-012</t>
  </si>
  <si>
    <t xml:space="preserve">PR-CHV-15-012Proteção de Energização Inadvertida </t>
  </si>
  <si>
    <t>PR-CHV-15-013</t>
  </si>
  <si>
    <t xml:space="preserve">PR-CHV-15-013Proteção de sobrecorrente com restrição de tensão </t>
  </si>
  <si>
    <t>PR-CHV-15-014</t>
  </si>
  <si>
    <t xml:space="preserve">PR-CHV-15-014Proteção Diferencial de terra restrita </t>
  </si>
  <si>
    <t>PR-CHV-15-015</t>
  </si>
  <si>
    <t xml:space="preserve">PR-CHV-15-015Proteção de Terra Rotor </t>
  </si>
  <si>
    <t>PR-CHV-15-016</t>
  </si>
  <si>
    <t xml:space="preserve">PR-CHV-15-016Proteção de Sequência Negativa </t>
  </si>
  <si>
    <t>PR-CHV-15-017</t>
  </si>
  <si>
    <t xml:space="preserve">PR-CHV-15-017Proteção de Perda de Excitação </t>
  </si>
  <si>
    <t>PR-CHV-15-018</t>
  </si>
  <si>
    <t xml:space="preserve">PR-CHV-15-018Proteção de Falha Fusível </t>
  </si>
  <si>
    <t>PR-CHV-15-019</t>
  </si>
  <si>
    <t xml:space="preserve">PR-CHV-15-019Proteção de Mínima Impedância </t>
  </si>
  <si>
    <t>PR-CHV-15-020</t>
  </si>
  <si>
    <t xml:space="preserve">PR-CHV-15-020Proteção Diferencial Transversal do Gerador </t>
  </si>
  <si>
    <t>PR-CHV-15-021</t>
  </si>
  <si>
    <t xml:space="preserve">PR-CHV-15-021Proteção de Terra Estator 95 </t>
  </si>
  <si>
    <t>PR-CHV-15-022</t>
  </si>
  <si>
    <t xml:space="preserve">PR-CHV-15-022Proteção de Terra Estator 100 </t>
  </si>
  <si>
    <t>PR-CHV-15-023</t>
  </si>
  <si>
    <t xml:space="preserve">PR-CHV-15-023Proteção de Sobretensão </t>
  </si>
  <si>
    <t>PR-CHV-15-024</t>
  </si>
  <si>
    <t xml:space="preserve">PR-CHV-15-024Proteção de Sobreexcitação </t>
  </si>
  <si>
    <t>PR-CHV-15-025</t>
  </si>
  <si>
    <t xml:space="preserve">PR-CHV-15-025Proteção de Sobrecarga </t>
  </si>
  <si>
    <t>PR-CHV-15-026</t>
  </si>
  <si>
    <t xml:space="preserve">PR-CHV-15-026Proteção de Falha Disjuntor </t>
  </si>
  <si>
    <t>PR-CHV-15-027</t>
  </si>
  <si>
    <t xml:space="preserve">PR-CHV-15-027Ensaio em relés de bloqueio-trip </t>
  </si>
  <si>
    <t>PR-CHV-17-001</t>
  </si>
  <si>
    <t xml:space="preserve">PR-CHV-17-001Ensaios em Transformadores de Corrente </t>
  </si>
  <si>
    <t>PR-CHV-17-002</t>
  </si>
  <si>
    <t xml:space="preserve">PR-CHV-17-002Ensaios em Transformadores de Potencial </t>
  </si>
  <si>
    <t>PR-CHV-17-003</t>
  </si>
  <si>
    <t xml:space="preserve">PR-CHV-17-003Ensaio de Isolação </t>
  </si>
  <si>
    <t>PR-CHV-17-004</t>
  </si>
  <si>
    <t xml:space="preserve">PR-CHV-17-004Ensaio de Resistência </t>
  </si>
  <si>
    <t>PR-CHV-17-005</t>
  </si>
  <si>
    <t xml:space="preserve">PR-CHV-17-005Ensaio de curva característica do TC </t>
  </si>
  <si>
    <t>PR-CHV-17-006</t>
  </si>
  <si>
    <t xml:space="preserve">PR-CHV-17-006Ensaio em relés de bloqueio-trip </t>
  </si>
  <si>
    <t>PR-CHV-18-000</t>
  </si>
  <si>
    <t xml:space="preserve">PR-CHV-18-000Check list de ensaios </t>
  </si>
  <si>
    <t>PR-CHV-18-001</t>
  </si>
  <si>
    <t xml:space="preserve">PR-CHV-18-001Ensaio de componentes e instumentos </t>
  </si>
  <si>
    <t>PR-CHV-18-002</t>
  </si>
  <si>
    <t xml:space="preserve">PR-CHV-18-002Ensaios de proteção sobretensão </t>
  </si>
  <si>
    <t>PR-CHV-18-003</t>
  </si>
  <si>
    <t xml:space="preserve">PR-CHV-18-003Ensaio isolação circuito primário </t>
  </si>
  <si>
    <t>PR-CHV-18-004</t>
  </si>
  <si>
    <t xml:space="preserve">PR-CHV-18-004Ensaio isolação circuito secundário </t>
  </si>
  <si>
    <t>PR-CHV-18-005</t>
  </si>
  <si>
    <t xml:space="preserve">PR-CHV-18-005Ensaios PLC </t>
  </si>
  <si>
    <t>PR-CHV-18-006</t>
  </si>
  <si>
    <t xml:space="preserve">PR-CHV-18-006Ensaios Simulação </t>
  </si>
  <si>
    <t>PR-CHV-18-007</t>
  </si>
  <si>
    <t xml:space="preserve">PR-CHV-18-007Ensaios funcionais </t>
  </si>
  <si>
    <t>PR-CHV-19-000</t>
  </si>
  <si>
    <t xml:space="preserve">PR-CHV-19-000Itens de manutenção e teste </t>
  </si>
  <si>
    <t>PR-CHV-19-001</t>
  </si>
  <si>
    <t xml:space="preserve">PR-CHV-19-001Ensaio de baterias </t>
  </si>
  <si>
    <t>PR-CHV-19-002</t>
  </si>
  <si>
    <t xml:space="preserve">PR-CHV-19-002Ensaio de capacidade e equalização de baterias </t>
  </si>
  <si>
    <t>PR-CHV-19-003</t>
  </si>
  <si>
    <t xml:space="preserve">PR-CHV-19-003Ensaio de retificadores e USCC </t>
  </si>
  <si>
    <t>PR-CHV-20-001</t>
  </si>
  <si>
    <t xml:space="preserve">PR-CHV-20-001Inspeção válvulas distribuidoras (CD e CR) </t>
  </si>
  <si>
    <t>PR-CHV-20-002</t>
  </si>
  <si>
    <t xml:space="preserve">PR-CHV-20-002Inspeção válvulas controle hidráulico </t>
  </si>
  <si>
    <t>PR-CHV-20-003</t>
  </si>
  <si>
    <t xml:space="preserve">PR-CHV-20-003Inspeção servomotor do distribuidor </t>
  </si>
  <si>
    <t>PR-CHV-20-004</t>
  </si>
  <si>
    <t xml:space="preserve">PR-CHV-20-004Inspeção sistema resfriamento RV </t>
  </si>
  <si>
    <t>PR-CHV-20-005</t>
  </si>
  <si>
    <t xml:space="preserve">PR-CHV-20-005Inspeção no acumulador ar e óleo </t>
  </si>
  <si>
    <t>PR-CHV-20-006</t>
  </si>
  <si>
    <t xml:space="preserve">PR-CHV-20-006Calibração válvula de segurança acumulador ar óleo </t>
  </si>
  <si>
    <t>PR-CHV-20-007</t>
  </si>
  <si>
    <t xml:space="preserve">PR-CHV-20-007Critérios de testes </t>
  </si>
  <si>
    <t>PR-CHV-21-000</t>
  </si>
  <si>
    <t xml:space="preserve">PR-CHV-21-000Check list de ensaios </t>
  </si>
  <si>
    <t>PR-CHV-21-001</t>
  </si>
  <si>
    <t xml:space="preserve">PR-CHV-21-001Ensaios de componentes instrumentos plc </t>
  </si>
  <si>
    <t>PR-CHV-21-002</t>
  </si>
  <si>
    <t xml:space="preserve">PR-CHV-21-002Ensaios circuitos elétricos </t>
  </si>
  <si>
    <t>PR-CHV-21-003</t>
  </si>
  <si>
    <t xml:space="preserve">PR-CHV-21-003Ensaios água morta </t>
  </si>
  <si>
    <t>PR-CHV-21-004</t>
  </si>
  <si>
    <t xml:space="preserve">PR-CHV-21-004Ensaios em vazio </t>
  </si>
  <si>
    <t>PR-CHV-21-005</t>
  </si>
  <si>
    <t xml:space="preserve">PR-CHV-21-005Ensaios em carga </t>
  </si>
  <si>
    <t>PR-CHV-22-001</t>
  </si>
  <si>
    <t xml:space="preserve">PR-CHV-22-001Itens de manutençãoCheck-list </t>
  </si>
  <si>
    <t>PR-CHV-23-001</t>
  </si>
  <si>
    <t xml:space="preserve">PR-CHV-23-001Itens de manutençãoCheck-list </t>
  </si>
  <si>
    <t>PR-CHV-24-001</t>
  </si>
  <si>
    <t xml:space="preserve">PR-CHV-24-001Itens de manutençãoCheck-list </t>
  </si>
  <si>
    <t>PR-CHV-25-001</t>
  </si>
  <si>
    <t xml:space="preserve">PR-CHV-25-001Ensaio de Isolação </t>
  </si>
  <si>
    <t>PR-CHV-25-002</t>
  </si>
  <si>
    <t xml:space="preserve">PR-CHV-25-002Ensaio de Resistência </t>
  </si>
  <si>
    <t>PR-CHV-26-001</t>
  </si>
  <si>
    <t xml:space="preserve">PR-CHV-26-001Itens de manutençãoCheck-list </t>
  </si>
  <si>
    <t>PR-CHV-27-001</t>
  </si>
  <si>
    <t xml:space="preserve">PR-CHV-27-001Itens de manutençãoCheck-list </t>
  </si>
  <si>
    <t>PR-CHV-28-001</t>
  </si>
  <si>
    <t xml:space="preserve">PR-CHV-28-001Itens de manutençãoCheck-list </t>
  </si>
  <si>
    <t>PR-CHV-29-001</t>
  </si>
  <si>
    <t xml:space="preserve">PR-CHV-29-001Itens de manutençãoCheck-list </t>
  </si>
  <si>
    <t>PR-CHV-30-002</t>
  </si>
  <si>
    <t xml:space="preserve">PR-CHV-30-002Medição dos ganchos </t>
  </si>
  <si>
    <t>PR-CHV-30-003</t>
  </si>
  <si>
    <t xml:space="preserve">PR-CHV-30-003Ajuste e medição nos freios </t>
  </si>
  <si>
    <t>PR-CHV-33-001</t>
  </si>
  <si>
    <t xml:space="preserve">PR-CHV-33-001Itens de manutençãoCheck-list </t>
  </si>
  <si>
    <t>PR-CHV-40-001</t>
  </si>
  <si>
    <t xml:space="preserve">PR-CHV-40-001Ensaio do sistema de iluminação </t>
  </si>
  <si>
    <t>PR-CHV-40-002</t>
  </si>
  <si>
    <t xml:space="preserve">PR-CHV-40-002Ensaio de pontos de tomada e de dispositivos DR </t>
  </si>
  <si>
    <t>PR-CHV-41-001</t>
  </si>
  <si>
    <t xml:space="preserve">PR-CHV-41-001Ensaio de resistência de aterramento </t>
  </si>
  <si>
    <t>PR-CHV-41-002</t>
  </si>
  <si>
    <t xml:space="preserve">PR-CHV-41-002Ensaio de tensão de toque e passo </t>
  </si>
  <si>
    <t>PR-CHV-41-003</t>
  </si>
  <si>
    <t xml:space="preserve">PR-CHV-41-003Ensaio de continuidade </t>
  </si>
  <si>
    <t>PR-CHV-51-001</t>
  </si>
  <si>
    <t xml:space="preserve">PR-CHV-51-001Inspeção visual do tanque, TCs, Buchas, sistema de preservação e resfriamento </t>
  </si>
  <si>
    <t>PR-CHV-51-002</t>
  </si>
  <si>
    <t xml:space="preserve">PR-CHV-51-002Inspeção visual indicadores de nível de óleo </t>
  </si>
  <si>
    <t>PR-CHV-51-003</t>
  </si>
  <si>
    <t xml:space="preserve">PR-CHV-51-003Inspeção visual termômetros </t>
  </si>
  <si>
    <t>PR-CHV-51-004</t>
  </si>
  <si>
    <t xml:space="preserve">PR-CHV-51-004Inspeção visual do relé de gás, relé de pressão e DAP </t>
  </si>
  <si>
    <t>PR-CHV-51-005</t>
  </si>
  <si>
    <t xml:space="preserve">PR-CHV-51-005Inspeção visual painel de controle </t>
  </si>
  <si>
    <t>PR-CHV-51-006</t>
  </si>
  <si>
    <t xml:space="preserve">PR-CHV-51-006Inspeção visual comutador </t>
  </si>
  <si>
    <t>PR-CHV-51-007</t>
  </si>
  <si>
    <t xml:space="preserve">PR-CHV-51-007Ensaio de Resistência de isolamento </t>
  </si>
  <si>
    <t>PR-CHV-51-008</t>
  </si>
  <si>
    <t xml:space="preserve">PR-CHV-51-008Ensaio de Resistência elétrica dos Enrolamentos </t>
  </si>
  <si>
    <t>PR-CHV-51-009</t>
  </si>
  <si>
    <t xml:space="preserve">PR-CHV-51-009Ensaio de Fator de Potência e Capacitância dos enrolamentos </t>
  </si>
  <si>
    <t>PR-CHV-51-010</t>
  </si>
  <si>
    <t xml:space="preserve">PR-CHV-51-010Ensaio de relação de transformação </t>
  </si>
  <si>
    <t>PR-CHV-51-011</t>
  </si>
  <si>
    <t xml:space="preserve">PR-CHV-51-011Ensaio de Corrente de excitação monofásica </t>
  </si>
  <si>
    <t>PR-CHV-51-012</t>
  </si>
  <si>
    <t xml:space="preserve">PR-CHV-51-012Ensaio no RTD, Relé de Gás e DAP </t>
  </si>
  <si>
    <t>PR-CHV-51-014</t>
  </si>
  <si>
    <t xml:space="preserve">PR-CHV-51-014Ensaio nos TCs </t>
  </si>
  <si>
    <t>PR-CHV-58-001</t>
  </si>
  <si>
    <t xml:space="preserve">PR-CHV-58-001Itens de manutençãoCheck-list </t>
  </si>
  <si>
    <t>PR-CHV-59-000</t>
  </si>
  <si>
    <t xml:space="preserve">PR-CHV-59-000Itens de manutenção </t>
  </si>
  <si>
    <t>PR-CHV-59-001</t>
  </si>
  <si>
    <t xml:space="preserve">PR-CHV-59-001Ensaio de Isolação </t>
  </si>
  <si>
    <t>PR-CHV-60-001</t>
  </si>
  <si>
    <t xml:space="preserve">PR-CHV-60-001Itens de manutençãoCheck-list </t>
  </si>
  <si>
    <t>PR-CHV-61-001</t>
  </si>
  <si>
    <t xml:space="preserve">PR-CHV-61-001Itens de manutençãoCheck-list </t>
  </si>
  <si>
    <t>PR-CHV-62-001</t>
  </si>
  <si>
    <t xml:space="preserve">PR-CHV-62-001Itens de manutençãoCheck-list </t>
  </si>
  <si>
    <t>PR-CHV-64-001</t>
  </si>
  <si>
    <t xml:space="preserve">PR-CHV-64-001Itens de manutençãoCheck-list </t>
  </si>
  <si>
    <t>PR-CHV-65-001</t>
  </si>
  <si>
    <t xml:space="preserve">PR-CHV-65-001Itens de manutençãoCheck-list </t>
  </si>
  <si>
    <t>PR-CHV-66-001</t>
  </si>
  <si>
    <t xml:space="preserve">PR-CHV-66-001Itens de manutençãoCheck-list </t>
  </si>
  <si>
    <t>PR-CHV-67-001</t>
  </si>
  <si>
    <t xml:space="preserve">PR-CHV-67-001Itens de manutençãoCheck-list </t>
  </si>
  <si>
    <t>PR-CHV-68-001</t>
  </si>
  <si>
    <t xml:space="preserve">PR-CHV-68-001Itens de manutençãoCheck-list </t>
  </si>
  <si>
    <t>PR-CN1-00-001</t>
  </si>
  <si>
    <t xml:space="preserve">PR-CN1-00-001Inspeção Líquido Penetrante </t>
  </si>
  <si>
    <t>PR-CN1-00-002</t>
  </si>
  <si>
    <t xml:space="preserve">PR-CN1-00-002Inspeção Partículas Magnéticas </t>
  </si>
  <si>
    <t>PR-CN1-00-003</t>
  </si>
  <si>
    <t xml:space="preserve">PR-CN1-00-003Inspeção Ultrassom </t>
  </si>
  <si>
    <t>PR-CN1-00-004</t>
  </si>
  <si>
    <t xml:space="preserve">PR-CN1-00-004Ensaio de motores elétricos </t>
  </si>
  <si>
    <t>PR-CN1-00-005</t>
  </si>
  <si>
    <t xml:space="preserve">PR-CN1-00-005Calibração de instrumentos </t>
  </si>
  <si>
    <t>PR-CN1-00-006</t>
  </si>
  <si>
    <t xml:space="preserve">PR-CN1-00-006Ensaio de motobombas </t>
  </si>
  <si>
    <t>PR-CN1-00-007</t>
  </si>
  <si>
    <t xml:space="preserve">PR-CN1-00-007Inspeção de torque de elementos de fixação </t>
  </si>
  <si>
    <t>PR-CN1-00-008</t>
  </si>
  <si>
    <t xml:space="preserve">PR-CN1-00-008Inspeção de pintura </t>
  </si>
  <si>
    <t>PR-CN1-00-009</t>
  </si>
  <si>
    <t xml:space="preserve">PR-CN1-00-009Aferição de Manômetros </t>
  </si>
  <si>
    <t>PR-CN1-01-001</t>
  </si>
  <si>
    <t xml:space="preserve">PR-CN1-01-001Inspeção de concreto da caixa espiral </t>
  </si>
  <si>
    <t>PR-CN1-01-002</t>
  </si>
  <si>
    <t xml:space="preserve">PR-CN1-01-002Medição de B0, folga e esmagamento </t>
  </si>
  <si>
    <t>PR-CN1-01-003</t>
  </si>
  <si>
    <t xml:space="preserve">PR-CN1-01-003Inspeção nas buchas auto-lubrificantes das palhetas diretrizes </t>
  </si>
  <si>
    <t>PR-CN1-01-004</t>
  </si>
  <si>
    <t xml:space="preserve">PR-CN1-01-004Inspeção em pinos e buchas do bielismo </t>
  </si>
  <si>
    <t>PR-CN1-01-005</t>
  </si>
  <si>
    <t xml:space="preserve">PR-CN1-01-005Inspeção de torque de elementos de fixação </t>
  </si>
  <si>
    <t>PR-CN1-01-006</t>
  </si>
  <si>
    <t xml:space="preserve">PR-CN1-01-006Inspeção na camisa do sevomotor Kaplan </t>
  </si>
  <si>
    <t>PR-CN1-01-007</t>
  </si>
  <si>
    <t xml:space="preserve">PR-CN1-01-007Inspeção da bucha da espiga do rotor Kaplan </t>
  </si>
  <si>
    <t>PR-CN1-01-008</t>
  </si>
  <si>
    <t xml:space="preserve">PR-CN1-01-008Inspeção da espiga do servomotor </t>
  </si>
  <si>
    <t>PR-CN1-01-009</t>
  </si>
  <si>
    <t xml:space="preserve">PR-CN1-01-009Dimensional das buchas do munhões das pás do rotor Kaplan </t>
  </si>
  <si>
    <t>PR-CN1-01-010</t>
  </si>
  <si>
    <t xml:space="preserve">PR-CN1-01-010Inspeção em pinos das alavancas do servomotor da Kaplan </t>
  </si>
  <si>
    <t>PR-CN1-01-011</t>
  </si>
  <si>
    <t xml:space="preserve">PR-CN1-01-011Inspeção das bielas e parafusos olhais da Kaplan </t>
  </si>
  <si>
    <t>PR-CN1-01-012</t>
  </si>
  <si>
    <t xml:space="preserve">PR-CN1-01-012Inspeção nos parafusos de fixação das talas das pás Kaplan </t>
  </si>
  <si>
    <t>PR-CN1-01-014</t>
  </si>
  <si>
    <t xml:space="preserve">PR-CN1-01-014Inspeção dos parafusos do rotor </t>
  </si>
  <si>
    <t>PR-CN1-01-015</t>
  </si>
  <si>
    <t xml:space="preserve">PR-CN1-01-015Inspeção dos parafusos de acoplamento com o eixo principal </t>
  </si>
  <si>
    <t>PR-CN1-01-017</t>
  </si>
  <si>
    <t xml:space="preserve">PR-CN1-01-017Medição de folga entre pá e aro câmara </t>
  </si>
  <si>
    <t>PR-CN1-01-018</t>
  </si>
  <si>
    <t xml:space="preserve">PR-CN1-01-018Espessura e bate chocoaro câmara </t>
  </si>
  <si>
    <t>PR-CN1-01-020</t>
  </si>
  <si>
    <t xml:space="preserve">PR-CN1-01-020Inspeção da bucha do cabeçote Kaplan </t>
  </si>
  <si>
    <t>PR-CN1-01-021</t>
  </si>
  <si>
    <t xml:space="preserve">PR-CN1-01-021Batimento da tubulação Kaplan </t>
  </si>
  <si>
    <t>PR-CN1-01-023</t>
  </si>
  <si>
    <t xml:space="preserve">PR-CN1-01-023Batimento da pista de inox da vedação do eixo </t>
  </si>
  <si>
    <t>PR-CN1-01-024</t>
  </si>
  <si>
    <t xml:space="preserve">PR-CN1-01-024Batimento do anel de desgaste da vedação do eixo </t>
  </si>
  <si>
    <t>PR-CN1-01-025</t>
  </si>
  <si>
    <t xml:space="preserve">PR-CN1-01-025Espessura do anel de desgaste da vedação do eixo </t>
  </si>
  <si>
    <t>PR-CN1-01-026</t>
  </si>
  <si>
    <t xml:space="preserve">PR-CN1-01-026Ensaio na vedação de manutenção </t>
  </si>
  <si>
    <t>PR-CN1-01-027</t>
  </si>
  <si>
    <t xml:space="preserve">PR-CN1-01-027Medição de tempo de recalque das bombas de drenagem da tampa </t>
  </si>
  <si>
    <t>PR-CN1-01-028</t>
  </si>
  <si>
    <t xml:space="preserve">PR-CN1-01-028Ensaio das bombas de injeção de água da vedação do eixo </t>
  </si>
  <si>
    <t>PR-CN1-01-034</t>
  </si>
  <si>
    <t xml:space="preserve">PR-CN1-01-034Inspeção no tubo de sucção e caixa espiral </t>
  </si>
  <si>
    <t>PR-CN1-01-041</t>
  </si>
  <si>
    <t xml:space="preserve">PR-CN1-01-041Inspeção em regiões cavitadasKaplan </t>
  </si>
  <si>
    <t>PR-CN1-02-003</t>
  </si>
  <si>
    <t xml:space="preserve">PR-CN1-02-003Medição de circularidade e excentricidade do estator </t>
  </si>
  <si>
    <t>PR-CN1-02-005</t>
  </si>
  <si>
    <t xml:space="preserve">PR-CN1-02-005Insp. do núcleo do estator </t>
  </si>
  <si>
    <t>PR-CN1-02-006</t>
  </si>
  <si>
    <t xml:space="preserve">PR-CN1-02-006Inspeção dos tirantes de fixação do núcleo do estator (isolação) </t>
  </si>
  <si>
    <t>PR-CN1-02-007</t>
  </si>
  <si>
    <t xml:space="preserve">PR-CN1-02-007Inspeção das guias de ar </t>
  </si>
  <si>
    <t>PR-CN1-02-008</t>
  </si>
  <si>
    <t xml:space="preserve">PR-CN1-02-008Medição do entreferro </t>
  </si>
  <si>
    <t>PR-CN1-02-009</t>
  </si>
  <si>
    <t xml:space="preserve">PR-CN1-02-009Medição de circularidade e excentricidade do rotor </t>
  </si>
  <si>
    <t>PR-CN1-02-010</t>
  </si>
  <si>
    <t xml:space="preserve">PR-CN1-02-010Ajuste da circularidade do rotor </t>
  </si>
  <si>
    <t>PR-CN1-02-011</t>
  </si>
  <si>
    <t xml:space="preserve">PR-CN1-02-011Medição do nivelamento dos polos </t>
  </si>
  <si>
    <t>PR-CN1-02-014</t>
  </si>
  <si>
    <t xml:space="preserve">PR-CN1-02-014Medição de centro (Caixa eixo) e ajuste do mancal guia </t>
  </si>
  <si>
    <t>PR-CN1-02-015</t>
  </si>
  <si>
    <t xml:space="preserve">PR-CN1-02-015Medição e ajuste do nivelamento dos segmentos do mancal de escora </t>
  </si>
  <si>
    <t>PR-CN1-02-016</t>
  </si>
  <si>
    <t xml:space="preserve">PR-CN1-02-016Medição de nivelamento e ajuste da superfície para a instalação dos segmentos do mancal de escora </t>
  </si>
  <si>
    <t>PR-CN1-02-017</t>
  </si>
  <si>
    <t xml:space="preserve">PR-CN1-02-017Inspeção dos espelhos do bloco de escora </t>
  </si>
  <si>
    <t>PR-CN1-02-019</t>
  </si>
  <si>
    <t xml:space="preserve">PR-CN1-02-019Inspeção entre o eixo e o bloco de escora </t>
  </si>
  <si>
    <t>PR-CN1-02-024</t>
  </si>
  <si>
    <t xml:space="preserve">PR-CN1-02-024Inspeção dos macacos de frenagem </t>
  </si>
  <si>
    <t>PR-CN1-02-025</t>
  </si>
  <si>
    <t xml:space="preserve">PR-CN1-02-025Medição e ajuste da distância entre a lona de frenagem e a pista de frenagem </t>
  </si>
  <si>
    <t>PR-CN1-02-026</t>
  </si>
  <si>
    <t xml:space="preserve">PR-CN1-02-026Entreferro (run-out e verticalidadeDinâmico </t>
  </si>
  <si>
    <t>PR-CN1-02-027</t>
  </si>
  <si>
    <t xml:space="preserve">PR-CN1-02-027Verticalidade </t>
  </si>
  <si>
    <t>PR-CN1-02-029</t>
  </si>
  <si>
    <t xml:space="preserve">PR-CN1-02-029ComissionamentoVibração, oscilação, temperaturas, tempos e pressões </t>
  </si>
  <si>
    <t>PR-CN1-02-032</t>
  </si>
  <si>
    <t xml:space="preserve">PR-CN1-02-032Inspeção do nivel de oleo </t>
  </si>
  <si>
    <t>PR-CN1-03-000</t>
  </si>
  <si>
    <t xml:space="preserve">PR-CN1-03-000-Manutencao Geradorinspeção e limpeza geral </t>
  </si>
  <si>
    <t>PR-CN1-03-002</t>
  </si>
  <si>
    <t xml:space="preserve">PR-CN1-03-002-Inspeção no enrolamento do estatorcabeças de bobina </t>
  </si>
  <si>
    <t>PR-CN1-03-003</t>
  </si>
  <si>
    <t xml:space="preserve">PR-CN1-03-003-Inspeção no enrolamento do estatoraneis de surto e barramento circular </t>
  </si>
  <si>
    <t>PR-CN1-03-004</t>
  </si>
  <si>
    <t xml:space="preserve">PR-CN1-03-004-Inspeção no nucleo do estatordedos pressao e escadinha </t>
  </si>
  <si>
    <t>PR-CN1-03-005</t>
  </si>
  <si>
    <t xml:space="preserve">PR-CN1-03-005-Inspeção no nucleo do estatorcunhas de fechamento de ranhuras </t>
  </si>
  <si>
    <t>PR-CN1-03-006</t>
  </si>
  <si>
    <t xml:space="preserve">PR-CN1-03-006-Inspeção nos polosbobinas e conexoes principais e amortecedor </t>
  </si>
  <si>
    <t>PR-CN1-03-007</t>
  </si>
  <si>
    <t xml:space="preserve">PR-CN1-03-007-Inspeção campo- regulador_porta escovasanel coletor_polos </t>
  </si>
  <si>
    <t>PR-CN1-03-008</t>
  </si>
  <si>
    <t xml:space="preserve">PR-CN1-03-008-Manutencao Estatordesmontagem e montagem das conexoes flexiveis </t>
  </si>
  <si>
    <t>PR-CN1-03-010</t>
  </si>
  <si>
    <t xml:space="preserve">PR-CN1-03-010-Manutencao Estatorsecagem enrolamento </t>
  </si>
  <si>
    <t>PR-CN1-03-011</t>
  </si>
  <si>
    <t xml:space="preserve">PR-CN1-03-011-Manutencao Polosmontagem e controle das conexoes principais e amortecedor </t>
  </si>
  <si>
    <t>PR-CN1-03-012</t>
  </si>
  <si>
    <t xml:space="preserve">PR-CN1-03-012-Manutencao Polossubstituição de polo em bulbo </t>
  </si>
  <si>
    <t>PR-CN1-03-013</t>
  </si>
  <si>
    <t xml:space="preserve">PR-CN1-03-013-Manutancao Rotordesmontagem e montagem barramento de campo </t>
  </si>
  <si>
    <t>PR-CN1-03-014</t>
  </si>
  <si>
    <t xml:space="preserve">PR-CN1-03-014-Manutancao porta escovas </t>
  </si>
  <si>
    <t>PR-CN1-03-015</t>
  </si>
  <si>
    <t xml:space="preserve">PR-CN1-03-015-Manutancao aneis coletores </t>
  </si>
  <si>
    <t>PR-CN1-03-016</t>
  </si>
  <si>
    <t xml:space="preserve">PR-CN1-03-016-Inspeção cubiculo aterramento neutro </t>
  </si>
  <si>
    <t>PR-CN1-03-017</t>
  </si>
  <si>
    <t xml:space="preserve">PR-CN1-03-017-Manutancao Equip Auxdesmontagem e montagem VENTILADORES </t>
  </si>
  <si>
    <t>PR-CN1-03-018</t>
  </si>
  <si>
    <t xml:space="preserve">PR-CN1-03-018- Medição da vazão de ar dos ventiladores </t>
  </si>
  <si>
    <t>PR-CN1-03-101</t>
  </si>
  <si>
    <t xml:space="preserve">PR-CN1-03-101Testes enrolamento estator e rotorisolação, IP, IA </t>
  </si>
  <si>
    <t>PR-CN1-03-102</t>
  </si>
  <si>
    <t xml:space="preserve">PR-CN1-03-102Testes enrolamento estator e rotorResistência Ohmica </t>
  </si>
  <si>
    <t>PR-CN1-03-103</t>
  </si>
  <si>
    <t xml:space="preserve">PR-CN1-03-103Testes enrolamento estatorensaio de corrente de fuga </t>
  </si>
  <si>
    <t>PR-CN1-03-104</t>
  </si>
  <si>
    <t xml:space="preserve">PR-CN1-03-104Testes enrolamento estatortangente delta RevA </t>
  </si>
  <si>
    <t>PR-CN1-03-105</t>
  </si>
  <si>
    <t xml:space="preserve">PR-CN1-03-105Testes enrolamento estator e rotorTensao Aplicada (hipot) AC-CC </t>
  </si>
  <si>
    <t>PR-CN1-03-106</t>
  </si>
  <si>
    <t xml:space="preserve">PR-CN1-03-106Testes enrolamento rotorResistencia ohmica das conexoes polares </t>
  </si>
  <si>
    <t>PR-CN1-03-107</t>
  </si>
  <si>
    <t xml:space="preserve">PR-CN1-03-107Testes enrolamento rotorEnsaio de queda de tensao nos polos </t>
  </si>
  <si>
    <t>PR-CN1-03-108</t>
  </si>
  <si>
    <t xml:space="preserve">PR-CN1-03-108Testes circuito de campomedição isolação componentes </t>
  </si>
  <si>
    <t>PR-CN1-03-109</t>
  </si>
  <si>
    <t xml:space="preserve">PR-CN1-03-109Testes enrolamento estatortensão de ranhura </t>
  </si>
  <si>
    <t>PR-CN1-03-110</t>
  </si>
  <si>
    <t xml:space="preserve">PR-CN1-03-110Ensaios nos RTDs </t>
  </si>
  <si>
    <t>PR-CN1-03-111</t>
  </si>
  <si>
    <t xml:space="preserve">PR-CN1-03-111Testes enrolamento estator- Ensaio de corona visual </t>
  </si>
  <si>
    <t>PR-CN1-03-112</t>
  </si>
  <si>
    <t xml:space="preserve">PR-CN1-03-112Ensaios equipmts auxpainel de neutro </t>
  </si>
  <si>
    <t>PR-CN1-03-113</t>
  </si>
  <si>
    <t xml:space="preserve">PR-CN1-03-113Ensaios nos aquecedores de maq parada </t>
  </si>
  <si>
    <t>PR-CN1-03-114</t>
  </si>
  <si>
    <t xml:space="preserve">PR-CN1-03-114Ensaios para levantamento das curvas caracterisitcas </t>
  </si>
  <si>
    <t>PR-CN1-03-115</t>
  </si>
  <si>
    <t xml:space="preserve">PR-CN1-03-115Ensaio de aquecimento do Gerador </t>
  </si>
  <si>
    <t>PR-CN1-04-001</t>
  </si>
  <si>
    <t xml:space="preserve">PR-CN1-04-001Ensaio de automatismo de motoresbombas </t>
  </si>
  <si>
    <t>PR-CN1-04-002</t>
  </si>
  <si>
    <t xml:space="preserve">PR-CN1-04-002Ensaio de automatismo do sistema hidráulico RV </t>
  </si>
  <si>
    <t>PR-CN1-04-003</t>
  </si>
  <si>
    <t xml:space="preserve">PR-CN1-04-003Ensaio de Fluxostatos </t>
  </si>
  <si>
    <t>PR-CN1-04-004</t>
  </si>
  <si>
    <t xml:space="preserve">PR-CN1-04-004Ensaio de fontes de alimentação </t>
  </si>
  <si>
    <t>PR-CN1-04-005</t>
  </si>
  <si>
    <t xml:space="preserve">PR-CN1-04-005Ensaio de Resistência de Isolação </t>
  </si>
  <si>
    <t>PR-CN1-04-006</t>
  </si>
  <si>
    <t xml:space="preserve">PR-CN1-04-006Ensaio de Pressostatos </t>
  </si>
  <si>
    <t>PR-CN1-04-007</t>
  </si>
  <si>
    <t xml:space="preserve">PR-CN1-04-007Ensaio de relés de subtensão </t>
  </si>
  <si>
    <t>PR-CN1-04-008</t>
  </si>
  <si>
    <t xml:space="preserve">PR-CN1-04-008Ensaio de relés temporizadores </t>
  </si>
  <si>
    <t>PR-CN1-04-009</t>
  </si>
  <si>
    <t xml:space="preserve">PR-CN1-04-009Ensaio de Resistência de contato em relés auxiliares </t>
  </si>
  <si>
    <t>PR-CN1-04-010</t>
  </si>
  <si>
    <t xml:space="preserve">PR-CN1-04-010Ensaio de sensores atuadores de posição </t>
  </si>
  <si>
    <t>PR-CN1-04-011</t>
  </si>
  <si>
    <t xml:space="preserve">PR-CN1-04-011Ensaio de simulação de partida e parada UAC </t>
  </si>
  <si>
    <t>PR-CN1-04-012</t>
  </si>
  <si>
    <t xml:space="preserve">PR-CN1-04-012Ensaio de sistema de água de refrigeração </t>
  </si>
  <si>
    <t>PR-CN1-04-013</t>
  </si>
  <si>
    <t xml:space="preserve">PR-CN1-04-013Ensaio de sistema de aquecimento gerador </t>
  </si>
  <si>
    <t>PR-CN1-04-014</t>
  </si>
  <si>
    <t xml:space="preserve">PR-CN1-04-014Ensaio de sistema de frenagem </t>
  </si>
  <si>
    <t>PR-CN1-04-015</t>
  </si>
  <si>
    <t xml:space="preserve">PR-CN1-04-015Ensaio de transferência automática de fontes </t>
  </si>
  <si>
    <t>PR-CN1-04-016</t>
  </si>
  <si>
    <t xml:space="preserve">PR-CN1-04-016Ensaio de transmissores de pressão </t>
  </si>
  <si>
    <t>PR-CN1-04-017</t>
  </si>
  <si>
    <t xml:space="preserve">PR-CN1-04-017Ensaio de transmissores de temperatura </t>
  </si>
  <si>
    <t>PR-CN1-04-018</t>
  </si>
  <si>
    <t xml:space="preserve">PR-CN1-04-018Ensaio de transmissores de vazão </t>
  </si>
  <si>
    <t>PR-CN1-04-019</t>
  </si>
  <si>
    <t xml:space="preserve">PR-CN1-04-019Ensaio dos sensores de pinos de cisalhamento das diretrizes </t>
  </si>
  <si>
    <t>PR-CN1-04-020</t>
  </si>
  <si>
    <t xml:space="preserve">PR-CN1-04-020Ensaio do sistema de filtragem de água de refrigeração </t>
  </si>
  <si>
    <t>PR-CN1-04-021</t>
  </si>
  <si>
    <t xml:space="preserve">PR-CN1-04-021Tabela de controle desconexão e conexão de cabos </t>
  </si>
  <si>
    <t>PR-CN1-04-022</t>
  </si>
  <si>
    <t xml:space="preserve">PR-CN1-04-022Ensaio de Transferencia de fontes de alimentação </t>
  </si>
  <si>
    <t>PR-CN1-05-000</t>
  </si>
  <si>
    <t xml:space="preserve">PR-CN1-05-000Itens de manutenção e teste </t>
  </si>
  <si>
    <t>PR-CN1-05-001</t>
  </si>
  <si>
    <t xml:space="preserve">PR-CN1-05-001Ensaio de isolação em cabos de saída do gerador </t>
  </si>
  <si>
    <t>PR-CN1-05-002</t>
  </si>
  <si>
    <t xml:space="preserve">PR-CN1-05-002Ensaio de tensão aplicada em cabos de saída do gerador </t>
  </si>
  <si>
    <t>PR-CN1-05-003</t>
  </si>
  <si>
    <t xml:space="preserve">PR-CN1-05-003Ensaio de isolação em barramento blindado </t>
  </si>
  <si>
    <t>PR-CN1-05-004</t>
  </si>
  <si>
    <t xml:space="preserve">PR-CN1-05-004Ensaio de tensão aplicada em barramento blindado </t>
  </si>
  <si>
    <t>PR-CN1-05-005</t>
  </si>
  <si>
    <t xml:space="preserve">PR-CN1-05-005Ensaio de TC de cubículos do gerador </t>
  </si>
  <si>
    <t>PR-CN1-05-006</t>
  </si>
  <si>
    <t xml:space="preserve">PR-CN1-05-006Ensaio de TP de cubículos do gerador </t>
  </si>
  <si>
    <t>PR-CN1-05-007</t>
  </si>
  <si>
    <t xml:space="preserve">PR-CN1-05-007Ensaio de protetores de surto do gerador </t>
  </si>
  <si>
    <t>PR-CN1-06-001</t>
  </si>
  <si>
    <t xml:space="preserve">PR-CN1-06-001Inspeção visual do tanque, sistema de preservação e resfriamento </t>
  </si>
  <si>
    <t>PR-CN1-06-002</t>
  </si>
  <si>
    <t xml:space="preserve">PR-CN1-06-002Inspeção visual das buchas </t>
  </si>
  <si>
    <t>PR-CN1-06-003</t>
  </si>
  <si>
    <t xml:space="preserve">PR-CN1-06-003Inspeção visual dos TCs de bucha </t>
  </si>
  <si>
    <t>PR-CN1-06-004</t>
  </si>
  <si>
    <t xml:space="preserve">PR-CN1-06-004Inspeção visual indicadores e termômetros </t>
  </si>
  <si>
    <t>PR-CN1-06-005</t>
  </si>
  <si>
    <t xml:space="preserve">PR-CN1-06-005Inspeção visual do relé de gás e DAP </t>
  </si>
  <si>
    <t>PR-CN1-06-006</t>
  </si>
  <si>
    <t xml:space="preserve">PR-CN1-06-006Inspeção visual painel de controle </t>
  </si>
  <si>
    <t>PR-CN1-06-007</t>
  </si>
  <si>
    <t xml:space="preserve">PR-CN1-06-007 e 06-021Ensaio de Resistência de isolamento </t>
  </si>
  <si>
    <t>PR-CN1-06-008</t>
  </si>
  <si>
    <t xml:space="preserve">PR-CN1-06-008Ensaio de Resistência elétrica dos Enrolamentos </t>
  </si>
  <si>
    <t>PR-CN1-06-009</t>
  </si>
  <si>
    <t xml:space="preserve">PR-CN1-06-009Ensaio de Fator de Potência e Capacitância dos enrolamentos </t>
  </si>
  <si>
    <t>PR-CN1-06-010</t>
  </si>
  <si>
    <t xml:space="preserve">PR-CN1-06-010Ensaio de relação de transformação </t>
  </si>
  <si>
    <t>PR-CN1-06-011</t>
  </si>
  <si>
    <t xml:space="preserve">PR-CN1-06-011Ensaio de Corrente de excitação monofásica </t>
  </si>
  <si>
    <t>PR-CN1-06-012</t>
  </si>
  <si>
    <t xml:space="preserve">PR-CN1-06-012Ensaio de impedância de curto-circuito </t>
  </si>
  <si>
    <t>PR-CN1-06-013</t>
  </si>
  <si>
    <t xml:space="preserve">PR-CN1-06-013-014-015Ensaio no RTD, Relé de Gás e DAP </t>
  </si>
  <si>
    <t>PR-CN1-06-016</t>
  </si>
  <si>
    <t xml:space="preserve">PR-CN1-06-016- Ensaio de Estanqueidade </t>
  </si>
  <si>
    <t>PR-CN1-06-018</t>
  </si>
  <si>
    <t xml:space="preserve">PR-CN1-06-018Ensaio de Fator de Potência e Capacitância das buchas </t>
  </si>
  <si>
    <t>PR-CN1-06-019</t>
  </si>
  <si>
    <t xml:space="preserve">PR-CN1-06-019Ensaio nos TC's </t>
  </si>
  <si>
    <t xml:space="preserve">PR-CN1-06-019Ensaio nos TCs </t>
  </si>
  <si>
    <t>PR-CN1-06-020</t>
  </si>
  <si>
    <t xml:space="preserve">PR-CN1-06-020Ensaio sistema de resfriamento </t>
  </si>
  <si>
    <t>PR-CN1-07-000</t>
  </si>
  <si>
    <t xml:space="preserve">PR-CN1-07-000Itens de manutenção e teste </t>
  </si>
  <si>
    <t>PR-CN1-07-001</t>
  </si>
  <si>
    <t xml:space="preserve">PR-CN1-07-001Ensaio de isolação em transformadores a seco </t>
  </si>
  <si>
    <t>PR-CN1-07-002</t>
  </si>
  <si>
    <t xml:space="preserve">PR-CN1-07-002Ensaio de resistência DC em transformadores à seco </t>
  </si>
  <si>
    <t>PR-CN1-07-003</t>
  </si>
  <si>
    <t xml:space="preserve">PR-CN1-07-003Ensaio de tensão aplicada em transformadores a seco </t>
  </si>
  <si>
    <t>PR-CN1-07-004</t>
  </si>
  <si>
    <t xml:space="preserve">PR-CN1-07-004Ensaio de relação de transformação e polaridade em transformadores a seco </t>
  </si>
  <si>
    <t>PR-CN1-09-000</t>
  </si>
  <si>
    <t xml:space="preserve">PR-CN1-09-000Itens de manutenção e teste </t>
  </si>
  <si>
    <t>PR-CN1-09-001</t>
  </si>
  <si>
    <t xml:space="preserve">PR-CN1-09-001Ensaio de resistência DC em barramento de painéis de média tensão </t>
  </si>
  <si>
    <t>PR-CN1-09-002</t>
  </si>
  <si>
    <t xml:space="preserve">PR-CN1-09-002Ensaio de isolação em barramento de painéis de média tensão </t>
  </si>
  <si>
    <t>PR-CN1-09-003</t>
  </si>
  <si>
    <t xml:space="preserve">PR-CN1-09-003Ensaio de tensão aplicada em barramento de painéis de média tensão </t>
  </si>
  <si>
    <t>PR-CN1-09-004</t>
  </si>
  <si>
    <t xml:space="preserve">PR-CN1-09-004Ensaio de disjuntores de média tensão </t>
  </si>
  <si>
    <t>PR-CN1-09-005</t>
  </si>
  <si>
    <t xml:space="preserve">PR-CN1-09-005Ensaio de tensão aplicada em disjuntores de média tensão </t>
  </si>
  <si>
    <t>PR-CN1-09-006</t>
  </si>
  <si>
    <t xml:space="preserve">PR-CN1-09-006Ensaio de TC de painéis de média tensão </t>
  </si>
  <si>
    <t>PR-CN1-09-007</t>
  </si>
  <si>
    <t xml:space="preserve">PR-CN1-09-007Ensaio de TP de painéis de média tensão </t>
  </si>
  <si>
    <t>PR-CN1-09-008</t>
  </si>
  <si>
    <t xml:space="preserve">PR-CN1-09-008Ensaio de protetores de surto de painéis de média tensão </t>
  </si>
  <si>
    <t>PR-CN1-10-000</t>
  </si>
  <si>
    <t xml:space="preserve">PR-CN1-10-000Itens de manutenção e teste </t>
  </si>
  <si>
    <t>PR-CN1-10-001</t>
  </si>
  <si>
    <t xml:space="preserve">PR-CN1-10-001Ensaio de isolação em barramento de painéis de baixa tensão </t>
  </si>
  <si>
    <t>PR-CN1-10-002</t>
  </si>
  <si>
    <t xml:space="preserve">PR-CN1-10-002Ensaio de resistência DC em barramento de painéis de baixa tensão </t>
  </si>
  <si>
    <t>PR-CN1-10-003</t>
  </si>
  <si>
    <t xml:space="preserve">PR-CN1-10-003Ensaio de tensão aplicada em barramento de painéis de baixa tensão </t>
  </si>
  <si>
    <t>PR-CN1-10-004</t>
  </si>
  <si>
    <t xml:space="preserve">PR-CN1-10-004Ensaio de disjuntores de caixa moldada em painéis de baixa tensão </t>
  </si>
  <si>
    <t>PR-CN1-10-005</t>
  </si>
  <si>
    <t xml:space="preserve">PR-CN1-10-005Ensaio de isolação em TP de painéis de baixa tensão </t>
  </si>
  <si>
    <t>PR-CN1-10-006</t>
  </si>
  <si>
    <t xml:space="preserve">PR-CN1-10-006Ensaio de isolação em cabos de painéis de baixa tensão </t>
  </si>
  <si>
    <t>PR-CN1-10-007</t>
  </si>
  <si>
    <t xml:space="preserve">PR-CN1-10-007- Ensaio de acoplamento automático de barras em painéis de baixa tensão </t>
  </si>
  <si>
    <t>PR-CN1-11-000</t>
  </si>
  <si>
    <t xml:space="preserve">PR-CN1-11-000Itens de manutenção e teste </t>
  </si>
  <si>
    <t>PR-CN1-11-001</t>
  </si>
  <si>
    <t xml:space="preserve">PR-CN1-11-001Ensaio de isolação em cabos até 35kV </t>
  </si>
  <si>
    <t>PR-CN1-11-002</t>
  </si>
  <si>
    <t xml:space="preserve">PR-CN1-11-002Ensaio de fator de perda dielétrica em cabos até 35kV </t>
  </si>
  <si>
    <t>PR-CN1-11-003</t>
  </si>
  <si>
    <t xml:space="preserve">PR-CN1-11-003Ensaio de tensão aplicada em cabos até 35kV </t>
  </si>
  <si>
    <t>PR-CN1-12-001</t>
  </si>
  <si>
    <t xml:space="preserve">PR-CN1-12-001Controle de alteração e backup software </t>
  </si>
  <si>
    <t>PR-CN1-13-001</t>
  </si>
  <si>
    <t xml:space="preserve">PR-CN1-13-001Resistência de Isolação </t>
  </si>
  <si>
    <t>PR-CN1-13-002</t>
  </si>
  <si>
    <t xml:space="preserve">PR-CN1-13-002Resistência de contato em relés auxiliares </t>
  </si>
  <si>
    <t>PR-CN1-13-003</t>
  </si>
  <si>
    <t xml:space="preserve">PR-CN1-13-003Ensaios em relés auxiliares </t>
  </si>
  <si>
    <t>PR-CN1-13-004</t>
  </si>
  <si>
    <t xml:space="preserve">PR-CN1-13-004Calibração de transdutores </t>
  </si>
  <si>
    <t>PR-CN1-13-005</t>
  </si>
  <si>
    <t xml:space="preserve">PR-CN1-13-005Ensaios em relés de sincronismo (ANSI 25) </t>
  </si>
  <si>
    <t>PR-CN1-13-006</t>
  </si>
  <si>
    <t xml:space="preserve">PR-CN1-13-006Controle de alteração e backup software </t>
  </si>
  <si>
    <t>PR-CN1-14-001</t>
  </si>
  <si>
    <t xml:space="preserve">PR-CN1-14-001Controle de alteração e backup software </t>
  </si>
  <si>
    <t>PR-CN1-15-001</t>
  </si>
  <si>
    <t xml:space="preserve">PR-CN1-15-001Ensaios em Transformadores de Corrente </t>
  </si>
  <si>
    <t>PR-CN1-15-002</t>
  </si>
  <si>
    <t xml:space="preserve">PR-CN1-15-002Ensaios em Transformadores de Potencial </t>
  </si>
  <si>
    <t>PR-CN1-15-003</t>
  </si>
  <si>
    <t xml:space="preserve">PR-CN1-15-003Ensaio de Isolação </t>
  </si>
  <si>
    <t>PR-CN1-15-004</t>
  </si>
  <si>
    <t xml:space="preserve">PR-CN1-15-004Ensaio de Resistência </t>
  </si>
  <si>
    <t>PR-CN1-15-005</t>
  </si>
  <si>
    <t xml:space="preserve">PR-CN1-15-005Ensaio de curva característica do TC </t>
  </si>
  <si>
    <t>PR-CN1-15-006</t>
  </si>
  <si>
    <t xml:space="preserve">PR-CN1-15-006Proteção Diferencial </t>
  </si>
  <si>
    <t>PR-CN1-15-007</t>
  </si>
  <si>
    <t xml:space="preserve">PR-CN1-15-007Proteção de Sobre e sub Frequência </t>
  </si>
  <si>
    <t>PR-CN1-15-009</t>
  </si>
  <si>
    <t xml:space="preserve">PR-CN1-15-009Proteção de Potencia Reversa </t>
  </si>
  <si>
    <t>PR-CN1-15-011</t>
  </si>
  <si>
    <t xml:space="preserve">PR-CN1-15-011Proteção de Subtensão </t>
  </si>
  <si>
    <t>PR-CN1-15-012</t>
  </si>
  <si>
    <t xml:space="preserve">PR-CN1-15-012Proteção de Energização Inadvertida </t>
  </si>
  <si>
    <t>PR-CN1-15-013</t>
  </si>
  <si>
    <t xml:space="preserve">PR-CN1-15-013Proteção de sobrecorrente com restrição de tensão </t>
  </si>
  <si>
    <t>PR-CN1-15-014</t>
  </si>
  <si>
    <t xml:space="preserve">PR-CN1-15-014Proteção Diferencial de terra restrita </t>
  </si>
  <si>
    <t>PR-CN1-15-015</t>
  </si>
  <si>
    <t xml:space="preserve">PR-CN1-15-015Proteção de Terra Rotor </t>
  </si>
  <si>
    <t>PR-CN1-15-016</t>
  </si>
  <si>
    <t xml:space="preserve">PR-CN1-15-016Proteção de Sequência Negativa </t>
  </si>
  <si>
    <t>PR-CN1-15-017</t>
  </si>
  <si>
    <t xml:space="preserve">PR-CN1-15-017Proteção de Perda de Excitação </t>
  </si>
  <si>
    <t>PR-CN1-15-018</t>
  </si>
  <si>
    <t xml:space="preserve">PR-CN1-15-018Proteção de Falha Fusível </t>
  </si>
  <si>
    <t>PR-CN1-15-019</t>
  </si>
  <si>
    <t xml:space="preserve">PR-CN1-15-019Proteção de Mínima Impedância </t>
  </si>
  <si>
    <t>PR-CN1-15-020</t>
  </si>
  <si>
    <t xml:space="preserve">PR-CN1-15-020Proteção Diferencial Transversal do Gerador </t>
  </si>
  <si>
    <t>PR-CN1-15-021</t>
  </si>
  <si>
    <t xml:space="preserve">PR-CN1-15-021Proteção de Terra Estator 95 </t>
  </si>
  <si>
    <t>PR-CN1-15-022</t>
  </si>
  <si>
    <t xml:space="preserve">PR-CN1-15-022Proteção de Terra Estator 100 </t>
  </si>
  <si>
    <t>PR-CN1-15-023</t>
  </si>
  <si>
    <t xml:space="preserve">PR-CN1-15-023Proteção de Sobretensão </t>
  </si>
  <si>
    <t>PR-CN1-15-024</t>
  </si>
  <si>
    <t xml:space="preserve">PR-CN1-15-024Proteção de Sobreexcitação </t>
  </si>
  <si>
    <t>PR-CN1-15-025</t>
  </si>
  <si>
    <t xml:space="preserve">PR-CN1-15-025Proteção de Sobrecarga </t>
  </si>
  <si>
    <t>PR-CN1-15-026</t>
  </si>
  <si>
    <t xml:space="preserve">PR-CN1-15-026Proteção de Falha Disjuntor </t>
  </si>
  <si>
    <t>PR-CN1-15-027</t>
  </si>
  <si>
    <t xml:space="preserve">PR-CN1-15-027Ensaio em relés de bloqueio-trip </t>
  </si>
  <si>
    <t>PR-CN1-17-001</t>
  </si>
  <si>
    <t xml:space="preserve">PR-CN1-17-001Ensaios em Transformadores de Corrente </t>
  </si>
  <si>
    <t>PR-CN1-17-002</t>
  </si>
  <si>
    <t xml:space="preserve">PR-CN1-17-002Ensaios em Transformadores de Potencial </t>
  </si>
  <si>
    <t>PR-CN1-17-003</t>
  </si>
  <si>
    <t xml:space="preserve">PR-CN1-17-003Ensaio de Isolação </t>
  </si>
  <si>
    <t>PR-CN1-17-004</t>
  </si>
  <si>
    <t xml:space="preserve">PR-CN1-17-004Ensaio de Resistência </t>
  </si>
  <si>
    <t>PR-CN1-17-005</t>
  </si>
  <si>
    <t xml:space="preserve">PR-CN1-17-005Ensaio de curva característica do TC </t>
  </si>
  <si>
    <t>PR-CN1-17-006</t>
  </si>
  <si>
    <t xml:space="preserve">PR-CN1-17-006Ensaio em relés de bloqueio-trip </t>
  </si>
  <si>
    <t>PR-CN1-18-000</t>
  </si>
  <si>
    <t xml:space="preserve">PR-CN1-18-000Check list de ensaios </t>
  </si>
  <si>
    <t>PR-CN1-18-001</t>
  </si>
  <si>
    <t xml:space="preserve">PR-CN1-18-001Ensaio de componentes e instumentos </t>
  </si>
  <si>
    <t>PR-CN1-18-002</t>
  </si>
  <si>
    <t xml:space="preserve">PR-CN1-18-002Ensaios de proteção sobretensão </t>
  </si>
  <si>
    <t>PR-CN1-18-003</t>
  </si>
  <si>
    <t xml:space="preserve">PR-CN1-18-003Ensaio isolação circuito primário </t>
  </si>
  <si>
    <t>PR-CN1-18-004</t>
  </si>
  <si>
    <t xml:space="preserve">PR-CN1-18-004Ensaio isolação circuito secundário </t>
  </si>
  <si>
    <t>PR-CN1-18-005</t>
  </si>
  <si>
    <t xml:space="preserve">PR-CN1-18-005Ensaios PLC </t>
  </si>
  <si>
    <t>PR-CN1-18-006</t>
  </si>
  <si>
    <t xml:space="preserve">PR-CN1-18-006Ensaios Simulação </t>
  </si>
  <si>
    <t>PR-CN1-18-007</t>
  </si>
  <si>
    <t xml:space="preserve">PR-CN1-18-007Ensaios funcionais </t>
  </si>
  <si>
    <t>PR-CN1-19-000</t>
  </si>
  <si>
    <t xml:space="preserve">PR-CN1-19-000Itens de manutenção e teste </t>
  </si>
  <si>
    <t>PR-CN1-19-001</t>
  </si>
  <si>
    <t xml:space="preserve">PR-CN1-19-001Ensaio de baterias </t>
  </si>
  <si>
    <t>PR-CN1-19-002</t>
  </si>
  <si>
    <t xml:space="preserve">PR-CN1-19-002Ensaio de capacidade e equalização de baterias </t>
  </si>
  <si>
    <t>PR-CN1-19-003</t>
  </si>
  <si>
    <t xml:space="preserve">PR-CN1-19-003Ensaio de retificadores e USCC </t>
  </si>
  <si>
    <t>PR-CN1-20-001</t>
  </si>
  <si>
    <t xml:space="preserve">PR-CN1-20-001Inspeção válvulas distribuidoras (CD e CR) </t>
  </si>
  <si>
    <t>PR-CN1-20-002</t>
  </si>
  <si>
    <t xml:space="preserve">PR-CN1-20-002Inspeção válvulas controle hidráulico </t>
  </si>
  <si>
    <t>PR-CN1-20-003</t>
  </si>
  <si>
    <t xml:space="preserve">PR-CN1-20-003Inspeção servomotor do distribuidor </t>
  </si>
  <si>
    <t>PR-CN1-20-004</t>
  </si>
  <si>
    <t xml:space="preserve">PR-CN1-20-004Inspeção sistema resfriamento RV </t>
  </si>
  <si>
    <t>PR-CN1-20-005</t>
  </si>
  <si>
    <t xml:space="preserve">PR-CN1-20-005Inspeção no acumulador ar e óleo </t>
  </si>
  <si>
    <t>PR-CN1-20-006</t>
  </si>
  <si>
    <t xml:space="preserve">PR-CN1-20-006Calibração válvula de segurança acumulador ar óleo </t>
  </si>
  <si>
    <t>PR-CN1-20-007</t>
  </si>
  <si>
    <t xml:space="preserve">PR-CN1-20-007Critérios de testes </t>
  </si>
  <si>
    <t>PR-CN1-21-000</t>
  </si>
  <si>
    <t xml:space="preserve">PR-CN1-21-000Check list de ensaios </t>
  </si>
  <si>
    <t>PR-CN1-21-001</t>
  </si>
  <si>
    <t xml:space="preserve">PR-CN1-21-001Ensaios de componentes instrumentos plc </t>
  </si>
  <si>
    <t>PR-CN1-21-002</t>
  </si>
  <si>
    <t xml:space="preserve">PR-CN1-21-002Ensaios circuitos elétricos </t>
  </si>
  <si>
    <t>PR-CN1-21-003</t>
  </si>
  <si>
    <t xml:space="preserve">PR-CN1-21-003Ensaios água morta </t>
  </si>
  <si>
    <t>PR-CN1-21-004</t>
  </si>
  <si>
    <t xml:space="preserve">PR-CN1-21-004Ensaios em vazio </t>
  </si>
  <si>
    <t>PR-CN1-21-005</t>
  </si>
  <si>
    <t xml:space="preserve">PR-CN1-21-005Ensaios em carga </t>
  </si>
  <si>
    <t>PR-CN1-22-001</t>
  </si>
  <si>
    <t xml:space="preserve">PR-CN1-22-001Itens de manutençãoCheck-list </t>
  </si>
  <si>
    <t>PR-CN1-23-001</t>
  </si>
  <si>
    <t xml:space="preserve">PR-CN1-23-001Itens de manutençãoCheck-list </t>
  </si>
  <si>
    <t>PR-CN1-24-001</t>
  </si>
  <si>
    <t xml:space="preserve">PR-CN1-24-001Itens de manutençãoCheck-list </t>
  </si>
  <si>
    <t>PR-CN1-25-001</t>
  </si>
  <si>
    <t xml:space="preserve">PR-CN1-25-001Ensaio de Isolação </t>
  </si>
  <si>
    <t>PR-CN1-25-002</t>
  </si>
  <si>
    <t xml:space="preserve">PR-CN1-25-002Ensaio de Resistência </t>
  </si>
  <si>
    <t>PR-CN1-26-001</t>
  </si>
  <si>
    <t xml:space="preserve">PR-CN1-26-001Itens de manutençãoCheck-list </t>
  </si>
  <si>
    <t>PR-CN1-27-001</t>
  </si>
  <si>
    <t xml:space="preserve">PR-CN1-27-001Itens de manutençãoCheck-list </t>
  </si>
  <si>
    <t>PR-CN1-28-001</t>
  </si>
  <si>
    <t xml:space="preserve">PR-CN1-28-001Itens de manutençãoCheck-list </t>
  </si>
  <si>
    <t>PR-CN1-29-001</t>
  </si>
  <si>
    <t xml:space="preserve">PR-CN1-29-001Itens de manutençãoCheck-list </t>
  </si>
  <si>
    <t>PR-CN1-30-002</t>
  </si>
  <si>
    <t xml:space="preserve">PR-CN1-30-002Medição dos ganchos </t>
  </si>
  <si>
    <t>PR-CN1-30-003</t>
  </si>
  <si>
    <t xml:space="preserve">PR-CN1-30-003Ajuste e medição nos freios </t>
  </si>
  <si>
    <t>PR-CN1-33-001</t>
  </si>
  <si>
    <t xml:space="preserve">PR-CN1-33-001Itens de manutençãoCheck-list </t>
  </si>
  <si>
    <t>PR-CN1-40-001</t>
  </si>
  <si>
    <t xml:space="preserve">PR-CN1-40-001Ensaio do sistema de iluminação </t>
  </si>
  <si>
    <t>PR-CN1-40-002</t>
  </si>
  <si>
    <t xml:space="preserve">PR-CN1-40-002Ensaio de pontos de tomada e de dispositivos DR </t>
  </si>
  <si>
    <t>PR-CN1-41-001</t>
  </si>
  <si>
    <t xml:space="preserve">PR-CN1-41-001Ensaio de resistência de aterramento </t>
  </si>
  <si>
    <t>PR-CN1-41-002</t>
  </si>
  <si>
    <t xml:space="preserve">PR-CN1-41-002Ensaio de tensão de toque e passo </t>
  </si>
  <si>
    <t>PR-CN1-41-003</t>
  </si>
  <si>
    <t xml:space="preserve">PR-CN1-41-003Ensaio de continuidade </t>
  </si>
  <si>
    <t>PR-CN1-51-001</t>
  </si>
  <si>
    <t xml:space="preserve">PR-CN1-51-001Inspeção visual do tanque, TCs, Buchas, sistema de preservação e resfriamento </t>
  </si>
  <si>
    <t>PR-CN1-51-002</t>
  </si>
  <si>
    <t xml:space="preserve">PR-CN1-51-002Inspeção visual indicadores de nível de óleo </t>
  </si>
  <si>
    <t>PR-CN1-51-003</t>
  </si>
  <si>
    <t xml:space="preserve">PR-CN1-51-003Inspeção visual termômetros </t>
  </si>
  <si>
    <t>PR-CN1-51-004</t>
  </si>
  <si>
    <t xml:space="preserve">PR-CN1-51-004Inspeção visual do relé de gás, relé de pressão e DAP </t>
  </si>
  <si>
    <t>PR-CN1-51-005</t>
  </si>
  <si>
    <t xml:space="preserve">PR-CN1-51-005Inspeção visual painel de controle </t>
  </si>
  <si>
    <t>PR-CN1-51-006</t>
  </si>
  <si>
    <t xml:space="preserve">PR-CN1-51-006Inspeção visual comutador </t>
  </si>
  <si>
    <t>PR-CN1-51-007</t>
  </si>
  <si>
    <t xml:space="preserve">PR-CN1-51-007Ensaio de Resistência de isolamento </t>
  </si>
  <si>
    <t>PR-CN1-51-008</t>
  </si>
  <si>
    <t xml:space="preserve">PR-CN1-51-008Ensaio de Resistência elétrica dos Enrolamentos </t>
  </si>
  <si>
    <t>PR-CN1-51-009</t>
  </si>
  <si>
    <t xml:space="preserve">PR-CN1-51-009Ensaio de Fator de Potência e Capacitância dos enrolamentos </t>
  </si>
  <si>
    <t>PR-CN1-51-010</t>
  </si>
  <si>
    <t xml:space="preserve">PR-CN1-51-010Ensaio de relação de transformação </t>
  </si>
  <si>
    <t>PR-CN1-51-011</t>
  </si>
  <si>
    <t xml:space="preserve">PR-CN1-51-011Ensaio de Corrente de excitação monofásica </t>
  </si>
  <si>
    <t>PR-CN1-51-012</t>
  </si>
  <si>
    <t xml:space="preserve">PR-CN1-51-012Ensaio no RTD, Relé de Gás e DAP </t>
  </si>
  <si>
    <t>PR-CN1-51-014</t>
  </si>
  <si>
    <t xml:space="preserve">PR-CN1-51-014Ensaio nos TCs </t>
  </si>
  <si>
    <t>PR-CN1-56-001</t>
  </si>
  <si>
    <t xml:space="preserve">PR-CN1-56-001Ensaios em Transformadores de Corrente </t>
  </si>
  <si>
    <t>PR-CN1-56-002</t>
  </si>
  <si>
    <t xml:space="preserve">PR-CN1-56-002Ensaio de Isolação </t>
  </si>
  <si>
    <t>PR-CN1-56-003</t>
  </si>
  <si>
    <t xml:space="preserve">PR-CN1-56-003Ensaio em relés de bloqueio-trip </t>
  </si>
  <si>
    <t>PR-CN1-56-004</t>
  </si>
  <si>
    <t xml:space="preserve">PR-CN1-56-004Ensaio de Resistência </t>
  </si>
  <si>
    <t>PR-CN1-57-001</t>
  </si>
  <si>
    <t xml:space="preserve">PR-CN1-57-001Ensaios em Transformadores de Corrente </t>
  </si>
  <si>
    <t>PR-CN1-57-002</t>
  </si>
  <si>
    <t xml:space="preserve">PR-CN1-57-002Ensaios em Transformadores de Potencial </t>
  </si>
  <si>
    <t>PR-CN1-57-003</t>
  </si>
  <si>
    <t xml:space="preserve">PR-CN1-57-003Ensaio de Isolação </t>
  </si>
  <si>
    <t>PR-CN1-57-004</t>
  </si>
  <si>
    <t xml:space="preserve">PR-CN1-57-004Ensaio de Resistência </t>
  </si>
  <si>
    <t>PR-CN1-57-005</t>
  </si>
  <si>
    <t xml:space="preserve">PR-CN1-57-005Ensaio em relés de bloqueio-trip </t>
  </si>
  <si>
    <t>PR-CN1-58-001</t>
  </si>
  <si>
    <t xml:space="preserve">PR-CN1-58-001Itens de manutençãoCheck-list </t>
  </si>
  <si>
    <t>PR-CN1-59-000</t>
  </si>
  <si>
    <t xml:space="preserve">PR-CN1-59-000Itens de manutenção </t>
  </si>
  <si>
    <t>PR-CN1-59-001</t>
  </si>
  <si>
    <t xml:space="preserve">PR-CN1-59-001Ensaio de Isolação </t>
  </si>
  <si>
    <t>PR-CN1-60-001</t>
  </si>
  <si>
    <t xml:space="preserve">PR-CN1-60-001Itens de manutençãoCheck-list </t>
  </si>
  <si>
    <t>PR-CN1-61-001</t>
  </si>
  <si>
    <t xml:space="preserve">PR-CN1-61-001Itens de manutençãoCheck-list </t>
  </si>
  <si>
    <t>PR-CN1-62-001</t>
  </si>
  <si>
    <t xml:space="preserve">PR-CN1-62-001Itens de manutençãoCheck-list </t>
  </si>
  <si>
    <t>PR-CN1-64-001</t>
  </si>
  <si>
    <t xml:space="preserve">PR-CN1-64-001Itens de manutençãoCheck-list </t>
  </si>
  <si>
    <t>PR-CN1-65-001</t>
  </si>
  <si>
    <t xml:space="preserve">PR-CN1-65-001Itens de manutençãoCheck-list </t>
  </si>
  <si>
    <t>PR-CN1-66-001</t>
  </si>
  <si>
    <t xml:space="preserve">PR-CN1-66-001Itens de manutençãoCheck-list </t>
  </si>
  <si>
    <t>PR-CN1-67-001</t>
  </si>
  <si>
    <t xml:space="preserve">PR-CN1-67-001Itens de manutençãoCheck-list </t>
  </si>
  <si>
    <t>PR-CN1-68-001</t>
  </si>
  <si>
    <t xml:space="preserve">PR-CN1-68-001Itens de manutençãoCheck-list </t>
  </si>
  <si>
    <t>PR-CN2-00-001</t>
  </si>
  <si>
    <t xml:space="preserve">PR-CN2-00-001Inspeção Líquido Penetrante </t>
  </si>
  <si>
    <t>PR-CN2-00-002</t>
  </si>
  <si>
    <t xml:space="preserve">PR-CN2-00-002Inspeção Partículas Magnéticas </t>
  </si>
  <si>
    <t>PR-CN2-00-003</t>
  </si>
  <si>
    <t xml:space="preserve">PR-CN2-00-003Inspeção Ultrassom </t>
  </si>
  <si>
    <t>PR-CN2-00-004</t>
  </si>
  <si>
    <t xml:space="preserve">PR-CN2-00-004Ensaio de motores elétricos </t>
  </si>
  <si>
    <t>PR-CN2-00-005</t>
  </si>
  <si>
    <t xml:space="preserve">PR-CN2-00-005Calibração de instrumentos </t>
  </si>
  <si>
    <t>PR-CN2-00-006</t>
  </si>
  <si>
    <t xml:space="preserve">PR-CN2-00-006Ensaio de motobombas </t>
  </si>
  <si>
    <t>PR-CN2-00-007</t>
  </si>
  <si>
    <t xml:space="preserve">PR-CN2-00-007Inspeção de torque de elementos de fixação </t>
  </si>
  <si>
    <t>PR-CN2-00-008</t>
  </si>
  <si>
    <t xml:space="preserve">PR-CN2-00-008Inspeção de pintura </t>
  </si>
  <si>
    <t>PR-CN2-00-009</t>
  </si>
  <si>
    <t xml:space="preserve">PR-CN2-00-009Aferição de Manômetros </t>
  </si>
  <si>
    <t>PR-CN2-01-001</t>
  </si>
  <si>
    <t xml:space="preserve">PR-CN2-01-001Inspeção de concreto da caixa espiral </t>
  </si>
  <si>
    <t>PR-CN2-01-002</t>
  </si>
  <si>
    <t xml:space="preserve">PR-CN2-01-002Medição de B0, folga e esmagamento </t>
  </si>
  <si>
    <t>PR-CN2-01-003</t>
  </si>
  <si>
    <t xml:space="preserve">PR-CN2-01-003Inspeção nas buchas auto-lubrificantes das palhetas diretrizes </t>
  </si>
  <si>
    <t>PR-CN2-01-004</t>
  </si>
  <si>
    <t xml:space="preserve">PR-CN2-01-004Inspeção em pinos e buchas do bielismo </t>
  </si>
  <si>
    <t>PR-CN2-01-005</t>
  </si>
  <si>
    <t xml:space="preserve">PR-CN2-01-005Inspeção de torque de elementos de fixação </t>
  </si>
  <si>
    <t>PR-CN2-01-006</t>
  </si>
  <si>
    <t xml:space="preserve">PR-CN2-01-006Inspeção na camisa do sevomotor Kaplan </t>
  </si>
  <si>
    <t>PR-CN2-01-007</t>
  </si>
  <si>
    <t xml:space="preserve">PR-CN2-01-007Inspeção da bucha da espiga do rotor Kaplan </t>
  </si>
  <si>
    <t>PR-CN2-01-008</t>
  </si>
  <si>
    <t xml:space="preserve">PR-CN2-01-008Inspeção da espiga do servomotor </t>
  </si>
  <si>
    <t>PR-CN2-01-009</t>
  </si>
  <si>
    <t xml:space="preserve">PR-CN2-01-009Dimensional das buchas do munhões das pás do rotor Kaplan </t>
  </si>
  <si>
    <t>PR-CN2-01-010</t>
  </si>
  <si>
    <t xml:space="preserve">PR-CN2-01-010Inspeção em pinos das alavancas do servomotor da Kaplan </t>
  </si>
  <si>
    <t>PR-CN2-01-011</t>
  </si>
  <si>
    <t xml:space="preserve">PR-CN2-01-011Inspeção das bielas e parafusos olhais da Kaplan </t>
  </si>
  <si>
    <t>PR-CN2-01-012</t>
  </si>
  <si>
    <t xml:space="preserve">PR-CN2-01-012Inspeção nos parafusos de fixação das talas das pás Kaplan </t>
  </si>
  <si>
    <t>PR-CN2-01-014</t>
  </si>
  <si>
    <t xml:space="preserve">PR-CN2-01-014Inspeção dos parafusos do rotor </t>
  </si>
  <si>
    <t>PR-CN2-01-015</t>
  </si>
  <si>
    <t xml:space="preserve">PR-CN2-01-015Inspeção dos parafusos de acoplamento com o eixo principal </t>
  </si>
  <si>
    <t>PR-CN2-01-017</t>
  </si>
  <si>
    <t xml:space="preserve">PR-CN2-01-017Medição de folga entre pá e aro câmara </t>
  </si>
  <si>
    <t>PR-CN2-01-018</t>
  </si>
  <si>
    <t xml:space="preserve">PR-CN2-01-018Espessura e bate chocoaro câmara </t>
  </si>
  <si>
    <t>PR-CN2-01-020</t>
  </si>
  <si>
    <t xml:space="preserve">PR-CN2-01-020Inspeção da bucha do cabeçote Kaplan </t>
  </si>
  <si>
    <t>PR-CN2-01-021</t>
  </si>
  <si>
    <t xml:space="preserve">PR-CN2-01-021Batimento da tubulação Kaplan </t>
  </si>
  <si>
    <t>PR-CN2-01-023</t>
  </si>
  <si>
    <t xml:space="preserve">PR-CN2-01-023Batimento da pista de inox da vedação do eixo </t>
  </si>
  <si>
    <t>PR-CN2-01-024</t>
  </si>
  <si>
    <t xml:space="preserve">PR-CN2-01-024Batimento do anel de desgaste da vedação do eixo </t>
  </si>
  <si>
    <t>PR-CN2-01-025</t>
  </si>
  <si>
    <t xml:space="preserve">PR-CN2-01-025Espessura do anel de desgaste da vedação do eixo </t>
  </si>
  <si>
    <t>PR-CN2-01-026</t>
  </si>
  <si>
    <t xml:space="preserve">PR-CN2-01-026Ensaio na vedação de manutenção </t>
  </si>
  <si>
    <t>PR-CN2-01-027</t>
  </si>
  <si>
    <t xml:space="preserve">PR-CN2-01-027Medição de tempo de recalque das bombas de drenagem da tampa </t>
  </si>
  <si>
    <t>PR-CN2-01-028</t>
  </si>
  <si>
    <t xml:space="preserve">PR-CN2-01-028Ensaio das bombas de injeção de água da vedação do eixo </t>
  </si>
  <si>
    <t>PR-CN2-01-034</t>
  </si>
  <si>
    <t xml:space="preserve">PR-CN2-01-034Inspeção no tubo de sucção e caixa espiral </t>
  </si>
  <si>
    <t>PR-CN2-01-041</t>
  </si>
  <si>
    <t xml:space="preserve">PR-CN2-01-041Inspeção em regiões cavitadasKaplan </t>
  </si>
  <si>
    <t>PR-CN2-02-003</t>
  </si>
  <si>
    <t xml:space="preserve">PR-CN2-02-003Medição de circularidade e excentricidade do estator </t>
  </si>
  <si>
    <t>PR-CN2-02-005</t>
  </si>
  <si>
    <t xml:space="preserve">PR-CN2-02-005Insp. do núcleo do estator </t>
  </si>
  <si>
    <t>PR-CN2-02-006</t>
  </si>
  <si>
    <t xml:space="preserve">PR-CN2-02-006Inspeção dos tirantes de fixação do núcleo do estator (isolação) </t>
  </si>
  <si>
    <t>PR-CN2-02-007</t>
  </si>
  <si>
    <t xml:space="preserve">PR-CN2-02-007Inspeção das guias de ar </t>
  </si>
  <si>
    <t>PR-CN2-02-008</t>
  </si>
  <si>
    <t xml:space="preserve">PR-CN2-02-008Medição do entreferro </t>
  </si>
  <si>
    <t>PR-CN2-02-009</t>
  </si>
  <si>
    <t xml:space="preserve">PR-CN2-02-009Medição de circularidade e excentricidade do rotor </t>
  </si>
  <si>
    <t>PR-CN2-02-010</t>
  </si>
  <si>
    <t xml:space="preserve">PR-CN2-02-010Ajuste da circularidade do rotor </t>
  </si>
  <si>
    <t>PR-CN2-02-011</t>
  </si>
  <si>
    <t xml:space="preserve">PR-CN2-02-011Medição do nivelamento dos polos </t>
  </si>
  <si>
    <t>PR-CN2-02-014</t>
  </si>
  <si>
    <t xml:space="preserve">PR-CN2-02-014Medição de centro (Caixa eixo) e ajuste do mancal guia </t>
  </si>
  <si>
    <t>PR-CN2-02-015</t>
  </si>
  <si>
    <t xml:space="preserve">PR-CN2-02-015Medição e ajuste do nivelamento dos segmentos do mancal de escora </t>
  </si>
  <si>
    <t>PR-CN2-02-017</t>
  </si>
  <si>
    <t xml:space="preserve">PR-CN2-02-017Inspeção dos espelhos do bloco de escora </t>
  </si>
  <si>
    <t>PR-CN2-02-024</t>
  </si>
  <si>
    <t xml:space="preserve">PR-CN2-02-024Inspeção dos macacos de frenagem </t>
  </si>
  <si>
    <t>PR-CN2-02-025</t>
  </si>
  <si>
    <t xml:space="preserve">PR-CN2-02-025Medição e ajuste da distância entre a lona de frenagem e a pista de frenagem </t>
  </si>
  <si>
    <t>PR-CN2-02-026</t>
  </si>
  <si>
    <t xml:space="preserve">PR-CN2-02-026Entreferro (run-out e verticalidadeDinâmico </t>
  </si>
  <si>
    <t>PR-CN2-02-027</t>
  </si>
  <si>
    <t xml:space="preserve">PR-CN2-02-027Verticalidade </t>
  </si>
  <si>
    <t>PR-CN2-02-029</t>
  </si>
  <si>
    <t xml:space="preserve">PR-CN2-02-029ComissionamentoVibração, oscilação, temperaturas, tempos e pressões </t>
  </si>
  <si>
    <t>PR-CN2-02-032</t>
  </si>
  <si>
    <t xml:space="preserve">PR-CN2-02-032Inspeção do nivel de oleo </t>
  </si>
  <si>
    <t>PR-CN2-04-001</t>
  </si>
  <si>
    <t xml:space="preserve">PR-CN2-04-001Ensaio de automatismo de motoresbombas </t>
  </si>
  <si>
    <t>PR-CN2-04-002</t>
  </si>
  <si>
    <t xml:space="preserve">PR-CN2-04-002Ensaio de automatismo do sistema hidráulico RV </t>
  </si>
  <si>
    <t>PR-CN2-04-003</t>
  </si>
  <si>
    <t xml:space="preserve">PR-CN2-04-003Ensaio de Fluxostatos </t>
  </si>
  <si>
    <t>PR-CN2-04-004</t>
  </si>
  <si>
    <t xml:space="preserve">PR-CN2-04-004Ensaio de fontes de alimentação </t>
  </si>
  <si>
    <t>PR-CN2-04-005</t>
  </si>
  <si>
    <t xml:space="preserve">PR-CN2-04-005Ensaio de Resistência de Isolação </t>
  </si>
  <si>
    <t>PR-CN2-04-006</t>
  </si>
  <si>
    <t xml:space="preserve">PR-CN2-04-006Ensaio de Pressostatos </t>
  </si>
  <si>
    <t>PR-CN2-04-007</t>
  </si>
  <si>
    <t xml:space="preserve">PR-CN2-04-007Ensaio de relés de subtensão </t>
  </si>
  <si>
    <t>PR-CN2-04-008</t>
  </si>
  <si>
    <t xml:space="preserve">PR-CN2-04-008Ensaio de relés temporizadores </t>
  </si>
  <si>
    <t>PR-CN2-04-009</t>
  </si>
  <si>
    <t xml:space="preserve">PR-CN2-04-009Ensaio de Resistência de contato em relés auxiliares </t>
  </si>
  <si>
    <t>PR-CN2-04-010</t>
  </si>
  <si>
    <t xml:space="preserve">PR-CN2-04-010Ensaio de sensores atuadores de posição </t>
  </si>
  <si>
    <t>PR-CN2-04-011</t>
  </si>
  <si>
    <t xml:space="preserve">PR-CN2-04-011Ensaio de simulação de partida e parada UAC </t>
  </si>
  <si>
    <t>PR-CN2-04-012</t>
  </si>
  <si>
    <t xml:space="preserve">PR-CN2-04-012Ensaio de sistema de água de refrigeração </t>
  </si>
  <si>
    <t>PR-CN2-04-013</t>
  </si>
  <si>
    <t xml:space="preserve">PR-CN2-04-013Ensaio de sistema de aquecimento gerador </t>
  </si>
  <si>
    <t>PR-CN2-04-014</t>
  </si>
  <si>
    <t xml:space="preserve">PR-CN2-04-014Ensaio de sistema de frenagem </t>
  </si>
  <si>
    <t>PR-CN2-04-015</t>
  </si>
  <si>
    <t xml:space="preserve">PR-CN2-04-015Ensaio de transferência automática de fontes </t>
  </si>
  <si>
    <t>PR-CN2-04-016</t>
  </si>
  <si>
    <t xml:space="preserve">PR-CN2-04-016Ensaio de transmissores de pressão </t>
  </si>
  <si>
    <t>PR-CN2-04-017</t>
  </si>
  <si>
    <t xml:space="preserve">PR-CN2-04-017Ensaio de transmissores de temperatura </t>
  </si>
  <si>
    <t>PR-CN2-04-018</t>
  </si>
  <si>
    <t xml:space="preserve">PR-CN2-04-018Ensaio de transmissores de vazão </t>
  </si>
  <si>
    <t>PR-CN2-04-019</t>
  </si>
  <si>
    <t xml:space="preserve">PR-CN2-04-019Ensaio dos sensores de pinos de cisalhamento das diretrizes </t>
  </si>
  <si>
    <t>PR-CN2-04-020</t>
  </si>
  <si>
    <t xml:space="preserve">PR-CN2-04-020Ensaio do sistema de filtragem de água de refrigeração </t>
  </si>
  <si>
    <t>PR-CN2-04-021</t>
  </si>
  <si>
    <t xml:space="preserve">PR-CN2-04-021Tabela de controle desconexão e conexão de cabos </t>
  </si>
  <si>
    <t>PR-CN2-04-022</t>
  </si>
  <si>
    <t xml:space="preserve">PR-CN2-04-022Ensaio de Transferencia de fontes de alimentação </t>
  </si>
  <si>
    <t>PR-CN2-05-000</t>
  </si>
  <si>
    <t xml:space="preserve">PR-CN2-05-000Itens de manutenção e teste </t>
  </si>
  <si>
    <t>PR-CN2-05-001</t>
  </si>
  <si>
    <t xml:space="preserve">PR-CN2-05-001Ensaio de isolação em cabos de saída do gerador </t>
  </si>
  <si>
    <t>PR-CN2-05-002</t>
  </si>
  <si>
    <t xml:space="preserve">PR-CN2-05-002Ensaio de tensão aplicada em cabos de saída do gerador </t>
  </si>
  <si>
    <t>PR-CN2-05-003</t>
  </si>
  <si>
    <t xml:space="preserve">PR-CN2-05-003Ensaio de isolação em barramento blindado </t>
  </si>
  <si>
    <t>PR-CN2-05-004</t>
  </si>
  <si>
    <t xml:space="preserve">PR-CN2-05-004Ensaio de tensão aplicada em barramento blindado </t>
  </si>
  <si>
    <t>PR-CN2-05-005</t>
  </si>
  <si>
    <t xml:space="preserve">PR-CN2-05-005Ensaio de TC de cubículos do gerador </t>
  </si>
  <si>
    <t>PR-CN2-05-006</t>
  </si>
  <si>
    <t xml:space="preserve">PR-CN2-05-006Ensaio de TP de cubículos do gerador </t>
  </si>
  <si>
    <t>PR-CN2-05-007</t>
  </si>
  <si>
    <t xml:space="preserve">PR-CN2-05-007Ensaio de protetores de surto do gerador </t>
  </si>
  <si>
    <t>PR-CN2-06-001</t>
  </si>
  <si>
    <t xml:space="preserve">PR-CN2-06-001Inspeção visual do tanque, sistema de preservação e resfriamento </t>
  </si>
  <si>
    <t>PR-CN2-06-002</t>
  </si>
  <si>
    <t xml:space="preserve">PR-CN2-06-002Inspeção visual das buchas </t>
  </si>
  <si>
    <t>PR-CN2-06-003</t>
  </si>
  <si>
    <t xml:space="preserve">PR-CN2-06-003Inspeção visual dos TCs de bucha </t>
  </si>
  <si>
    <t>PR-CN2-06-004</t>
  </si>
  <si>
    <t xml:space="preserve">PR-CN2-06-004Inspeção visual indicadores e termômetros </t>
  </si>
  <si>
    <t>PR-CN2-06-005</t>
  </si>
  <si>
    <t xml:space="preserve">PR-CN2-06-005Inspeção visual do relé de gás e DAP </t>
  </si>
  <si>
    <t>PR-CN2-06-006</t>
  </si>
  <si>
    <t xml:space="preserve">PR-CN2-06-006Inspeção visual painel de controle </t>
  </si>
  <si>
    <t>PR-CN2-06-007</t>
  </si>
  <si>
    <t xml:space="preserve">PR-CN2-06-007 e 06-021Ensaio de Resistência de isolamento </t>
  </si>
  <si>
    <t>PR-CN2-06-008</t>
  </si>
  <si>
    <t xml:space="preserve">PR-CN2-06-008Ensaio de Resistência elétrica dos Enrolamentos </t>
  </si>
  <si>
    <t>PR-CN2-06-009</t>
  </si>
  <si>
    <t xml:space="preserve">PR-CN2-06-009Ensaio de Fator de Potência e Capacitância dos enrolamentos </t>
  </si>
  <si>
    <t>PR-CN2-06-010</t>
  </si>
  <si>
    <t xml:space="preserve">PR-CN2-06-010Ensaio de relação de transformação </t>
  </si>
  <si>
    <t>PR-CN2-06-011</t>
  </si>
  <si>
    <t xml:space="preserve">PR-CN2-06-011Ensaio de Corrente de excitação monofásica </t>
  </si>
  <si>
    <t>PR-CN2-06-012</t>
  </si>
  <si>
    <t xml:space="preserve">PR-CN2-06-012Ensaio de impedância de curto-circuito </t>
  </si>
  <si>
    <t>PR-CN2-06-013</t>
  </si>
  <si>
    <t xml:space="preserve">PR-CN2-06-013-014-015Ensaio no RTD, Relé de Gás e DAP </t>
  </si>
  <si>
    <t>PR-CN2-06-016</t>
  </si>
  <si>
    <t xml:space="preserve">PR-CN2-06-016- Ensaio de Estanqueidade </t>
  </si>
  <si>
    <t>PR-CN2-06-018</t>
  </si>
  <si>
    <t xml:space="preserve">PR-CN2-06-018Ensaio de Fator de Potência e Capacitância das buchas </t>
  </si>
  <si>
    <t>PR-CN2-06-019</t>
  </si>
  <si>
    <t xml:space="preserve">PR-CN2-06-019Ensaio nos TCs </t>
  </si>
  <si>
    <t>PR-CN2-06-020</t>
  </si>
  <si>
    <t xml:space="preserve">PR-CN2-06-020Ensaio sistema de resfriamento </t>
  </si>
  <si>
    <t>PR-CN2-07-000</t>
  </si>
  <si>
    <t xml:space="preserve">PR-CN2-07-000Itens de manutenção e teste </t>
  </si>
  <si>
    <t>PR-CN2-07-001</t>
  </si>
  <si>
    <t xml:space="preserve">PR-CN2-07-001Ensaio de isolação em transformadores a seco </t>
  </si>
  <si>
    <t>PR-CN2-07-002</t>
  </si>
  <si>
    <t xml:space="preserve">PR-CN2-07-002Ensaio de resistência DC em transformadores à seco </t>
  </si>
  <si>
    <t>PR-CN2-07-003</t>
  </si>
  <si>
    <t xml:space="preserve">PR-CN2-07-003Ensaio de tensão aplicada em transformadores a seco </t>
  </si>
  <si>
    <t>PR-CN2-07-004</t>
  </si>
  <si>
    <t xml:space="preserve">PR-CN2-07-004Ensaio de relação de transformação e polaridade em transformadores a seco </t>
  </si>
  <si>
    <t>PR-CN2-09-000</t>
  </si>
  <si>
    <t xml:space="preserve">PR-CN2-09-000Itens de manutenção e teste </t>
  </si>
  <si>
    <t>PR-CN2-09-001</t>
  </si>
  <si>
    <t xml:space="preserve">PR-CN2-09-001Ensaio de resistência DC em barramento de painéis de média tensão </t>
  </si>
  <si>
    <t>PR-CN2-09-002</t>
  </si>
  <si>
    <t xml:space="preserve">PR-CN2-09-002Ensaio de isolação em barramento de painéis de média tensão </t>
  </si>
  <si>
    <t>PR-CN2-09-003</t>
  </si>
  <si>
    <t xml:space="preserve">PR-CN2-09-003Ensaio de tensão aplicada em barramento de painéis de média tensão </t>
  </si>
  <si>
    <t>PR-CN2-09-004</t>
  </si>
  <si>
    <t xml:space="preserve">PR-CN2-09-004Ensaio de disjuntores de média tensão </t>
  </si>
  <si>
    <t>PR-CN2-09-005</t>
  </si>
  <si>
    <t xml:space="preserve">PR-CN2-09-005Ensaio de tensão aplicada em disjuntores de média tensão </t>
  </si>
  <si>
    <t>PR-CN2-09-006</t>
  </si>
  <si>
    <t xml:space="preserve">PR-CN2-09-006Ensaio de TC de painéis de média tensão </t>
  </si>
  <si>
    <t>PR-CN2-09-007</t>
  </si>
  <si>
    <t xml:space="preserve">PR-CN2-09-007Ensaio de TP de painéis de média tensão </t>
  </si>
  <si>
    <t>PR-CN2-09-008</t>
  </si>
  <si>
    <t xml:space="preserve">PR-CN2-09-008Ensaio de protetores de surto de painéis de média tensão </t>
  </si>
  <si>
    <t>PR-CN2-10-000</t>
  </si>
  <si>
    <t xml:space="preserve">PR-CN2-10-000Itens de manutenção e teste </t>
  </si>
  <si>
    <t>PR-CN2-10-001</t>
  </si>
  <si>
    <t xml:space="preserve">PR-CN2-10-001Ensaio de isolação em barramento de painéis de baixa tensão </t>
  </si>
  <si>
    <t>PR-CN2-10-002</t>
  </si>
  <si>
    <t xml:space="preserve">PR-CN2-10-002Ensaio de resistência DC em barramento de painéis de baixa tensão </t>
  </si>
  <si>
    <t>PR-CN2-10-003</t>
  </si>
  <si>
    <t xml:space="preserve">PR-CN2-10-003Ensaio de tensão aplicada em barramento de painéis de baixa tensão </t>
  </si>
  <si>
    <t>PR-CN2-10-004</t>
  </si>
  <si>
    <t xml:space="preserve">PR-CN2-10-004Ensaio de disjuntores de caixa moldada em painéis de baixa tensão </t>
  </si>
  <si>
    <t>PR-CN2-10-005</t>
  </si>
  <si>
    <t xml:space="preserve">PR-CN2-10-005Ensaio de isolação em TP de painéis de baixa tensão </t>
  </si>
  <si>
    <t>PR-CN2-10-006</t>
  </si>
  <si>
    <t xml:space="preserve">PR-CN2-10-006Ensaio de isolação em cabos de painéis de baixa tensão </t>
  </si>
  <si>
    <t>PR-CN2-10-007</t>
  </si>
  <si>
    <t xml:space="preserve">PR-CN2-10-007- Ensaio de acoplamento automático de barras em painéis de baixa tensão </t>
  </si>
  <si>
    <t>PR-CN2-11-000</t>
  </si>
  <si>
    <t xml:space="preserve">PR-CN2-11-000Itens de manutenção e teste </t>
  </si>
  <si>
    <t>PR-CN2-11-001</t>
  </si>
  <si>
    <t xml:space="preserve">PR-CN2-11-001Ensaio de isolação em cabos até 35kV </t>
  </si>
  <si>
    <t>PR-CN2-11-002</t>
  </si>
  <si>
    <t xml:space="preserve">PR-CN2-11-002Ensaio de fator de perda dielétrica em cabos até 35kV </t>
  </si>
  <si>
    <t>PR-CN2-11-003</t>
  </si>
  <si>
    <t xml:space="preserve">PR-CN2-11-003Ensaio de tensão aplicada em cabos até 35kV </t>
  </si>
  <si>
    <t>PR-CN2-12-001</t>
  </si>
  <si>
    <t xml:space="preserve">PR-CN2-12-001Controle de alteração e backup software </t>
  </si>
  <si>
    <t>PR-CN2-13-001</t>
  </si>
  <si>
    <t xml:space="preserve">PR-CN2-13-001Resistência de Isolação </t>
  </si>
  <si>
    <t>PR-CN2-13-002</t>
  </si>
  <si>
    <t xml:space="preserve">PR-CN2-13-002Resistência de contato em relés auxiliares </t>
  </si>
  <si>
    <t>PR-CN2-13-003</t>
  </si>
  <si>
    <t xml:space="preserve">PR-CN2-13-003Ensaios em relés auxiliares </t>
  </si>
  <si>
    <t>PR-CN2-13-004</t>
  </si>
  <si>
    <t xml:space="preserve">PR-CN2-13-004Calibração de transdutores </t>
  </si>
  <si>
    <t>PR-CN2-13-005</t>
  </si>
  <si>
    <t xml:space="preserve">PR-CN2-13-005Ensaios em relés de sincronismo (ANSI 25) </t>
  </si>
  <si>
    <t>PR-CN2-13-006</t>
  </si>
  <si>
    <t xml:space="preserve">PR-CN2-13-006Controle de alteração e backup software </t>
  </si>
  <si>
    <t>PR-CN2-14-001</t>
  </si>
  <si>
    <t xml:space="preserve">PR-CN2-14-001Controle de alteração e backup software </t>
  </si>
  <si>
    <t>PR-CN2-15-001</t>
  </si>
  <si>
    <t xml:space="preserve">PR-CN2-15-001Ensaios em Transformadores de Corrente </t>
  </si>
  <si>
    <t>PR-CN2-15-002</t>
  </si>
  <si>
    <t xml:space="preserve">PR-CN2-15-002Ensaios em Transformadores de Potencial </t>
  </si>
  <si>
    <t>PR-CN2-15-003</t>
  </si>
  <si>
    <t xml:space="preserve">PR-CN2-15-003Ensaio de Isolação </t>
  </si>
  <si>
    <t>PR-CN2-15-004</t>
  </si>
  <si>
    <t xml:space="preserve">PR-CN2-15-004Ensaio de Resistência </t>
  </si>
  <si>
    <t>PR-CN2-15-005</t>
  </si>
  <si>
    <t xml:space="preserve">PR-CN2-15-005Ensaio de curva característica do TC </t>
  </si>
  <si>
    <t>PR-CN2-15-006</t>
  </si>
  <si>
    <t xml:space="preserve">PR-CN2-15-006Proteção Diferencial </t>
  </si>
  <si>
    <t>PR-CN2-15-007</t>
  </si>
  <si>
    <t xml:space="preserve">PR-CN2-15-007Proteção de Sobre e sub Frequência </t>
  </si>
  <si>
    <t>PR-CN2-15-009</t>
  </si>
  <si>
    <t xml:space="preserve">PR-CN2-15-009Proteção de Potencia Reversa </t>
  </si>
  <si>
    <t>PR-CN2-15-011</t>
  </si>
  <si>
    <t xml:space="preserve">PR-CN2-15-011Proteção de Subtensão </t>
  </si>
  <si>
    <t>PR-CN2-15-012</t>
  </si>
  <si>
    <t xml:space="preserve">PR-CN2-15-012Proteção de Energização Inadvertida </t>
  </si>
  <si>
    <t>PR-CN2-15-013</t>
  </si>
  <si>
    <t xml:space="preserve">PR-CN2-15-013Proteção de sobrecorrente com restrição de tensão </t>
  </si>
  <si>
    <t>PR-CN2-15-014</t>
  </si>
  <si>
    <t xml:space="preserve">PR-CN2-15-014Proteção Diferencial de terra restrita </t>
  </si>
  <si>
    <t>PR-CN2-15-015</t>
  </si>
  <si>
    <t xml:space="preserve">PR-CN2-15-015Proteção de Terra Rotor </t>
  </si>
  <si>
    <t>PR-CN2-15-016</t>
  </si>
  <si>
    <t xml:space="preserve">PR-CN2-15-016Proteção de Sequência Negativa </t>
  </si>
  <si>
    <t>PR-CN2-15-017</t>
  </si>
  <si>
    <t xml:space="preserve">PR-CN2-15-017Proteção de Perda de Excitação </t>
  </si>
  <si>
    <t>PR-CN2-15-018</t>
  </si>
  <si>
    <t xml:space="preserve">PR-CN2-15-018Proteção de Falha Fusível </t>
  </si>
  <si>
    <t>PR-CN2-15-019</t>
  </si>
  <si>
    <t xml:space="preserve">PR-CN2-15-019Proteção de Mínima Impedância </t>
  </si>
  <si>
    <t>PR-CN2-15-020</t>
  </si>
  <si>
    <t xml:space="preserve">PR-CN2-15-020Proteção Diferencial Transversal do Gerador </t>
  </si>
  <si>
    <t>PR-CN2-15-021</t>
  </si>
  <si>
    <t xml:space="preserve">PR-CN2-15-021Proteção de Terra Estator 95 </t>
  </si>
  <si>
    <t>PR-CN2-15-022</t>
  </si>
  <si>
    <t xml:space="preserve">PR-CN2-15-022Proteção de Terra Estator 100 </t>
  </si>
  <si>
    <t>PR-CN2-15-023</t>
  </si>
  <si>
    <t xml:space="preserve">PR-CN2-15-023Proteção de Sobretensão </t>
  </si>
  <si>
    <t>PR-CN2-15-024</t>
  </si>
  <si>
    <t xml:space="preserve">PR-CN2-15-024Proteção de Sobreexcitação </t>
  </si>
  <si>
    <t>PR-CN2-15-025</t>
  </si>
  <si>
    <t xml:space="preserve">PR-CN2-15-025Proteção de Sobrecarga </t>
  </si>
  <si>
    <t>PR-CN2-15-026</t>
  </si>
  <si>
    <t xml:space="preserve">PR-CN2-15-026Proteção de Falha Disjuntor </t>
  </si>
  <si>
    <t>PR-CN2-15-027</t>
  </si>
  <si>
    <t xml:space="preserve">PR-CN2-15-027Ensaio em relés de bloqueio-trip </t>
  </si>
  <si>
    <t>PR-CN2-17-001</t>
  </si>
  <si>
    <t xml:space="preserve">PR-CN2-17-001Ensaios em Transformadores de Corrente </t>
  </si>
  <si>
    <t>PR-CN2-17-002</t>
  </si>
  <si>
    <t xml:space="preserve">PR-CN2-17-002Ensaios em Transformadores de Potencial </t>
  </si>
  <si>
    <t>PR-CN2-17-003</t>
  </si>
  <si>
    <t xml:space="preserve">PR-CN2-17-003Ensaio de Isolação </t>
  </si>
  <si>
    <t>PR-CN2-17-004</t>
  </si>
  <si>
    <t xml:space="preserve">PR-CN2-17-004Ensaio de Resistência </t>
  </si>
  <si>
    <t>PR-CN2-17-005</t>
  </si>
  <si>
    <t xml:space="preserve">PR-CN2-17-005Ensaio de curva característica do TC </t>
  </si>
  <si>
    <t>PR-CN2-17-006</t>
  </si>
  <si>
    <t xml:space="preserve">PR-CN2-17-006Ensaio em relés de bloqueio-trip </t>
  </si>
  <si>
    <t>PR-CN2-18-000</t>
  </si>
  <si>
    <t xml:space="preserve">PR-CN2-18-000Check list de ensaios </t>
  </si>
  <si>
    <t>PR-CN2-18-001</t>
  </si>
  <si>
    <t xml:space="preserve">PR-CN2-18-001Ensaio de componentes e instumentos </t>
  </si>
  <si>
    <t>PR-CN2-18-002</t>
  </si>
  <si>
    <t xml:space="preserve">PR-CN2-18-002Ensaios de proteção sobretensão </t>
  </si>
  <si>
    <t>PR-CN2-18-003</t>
  </si>
  <si>
    <t xml:space="preserve">PR-CN2-18-003Ensaio isolação circuito primário </t>
  </si>
  <si>
    <t>PR-CN2-18-004</t>
  </si>
  <si>
    <t xml:space="preserve">PR-CN2-18-004Ensaio isolação circuito secundário </t>
  </si>
  <si>
    <t>PR-CN2-18-005</t>
  </si>
  <si>
    <t xml:space="preserve">PR-CN2-18-005Ensaios PLC </t>
  </si>
  <si>
    <t>PR-CN2-18-006</t>
  </si>
  <si>
    <t xml:space="preserve">PR-CN2-18-006Ensaios Simulação </t>
  </si>
  <si>
    <t>PR-CN2-18-007</t>
  </si>
  <si>
    <t xml:space="preserve">PR-CN2-18-007Ensaios funcionais </t>
  </si>
  <si>
    <t>PR-CN2-19-000</t>
  </si>
  <si>
    <t xml:space="preserve">PR-CN2-19-000Itens de manutenção e teste </t>
  </si>
  <si>
    <t>PR-CN2-19-001</t>
  </si>
  <si>
    <t xml:space="preserve">PR-CN2-19-001Ensaio de baterias </t>
  </si>
  <si>
    <t>PR-CN2-19-002</t>
  </si>
  <si>
    <t xml:space="preserve">PR-CN2-19-002Ensaio de capacidade e equalização de baterias </t>
  </si>
  <si>
    <t>PR-CN2-19-003</t>
  </si>
  <si>
    <t xml:space="preserve">PR-CN2-19-003Ensaio de retificadores e USCC </t>
  </si>
  <si>
    <t>PR-CN2-20-001</t>
  </si>
  <si>
    <t xml:space="preserve">PR-CN2-20-001Inspeção válvulas distribuidoras (CD e CR) </t>
  </si>
  <si>
    <t>PR-CN2-20-002</t>
  </si>
  <si>
    <t xml:space="preserve">PR-CN2-20-002Inspeção válvulas controle hidráulico </t>
  </si>
  <si>
    <t>PR-CN2-20-003</t>
  </si>
  <si>
    <t xml:space="preserve">PR-CN2-20-003Inspeção servomotor do distribuidor </t>
  </si>
  <si>
    <t>PR-CN2-20-004</t>
  </si>
  <si>
    <t xml:space="preserve">PR-CN2-20-004Inspeção sistema resfriamento RV </t>
  </si>
  <si>
    <t>PR-CN2-20-005</t>
  </si>
  <si>
    <t xml:space="preserve">PR-CN2-20-005Inspeção no acumulador ar oleo </t>
  </si>
  <si>
    <t>PR-CN2-20-006</t>
  </si>
  <si>
    <t xml:space="preserve">PR-CN2-20-006Calibração válvula de segurança acumulador ar óleo </t>
  </si>
  <si>
    <t>PR-CN2-20-007</t>
  </si>
  <si>
    <t xml:space="preserve">PR-CN2-20-007Critérios de testes </t>
  </si>
  <si>
    <t>PR-CN2-21-000</t>
  </si>
  <si>
    <t xml:space="preserve">PR-CN2-21-000Check list de ensaios </t>
  </si>
  <si>
    <t>PR-CN2-21-001</t>
  </si>
  <si>
    <t xml:space="preserve">PR-CN2-21-001Ensaios de componentes instrumentos plc </t>
  </si>
  <si>
    <t>PR-CN2-21-002</t>
  </si>
  <si>
    <t xml:space="preserve">PR-CN2-21-002Ensaios circuitos elétricos </t>
  </si>
  <si>
    <t>PR-CN2-21-003</t>
  </si>
  <si>
    <t xml:space="preserve">PR-CN2-21-003Ensaios água morta </t>
  </si>
  <si>
    <t>PR-CN2-21-004</t>
  </si>
  <si>
    <t xml:space="preserve">PR-CN2-21-004Ensaios em vazio </t>
  </si>
  <si>
    <t>PR-CN2-21-005</t>
  </si>
  <si>
    <t xml:space="preserve">PR-CN2-21-005Ensaios em carga </t>
  </si>
  <si>
    <t>PR-CN2-22-001</t>
  </si>
  <si>
    <t xml:space="preserve">PR-CN2-22-001Itens de manutençãoCheck-list </t>
  </si>
  <si>
    <t>PR-CN2-23-001</t>
  </si>
  <si>
    <t xml:space="preserve">PR-CN2-23-001Itens de manutençãoCheck-list </t>
  </si>
  <si>
    <t>PR-CN2-24-001</t>
  </si>
  <si>
    <t xml:space="preserve">PR-CN2-24-001Itens de manutençãoCheck-list </t>
  </si>
  <si>
    <t>PR-CN2-25-001</t>
  </si>
  <si>
    <t xml:space="preserve">PR-CN2-25-001Ensaio de Isolação </t>
  </si>
  <si>
    <t>PR-CN2-25-002</t>
  </si>
  <si>
    <t xml:space="preserve">PR-CN2-25-002Ensaio de Resistência </t>
  </si>
  <si>
    <t>PR-CN2-26-001</t>
  </si>
  <si>
    <t xml:space="preserve">PR-CN2-26-001Itens de manutençãoCheck-list </t>
  </si>
  <si>
    <t>PR-CN2-27-001</t>
  </si>
  <si>
    <t xml:space="preserve">PR-CN2-27-001Itens de manutençãoCheck-list </t>
  </si>
  <si>
    <t>PR-CN2-28-001</t>
  </si>
  <si>
    <t xml:space="preserve">PR-CN2-28-001Itens de manutençãoCheck-list </t>
  </si>
  <si>
    <t>PR-CN2-29-001</t>
  </si>
  <si>
    <t xml:space="preserve">PR-CN2-29-001Itens de manutençãoCheck-list </t>
  </si>
  <si>
    <t>PR-CN2-30-002</t>
  </si>
  <si>
    <t xml:space="preserve">PR-CN2-30-002Medição dos ganchos </t>
  </si>
  <si>
    <t>PR-CN2-30-003</t>
  </si>
  <si>
    <t xml:space="preserve">PR-CN2-30-003Ajuste e medição nos freios </t>
  </si>
  <si>
    <t>PR-CN2-33-001</t>
  </si>
  <si>
    <t xml:space="preserve">PR-CN2-33-001Itens de manutençãoCheck-list </t>
  </si>
  <si>
    <t>PR-CN2-40-001</t>
  </si>
  <si>
    <t xml:space="preserve">PR-CN2-40-001Ensaio do sistema de iluminação </t>
  </si>
  <si>
    <t>PR-CN2-40-002</t>
  </si>
  <si>
    <t xml:space="preserve">PR-CN2-40-002Ensaio de pontos de tomada e de dispositivos DR </t>
  </si>
  <si>
    <t>PR-CN2-41-001</t>
  </si>
  <si>
    <t xml:space="preserve">PR-CN2-41-001Ensaio de resistência de aterramento </t>
  </si>
  <si>
    <t>PR-CN2-41-002</t>
  </si>
  <si>
    <t xml:space="preserve">PR-CN2-41-002Ensaio de tensão de toque e passo </t>
  </si>
  <si>
    <t>PR-CN2-41-003</t>
  </si>
  <si>
    <t xml:space="preserve">PR-CN2-41-003Ensaio de continuidade </t>
  </si>
  <si>
    <t>PR-CN2-51-001</t>
  </si>
  <si>
    <t xml:space="preserve">PR-CN2-51-001Inspeção visual do tanque, TCs, Buchas, sistema de preservação e resfriamento </t>
  </si>
  <si>
    <t>PR-CN2-51-002</t>
  </si>
  <si>
    <t xml:space="preserve">PR-CN2-51-002Inspeção visual indicadores de nível de óleo </t>
  </si>
  <si>
    <t>PR-CN2-51-003</t>
  </si>
  <si>
    <t xml:space="preserve">PR-CN2-51-003Inspeção visual termômetros </t>
  </si>
  <si>
    <t>PR-CN2-51-004</t>
  </si>
  <si>
    <t xml:space="preserve">PR-CN2-51-004Inspeção visual do relé de gás, relé de pressão e DAP </t>
  </si>
  <si>
    <t>PR-CN2-51-005</t>
  </si>
  <si>
    <t xml:space="preserve">PR-CN2-51-005Inspeção visual painel de controle </t>
  </si>
  <si>
    <t>PR-CN2-51-006</t>
  </si>
  <si>
    <t xml:space="preserve">PR-CN2-51-006Inspeção visual comutador </t>
  </si>
  <si>
    <t>PR-CN2-51-007</t>
  </si>
  <si>
    <t xml:space="preserve">PR-CN2-51-007Ensaio de Resistência de isolamento </t>
  </si>
  <si>
    <t>PR-CN2-51-008</t>
  </si>
  <si>
    <t xml:space="preserve">PR-CN2-51-008Ensaio de Resistência elétrica dos Enrolamentos </t>
  </si>
  <si>
    <t>PR-CN2-51-009</t>
  </si>
  <si>
    <t xml:space="preserve">PR-CN2-51-009Ensaio de Fator de Potência e Capacitância dos enrolamentos </t>
  </si>
  <si>
    <t>PR-CN2-51-010</t>
  </si>
  <si>
    <t xml:space="preserve">PR-CN2-51-010Ensaio de relação de transformação </t>
  </si>
  <si>
    <t>PR-CN2-51-011</t>
  </si>
  <si>
    <t xml:space="preserve">PR-CN2-51-011Ensaio de Corrente de excitação monofásica </t>
  </si>
  <si>
    <t>PR-CN2-51-012</t>
  </si>
  <si>
    <t xml:space="preserve">PR-CN2-51-012Ensaio no RTD, Relé de Gás e DAP </t>
  </si>
  <si>
    <t>PR-CN2-51-014</t>
  </si>
  <si>
    <t xml:space="preserve">PR-CN2-51-014Ensaio nos TCs </t>
  </si>
  <si>
    <t>PR-CN2-56-001</t>
  </si>
  <si>
    <t xml:space="preserve">PR-CN2-56-001Ensaios em Transformadores de Corrente </t>
  </si>
  <si>
    <t>PR-CN2-56-002</t>
  </si>
  <si>
    <t xml:space="preserve">PR-CN2-56-002Ensaio de Isolação </t>
  </si>
  <si>
    <t>PR-CN2-56-003</t>
  </si>
  <si>
    <t xml:space="preserve">PR-CN2-56-003Ensaio em relés de bloqueio-trip </t>
  </si>
  <si>
    <t>PR-CN2-56-004</t>
  </si>
  <si>
    <t xml:space="preserve">PR-CN2-56-004Ensaio de Resistência </t>
  </si>
  <si>
    <t>PR-CN2-57-001</t>
  </si>
  <si>
    <t xml:space="preserve">PR-CN2-57-001Ensaios em Transformadores de Corrente </t>
  </si>
  <si>
    <t>PR-CN2-57-002</t>
  </si>
  <si>
    <t xml:space="preserve">PR-CN2-57-002Ensaios em Transformadores de Potencial </t>
  </si>
  <si>
    <t>PR-CN2-57-003</t>
  </si>
  <si>
    <t xml:space="preserve">PR-CN2-57-003Ensaio de Isolação </t>
  </si>
  <si>
    <t>PR-CN2-57-004</t>
  </si>
  <si>
    <t xml:space="preserve">PR-CN2-57-004Ensaio de Resistência </t>
  </si>
  <si>
    <t>PR-CN2-57-005</t>
  </si>
  <si>
    <t xml:space="preserve">PR-CN2-57-005Ensaio em relés de bloqueio-trip </t>
  </si>
  <si>
    <t>PR-CN2-58-001</t>
  </si>
  <si>
    <t xml:space="preserve">PR-CN2-58-001Itens de manutençãoCheck-list </t>
  </si>
  <si>
    <t>PR-CN2-59-000</t>
  </si>
  <si>
    <t xml:space="preserve">PR-CN2-59-000Itens de manutenção </t>
  </si>
  <si>
    <t>PR-CN2-59-001</t>
  </si>
  <si>
    <t xml:space="preserve">PR-CN2-59-001Ensaio de Isolação </t>
  </si>
  <si>
    <t>PR-CN2-60-001</t>
  </si>
  <si>
    <t xml:space="preserve">PR-CN2-60-001Itens de manutençãoCheck-list </t>
  </si>
  <si>
    <t>PR-CN2-61-001</t>
  </si>
  <si>
    <t xml:space="preserve">PR-CN2-61-001Itens de manutençãoCheck-list </t>
  </si>
  <si>
    <t>PR-CN2-62-001</t>
  </si>
  <si>
    <t xml:space="preserve">PR-CN2-62-001Itens de manutençãoCheck-list </t>
  </si>
  <si>
    <t>PR-CN2-64-001</t>
  </si>
  <si>
    <t xml:space="preserve">PR-CN2-64-001Itens de manutençãoCheck-list </t>
  </si>
  <si>
    <t>PR-CN2-65-001</t>
  </si>
  <si>
    <t xml:space="preserve">PR-CN2-65-001Itens de manutençãoCheck-list </t>
  </si>
  <si>
    <t>PR-CN2-66-001</t>
  </si>
  <si>
    <t xml:space="preserve">PR-CN2-66-001Itens de manutençãoCheck-list </t>
  </si>
  <si>
    <t>PR-CN2-67-001</t>
  </si>
  <si>
    <t xml:space="preserve">PR-CN2-67-001Itens de manutençãoCheck-list </t>
  </si>
  <si>
    <t>PR-CN2-68-001</t>
  </si>
  <si>
    <t xml:space="preserve">PR-CN2-68-001Itens de manutençãoCheck-list </t>
  </si>
  <si>
    <t xml:space="preserve">PR-CPV03-105 </t>
  </si>
  <si>
    <t xml:space="preserve">PR-CPV03-105Testes enrolamento estator e rotorTensao Aplicada (hipot) AC-CC </t>
  </si>
  <si>
    <t>PR-CPV-68-001</t>
  </si>
  <si>
    <t xml:space="preserve">PR-CPV-68-001Itens de manutençãoCheck-list </t>
  </si>
  <si>
    <t>PR-CPV-67-001</t>
  </si>
  <si>
    <t xml:space="preserve">PR-CPV-67-001Itens de manutençãoCheck-list </t>
  </si>
  <si>
    <t>PR-CPV-66-001</t>
  </si>
  <si>
    <t xml:space="preserve">PR-CPV-66-001Itens de manutençãoCheck-list </t>
  </si>
  <si>
    <t>PR-CPV-65-001</t>
  </si>
  <si>
    <t xml:space="preserve">PR-CPV-65-001Itens de manutençãoCheck-list </t>
  </si>
  <si>
    <t>PR-CPV-64-001</t>
  </si>
  <si>
    <t xml:space="preserve">PR-CPV-64-001Itens de manutençãoCheck-list </t>
  </si>
  <si>
    <t>PR-CPV-62-001</t>
  </si>
  <si>
    <t xml:space="preserve">PR-CPV-62-001Itens de manutençãoCheck-list </t>
  </si>
  <si>
    <t>PR-CPV-61-001</t>
  </si>
  <si>
    <t xml:space="preserve">PR-CPV-61-001Itens de manutençãoCheck-list </t>
  </si>
  <si>
    <t>PR-CPV-60-001</t>
  </si>
  <si>
    <t xml:space="preserve">PR-CPV-60-001Itens de manutençãoCheck-list </t>
  </si>
  <si>
    <t>PR-CPV-59-001</t>
  </si>
  <si>
    <t xml:space="preserve">PR-CPV-59-001Ensaio de Isolação </t>
  </si>
  <si>
    <t>PR-CPV-59-000</t>
  </si>
  <si>
    <t xml:space="preserve">PR-CPV-59-000Itens de manutenção </t>
  </si>
  <si>
    <t>PR-CPV-58-001</t>
  </si>
  <si>
    <t xml:space="preserve">PR-CPV-58-001Itens de manutençãoCheck-list </t>
  </si>
  <si>
    <t>PR-CPV-51-014</t>
  </si>
  <si>
    <t xml:space="preserve">PR-CPV-51-014Ensaio nos TCs </t>
  </si>
  <si>
    <t>PR-CPV-51-012</t>
  </si>
  <si>
    <t xml:space="preserve">PR-CPV-51-012Ensaio no RTD, Relé de Gás e DAP </t>
  </si>
  <si>
    <t>PR-CPV-51-011</t>
  </si>
  <si>
    <t xml:space="preserve">PR-CPV-51-011Ensaio de Corrente de excitação monofásica </t>
  </si>
  <si>
    <t>PR-CPV-51-010</t>
  </si>
  <si>
    <t xml:space="preserve">PR-CPV-51-010Ensaio de relação de transformação </t>
  </si>
  <si>
    <t>PR-CPV-51-009</t>
  </si>
  <si>
    <t xml:space="preserve">PR-CPV-51-009Ensaio de Fator de Potência e Capacitância dos enrolamentos </t>
  </si>
  <si>
    <t>PR-CPV-51-008</t>
  </si>
  <si>
    <t xml:space="preserve">PR-CPV-51-008Ensaio de Resistência elétrica dos Enrolamentos </t>
  </si>
  <si>
    <t>PR-CPV-51-007</t>
  </si>
  <si>
    <t xml:space="preserve">PR-CPV-51-007Ensaio de Resistência de isolamento </t>
  </si>
  <si>
    <t>PR-CPV-51-006</t>
  </si>
  <si>
    <t xml:space="preserve">PR-CPV-51-006Inspeção visual comutador </t>
  </si>
  <si>
    <t>PR-CPV-51-005</t>
  </si>
  <si>
    <t xml:space="preserve">PR-CPV-51-005Inspeção visual painel de controle </t>
  </si>
  <si>
    <t>PR-CPV-51-004</t>
  </si>
  <si>
    <t xml:space="preserve">PR-CPV-51-004Inspeção visual do relé de gás, relé de pressão e DAP </t>
  </si>
  <si>
    <t>PR-CPV-51-003</t>
  </si>
  <si>
    <t xml:space="preserve">PR-CPV-51-003Inspeção visual termômetros </t>
  </si>
  <si>
    <t>PR-CPV-51-002</t>
  </si>
  <si>
    <t xml:space="preserve">PR-CPV-51-002Inspeção visual indicadores de nível de óleo </t>
  </si>
  <si>
    <t>PR-CPV-51-001</t>
  </si>
  <si>
    <t xml:space="preserve">PR-CPV-51-001Inspeção visual do tanque, TCs, Buchas, sistema de preservação e resfriamento </t>
  </si>
  <si>
    <t>PR-CPV-41-003</t>
  </si>
  <si>
    <t xml:space="preserve">PR-CPV-41-003Ensaio de continuidade </t>
  </si>
  <si>
    <t>PR-CPV-41-002</t>
  </si>
  <si>
    <t xml:space="preserve">PR-CPV-41-002Ensaio de tensão de toque e passo </t>
  </si>
  <si>
    <t>PR-CPV-41-001</t>
  </si>
  <si>
    <t xml:space="preserve">PR-CPV-41-001Ensaio de resistência de aterramento </t>
  </si>
  <si>
    <t>PR-CPV-40-002</t>
  </si>
  <si>
    <t xml:space="preserve">PR-CPV-40-002Ensaio de pontos de tomada e de dispositivos DR </t>
  </si>
  <si>
    <t>PR-CPV-40-001</t>
  </si>
  <si>
    <t xml:space="preserve">PR-CPV-40-001Ensaio do sistema de iluminação </t>
  </si>
  <si>
    <t>PR-CPV-33-001</t>
  </si>
  <si>
    <t xml:space="preserve">PR-CPV-33-001Itens de manutençãoCheck-list </t>
  </si>
  <si>
    <t>PR-CPV-30-003</t>
  </si>
  <si>
    <t xml:space="preserve">PR-CPV-30-003Ajuste e medição nos freios </t>
  </si>
  <si>
    <t>PR-CPV-30-002</t>
  </si>
  <si>
    <t xml:space="preserve">PR-CPV-30-002Medição dos ganchos </t>
  </si>
  <si>
    <t>PR-CPV-29-001</t>
  </si>
  <si>
    <t xml:space="preserve">PR-CPV-29-001Itens de manutençãoCheck-list </t>
  </si>
  <si>
    <t>PR-CPV-28-001</t>
  </si>
  <si>
    <t xml:space="preserve">PR-CPV-28-001Itens de manutençãoCheck-list </t>
  </si>
  <si>
    <t>PR-CPV-27-001</t>
  </si>
  <si>
    <t xml:space="preserve">PR-CPV-27-001Itens de manutençãoCheck-list </t>
  </si>
  <si>
    <t>PR-CPV-26-001</t>
  </si>
  <si>
    <t xml:space="preserve">PR-CPV-26-001Itens de manutençãoCheck-list </t>
  </si>
  <si>
    <t>PR-CPV-25-002</t>
  </si>
  <si>
    <t xml:space="preserve">PR-CPV-25-002Ensaio de Resistência </t>
  </si>
  <si>
    <t>PR-CPV-25-001</t>
  </si>
  <si>
    <t xml:space="preserve">PR-CPV-25-001Ensaio de Isolação </t>
  </si>
  <si>
    <t>PR-CPV-24-001</t>
  </si>
  <si>
    <t xml:space="preserve">PR-CPV-24-001Itens de manutençãoCheck-list </t>
  </si>
  <si>
    <t>PR-CPV-23-001</t>
  </si>
  <si>
    <t xml:space="preserve">PR-CPV-23-001Itens de manutençãoCheck-list </t>
  </si>
  <si>
    <t>PR-CPV-22-001</t>
  </si>
  <si>
    <t xml:space="preserve">PR-CPV-22-001Itens de manutençãoCheck-list </t>
  </si>
  <si>
    <t>PR-CPV-21-005</t>
  </si>
  <si>
    <t xml:space="preserve">PR-CPV-21-005Ensaios em carga </t>
  </si>
  <si>
    <t>PR-CPV-21-004</t>
  </si>
  <si>
    <t xml:space="preserve">PR-CPV-21-004Ensaios em vazio </t>
  </si>
  <si>
    <t>PR-CPV-21-003</t>
  </si>
  <si>
    <t xml:space="preserve">PR-CPV-21-003Ensaios água morta </t>
  </si>
  <si>
    <t>PR-CPV-21-002</t>
  </si>
  <si>
    <t xml:space="preserve">PR-CPV-21-002Ensaios circuitos elétricos </t>
  </si>
  <si>
    <t>PR-CPV-21-001</t>
  </si>
  <si>
    <t xml:space="preserve">PR-CPV-21-001Ensaios de componentes instrumentos plc </t>
  </si>
  <si>
    <t>PR-CPV-21-000</t>
  </si>
  <si>
    <t xml:space="preserve">PR-CPV-21-000Check list de ensaios </t>
  </si>
  <si>
    <t>PR-CPV-20-007</t>
  </si>
  <si>
    <t xml:space="preserve">PR-CPV-20-007Critérios de testes </t>
  </si>
  <si>
    <t>PR-CPV-20-006</t>
  </si>
  <si>
    <t xml:space="preserve">PR-CPV-20-006Calibração válvula de segurança acumulador ar óleo </t>
  </si>
  <si>
    <t>PR-CPV-20-005</t>
  </si>
  <si>
    <t xml:space="preserve">PR-CPV-20-005Inspeção no acumulador ar e óleo </t>
  </si>
  <si>
    <t>PR-CPV-20-004</t>
  </si>
  <si>
    <t xml:space="preserve">PR-CPV-20-004Inspeção sistema resfriamento RV </t>
  </si>
  <si>
    <t>PR-CPV-20-003</t>
  </si>
  <si>
    <t xml:space="preserve">PR-CPV-20-003Inspeção servomotor do distribuidor </t>
  </si>
  <si>
    <t>PR-CPV-20-002</t>
  </si>
  <si>
    <t xml:space="preserve">PR-CPV-20-002Inspeção válvulas controle hidráulico </t>
  </si>
  <si>
    <t>PR-CPV-20-001</t>
  </si>
  <si>
    <t xml:space="preserve">PR-CPV-20-001Inspeção válvulas distribuidoras (CD e CR) </t>
  </si>
  <si>
    <t>PR-CPV-19-003</t>
  </si>
  <si>
    <t xml:space="preserve">PR-CPV-19-003Ensaio de retificadores e USCC </t>
  </si>
  <si>
    <t>PR-CPV-19-002</t>
  </si>
  <si>
    <t xml:space="preserve">PR-CPV-19-002Ensaio de capacidade e equalização de baterias </t>
  </si>
  <si>
    <t>PR-CPV-19-001</t>
  </si>
  <si>
    <t xml:space="preserve">PR-CPV-19-001Ensaio de baterias </t>
  </si>
  <si>
    <t>PR-CPV-19-000</t>
  </si>
  <si>
    <t xml:space="preserve">PR-CPV-19-000Itens de manutenção e teste </t>
  </si>
  <si>
    <t>PR-CPV-18-007</t>
  </si>
  <si>
    <t xml:space="preserve">PR-CPV-18-007Ensaios funcionais </t>
  </si>
  <si>
    <t>PR-CPV-18-006</t>
  </si>
  <si>
    <t xml:space="preserve">PR-CPV-18-006Ensaios Simulação </t>
  </si>
  <si>
    <t>PR-CPV-18-005</t>
  </si>
  <si>
    <t xml:space="preserve">PR-CPV-18-005Ensaios PLC </t>
  </si>
  <si>
    <t>PR-CPV-18-004</t>
  </si>
  <si>
    <t xml:space="preserve">PR-CPV-18-004Ensaio isolação circuito secundário </t>
  </si>
  <si>
    <t>PR-CPV-18-003</t>
  </si>
  <si>
    <t xml:space="preserve">PR-CPV-18-003Ensaio isolação circuito primário </t>
  </si>
  <si>
    <t>PR-CPV-18-002</t>
  </si>
  <si>
    <t xml:space="preserve">PR-CPV-18-002Ensaios de proteção sobretensão </t>
  </si>
  <si>
    <t>PR-CPV-18-001</t>
  </si>
  <si>
    <t xml:space="preserve">PR-CPV-18-001Ensaio de componentes e instumentos </t>
  </si>
  <si>
    <t>PR-CPV-18-000</t>
  </si>
  <si>
    <t xml:space="preserve">PR-CPV-18-000Check list de ensaios </t>
  </si>
  <si>
    <t>PR-CPV-17-006</t>
  </si>
  <si>
    <t xml:space="preserve">PR-CPV-17-006Ensaio em relés de bloqueio-trip </t>
  </si>
  <si>
    <t>PR-CPV-17-005</t>
  </si>
  <si>
    <t xml:space="preserve">PR-CPV-17-005Ensaio de curva característica do TC </t>
  </si>
  <si>
    <t>PR-CPV-17-004</t>
  </si>
  <si>
    <t xml:space="preserve">PR-CPV-17-004Ensaio de Resistência </t>
  </si>
  <si>
    <t>PR-CPV-17-003</t>
  </si>
  <si>
    <t xml:space="preserve">PR-CPV-17-003Ensaio de Isolação </t>
  </si>
  <si>
    <t>PR-CPV-17-002</t>
  </si>
  <si>
    <t xml:space="preserve">PR-CPV-17-002Ensaios em Transformadores de Potencial </t>
  </si>
  <si>
    <t>PR-CPV-17-001</t>
  </si>
  <si>
    <t xml:space="preserve">PR-CPV-17-001Ensaios em Transformadores de Corrente </t>
  </si>
  <si>
    <t>PR-CPV-15-027</t>
  </si>
  <si>
    <t xml:space="preserve">PR-CPV-15-027Ensaio em relés de bloqueio-trip </t>
  </si>
  <si>
    <t>PR-CPV-15-026</t>
  </si>
  <si>
    <t xml:space="preserve">PR-CPV-15-026Proteção de Falha Disjuntor </t>
  </si>
  <si>
    <t>PR-CPV-15-025</t>
  </si>
  <si>
    <t xml:space="preserve">PR-CPV-15-025Proteção de Sobrecarga </t>
  </si>
  <si>
    <t>PR-CPV-15-024</t>
  </si>
  <si>
    <t xml:space="preserve">PR-CPV-15-024Proteção de Sobreexcitação </t>
  </si>
  <si>
    <t>PR-CPV-15-023</t>
  </si>
  <si>
    <t xml:space="preserve">PR-CPV-15-023Proteção de Sobretensão </t>
  </si>
  <si>
    <t>PR-CPV-15-022</t>
  </si>
  <si>
    <t xml:space="preserve">PR-CPV-15-022Proteção de Terra Estator 100 </t>
  </si>
  <si>
    <t>PR-CPV-15-021</t>
  </si>
  <si>
    <t xml:space="preserve">PR-CPV-15-021Proteção de Terra Estator 95 </t>
  </si>
  <si>
    <t>PR-CPV-15-020</t>
  </si>
  <si>
    <t xml:space="preserve">PR-CPV-15-020Proteção Diferencial Transversal do Gerador </t>
  </si>
  <si>
    <t>PR-CPV-15-019</t>
  </si>
  <si>
    <t xml:space="preserve">PR-CPV-15-019Proteção de Mínima Impedância </t>
  </si>
  <si>
    <t>PR-CPV-15-018</t>
  </si>
  <si>
    <t xml:space="preserve">PR-CPV-15-018Proteção de Falha Fusível </t>
  </si>
  <si>
    <t>PR-CPV-15-017</t>
  </si>
  <si>
    <t xml:space="preserve">PR-CPV-15-017Proteção de Perda de Excitação </t>
  </si>
  <si>
    <t>PR-CPV-15-016</t>
  </si>
  <si>
    <t xml:space="preserve">PR-CPV-15-016Proteção de Sequência Negativa </t>
  </si>
  <si>
    <t>PR-CPV-15-015</t>
  </si>
  <si>
    <t xml:space="preserve">PR-CPV-15-015Proteção de Terra Rotor </t>
  </si>
  <si>
    <t>PR-CPV-15-014</t>
  </si>
  <si>
    <t xml:space="preserve">PR-CPV-15-014Proteção Diferencial de terra restrita </t>
  </si>
  <si>
    <t>PR-CPV-15-013</t>
  </si>
  <si>
    <t xml:space="preserve">PR-CPV-15-013Proteção de sobrecorrente com restrição de tensão </t>
  </si>
  <si>
    <t>PR-CPV-15-012</t>
  </si>
  <si>
    <t xml:space="preserve">PR-CPV-15-012Proteção de Energização Inadvertida </t>
  </si>
  <si>
    <t>PR-CPV-15-011</t>
  </si>
  <si>
    <t xml:space="preserve">PR-CPV-15-011Proteção de Subtensão </t>
  </si>
  <si>
    <t>PR-CPV-15-009</t>
  </si>
  <si>
    <t xml:space="preserve">PR-CPV-15-009Proteção de Potencia Reversa </t>
  </si>
  <si>
    <t>PR-CPV-15-007</t>
  </si>
  <si>
    <t xml:space="preserve">PR-CPV-15-007Proteção de Sobre e sub Frequência </t>
  </si>
  <si>
    <t>PR-CPV-15-006</t>
  </si>
  <si>
    <t xml:space="preserve">PR-CPV-15-006Proteção Diferencial </t>
  </si>
  <si>
    <t>PR-CPV-15-005</t>
  </si>
  <si>
    <t xml:space="preserve">PR-CPV-15-005Ensaio de curva característica do TC </t>
  </si>
  <si>
    <t>PR-CPV-15-004</t>
  </si>
  <si>
    <t xml:space="preserve">PR-CPV-15-004Ensaio de Resistência </t>
  </si>
  <si>
    <t>PR-CPV-15-003</t>
  </si>
  <si>
    <t xml:space="preserve">PR-CPV-15-003Ensaio de Isolação </t>
  </si>
  <si>
    <t>PR-CPV-15-002</t>
  </si>
  <si>
    <t xml:space="preserve">PR-CPV-15-002Ensaios em Transformadores de Potencial </t>
  </si>
  <si>
    <t>PR-CPV-15-001</t>
  </si>
  <si>
    <t xml:space="preserve">PR-CPV-15-001Ensaios em Transformadores de Corrente </t>
  </si>
  <si>
    <t>PR-CPV-14-001</t>
  </si>
  <si>
    <t xml:space="preserve">PR-CPV-14-001Controle de alteração e backup software </t>
  </si>
  <si>
    <t>PR-CPV-13-006</t>
  </si>
  <si>
    <t xml:space="preserve">PR-CPV-13-006Controle de alteração e backup software </t>
  </si>
  <si>
    <t>PR-CPV-13-005</t>
  </si>
  <si>
    <t xml:space="preserve">PR-CPV-13-005Ensaios em relés de sincronismo (ANSI 25) </t>
  </si>
  <si>
    <t>PR-CPV-13-004</t>
  </si>
  <si>
    <t xml:space="preserve">PR-CPV-13-004Calibração de transdutores </t>
  </si>
  <si>
    <t>PR-CPV-13-003</t>
  </si>
  <si>
    <t xml:space="preserve">PR-CPV-13-003Ensaios em relés auxiliares </t>
  </si>
  <si>
    <t>PR-CPV-13-002</t>
  </si>
  <si>
    <t xml:space="preserve">PR-CPV-13-002Resistência de contato em relés auxiliares </t>
  </si>
  <si>
    <t>PR-CPV-13-001</t>
  </si>
  <si>
    <t xml:space="preserve">PR-CPV-13-001Resistência de Isolação </t>
  </si>
  <si>
    <t>PR-CPV-12-001</t>
  </si>
  <si>
    <t xml:space="preserve">PR-CPV-12-001Controle de alteração e backup software </t>
  </si>
  <si>
    <t>PR-CPV-11-003</t>
  </si>
  <si>
    <t xml:space="preserve">PR-CPV-11-003Ensaio de tensão aplicada em cabos até 35kV </t>
  </si>
  <si>
    <t>PR-CPV-11-002</t>
  </si>
  <si>
    <t xml:space="preserve">PR-CPV-11-002Ensaio de fator de perda dielétrica em cabos até 35kV </t>
  </si>
  <si>
    <t>PR-CPV-11-001</t>
  </si>
  <si>
    <t xml:space="preserve">PR-CPV-11-001Ensaio de isolação em cabos até 35kV </t>
  </si>
  <si>
    <t>PR-CPV-11-000</t>
  </si>
  <si>
    <t xml:space="preserve">PR-CPV-11-000Itens de manutenção e teste </t>
  </si>
  <si>
    <t>PR-CPV-10-007</t>
  </si>
  <si>
    <t xml:space="preserve">PR-CPV-10-007- Ensaio de acoplamento automático de barras em painéis de baixa tensão </t>
  </si>
  <si>
    <t>PR-CPV-10-006</t>
  </si>
  <si>
    <t xml:space="preserve">PR-CPV-10-006Ensaio de isolação em cabos de painéis de baixa tensão </t>
  </si>
  <si>
    <t>PR-CPV-10-005</t>
  </si>
  <si>
    <t xml:space="preserve">PR-CPV-10-005Ensaio de isolação em TP de painéis de baixa tensão </t>
  </si>
  <si>
    <t>PR-CPV-10-004</t>
  </si>
  <si>
    <t xml:space="preserve">PR-CPV-10-004Ensaio de disjuntores de caixa moldada em painéis de baixa tensão </t>
  </si>
  <si>
    <t>PR-CPV-10-003</t>
  </si>
  <si>
    <t xml:space="preserve">PR-CPV-10-003Ensaio de tensão aplicada em barramento de painéis de baixa tensão </t>
  </si>
  <si>
    <t>PR-CPV-10-002</t>
  </si>
  <si>
    <t xml:space="preserve">PR-CPV-10-002Ensaio de resistência DC em barramento de painéis de baixa tensão </t>
  </si>
  <si>
    <t>PR-CPV-10-001</t>
  </si>
  <si>
    <t xml:space="preserve">PR-CPV-10-001Ensaio de isolação em barramento de painéis de baixa tensão </t>
  </si>
  <si>
    <t>PR-CPV-10-000</t>
  </si>
  <si>
    <t xml:space="preserve">PR-CPV-10-000Itens de manutenção e teste </t>
  </si>
  <si>
    <t>PR-CPV-09-008</t>
  </si>
  <si>
    <t xml:space="preserve">PR-CPV-09-008Ensaio de protetores de surto de painéis de média tensão </t>
  </si>
  <si>
    <t>PR-CPV-09-007</t>
  </si>
  <si>
    <t xml:space="preserve">PR-CPV-09-007Ensaio de TP de painéis de média tensão </t>
  </si>
  <si>
    <t>PR-CPV-09-006</t>
  </si>
  <si>
    <t xml:space="preserve">PR-CPV-09-006Ensaio de TC de painéis de média tensão </t>
  </si>
  <si>
    <t>PR-CPV-09-005</t>
  </si>
  <si>
    <t xml:space="preserve">PR-CPV-09-005Ensaio de tensão aplicada em disjuntores de média tensão </t>
  </si>
  <si>
    <t>PR-CPV-09-004</t>
  </si>
  <si>
    <t xml:space="preserve">PR-CPV-09-004Ensaio de disjuntores de média tensão </t>
  </si>
  <si>
    <t>PR-CPV-09-003</t>
  </si>
  <si>
    <t xml:space="preserve">PR-CPV-09-003Ensaio de tensão aplicada em barramento de painéis de média tensão </t>
  </si>
  <si>
    <t>PR-CPV-09-002</t>
  </si>
  <si>
    <t xml:space="preserve">PR-CPV-09-002Ensaio de isolação em barramento de painéis de média tensão </t>
  </si>
  <si>
    <t>PR-CPV-09-001</t>
  </si>
  <si>
    <t xml:space="preserve">PR-CPV-09-001Ensaio de resistência DC em barramento de painéis de média tensão </t>
  </si>
  <si>
    <t>PR-CPV-09-000</t>
  </si>
  <si>
    <t xml:space="preserve">PR-CPV-09-000Itens de manutenção e teste </t>
  </si>
  <si>
    <t>PR-CPV-07-005</t>
  </si>
  <si>
    <t xml:space="preserve">PR-CPV-07-005Ensaio de impedância em reatores à seco </t>
  </si>
  <si>
    <t>PR-CPV-07-004</t>
  </si>
  <si>
    <t xml:space="preserve">PR-CPV-07-004Ensaio de relação de transformação e polaridade em transformadores a seco </t>
  </si>
  <si>
    <t>PR-CPV-07-003</t>
  </si>
  <si>
    <t xml:space="preserve">PR-CPV-07-003Ensaio de tensão aplicada em transformadores a seco </t>
  </si>
  <si>
    <t>PR-CPV-07-002</t>
  </si>
  <si>
    <t xml:space="preserve">PR-CPV-07-002Ensaio de resistência DC em transformadores à seco </t>
  </si>
  <si>
    <t>PR-CPV-07-001</t>
  </si>
  <si>
    <t xml:space="preserve">PR-CPV-07-001Ensaio de isolação em transformadores a seco </t>
  </si>
  <si>
    <t>PR-CPV-07-000</t>
  </si>
  <si>
    <t xml:space="preserve">PR-CPV-07-000Itens de manutenção e teste </t>
  </si>
  <si>
    <t>PR-CPV-06-020</t>
  </si>
  <si>
    <t xml:space="preserve">PR-CPV-06-020Ensaio sistema de resfriamento </t>
  </si>
  <si>
    <t>PR-CPV-06-019</t>
  </si>
  <si>
    <t xml:space="preserve">PR-CPV-06-019Ensaio nos TCs </t>
  </si>
  <si>
    <t xml:space="preserve">PR-CPV-06-019Ensaio nos TC's </t>
  </si>
  <si>
    <t>PR-CPV-06-018</t>
  </si>
  <si>
    <t xml:space="preserve">PR-CPV-06-018Ensaio de Fator de Potência e Capacitância das buchas </t>
  </si>
  <si>
    <t>PR-CPV-06-016</t>
  </si>
  <si>
    <t xml:space="preserve">PR-CPV-06-016- Ensaio de Estanqueidade </t>
  </si>
  <si>
    <t>PR-CPV-06-013</t>
  </si>
  <si>
    <t xml:space="preserve">PR-CPV-06-013-014-015Ensaio no RTD, Relé de Gás e DAP </t>
  </si>
  <si>
    <t>PR-CPV-06-012</t>
  </si>
  <si>
    <t xml:space="preserve">PR-CPV-06-012Ensaio de impedância de curto-circuito </t>
  </si>
  <si>
    <t>PR-CPV-06-011</t>
  </si>
  <si>
    <t xml:space="preserve">PR-CPV-06-011Ensaio de Corrente de excitação monofásica </t>
  </si>
  <si>
    <t>PR-CPV-06-010</t>
  </si>
  <si>
    <t xml:space="preserve">PR-CPV-06-010Ensaio de relação de transformação </t>
  </si>
  <si>
    <t>PR-CPV-06-009</t>
  </si>
  <si>
    <t xml:space="preserve">PR-CPV-06-009Ensaio de Fator de Potência e Capacitância dos enrolamentos </t>
  </si>
  <si>
    <t>PR-CPV-06-008</t>
  </si>
  <si>
    <t xml:space="preserve">PR-CPV-06-008Ensaio de Resistência elétrica dos Enrolamentos </t>
  </si>
  <si>
    <t>PR-CPV-06-007</t>
  </si>
  <si>
    <t xml:space="preserve">PR-CPV-06-007 e 06-021Ensaio de Resistência de isolamento </t>
  </si>
  <si>
    <t>PR-CPV-06-006</t>
  </si>
  <si>
    <t xml:space="preserve">PR-CPV-06-006Inspeção visual painel de controle </t>
  </si>
  <si>
    <t>PR-CPV-06-005</t>
  </si>
  <si>
    <t xml:space="preserve">PR-CPV-06-005Inspeção visual do relé de gás e DAP </t>
  </si>
  <si>
    <t>PR-CPV-06-004</t>
  </si>
  <si>
    <t xml:space="preserve">PR-CPV-06-004Inspeção visual indicadores e termômetros </t>
  </si>
  <si>
    <t>PR-CPV-06-003</t>
  </si>
  <si>
    <t xml:space="preserve">PR-CPV-06-003Inspeção visual dos TCs de bucha </t>
  </si>
  <si>
    <t>PR-CPV-06-002</t>
  </si>
  <si>
    <t xml:space="preserve">PR-CPV-06-002Inspeção visual das buchas </t>
  </si>
  <si>
    <t>PR-CPV-06-001</t>
  </si>
  <si>
    <t xml:space="preserve">PR-CPV-06-001Inspeção visual do tanque, sistema de preservação e resfriamento </t>
  </si>
  <si>
    <t>PR-CPV-05-007</t>
  </si>
  <si>
    <t xml:space="preserve">PR-CPV-05-007Ensaio de protetores de surto do gerador </t>
  </si>
  <si>
    <t>PR-CPV-05-006</t>
  </si>
  <si>
    <t xml:space="preserve">PR-CPV-05-006Ensaio de TP de cubículos do gerador </t>
  </si>
  <si>
    <t>PR-CPV-05-005</t>
  </si>
  <si>
    <t xml:space="preserve">PR-CPV-05-005Ensaio de TC de cubículos do gerador </t>
  </si>
  <si>
    <t>PR-CPV-05-004</t>
  </si>
  <si>
    <t xml:space="preserve">PR-CPV-05-004Ensaio de tensão aplicada em barramento blindado </t>
  </si>
  <si>
    <t>PR-CPV-05-003</t>
  </si>
  <si>
    <t xml:space="preserve">PR-CPV-05-003Ensaio de isolação em barramento blindado </t>
  </si>
  <si>
    <t>PR-CPV-05-000</t>
  </si>
  <si>
    <t xml:space="preserve">PR-CPV-05-000Itens de manutenção e teste </t>
  </si>
  <si>
    <t>PR-CPV-04-022</t>
  </si>
  <si>
    <t xml:space="preserve">PR-CPV-04-022Ensaio de Transferencia de fontes de alimentação </t>
  </si>
  <si>
    <t>PR-CPV-04-021</t>
  </si>
  <si>
    <t xml:space="preserve">PR-CPV-04-021Tabela de controle desconexão e conexão de cabos </t>
  </si>
  <si>
    <t>PR-CPV-04-020</t>
  </si>
  <si>
    <t xml:space="preserve">PR-CPV-04-020Ensaio do sistema de filtragem de água de refrigeração </t>
  </si>
  <si>
    <t>PR-CPV-04-019</t>
  </si>
  <si>
    <t xml:space="preserve">PR-CPV-04-019Ensaio dos sensores de pinos de cisalhamento das diretrizes </t>
  </si>
  <si>
    <t>PR-CPV-04-018</t>
  </si>
  <si>
    <t xml:space="preserve">PR-CPV-04-018Ensaio de transmissores de vazão </t>
  </si>
  <si>
    <t>PR-CPV-04-017</t>
  </si>
  <si>
    <t xml:space="preserve">PR-CPV-04-017Ensaio de transmissores de temperatura </t>
  </si>
  <si>
    <t>PR-CPV-04-016</t>
  </si>
  <si>
    <t xml:space="preserve">PR-CPV-04-016Ensaio de transmissores de pressão </t>
  </si>
  <si>
    <t>PR-CPV-04-015</t>
  </si>
  <si>
    <t xml:space="preserve">PR-CPV-04-015Ensaio de transferência automática de fontes </t>
  </si>
  <si>
    <t>PR-CPV-04-014</t>
  </si>
  <si>
    <t xml:space="preserve">PR-CPV-04-014Ensaio de sistema de frenagem </t>
  </si>
  <si>
    <t>PR-CPV-04-013</t>
  </si>
  <si>
    <t xml:space="preserve">PR-CPV-04-013Ensaio de sistema de aquecimento gerador </t>
  </si>
  <si>
    <t>PR-CPV-04-012</t>
  </si>
  <si>
    <t xml:space="preserve">PR-CPV-04-012Ensaio de sistema de água de refrigeração </t>
  </si>
  <si>
    <t>PR-CPV-04-011</t>
  </si>
  <si>
    <t xml:space="preserve">PR-CPV-04-011Ensaio de simulação de partida e parada UAC </t>
  </si>
  <si>
    <t>PR-CPV-04-010</t>
  </si>
  <si>
    <t xml:space="preserve">PR-CPV-04-010Ensaio de sensores atuadores de posição </t>
  </si>
  <si>
    <t>PR-CPV-04-009</t>
  </si>
  <si>
    <t xml:space="preserve">PR-CPV-04-009Ensaio de Resistência de contato em relés auxiliares </t>
  </si>
  <si>
    <t>PR-CPV-04-008</t>
  </si>
  <si>
    <t xml:space="preserve">PR-CPV-04-008Ensaio de relés temporizadores </t>
  </si>
  <si>
    <t>PR-CPV-04-007</t>
  </si>
  <si>
    <t xml:space="preserve">PR-CPV-04-007Ensaio de relés de subtensão </t>
  </si>
  <si>
    <t>PR-CPV-04-006</t>
  </si>
  <si>
    <t xml:space="preserve">PR-CPV-04-006Ensaio de Pressostatos </t>
  </si>
  <si>
    <t>PR-CPV-04-005</t>
  </si>
  <si>
    <t xml:space="preserve">PR-CPV-04-005Ensaio de Resistência de Isolação </t>
  </si>
  <si>
    <t>PR-CPV-04-004</t>
  </si>
  <si>
    <t xml:space="preserve">PR-CPV-04-004Ensaio de fontes de alimentação </t>
  </si>
  <si>
    <t>PR-CPV-04-003</t>
  </si>
  <si>
    <t xml:space="preserve">PR-CPV-04-003Ensaio de Fluxostatos </t>
  </si>
  <si>
    <t>PR-CPV-04-002</t>
  </si>
  <si>
    <t xml:space="preserve">PR-CPV-04-002Ensaio de automatismo do sistema hidráulico RV </t>
  </si>
  <si>
    <t>PR-CPV-04-001</t>
  </si>
  <si>
    <t xml:space="preserve">PR-CPV-04-001Ensaio de automatismo de motoresbombas </t>
  </si>
  <si>
    <t>PR-CPV-03-115</t>
  </si>
  <si>
    <t xml:space="preserve">PR-CPV-03-115Ensaio de aquecimento do Gerador </t>
  </si>
  <si>
    <t>PR-CPV-03-114</t>
  </si>
  <si>
    <t xml:space="preserve">PR-CPV-03-114Ensaios para levantamento das curvas caracterisitcas </t>
  </si>
  <si>
    <t>PR-CPV-03-113</t>
  </si>
  <si>
    <t xml:space="preserve">PR-CPV-03-113Ensaios nos aquecedores de maq parada </t>
  </si>
  <si>
    <t>PR-CPV-03-112</t>
  </si>
  <si>
    <t xml:space="preserve">PR-CPV-03-112Ensaios equipmts auxpainel de neutro </t>
  </si>
  <si>
    <t>PR-CPV-03-111</t>
  </si>
  <si>
    <t xml:space="preserve">PR-CPV-03-111Testes enrolamento estator- Ensaio de corona visual </t>
  </si>
  <si>
    <t>PR-CPV-03-110</t>
  </si>
  <si>
    <t xml:space="preserve">PR-CPV-03-110Ensaios nos RTDs </t>
  </si>
  <si>
    <t>PR-CPV-03-109</t>
  </si>
  <si>
    <t xml:space="preserve">PR-CPV-03-109Testes enrolamento estatortensão de ranhura </t>
  </si>
  <si>
    <t>PR-CPV-03-108</t>
  </si>
  <si>
    <t xml:space="preserve">PR-CPV-03-108Testes circuito de campomedição isolação componentes </t>
  </si>
  <si>
    <t>PR-CPV-03-107</t>
  </si>
  <si>
    <t xml:space="preserve">PR-CPV-03-107Testes enrolamento rotorEnsaio de queda de tensao nos polos </t>
  </si>
  <si>
    <t>PR-CPV-03-106</t>
  </si>
  <si>
    <t xml:space="preserve">PR-CPV-03-106Testes enrolamento rotorResistencia ohmica das conexoes polares </t>
  </si>
  <si>
    <t>PR-CPV-03-104</t>
  </si>
  <si>
    <t xml:space="preserve">PR-CPV-03-104Testes enrolamento estatortangente delta </t>
  </si>
  <si>
    <t>PR-CPV-03-103</t>
  </si>
  <si>
    <t xml:space="preserve">PR-CPV-03-103Testes enrolamento estatorensaio de corrente de fuga </t>
  </si>
  <si>
    <t>PR-CPV-03-102</t>
  </si>
  <si>
    <t xml:space="preserve">PR-CPV-03-102Testes enrolamento estator e rotorResistência Ohmica </t>
  </si>
  <si>
    <t>PR-CPV-03-101</t>
  </si>
  <si>
    <t xml:space="preserve">PR-CPV-03-101Testes enrolamento estator e rotorisolação, IP, IA </t>
  </si>
  <si>
    <t>PR-CPV-03-016</t>
  </si>
  <si>
    <t xml:space="preserve">PR-CPV-03-016-Inspeção cubiculo aterramento neutro </t>
  </si>
  <si>
    <t>PR-CPV-03-015</t>
  </si>
  <si>
    <t xml:space="preserve">PR-CPV-03-015-Manutancao aneis coletores </t>
  </si>
  <si>
    <t>PR-CPV-03-014</t>
  </si>
  <si>
    <t xml:space="preserve">PR-CPV-03-014-Manutancao porta escovas </t>
  </si>
  <si>
    <t>PR-CPV-03-013</t>
  </si>
  <si>
    <t xml:space="preserve">PR-CPV-03-013-Manutancao Rotordesmontagem e montagem barramento de campo (002) </t>
  </si>
  <si>
    <t>PR-CPV-03-012</t>
  </si>
  <si>
    <t xml:space="preserve">PR-CPV-03-012-Manutencao Polos -substituição de polo </t>
  </si>
  <si>
    <t>PR-CPV-03-011</t>
  </si>
  <si>
    <t xml:space="preserve">PR-CPV-03-011-Manutencao Polosmontagem e controle das conexoes principais e amortecedor </t>
  </si>
  <si>
    <t>PR-CPV-03-009</t>
  </si>
  <si>
    <t xml:space="preserve">PR-CPV-03-009-Ensaios na substituiçao de barra </t>
  </si>
  <si>
    <t>PR-CPV-03-008</t>
  </si>
  <si>
    <t xml:space="preserve">PR-CPV-03-008-Manutencao Estatordesmontagem e montagem das conexoes flexiveis </t>
  </si>
  <si>
    <t>PR-CPV-03-007</t>
  </si>
  <si>
    <t xml:space="preserve">PR-CPV-03-007-Inspeção campo- regulador_porta escovasanel coletor_polos </t>
  </si>
  <si>
    <t>PR-CPV-03-006</t>
  </si>
  <si>
    <t xml:space="preserve">PR-CPV-03-006-Inspeção nos polosbobinas e conexoes principais e amortecedor </t>
  </si>
  <si>
    <t>PR-CPV-03-005</t>
  </si>
  <si>
    <t xml:space="preserve">PR-CPV-03-005-Inspeção no nucleo do estatorcunhas de fechamento de ranhuras </t>
  </si>
  <si>
    <t>PR-CPV-03-004</t>
  </si>
  <si>
    <t xml:space="preserve">PR-CPV-03-004-Inspeção no nucleo do estatordedos pressao e escadinha </t>
  </si>
  <si>
    <t>PR-CPV-03-003</t>
  </si>
  <si>
    <t xml:space="preserve">PR-CPV-03-003-Inspeção no enrolamento do estatoraneis de surto e barramento circular </t>
  </si>
  <si>
    <t>PR-CPV-03-002</t>
  </si>
  <si>
    <t xml:space="preserve">PR-CPV-03-002-Inspeção no enrolamento do estatorcabeças de bobina </t>
  </si>
  <si>
    <t>PR-CPV-03-001</t>
  </si>
  <si>
    <t xml:space="preserve">PR-CPV-03-001-Inspeção com termografia no Gerador </t>
  </si>
  <si>
    <t>PR-CPV-03-000</t>
  </si>
  <si>
    <t xml:space="preserve">PR-CPV-03-000-Manutencao Geradorinspeção e limpeza geral </t>
  </si>
  <si>
    <t>PR-CPV-02-030</t>
  </si>
  <si>
    <t xml:space="preserve">PR-CPV-02-030Medição de folga do Mancal de Guia </t>
  </si>
  <si>
    <t>PR-CPV-02-029</t>
  </si>
  <si>
    <t xml:space="preserve">PR-CPV-02-029ComissionamentoVibração, oscilação, temperaturas, tempos e pressões </t>
  </si>
  <si>
    <t>PR-CPV-02-028</t>
  </si>
  <si>
    <t xml:space="preserve">PR-CPV-02-028Run-out </t>
  </si>
  <si>
    <t>PR-CPV-02-027</t>
  </si>
  <si>
    <t xml:space="preserve">PR-CPV-02-027Verticalidade </t>
  </si>
  <si>
    <t>PR-CPV-02-026</t>
  </si>
  <si>
    <t xml:space="preserve">PR-CPV-02-026Entreferro (run-out e verticalidadeDinâmico </t>
  </si>
  <si>
    <t>PR-CPV-02-025</t>
  </si>
  <si>
    <t xml:space="preserve">PR-CPV-02-025Medição e ajuste da distância entre a lona de frenagem e a pista de frenagem </t>
  </si>
  <si>
    <t>PR-CPV-02-024</t>
  </si>
  <si>
    <t xml:space="preserve">PR-CPV-02-024Inspeção dos macacos de frenagem </t>
  </si>
  <si>
    <t>PR-CPV-02-023</t>
  </si>
  <si>
    <t xml:space="preserve">PR-CPV-02-023Medição de nivelamento das lonas de freio </t>
  </si>
  <si>
    <t>PR-CPV-02-020</t>
  </si>
  <si>
    <t xml:space="preserve">PR-CPV-02-020Verificação do nível de óleo </t>
  </si>
  <si>
    <t>PR-CPV-02-018</t>
  </si>
  <si>
    <t xml:space="preserve">PR-CPV-02-018Inspeção dos parafusos e pinos do bloco de escora e o rotor do gerador </t>
  </si>
  <si>
    <t>PR-CPV-02-017</t>
  </si>
  <si>
    <t xml:space="preserve">PR-CPV-02-017Inspeção dos espelhos do bloco de escora </t>
  </si>
  <si>
    <t>PR-CPV-02-015</t>
  </si>
  <si>
    <t xml:space="preserve">PR-CPV-02-015Medição e ajuste do nivelamento dos segmentos do mancal de escora </t>
  </si>
  <si>
    <t>PR-CPV-02-014</t>
  </si>
  <si>
    <t xml:space="preserve">PR-CPV-02-014Medição de centro (Caixa eixo) e ajuste do mancal guia </t>
  </si>
  <si>
    <t>PR-CPV-02-013</t>
  </si>
  <si>
    <t xml:space="preserve">PR-CPV-02-013Inspeção da pista de frenagem </t>
  </si>
  <si>
    <t>PR-CPV-02-012</t>
  </si>
  <si>
    <t xml:space="preserve">PR-CPV-02-012Inspeção dos parafusos e pinos de acoplamento do rotor com o bloco de escora </t>
  </si>
  <si>
    <t>PR-CPV-02-011</t>
  </si>
  <si>
    <t xml:space="preserve">PR-CPV-02-011Medição do nivelamento dos polos </t>
  </si>
  <si>
    <t>PR-CPV-02-009</t>
  </si>
  <si>
    <t xml:space="preserve">PR-CPV-02-009Medição de circularidade e excentricidade do rotor </t>
  </si>
  <si>
    <t>PR-CPV-02-008</t>
  </si>
  <si>
    <t xml:space="preserve">PR-CPV-02-008Medição do entreferro </t>
  </si>
  <si>
    <t>PR-CPV-02-007</t>
  </si>
  <si>
    <t xml:space="preserve">PR-CPV-02-007Inspeção das guias de ar </t>
  </si>
  <si>
    <t>PR-CPV-02-006</t>
  </si>
  <si>
    <t xml:space="preserve">PR-CPV-02-006Inspeção dos tirantes de fixação do núcleo do estator (isolação) </t>
  </si>
  <si>
    <t>PR-CPV-02-005</t>
  </si>
  <si>
    <t xml:space="preserve">PR-CPV-02-005Insp. do núcleo do estator </t>
  </si>
  <si>
    <t>PR-CPV-02-004</t>
  </si>
  <si>
    <t xml:space="preserve">PR-CPV-02-004Insp. dos parafusos acop., pinos entre carcaça estator e pedestais </t>
  </si>
  <si>
    <t>PR-CPV-02-003</t>
  </si>
  <si>
    <t xml:space="preserve">PR-CPV-02-003Medição de circularidade e excentricidade do estator </t>
  </si>
  <si>
    <t>PR-CPV-02-002</t>
  </si>
  <si>
    <t xml:space="preserve">PR-CPV-02-002Inspeção dos flanges da cruzeta </t>
  </si>
  <si>
    <t>PR-CPV-02-001</t>
  </si>
  <si>
    <t xml:space="preserve">PR-CPV-02-001Medição e ajuste de centro, elevação e nível da cruzeta superiorFalta Informação do desenho </t>
  </si>
  <si>
    <t>PR-CPV-01-041</t>
  </si>
  <si>
    <t xml:space="preserve">PR-CPV-01-041Inspeção em regiões cavitadasKaplan </t>
  </si>
  <si>
    <t xml:space="preserve">PR-CPV-01-041Inspeção em regiões cavitadasFrancis </t>
  </si>
  <si>
    <t>PR-CPV-01-039</t>
  </si>
  <si>
    <t xml:space="preserve">PR-CPV-01-039Inspeção no rotor Francis </t>
  </si>
  <si>
    <t>PR-CPV-01-036</t>
  </si>
  <si>
    <t xml:space="preserve">PR-CPV-01-036Folga entre labirintos rotativos e estáticorotor Francis </t>
  </si>
  <si>
    <t>PR-CPV-01-035</t>
  </si>
  <si>
    <t xml:space="preserve">PR-CPV-01-035Inspeção dos parafusos de união da tampa superior com o pré-distribuidor após aperto </t>
  </si>
  <si>
    <t>PR-CPV-01-034</t>
  </si>
  <si>
    <t xml:space="preserve">PR-CPV-01-034Inspeção no tubo de sucção e caixa espiral </t>
  </si>
  <si>
    <t>PR-CPV-01-028</t>
  </si>
  <si>
    <t xml:space="preserve">PR-CPV-01-028Ensaio das bombas de injeção de água da vedação do eixo </t>
  </si>
  <si>
    <t>PR-CPV-01-027</t>
  </si>
  <si>
    <t xml:space="preserve">PR-CPV-01-027Medição de tempo de recalque das bombas de drenagem da tampa </t>
  </si>
  <si>
    <t>PR-CPV-01-026</t>
  </si>
  <si>
    <t xml:space="preserve">PR-CPV-01-026Ensaio na vedação de manutenção </t>
  </si>
  <si>
    <t>PR-CPV-01-025</t>
  </si>
  <si>
    <t xml:space="preserve">PR-CPV-01-025Espessura do anel de desgaste da vedação do eixo </t>
  </si>
  <si>
    <t>PR-CPV-01-024</t>
  </si>
  <si>
    <t xml:space="preserve">PR-CPV-01-024Batimento do anel de desgaste da vedação do eixo </t>
  </si>
  <si>
    <t>PR-CPV-01-023</t>
  </si>
  <si>
    <t xml:space="preserve">PR-CPV-01-023Batimento da pista de inox da vedação do eixo </t>
  </si>
  <si>
    <t>PR-CPV-01-015</t>
  </si>
  <si>
    <t xml:space="preserve">PR-CPV-01-015Inspeção dos parafusos de acoplamento com o eixo principal </t>
  </si>
  <si>
    <t>PR-CPV-01-014</t>
  </si>
  <si>
    <t xml:space="preserve">PR-CPV-01-014Inspeção dos parafusos do rotor </t>
  </si>
  <si>
    <t>PR-CPV-01-005</t>
  </si>
  <si>
    <t xml:space="preserve">PR-CPV-01-005Inspeção de torque de elementos de fixação </t>
  </si>
  <si>
    <t>PR-CPV-01-004</t>
  </si>
  <si>
    <t xml:space="preserve">PR-CPV-01-004Inspeção em pinos e buchas do bielismo </t>
  </si>
  <si>
    <t>PR-CPV-01-003</t>
  </si>
  <si>
    <t xml:space="preserve">PR-CPV-01-003Inspeção nas buchas auto-lubrificantes das palhetas diretrizes </t>
  </si>
  <si>
    <t>PR-CPV-01-002</t>
  </si>
  <si>
    <t xml:space="preserve">PR-CPV-01-002Medição de B0, folga e esmagamento </t>
  </si>
  <si>
    <t>PR-CPV-01-001</t>
  </si>
  <si>
    <t xml:space="preserve">PR-CPV-01-001Inspeção de concreto da caixa espiral </t>
  </si>
  <si>
    <t>PR-CPV-00-009</t>
  </si>
  <si>
    <t xml:space="preserve">PR-CPV-00-009Aferição de Manômetros </t>
  </si>
  <si>
    <t>PR-CPV-00-008</t>
  </si>
  <si>
    <t xml:space="preserve">PR-CPV-00-008Inspeção de pintura </t>
  </si>
  <si>
    <t>PR-CPV-00-007</t>
  </si>
  <si>
    <t xml:space="preserve">PR-CPV-00-007Inspeção de torque de elementos de fixação </t>
  </si>
  <si>
    <t>PR-CPV-00-006</t>
  </si>
  <si>
    <t xml:space="preserve">PR-CPV-00-006Ensaio de motobombas </t>
  </si>
  <si>
    <t>PR-CPV-00-005</t>
  </si>
  <si>
    <t xml:space="preserve">PR-CPV-00-005Calibração de instrumentos </t>
  </si>
  <si>
    <t>PR-CPV-00-004</t>
  </si>
  <si>
    <t xml:space="preserve">PR-CPV-00-004Ensaio de motores elétricos </t>
  </si>
  <si>
    <t>PR-CPV-00-003</t>
  </si>
  <si>
    <t xml:space="preserve">PR-CPV-00-003Inspeção Ultrassom </t>
  </si>
  <si>
    <t>PR-CPV-00-002</t>
  </si>
  <si>
    <t xml:space="preserve">PR-CPV-00-002Inspeção Partículas Magnéticas </t>
  </si>
  <si>
    <t>PR-CPV-00-001</t>
  </si>
  <si>
    <t xml:space="preserve">PR-CPV-00-001Inspeção Líquido Penetrante </t>
  </si>
  <si>
    <t>PR-GAR-00-001</t>
  </si>
  <si>
    <t xml:space="preserve">PR-GAR-00-001Inspeção Líquido Penetrante </t>
  </si>
  <si>
    <t>PR-GAR-00-002</t>
  </si>
  <si>
    <t xml:space="preserve">PR-GAR-00-002Inspeção Partículas Magnéticas </t>
  </si>
  <si>
    <t>PR-GAR-00-003</t>
  </si>
  <si>
    <t xml:space="preserve">PR-GAR-00-003Inspeção Ultrassom </t>
  </si>
  <si>
    <t>PR-GAR-00-004</t>
  </si>
  <si>
    <t xml:space="preserve">PR-GAR-00-004Ensaio de motores elétricos </t>
  </si>
  <si>
    <t>PR-GAR-00-005</t>
  </si>
  <si>
    <t xml:space="preserve">PR-GAR-00-005Calibração de instrumentos </t>
  </si>
  <si>
    <t>PR-GAR-00-006</t>
  </si>
  <si>
    <t xml:space="preserve">PR-GAR-00-006Ensaio de motobombas </t>
  </si>
  <si>
    <t>PR-GAR-00-007</t>
  </si>
  <si>
    <t xml:space="preserve">PR-GAR-00-007Inspeção de torque de elementos de fixação </t>
  </si>
  <si>
    <t>PR-GAR-00-008</t>
  </si>
  <si>
    <t xml:space="preserve">PR-GAR-00-008Inspeção de pintura </t>
  </si>
  <si>
    <t>PR-GAR-00-009</t>
  </si>
  <si>
    <t xml:space="preserve">PR-GAR-00-009Aferição de Manômetros </t>
  </si>
  <si>
    <t>PR-GAR-01-001</t>
  </si>
  <si>
    <t xml:space="preserve">PR-GAR-01-001Inspeção de concreto da caixa espiral </t>
  </si>
  <si>
    <t>PR-GAR-01-002</t>
  </si>
  <si>
    <t xml:space="preserve">PR-GAR-01-002Medição de B0, folga e esmagamento </t>
  </si>
  <si>
    <t>PR-GAR-01-003</t>
  </si>
  <si>
    <t xml:space="preserve">PR-GAR-01-003Inspeção nas buchas auto-lubrificantes das palhetas diretrizes </t>
  </si>
  <si>
    <t>PR-GAR-01-004</t>
  </si>
  <si>
    <t xml:space="preserve">PR-GAR-01-004Inspeção em pinos e buchas do bielismo </t>
  </si>
  <si>
    <t>PR-GAR-01-005</t>
  </si>
  <si>
    <t xml:space="preserve">PR-GAR-01-005Inspeção de torque de elementos de fixação </t>
  </si>
  <si>
    <t>PR-GAR-01-014</t>
  </si>
  <si>
    <t xml:space="preserve">PR-GAR-01-014Inspeção dos parafusos do rotor </t>
  </si>
  <si>
    <t>PR-GAR-01-015</t>
  </si>
  <si>
    <t xml:space="preserve">PR-GAR-01-015Inspeção dos parafusos de acoplamento com o eixo principal </t>
  </si>
  <si>
    <t>PR-GAR-01-023</t>
  </si>
  <si>
    <t xml:space="preserve">PR-GAR-01-023Batimento da pista de inox da vedação do eixo </t>
  </si>
  <si>
    <t>PR-GAR-01-024</t>
  </si>
  <si>
    <t xml:space="preserve">PR-GAR-01-024Batimento do anel de desgaste da vedação do eixo </t>
  </si>
  <si>
    <t>PR-GAR-01-025</t>
  </si>
  <si>
    <t xml:space="preserve">PR-GAR-01-025Espessura do anel de desgaste da vedação do eixo </t>
  </si>
  <si>
    <t>PR-GAR-01-026</t>
  </si>
  <si>
    <t xml:space="preserve">PR-GAR-01-026Ensaio na vedação de manutenção </t>
  </si>
  <si>
    <t>PR-GAR-01-027</t>
  </si>
  <si>
    <t xml:space="preserve">PR-GAR-01-027Medição de tempo de recalque das bombas de drenagem da tampa </t>
  </si>
  <si>
    <t>PR-GAR-01-028</t>
  </si>
  <si>
    <t xml:space="preserve">PR-GAR-01-028Ensaio das bombas de injeção de água da vedação do eixo </t>
  </si>
  <si>
    <t>PR-GAR-01-034</t>
  </si>
  <si>
    <t xml:space="preserve">PR-GAR-01-034Inspeção no tubo de sucção e caixa espiral </t>
  </si>
  <si>
    <t>PR-GAR-01-035</t>
  </si>
  <si>
    <t xml:space="preserve">PR-GAR-01-035Inspeção dos parafusos de união da tampa superior com o pré-distribuidor após aperto </t>
  </si>
  <si>
    <t>PR-GAR-01-036</t>
  </si>
  <si>
    <t xml:space="preserve">PR-GAR-01-036Folga entre labirintos rotativos e estáticorotor Francis </t>
  </si>
  <si>
    <t>PR-GAR-01-039</t>
  </si>
  <si>
    <t xml:space="preserve">PR-GAR-01-039Inspeção no rotor Francis </t>
  </si>
  <si>
    <t>PR-GAR-01-041</t>
  </si>
  <si>
    <t xml:space="preserve">PR-GAR-01-041Inspeção em regiões cavitadasFrancis </t>
  </si>
  <si>
    <t>PR-GAR-02-001</t>
  </si>
  <si>
    <t xml:space="preserve">PR-GAR-02-001Medição e ajuste de centro, elevação e nível da cruzeta superiorFalta Informação do desenho </t>
  </si>
  <si>
    <t>PR-GAR-02-002</t>
  </si>
  <si>
    <t xml:space="preserve">PR-GAR-02-002Inspeção dos flanges da cruzeta </t>
  </si>
  <si>
    <t>PR-GAR-02-003</t>
  </si>
  <si>
    <t xml:space="preserve">PR-GAR-02-003Medição de circularidade e excentricidade do estator </t>
  </si>
  <si>
    <t>PR-GAR-02-004</t>
  </si>
  <si>
    <t xml:space="preserve">PR-GAR-02-004Insp. dos parafusos acop., pinos entre carcaça estator e pedestais </t>
  </si>
  <si>
    <t>PR-GAR-02-005</t>
  </si>
  <si>
    <t xml:space="preserve">PR-GAR-02-005Insp. do núcleo do estator </t>
  </si>
  <si>
    <t>PR-GAR-02-006</t>
  </si>
  <si>
    <t xml:space="preserve">PR-GAR-02-006Inspeção dos tirantes de fixação do núcleo do estator (isolação) </t>
  </si>
  <si>
    <t>PR-GAR-02-007</t>
  </si>
  <si>
    <t xml:space="preserve">PR-GAR-02-007Inspeção das guias de ar </t>
  </si>
  <si>
    <t>PR-GAR-02-008</t>
  </si>
  <si>
    <t xml:space="preserve">PR-GAR-02-008Medição do entreferro </t>
  </si>
  <si>
    <t>PR-GAR-02-009</t>
  </si>
  <si>
    <t xml:space="preserve">PR-GAR-02-009Medição de circularidade e excentricidade do rotor </t>
  </si>
  <si>
    <t>PR-GAR-02-010</t>
  </si>
  <si>
    <t xml:space="preserve">PR-GAR-02-010Ajuste da circularidade do rotor </t>
  </si>
  <si>
    <t>PR-GAR-02-011</t>
  </si>
  <si>
    <t xml:space="preserve">PR-GAR-02-011Medição do nivelamento dos polos </t>
  </si>
  <si>
    <t>PR-GAR-02-013</t>
  </si>
  <si>
    <t xml:space="preserve">PR-GAR-02-013Inspeção da pista de frenagem </t>
  </si>
  <si>
    <t>PR-GAR-02-014</t>
  </si>
  <si>
    <t xml:space="preserve">PR-GAR-02-014Medição de centro (Caixa eixo) e ajuste do mancal guia </t>
  </si>
  <si>
    <t>PR-GAR-02-016</t>
  </si>
  <si>
    <t xml:space="preserve">PR-GAR-02-016Medição de nivelamento e ajuste da superfície para a instalação dos segmentos do mancal de escora </t>
  </si>
  <si>
    <t>PR-GAR-02-017</t>
  </si>
  <si>
    <t xml:space="preserve">PR-GAR-02-017Inspeção dos espelhos do bloco de escora </t>
  </si>
  <si>
    <t>PR-GAR-02-018</t>
  </si>
  <si>
    <t xml:space="preserve">PR-GAR-02-018Inspeção dos parafusos e pinos do bloco de escora e o rotor do gerador </t>
  </si>
  <si>
    <t>PR-GAR-02-019</t>
  </si>
  <si>
    <t xml:space="preserve">PR-GAR-02-019Inspeção entre o eixo e o bloco de escora </t>
  </si>
  <si>
    <t>PR-GAR-02-020</t>
  </si>
  <si>
    <t xml:space="preserve">PR-GAR-02-020Verificação do nível de óleo </t>
  </si>
  <si>
    <t>PR-GAR-02-021</t>
  </si>
  <si>
    <t xml:space="preserve">PR-GAR-02-021Inspeção dos flanges do suporte do MC </t>
  </si>
  <si>
    <t>PR-GAR-02-023</t>
  </si>
  <si>
    <t xml:space="preserve">PR-GAR-02-023Medição de nivelamento das lonas de freio </t>
  </si>
  <si>
    <t>PR-GAR-02-024</t>
  </si>
  <si>
    <t xml:space="preserve">PR-GAR-02-024Inspeção dos macacos de frenagem </t>
  </si>
  <si>
    <t>PR-GAR-02-025</t>
  </si>
  <si>
    <t xml:space="preserve">PR-GAR-02-025Medição e ajuste da distância entre a lona de frenagem e a pista de frenagem </t>
  </si>
  <si>
    <t>PR-GAR-02-026</t>
  </si>
  <si>
    <t xml:space="preserve">PR-GAR-02-026Entreferro (run-out e verticalidadeDinâmico </t>
  </si>
  <si>
    <t>PR-GAR-02-027</t>
  </si>
  <si>
    <t xml:space="preserve">PR-GAR-02-027Verticalidade </t>
  </si>
  <si>
    <t>PR-GAR-02-028</t>
  </si>
  <si>
    <t xml:space="preserve">PR-GAR-02-028Run-out </t>
  </si>
  <si>
    <t>PR-GAR-02-029</t>
  </si>
  <si>
    <t xml:space="preserve">PR-GAR-02-029ComissionamentoVibração, oscilação, temperaturas, tempos e pressões </t>
  </si>
  <si>
    <t>PR-GAR-03-101</t>
  </si>
  <si>
    <t xml:space="preserve">PR-GAR-03-101Testes enrolamento estator &amp; rotorisolação, IP, IA </t>
  </si>
  <si>
    <t>PR-GAR-03-102</t>
  </si>
  <si>
    <t xml:space="preserve">PR-GAR-03-102Testes enrolamento estator &amp; rotorResistência Ohmica </t>
  </si>
  <si>
    <t>PR-GAR-03-103</t>
  </si>
  <si>
    <t xml:space="preserve">PR-GAR-03-103Testes enrolamento estatorensaio de corrente de fuga </t>
  </si>
  <si>
    <t>PR-GAR-03-104</t>
  </si>
  <si>
    <t xml:space="preserve">PR-GAR-03-104Testes enrolamento estatortangente delta </t>
  </si>
  <si>
    <t>PR-GAR-03-105</t>
  </si>
  <si>
    <t xml:space="preserve">PR-GAR-03-105Testes enrolamento estator &amp; rotorTensao Aplicada (hipot) AC-CC </t>
  </si>
  <si>
    <t>PR-GAR-03-106</t>
  </si>
  <si>
    <t xml:space="preserve">PR-GAR-03-106Testes enrolamento rotorResistencia ohmica das conexoes polares </t>
  </si>
  <si>
    <t>PR-GAR-03-107</t>
  </si>
  <si>
    <t xml:space="preserve">PR-GAR-03-107Testes enrolamento rotorEnsaio de queda de tensao nos polos </t>
  </si>
  <si>
    <t>PR-GAR-03-108</t>
  </si>
  <si>
    <t xml:space="preserve">PR-GAR-03-108Testes circuito de campomedição isolação componentes </t>
  </si>
  <si>
    <t>PR-GAR-03-109</t>
  </si>
  <si>
    <t xml:space="preserve">PR-GAR-03-109Testes enrolamento estatortensão de ranhura </t>
  </si>
  <si>
    <t>PR-GAR-03-110</t>
  </si>
  <si>
    <t xml:space="preserve">PR-GAR-03-110Ensaios nos RTD's </t>
  </si>
  <si>
    <t>PR-GAR-03-111</t>
  </si>
  <si>
    <t xml:space="preserve">PR-GAR-03-111Testes enrolamento estator- Ensaio de corona visual </t>
  </si>
  <si>
    <t>PR-GAR-03-112</t>
  </si>
  <si>
    <t xml:space="preserve">PR-GAR-03-112Ensaios equipmts auxpainel de neutro RevA </t>
  </si>
  <si>
    <t>PR-GAR-03-113</t>
  </si>
  <si>
    <t xml:space="preserve">PR-GAR-03-113Ensaios nos aquecedores de maq parada </t>
  </si>
  <si>
    <t>PR-GAR-03-114</t>
  </si>
  <si>
    <t xml:space="preserve">PR-GAR-03-114Ensaios para levantamento das curvas caracterisitcas </t>
  </si>
  <si>
    <t>PR-GAR-03-115</t>
  </si>
  <si>
    <t xml:space="preserve">PR-GAR-03-115Ensaio de aquecimento do Gerador </t>
  </si>
  <si>
    <t>PR-GAR-04-001</t>
  </si>
  <si>
    <t xml:space="preserve">PR-GAR-04-001Ensaio de automatismo de motoresbombas </t>
  </si>
  <si>
    <t>PR-GAR-04-002</t>
  </si>
  <si>
    <t xml:space="preserve">PR-GAR-04-002Ensaio de automatismo do sistema hidráulico RV </t>
  </si>
  <si>
    <t>PR-GAR-04-003</t>
  </si>
  <si>
    <t xml:space="preserve">PR-GAR-04-003Ensaio de Fluxostatos </t>
  </si>
  <si>
    <t>PR-GAR-04-004</t>
  </si>
  <si>
    <t xml:space="preserve">PR-GAR-04-004Ensaio de fontes de alimentação </t>
  </si>
  <si>
    <t>PR-GAR-04-005</t>
  </si>
  <si>
    <t xml:space="preserve">PR-GAR-04-005Ensaio de Resistência de Isolação </t>
  </si>
  <si>
    <t>PR-GAR-04-006</t>
  </si>
  <si>
    <t xml:space="preserve">PR-GAR-04-006Ensaio de Pressostatos </t>
  </si>
  <si>
    <t>PR-GAR-04-007</t>
  </si>
  <si>
    <t xml:space="preserve">PR-GAR-04-007Ensaio de relés de subtensão </t>
  </si>
  <si>
    <t>PR-GAR-04-008</t>
  </si>
  <si>
    <t xml:space="preserve">PR-GAR-04-008Ensaio de relés temporizadores </t>
  </si>
  <si>
    <t>PR-GAR-04-009</t>
  </si>
  <si>
    <t xml:space="preserve">PR-GAR-04-009Ensaio de Resistência de contato em relés auxiliares </t>
  </si>
  <si>
    <t>PR-GAR-04-010</t>
  </si>
  <si>
    <t xml:space="preserve">PR-GAR-04-010Ensaio de sensores atuadores de posição </t>
  </si>
  <si>
    <t>PR-GAR-04-011</t>
  </si>
  <si>
    <t xml:space="preserve">PR-GAR-04-011Ensaio de simulação de partida e parada UAC </t>
  </si>
  <si>
    <t>PR-GAR-04-012</t>
  </si>
  <si>
    <t xml:space="preserve">PR-GAR-04-012Ensaio de sistema de água de refrigeração </t>
  </si>
  <si>
    <t>PR-GAR-04-013</t>
  </si>
  <si>
    <t xml:space="preserve">PR-GAR-04-013Ensaio de sistema de aquecimento gerador </t>
  </si>
  <si>
    <t>PR-GAR-04-014</t>
  </si>
  <si>
    <t xml:space="preserve">PR-GAR-04-014Ensaio de sistema de frenagem </t>
  </si>
  <si>
    <t>PR-GAR-04-015</t>
  </si>
  <si>
    <t xml:space="preserve">PR-GAR-04-015Ensaio de transferência automática de fontes </t>
  </si>
  <si>
    <t>PR-GAR-04-016</t>
  </si>
  <si>
    <t xml:space="preserve">PR-GAR-04-016Ensaio de transmissores de pressão </t>
  </si>
  <si>
    <t>PR-GAR-04-017</t>
  </si>
  <si>
    <t xml:space="preserve">PR-GAR-04-017Ensaio de transmissores de temperatura </t>
  </si>
  <si>
    <t>PR-GAR-04-018</t>
  </si>
  <si>
    <t xml:space="preserve">PR-GAR-04-018Ensaio de transmissores de vazão </t>
  </si>
  <si>
    <t>PR-GAR-04-019</t>
  </si>
  <si>
    <t xml:space="preserve">PR-GAR-04-019Ensaio dos sensores de pinos de cisalhamento das diretrizes </t>
  </si>
  <si>
    <t>PR-GAR-04-020</t>
  </si>
  <si>
    <t xml:space="preserve">PR-GAR-04-020Ensaio do sistema de filtragem de água de refrigeração </t>
  </si>
  <si>
    <t>PR-GAR-04-021</t>
  </si>
  <si>
    <t xml:space="preserve">PR-GAR-04-021Tabela de controle desconexão e conexão de cabos </t>
  </si>
  <si>
    <t>PR-GAR-04-022</t>
  </si>
  <si>
    <t xml:space="preserve">PR-GAR-04-022Ensaio de Transferencia de fontes de alimentação </t>
  </si>
  <si>
    <t>PR-GAR-05-000</t>
  </si>
  <si>
    <t xml:space="preserve">PR-GAR-05-000Itens de manutenção e teste </t>
  </si>
  <si>
    <t>PR-GAR-05-003</t>
  </si>
  <si>
    <t xml:space="preserve">PR-GAR-05-003Ensaio de isolação em barramento blindado </t>
  </si>
  <si>
    <t>PR-GAR-05-004</t>
  </si>
  <si>
    <t xml:space="preserve">PR-GAR-05-004Ensaio de tensão aplicada em barramento blindado </t>
  </si>
  <si>
    <t>PR-GAR-05-005</t>
  </si>
  <si>
    <t xml:space="preserve">PR-GAR-05-005Ensaio de TC de cubículos do gerador </t>
  </si>
  <si>
    <t>PR-GAR-05-006</t>
  </si>
  <si>
    <t xml:space="preserve">PR-GAR-05-006Ensaio de TP de cubículos do gerador </t>
  </si>
  <si>
    <t>PR-GAR-05-007</t>
  </si>
  <si>
    <t xml:space="preserve">PR-GAR-05-007Ensaio de protetores de surto do gerador </t>
  </si>
  <si>
    <t>PR-GAR-06-001</t>
  </si>
  <si>
    <t xml:space="preserve">PR-GAR-06-001Inspeção visual do tanque, sistema de preservação e resfriamento </t>
  </si>
  <si>
    <t>PR-GAR-06-002</t>
  </si>
  <si>
    <t xml:space="preserve">PR-GAR-06-002Inspeção visual das buchas </t>
  </si>
  <si>
    <t>PR-GAR-06-003</t>
  </si>
  <si>
    <t xml:space="preserve">PR-GAR-06-003Inspeção visual dos TCs de bucha </t>
  </si>
  <si>
    <t>PR-GAR-06-004</t>
  </si>
  <si>
    <t xml:space="preserve">PR-GAR-06-004Inspeção visual indicadores e termômetros </t>
  </si>
  <si>
    <t>PR-GAR-06-005</t>
  </si>
  <si>
    <t xml:space="preserve">PR-GAR-06-005Inspeção visual do relé de gás e DAP </t>
  </si>
  <si>
    <t>PR-GAR-06-006</t>
  </si>
  <si>
    <t xml:space="preserve">PR-GAR-06-006Inspeção visual painel de controle </t>
  </si>
  <si>
    <t>PR-GAR-06-007</t>
  </si>
  <si>
    <t xml:space="preserve">PR-GAR-06-007 e 06-021Ensaio de Resistência de isolamento </t>
  </si>
  <si>
    <t>PR-GAR-06-008</t>
  </si>
  <si>
    <t xml:space="preserve">PR-GAR-06-008Ensaio de Resistência elétrica dos Enrolamentos </t>
  </si>
  <si>
    <t>PR-GAR-06-009</t>
  </si>
  <si>
    <t xml:space="preserve">PR-GAR-06-009Ensaio de Fator de Potência e Capacitância dos enrolamentos </t>
  </si>
  <si>
    <t>PR-GAR-06-010</t>
  </si>
  <si>
    <t xml:space="preserve">PR-GAR-06-010Ensaio de relação de transformação </t>
  </si>
  <si>
    <t>PR-GAR-06-011</t>
  </si>
  <si>
    <t xml:space="preserve">PR-GAR-06-011Ensaio de Corrente de excitação monofásica </t>
  </si>
  <si>
    <t>PR-GAR-06-012</t>
  </si>
  <si>
    <t xml:space="preserve">PR-GAR-06-012Ensaio de impedância de curto-circuito </t>
  </si>
  <si>
    <t>PR-GAR-06-013</t>
  </si>
  <si>
    <t xml:space="preserve">PR-GAR-06-013-014-015Ensaio no RTD, Relé de Gás e DAP </t>
  </si>
  <si>
    <t>PR-GAR-06-016</t>
  </si>
  <si>
    <t xml:space="preserve">PR-GAR-06-016- Ensaio de Estanqueidade </t>
  </si>
  <si>
    <t>PR-GAR-06-018</t>
  </si>
  <si>
    <t xml:space="preserve">PR-GAR-06-018Ensaio de Fator de Potência e Capacitância das buchas </t>
  </si>
  <si>
    <t>PR-GAR-06-019</t>
  </si>
  <si>
    <t xml:space="preserve">PR-GAR-06-019Ensaio nos TC's </t>
  </si>
  <si>
    <t xml:space="preserve">PR-GAR-06-019Ensaio nos TCs </t>
  </si>
  <si>
    <t>PR-GAR-06-020</t>
  </si>
  <si>
    <t xml:space="preserve">PR-GAR-06-020Ensaio sistema de resfriamento </t>
  </si>
  <si>
    <t>PR-GAR-07-000</t>
  </si>
  <si>
    <t xml:space="preserve">PR-GAR-07-000Itens de manutenção e teste </t>
  </si>
  <si>
    <t>PR-GAR-07-001</t>
  </si>
  <si>
    <t xml:space="preserve">PR-GAR-07-001Ensaio de isolação em transformadores a seco </t>
  </si>
  <si>
    <t>PR-GAR-07-002</t>
  </si>
  <si>
    <t xml:space="preserve">PR-GAR-07-002Ensaio de resistência DC em transformadores à seco </t>
  </si>
  <si>
    <t>PR-GAR-07-003</t>
  </si>
  <si>
    <t xml:space="preserve">PR-GAR-07-003Ensaio de tensão aplicada em transformadores a seco </t>
  </si>
  <si>
    <t>PR-GAR-07-004</t>
  </si>
  <si>
    <t xml:space="preserve">PR-GAR-07-004Ensaio de relação de transformação e polaridade em transformadores a seco </t>
  </si>
  <si>
    <t>PR-GAR-09-000</t>
  </si>
  <si>
    <t xml:space="preserve">PR-GAR-09-000Itens de manutenção e teste </t>
  </si>
  <si>
    <t>PR-GAR-09-001</t>
  </si>
  <si>
    <t xml:space="preserve">PR-GAR-09-001Ensaio de resistência DC em barramento de painéis de média tensão </t>
  </si>
  <si>
    <t>PR-GAR-09-002</t>
  </si>
  <si>
    <t xml:space="preserve">PR-GAR-09-002Ensaio de isolação em barramento de painéis de média tensão </t>
  </si>
  <si>
    <t>PR-GAR-09-003</t>
  </si>
  <si>
    <t xml:space="preserve">PR-GAR-09-003Ensaio de tensão aplicada em barramento de painéis de média tensão </t>
  </si>
  <si>
    <t>PR-GAR-09-004</t>
  </si>
  <si>
    <t xml:space="preserve">PR-GAR-09-004Ensaio de disjuntores de média tensão </t>
  </si>
  <si>
    <t>PR-GAR-09-005</t>
  </si>
  <si>
    <t xml:space="preserve">PR-GAR-09-005Ensaio de tensão aplicada em disjuntores de média tensão </t>
  </si>
  <si>
    <t>PR-GAR-09-006</t>
  </si>
  <si>
    <t xml:space="preserve">PR-GAR-09-006Ensaio de TC de painéis de média tensão </t>
  </si>
  <si>
    <t>PR-GAR-09-007</t>
  </si>
  <si>
    <t xml:space="preserve">PR-GAR-09-007Ensaio de TP de painéis de média tensão </t>
  </si>
  <si>
    <t>PR-GAR-09-008</t>
  </si>
  <si>
    <t xml:space="preserve">PR-GAR-09-008Ensaio de protetores de surto de painéis de média tensão </t>
  </si>
  <si>
    <t>PR-GAR-10-000</t>
  </si>
  <si>
    <t xml:space="preserve">PR-GAR-10-000Itens de manutenção e teste </t>
  </si>
  <si>
    <t>PR-GAR-10-001</t>
  </si>
  <si>
    <t xml:space="preserve">PR-GAR-10-001Ensaio de isolação em barramento de painéis de baixa tensão </t>
  </si>
  <si>
    <t>PR-GAR-10-002</t>
  </si>
  <si>
    <t xml:space="preserve">PR-GAR-10-002Ensaio de resistência DC em barramento de painéis de baixa tensão </t>
  </si>
  <si>
    <t>PR-GAR-10-003</t>
  </si>
  <si>
    <t xml:space="preserve">PR-GAR-10-003Ensaio de tensão aplicada em barramento de painéis de baixa tensão </t>
  </si>
  <si>
    <t>PR-GAR-10-004</t>
  </si>
  <si>
    <t xml:space="preserve">PR-GAR-10-004Ensaio de disjuntores de caixa moldada em painéis de baixa tensão </t>
  </si>
  <si>
    <t>PR-GAR-10-005</t>
  </si>
  <si>
    <t xml:space="preserve">PR-GAR-10-005Ensaio de isolação em TP de painéis de baixa tensão </t>
  </si>
  <si>
    <t>PR-GAR-10-006</t>
  </si>
  <si>
    <t xml:space="preserve">PR-GAR-10-006Ensaio de isolação em cabos de painéis de baixa tensão </t>
  </si>
  <si>
    <t>PR-GAR-10-007</t>
  </si>
  <si>
    <t xml:space="preserve">PR-GAR-10-007- Ensaio de acoplamento automático de barras em painéis de baixa tensão </t>
  </si>
  <si>
    <t>PR-GAR-11-000</t>
  </si>
  <si>
    <t xml:space="preserve">PR-GAR-11-000Itens de manutenção e teste </t>
  </si>
  <si>
    <t>PR-GAR-11-001</t>
  </si>
  <si>
    <t xml:space="preserve">PR-GAR-11-001Ensaio de isolação em cabos até 35kV </t>
  </si>
  <si>
    <t>PR-GAR-11-002</t>
  </si>
  <si>
    <t xml:space="preserve">PR-GAR-11-002Ensaio de fator de perda dielétrica em cabos até 35kV </t>
  </si>
  <si>
    <t>PR-GAR-11-003</t>
  </si>
  <si>
    <t xml:space="preserve">PR-GAR-11-003Ensaio de tensão aplicada em cabos até 35kV </t>
  </si>
  <si>
    <t>PR-GAR-12-001</t>
  </si>
  <si>
    <t xml:space="preserve">PR-GAR-12-001Controle de alteração e backup software </t>
  </si>
  <si>
    <t>PR-GAR-13-001</t>
  </si>
  <si>
    <t xml:space="preserve">PR-GAR-13-001Resistência de Isolação </t>
  </si>
  <si>
    <t>PR-GAR-13-002</t>
  </si>
  <si>
    <t xml:space="preserve">PR-GAR-13-002Resistência de contato em relés auxiliares </t>
  </si>
  <si>
    <t>PR-GAR-13-003</t>
  </si>
  <si>
    <t xml:space="preserve">PR-GAR-13-003Ensaios em relés auxiliares </t>
  </si>
  <si>
    <t>PR-GAR-13-004</t>
  </si>
  <si>
    <t xml:space="preserve">PR-GAR-13-004Calibração de transdutores </t>
  </si>
  <si>
    <t>PR-GAR-13-005</t>
  </si>
  <si>
    <t xml:space="preserve">PR-GAR-13-005Ensaios em relés de sincronismo (ANSI 25) </t>
  </si>
  <si>
    <t>PR-GAR-13-006</t>
  </si>
  <si>
    <t xml:space="preserve">PR-GAR-13-006Controle de alteração e backup software </t>
  </si>
  <si>
    <t>PR-GAR-14-001</t>
  </si>
  <si>
    <t xml:space="preserve">PR-GAR-14-001Controle de alteração e backup software </t>
  </si>
  <si>
    <t>PR-GAR-15-001</t>
  </si>
  <si>
    <t xml:space="preserve">PR-GAR-15-001Ensaios em Transformadores de Corrente </t>
  </si>
  <si>
    <t>PR-GAR-15-002</t>
  </si>
  <si>
    <t xml:space="preserve">PR-GAR-15-002Ensaios em Transformadores de Potencial </t>
  </si>
  <si>
    <t>PR-GAR-15-003</t>
  </si>
  <si>
    <t xml:space="preserve">PR-GAR-15-003Ensaio de Isolação </t>
  </si>
  <si>
    <t>PR-GAR-15-004</t>
  </si>
  <si>
    <t xml:space="preserve">PR-GAR-15-004Ensaio de Resistência </t>
  </si>
  <si>
    <t>PR-GAR-15-005</t>
  </si>
  <si>
    <t xml:space="preserve">PR-GAR-15-005Ensaio de curva característica do TC </t>
  </si>
  <si>
    <t>PR-GAR-15-006</t>
  </si>
  <si>
    <t xml:space="preserve">PR-GAR-15-006Proteção Diferencial </t>
  </si>
  <si>
    <t>PR-GAR-15-007</t>
  </si>
  <si>
    <t xml:space="preserve">PR-GAR-15-007Proteção de Sobre e sub Frequência </t>
  </si>
  <si>
    <t>PR-GAR-15-009</t>
  </si>
  <si>
    <t xml:space="preserve">PR-GAR-15-009Proteção de Potencia Reversa </t>
  </si>
  <si>
    <t>PR-GAR-15-011</t>
  </si>
  <si>
    <t xml:space="preserve">PR-GAR-15-011Proteção de Subtensão </t>
  </si>
  <si>
    <t>PR-GAR-15-012</t>
  </si>
  <si>
    <t xml:space="preserve">PR-GAR-15-012Proteção de Energização Inadvertida </t>
  </si>
  <si>
    <t>PR-GAR-15-013</t>
  </si>
  <si>
    <t xml:space="preserve">PR-GAR-15-013Proteção de sobrecorrente com restrição de tensão </t>
  </si>
  <si>
    <t>PR-GAR-15-014</t>
  </si>
  <si>
    <t xml:space="preserve">PR-GAR-15-014Proteção Diferencial de terra restrita </t>
  </si>
  <si>
    <t>PR-GAR-15-015</t>
  </si>
  <si>
    <t xml:space="preserve">PR-GAR-15-015Proteção de Terra Rotor </t>
  </si>
  <si>
    <t>PR-GAR-15-016</t>
  </si>
  <si>
    <t xml:space="preserve">PR-GAR-15-016Proteção de Sequência Negativa </t>
  </si>
  <si>
    <t>PR-GAR-15-017</t>
  </si>
  <si>
    <t xml:space="preserve">PR-GAR-15-017Proteção de Perda de Excitação </t>
  </si>
  <si>
    <t>PR-GAR-15-018</t>
  </si>
  <si>
    <t xml:space="preserve">PR-GAR-15-018Proteção de Falha Fusível </t>
  </si>
  <si>
    <t>PR-GAR-15-019</t>
  </si>
  <si>
    <t xml:space="preserve">PR-GAR-15-019Proteção de Mínima Impedância </t>
  </si>
  <si>
    <t>PR-GAR-15-020</t>
  </si>
  <si>
    <t xml:space="preserve">PR-GAR-15-020Proteção Diferencial Transversal do Gerador </t>
  </si>
  <si>
    <t>PR-GAR-15-021</t>
  </si>
  <si>
    <t xml:space="preserve">PR-GAR-15-021Proteção de Terra Estator 95 </t>
  </si>
  <si>
    <t>PR-GAR-15-022</t>
  </si>
  <si>
    <t xml:space="preserve">PR-GAR-15-022Proteção de Terra Estator 100 </t>
  </si>
  <si>
    <t>PR-GAR-15-023</t>
  </si>
  <si>
    <t xml:space="preserve">PR-GAR-15-023Proteção de Sobretensão </t>
  </si>
  <si>
    <t>PR-GAR-15-024</t>
  </si>
  <si>
    <t xml:space="preserve">PR-GAR-15-024Proteção de Sobreexcitação </t>
  </si>
  <si>
    <t>PR-GAR-15-025</t>
  </si>
  <si>
    <t xml:space="preserve">PR-GAR-15-025Proteção de Sobrecarga </t>
  </si>
  <si>
    <t>PR-GAR-15-026</t>
  </si>
  <si>
    <t xml:space="preserve">PR-GAR-15-026Proteção de Falha Disjuntor </t>
  </si>
  <si>
    <t>PR-GAR-15-027</t>
  </si>
  <si>
    <t xml:space="preserve">PR-GAR-15-027Ensaio em relés de bloqueio-trip </t>
  </si>
  <si>
    <t>PR-GAR-17-001</t>
  </si>
  <si>
    <t xml:space="preserve">PR-GAR-17-001Ensaios em Transformadores de Corrente </t>
  </si>
  <si>
    <t>PR-GAR-17-002</t>
  </si>
  <si>
    <t xml:space="preserve">PR-GAR-17-002Ensaios em Transformadores de Potencial </t>
  </si>
  <si>
    <t>PR-GAR-17-003</t>
  </si>
  <si>
    <t xml:space="preserve">PR-GAR-17-003Ensaio de Isolação </t>
  </si>
  <si>
    <t>PR-GAR-17-004</t>
  </si>
  <si>
    <t xml:space="preserve">PR-GAR-17-004Ensaio de Resistência </t>
  </si>
  <si>
    <t>PR-GAR-17-005</t>
  </si>
  <si>
    <t xml:space="preserve">PR-GAR-17-005Ensaio de curva característica do TC </t>
  </si>
  <si>
    <t>PR-GAR-17-006</t>
  </si>
  <si>
    <t xml:space="preserve">PR-GAR-17-006Ensaio em relés de bloqueio-trip </t>
  </si>
  <si>
    <t>PR-GAR-18-000</t>
  </si>
  <si>
    <t xml:space="preserve">PR-GAR-18-000Check list de ensaios </t>
  </si>
  <si>
    <t>PR-GAR-18-001</t>
  </si>
  <si>
    <t xml:space="preserve">PR-GAR-18-001Ensaio de componentes e instumentos </t>
  </si>
  <si>
    <t>PR-GAR-18-002</t>
  </si>
  <si>
    <t xml:space="preserve">PR-GAR-18-002Ensaios de proteção sobretensão </t>
  </si>
  <si>
    <t>PR-GAR-18-003</t>
  </si>
  <si>
    <t xml:space="preserve">PR-GAR-18-003Ensaio isolação circuito primário </t>
  </si>
  <si>
    <t>PR-GAR-18-004</t>
  </si>
  <si>
    <t xml:space="preserve">PR-GAR-18-004Ensaio isolação circuito secundário </t>
  </si>
  <si>
    <t>PR-GAR-18-005</t>
  </si>
  <si>
    <t xml:space="preserve">PR-GAR-18-005Ensaios PLC </t>
  </si>
  <si>
    <t>PR-GAR-18-006</t>
  </si>
  <si>
    <t xml:space="preserve">PR-GAR-18-006Ensaios Simulação </t>
  </si>
  <si>
    <t>PR-GAR-18-007</t>
  </si>
  <si>
    <t xml:space="preserve">PR-GAR-18-007Ensaios funcionais </t>
  </si>
  <si>
    <t>PR-GAR-19-000</t>
  </si>
  <si>
    <t xml:space="preserve">PR-GAR-19-000Itens de manutenção e teste </t>
  </si>
  <si>
    <t>PR-GAR-19-001</t>
  </si>
  <si>
    <t xml:space="preserve">PR-GAR-19-001Ensaio de baterias </t>
  </si>
  <si>
    <t>PR-GAR-19-002</t>
  </si>
  <si>
    <t xml:space="preserve">PR-GAR-19-002Ensaio de capacidade e equalização de baterias </t>
  </si>
  <si>
    <t>PR-GAR-19-003</t>
  </si>
  <si>
    <t xml:space="preserve">PR-GAR-19-003Ensaio de retificadores e USCC </t>
  </si>
  <si>
    <t>PR-GAR-20-001</t>
  </si>
  <si>
    <t xml:space="preserve">PR-GAR-20-001Inspeção válvulas distribuidoras (CD e CR) </t>
  </si>
  <si>
    <t>PR-GAR-20-002</t>
  </si>
  <si>
    <t xml:space="preserve">PR-GAR-20-002Inspeção válvulas controle hidráulico </t>
  </si>
  <si>
    <t>PR-GAR-20-003</t>
  </si>
  <si>
    <t xml:space="preserve">PR-GAR-20-003Inspeção servomotor do distribuidor </t>
  </si>
  <si>
    <t>PR-GAR-20-004</t>
  </si>
  <si>
    <t xml:space="preserve">PR-GAR-20-004Inspeção sistema resfriamento RV </t>
  </si>
  <si>
    <t>PR-GAR-20-005</t>
  </si>
  <si>
    <t xml:space="preserve">PR-GAR-20-005Inspeção no acumulador ar e óleo </t>
  </si>
  <si>
    <t>PR-GAR-20-006</t>
  </si>
  <si>
    <t xml:space="preserve">PR-GAR-20-006Calibração válvula de segurança acumulador ar óleo </t>
  </si>
  <si>
    <t>PR-GAR-20-007</t>
  </si>
  <si>
    <t xml:space="preserve">PR-GAR-20-007Critérios de testes </t>
  </si>
  <si>
    <t>PR-GAR-21-000</t>
  </si>
  <si>
    <t xml:space="preserve">PR-GAR-21-000Check list de ensaios </t>
  </si>
  <si>
    <t>PR-GAR-21-001</t>
  </si>
  <si>
    <t xml:space="preserve">PR-GAR-21-001Ensaios de componentes instrumentos plc </t>
  </si>
  <si>
    <t>PR-GAR-21-002</t>
  </si>
  <si>
    <t xml:space="preserve">PR-GAR-21-002Ensaios circuitos elétricos </t>
  </si>
  <si>
    <t>PR-GAR-21-003</t>
  </si>
  <si>
    <t xml:space="preserve">PR-GAR-21-003Ensaios água morta </t>
  </si>
  <si>
    <t>PR-GAR-21-004</t>
  </si>
  <si>
    <t xml:space="preserve">PR-GAR-21-004Ensaios em vazio </t>
  </si>
  <si>
    <t>PR-GAR-21-005</t>
  </si>
  <si>
    <t xml:space="preserve">PR-GAR-21-005Ensaios em carga </t>
  </si>
  <si>
    <t>PR-GAR-22-001</t>
  </si>
  <si>
    <t xml:space="preserve">PR-GAR-22-001Itens de manutençãoCheck-list </t>
  </si>
  <si>
    <t>PR-GAR-23-001</t>
  </si>
  <si>
    <t xml:space="preserve">PR-GAR-23-001Itens de manutençãoCheck-list </t>
  </si>
  <si>
    <t>PR-GAR-24-001</t>
  </si>
  <si>
    <t xml:space="preserve">PR-GAR-24-001Itens de manutençãoCheck-list </t>
  </si>
  <si>
    <t>PR-GAR-25-001</t>
  </si>
  <si>
    <t xml:space="preserve">PR-GAR-25-001Ensaio de Isolação </t>
  </si>
  <si>
    <t>PR-GAR-25-002</t>
  </si>
  <si>
    <t xml:space="preserve">PR-GAR-25-002Ensaio de Resistência </t>
  </si>
  <si>
    <t>PR-GAR-26-001</t>
  </si>
  <si>
    <t xml:space="preserve">PR-GAR-26-001Itens de manutençãoCheck-list </t>
  </si>
  <si>
    <t>PR-GAR-27-001</t>
  </si>
  <si>
    <t xml:space="preserve">PR-GAR-27-001Itens de manutençãoCheck-list </t>
  </si>
  <si>
    <t>PR-GAR-28-001</t>
  </si>
  <si>
    <t xml:space="preserve">PR-GAR-28-001Itens de manutençãoCheck-list </t>
  </si>
  <si>
    <t>PR-GAR-29-001</t>
  </si>
  <si>
    <t xml:space="preserve">PR-GAR-29-001Itens de manutençãoCheck-list </t>
  </si>
  <si>
    <t>PR-GAR-30-002</t>
  </si>
  <si>
    <t xml:space="preserve">PR-GAR-30-002Medição dos ganchos </t>
  </si>
  <si>
    <t>PR-GAR-30-003</t>
  </si>
  <si>
    <t xml:space="preserve">PR-GAR-30-003Ajuste e medição nos freios </t>
  </si>
  <si>
    <t>PR-GAR-33-001</t>
  </si>
  <si>
    <t xml:space="preserve">PR-GAR-33-001Itens de manutençãoCheck-list </t>
  </si>
  <si>
    <t>PR-GAR-40-001</t>
  </si>
  <si>
    <t xml:space="preserve">PR-GAR-40-001Ensaio do sistema de iluminação </t>
  </si>
  <si>
    <t>PR-GAR-40-002</t>
  </si>
  <si>
    <t xml:space="preserve">PR-GAR-40-002Ensaio de pontos de tomada e de dispositivos DR </t>
  </si>
  <si>
    <t>PR-GAR-41-001</t>
  </si>
  <si>
    <t xml:space="preserve">PR-GAR-41-001Ensaio de resistência de aterramento </t>
  </si>
  <si>
    <t>PR-GAR-41-002</t>
  </si>
  <si>
    <t xml:space="preserve">PR-GAR-41-002Ensaio de tensão de toque e passo </t>
  </si>
  <si>
    <t>PR-GAR-41-003</t>
  </si>
  <si>
    <t xml:space="preserve">PR-GAR-41-003Ensaio de continuidade </t>
  </si>
  <si>
    <t>PR-GAR-51-001</t>
  </si>
  <si>
    <t xml:space="preserve">PR-GAR-51-001Inspeção visual do tanque, TCs, Buchas, sistema de preservação e resfriamento </t>
  </si>
  <si>
    <t>PR-GAR-51-002</t>
  </si>
  <si>
    <t xml:space="preserve">PR-GAR-51-002Inspeção visual indicadores de nível de óleo </t>
  </si>
  <si>
    <t>PR-GAR-51-003</t>
  </si>
  <si>
    <t xml:space="preserve">PR-GAR-51-003Inspeção visual termômetros </t>
  </si>
  <si>
    <t>PR-GAR-51-004</t>
  </si>
  <si>
    <t xml:space="preserve">PR-GAR-51-004Inspeção visual do relé de gás, relé de pressão e DAP </t>
  </si>
  <si>
    <t>PR-GAR-51-005</t>
  </si>
  <si>
    <t xml:space="preserve">PR-GAR-51-005Inspeção visual painel de controle </t>
  </si>
  <si>
    <t>PR-GAR-51-006</t>
  </si>
  <si>
    <t xml:space="preserve">PR-GAR-51-006Inspeção visual comutador </t>
  </si>
  <si>
    <t>PR-GAR-51-007</t>
  </si>
  <si>
    <t xml:space="preserve">PR-GAR-51-007Ensaio de Resistência de isolamento </t>
  </si>
  <si>
    <t>PR-GAR-51-008</t>
  </si>
  <si>
    <t xml:space="preserve">PR-GAR-51-008Ensaio de Resistência elétrica dos Enrolamentos </t>
  </si>
  <si>
    <t>PR-GAR-51-009</t>
  </si>
  <si>
    <t xml:space="preserve">PR-GAR-51-009Ensaio de Fator de Potência e Capacitância dos enrolamentos </t>
  </si>
  <si>
    <t>PR-GAR-51-010</t>
  </si>
  <si>
    <t xml:space="preserve">PR-GAR-51-010Ensaio de relação de transformação </t>
  </si>
  <si>
    <t>PR-GAR-51-011</t>
  </si>
  <si>
    <t xml:space="preserve">PR-GAR-51-011Ensaio de Corrente de excitação monofásica </t>
  </si>
  <si>
    <t>PR-GAR-51-012</t>
  </si>
  <si>
    <t xml:space="preserve">PR-GAR-51-012Ensaio no RTD, Relé de Gás e DAP </t>
  </si>
  <si>
    <t>PR-GAR-51-014</t>
  </si>
  <si>
    <t xml:space="preserve">PR-GAR-51-014Ensaio nos TCs </t>
  </si>
  <si>
    <t>PR-GAR-56-001</t>
  </si>
  <si>
    <t xml:space="preserve">PR-GAR-56-001Ensaios em Transformadores de Corrente </t>
  </si>
  <si>
    <t>PR-GAR-56-002</t>
  </si>
  <si>
    <t xml:space="preserve">PR-GAR-56-002Ensaio de Isolacao </t>
  </si>
  <si>
    <t>PR-GAR-56-003</t>
  </si>
  <si>
    <t xml:space="preserve">PR-GAR-56-003Ensaio em reles de bloqueio-trip </t>
  </si>
  <si>
    <t>PR-GAR-56-004</t>
  </si>
  <si>
    <t xml:space="preserve">PR-GAR-56-004Ensaio de Resistencia </t>
  </si>
  <si>
    <t>PR-GAR-57-001</t>
  </si>
  <si>
    <t xml:space="preserve">PR-GAR-57-001Ensaios em Transformadores de Corrente </t>
  </si>
  <si>
    <t>PR-GAR-57-002</t>
  </si>
  <si>
    <t xml:space="preserve">PR-GAR-57-002Ensaios em Transformadores de Potencial </t>
  </si>
  <si>
    <t>PR-GAR-57-003</t>
  </si>
  <si>
    <t xml:space="preserve">PR-GAR-57-003Ensaio de Isolação </t>
  </si>
  <si>
    <t>PR-GAR-57-004</t>
  </si>
  <si>
    <t xml:space="preserve">PR-GAR-57-004Ensaio de Resistência </t>
  </si>
  <si>
    <t>PR-GAR-57-005</t>
  </si>
  <si>
    <t xml:space="preserve">PR-GAR-57-005Ensaio em relés de bloqueio-trip </t>
  </si>
  <si>
    <t>PR-GAR-58-001</t>
  </si>
  <si>
    <t xml:space="preserve">PR-GAR-58-001Itens de manutençãoCheck-list </t>
  </si>
  <si>
    <t>PR-GAR-59-000</t>
  </si>
  <si>
    <t xml:space="preserve">PR-GAR-59-000Itens de manutenção </t>
  </si>
  <si>
    <t>PR-GAR-59-001</t>
  </si>
  <si>
    <t xml:space="preserve">PR-GAR-59-001Ensaio de Isolação </t>
  </si>
  <si>
    <t>PR-GAR-60-001</t>
  </si>
  <si>
    <t xml:space="preserve">PR-GAR-60-001Itens de manutençãoCheck-list </t>
  </si>
  <si>
    <t>PR-GAR-61-001</t>
  </si>
  <si>
    <t xml:space="preserve">PR-GAR-61-001Itens de manutençãoCheck-list </t>
  </si>
  <si>
    <t>PR-GAR-62-001</t>
  </si>
  <si>
    <t xml:space="preserve">PR-GAR-62-001Itens de manutençãoCheck-list </t>
  </si>
  <si>
    <t>PR-GAR-64-001</t>
  </si>
  <si>
    <t xml:space="preserve">PR-GAR-64-001Itens de manutençãoCheck-list </t>
  </si>
  <si>
    <t>PR-GAR-65-001</t>
  </si>
  <si>
    <t xml:space="preserve">PR-GAR-65-001Itens de manutençãoCheck-list </t>
  </si>
  <si>
    <t>PR-GAR-66-001</t>
  </si>
  <si>
    <t xml:space="preserve">PR-GAR-66-001Itens de manutençãoCheck-list </t>
  </si>
  <si>
    <t>PR-GAR-67-001</t>
  </si>
  <si>
    <t xml:space="preserve">PR-GAR-67-001Itens de manutençãoCheck-list </t>
  </si>
  <si>
    <t>PR-GAR-68-001</t>
  </si>
  <si>
    <t xml:space="preserve">PR-GAR-68-001Itens de manutençãoCheck-list </t>
  </si>
  <si>
    <t>PR-ILS-00-001</t>
  </si>
  <si>
    <t xml:space="preserve">PR-ILS-00-001Inspeção Líquido Penetrante </t>
  </si>
  <si>
    <t>PR-ILS-00-002</t>
  </si>
  <si>
    <t xml:space="preserve">PR-ILS-00-002Inspeção Partículas Magnéticas </t>
  </si>
  <si>
    <t>PR-ILS-00-003</t>
  </si>
  <si>
    <t xml:space="preserve">PR-ILS-00-003Inspeção Ultrassom </t>
  </si>
  <si>
    <t>PR-ILS-00-004</t>
  </si>
  <si>
    <t xml:space="preserve">PR-ILS-00-004Ensaio de motores elétricos </t>
  </si>
  <si>
    <t>PR-ILS-00-005</t>
  </si>
  <si>
    <t xml:space="preserve">PR-ILS-00-005Calibração de instrumentos </t>
  </si>
  <si>
    <t>PR-ILS-00-006</t>
  </si>
  <si>
    <t xml:space="preserve">PR-ILS-00-006Ensaio de motobombas </t>
  </si>
  <si>
    <t>PR-ILS-00-007</t>
  </si>
  <si>
    <t xml:space="preserve">PR-ILS-00-007Inspeção de torque de elementos de fixação </t>
  </si>
  <si>
    <t>PR-ILS-00-008</t>
  </si>
  <si>
    <t xml:space="preserve">PR-ILS-00-008Inspeção de pintura </t>
  </si>
  <si>
    <t>PR-ILS-00-009</t>
  </si>
  <si>
    <t xml:space="preserve">PR-ILS-00-009Aferição de Manômetros </t>
  </si>
  <si>
    <t>PR-ILS-01-001</t>
  </si>
  <si>
    <t xml:space="preserve">PR-ILS-01-001Inspeção de concreto da caixa espiral </t>
  </si>
  <si>
    <t>PR-ILS-01-002</t>
  </si>
  <si>
    <t xml:space="preserve">PR-ILS-01-002Medição de B0, folga e esmagamento </t>
  </si>
  <si>
    <t>PR-ILS-01-003</t>
  </si>
  <si>
    <t xml:space="preserve">PR-ILS-01-003Inspeção nas buchas auto-lubrificantes das palhetas diretrizes </t>
  </si>
  <si>
    <t>PR-ILS-01-004</t>
  </si>
  <si>
    <t xml:space="preserve">PR-ILS-01-004Inspeção em pinos e buchas do bielismo </t>
  </si>
  <si>
    <t>PR-ILS-01-005</t>
  </si>
  <si>
    <t xml:space="preserve">PR-ILS-01-005Inspeção de torque de elementos de fixação </t>
  </si>
  <si>
    <t>PR-ILS-01-014</t>
  </si>
  <si>
    <t xml:space="preserve">PR-ILS-01-014Inspeção dos parafusos do rotor </t>
  </si>
  <si>
    <t>PR-ILS-01-015</t>
  </si>
  <si>
    <t xml:space="preserve">PR-ILS-01-015Inspeção dos parafusos de acoplamento com o eixo principal </t>
  </si>
  <si>
    <t>PR-ILS-01-023</t>
  </si>
  <si>
    <t xml:space="preserve">PR-ILS-01-023Batimento da pista de inox da vedação do eixo </t>
  </si>
  <si>
    <t>PR-ILS-01-024</t>
  </si>
  <si>
    <t xml:space="preserve">PR-ILS-01-024Batimento do anel de desgaste da vedação do eixo </t>
  </si>
  <si>
    <t>PR-ILS-01-025</t>
  </si>
  <si>
    <t xml:space="preserve">PR-ILS-01-025Espessura do anel de desgaste da vedação do eixo </t>
  </si>
  <si>
    <t>PR-ILS-01-026</t>
  </si>
  <si>
    <t xml:space="preserve">PR-ILS-01-026Ensaio na vedação de manutenção </t>
  </si>
  <si>
    <t>PR-ILS-01-027</t>
  </si>
  <si>
    <t xml:space="preserve">PR-ILS-01-027Medição de tempo de recalque das bombas de drenagem da tampa </t>
  </si>
  <si>
    <t>PR-ILS-01-028</t>
  </si>
  <si>
    <t xml:space="preserve">PR-ILS-01-028Ensaio das bombas de injeção de água da vedação do eixo </t>
  </si>
  <si>
    <t>PR-ILS-01-034</t>
  </si>
  <si>
    <t xml:space="preserve">PR-ILS-01-034Inspeção no tubo de sucção e caixa espiral </t>
  </si>
  <si>
    <t>PR-ILS-01-035</t>
  </si>
  <si>
    <t xml:space="preserve">PR-ILS-01-035Inspeção dos parafusos de união da tampa superior com o pré-distribuidor após aperto </t>
  </si>
  <si>
    <t>PR-ILS-01-036</t>
  </si>
  <si>
    <t xml:space="preserve">PR-ILS-01-036Folga entre labirintos rotativos e estáticorotor Francis </t>
  </si>
  <si>
    <t>PR-ILS-01-039</t>
  </si>
  <si>
    <t xml:space="preserve">PR-ILS-01-039Inspeção no rotor Francis </t>
  </si>
  <si>
    <t>PR-ILS-01-041</t>
  </si>
  <si>
    <t xml:space="preserve">PR-ILS-01-041Inspeção em regiões cavitadasFrancis </t>
  </si>
  <si>
    <t>PR-ILS-02-001</t>
  </si>
  <si>
    <t xml:space="preserve">PR-ILS-02-001Medição e ajuste de centro, elevação e nível da cruzeta superiorFalta Informação do desenho </t>
  </si>
  <si>
    <t>PR-ILS-02-002</t>
  </si>
  <si>
    <t xml:space="preserve">PR-ILS-02-002Inspeção dos flanges da cruzeta </t>
  </si>
  <si>
    <t>PR-ILS-02-003</t>
  </si>
  <si>
    <t xml:space="preserve">PR-ILS-02-003Medição de circularidade e excentricidade do estator </t>
  </si>
  <si>
    <t>PR-ILS-02-004</t>
  </si>
  <si>
    <t xml:space="preserve">PR-ILS-02-004Insp. dos parafusos acop., pinos entre carcaça estator e pedestais </t>
  </si>
  <si>
    <t>PR-ILS-02-005</t>
  </si>
  <si>
    <t xml:space="preserve">PR-ILS-02-005Insp. do núcleo do estator </t>
  </si>
  <si>
    <t>PR-ILS-02-006</t>
  </si>
  <si>
    <t xml:space="preserve">PR-ILS-02-006Inspeção dos tirantes de fixação do núcleo do estator (isolação) </t>
  </si>
  <si>
    <t>PR-ILS-02-007</t>
  </si>
  <si>
    <t xml:space="preserve">PR-ILS-02-007Inspeção das guias de ar </t>
  </si>
  <si>
    <t>PR-ILS-02-008</t>
  </si>
  <si>
    <t xml:space="preserve">PR-ILS-02-008Medição do entreferro </t>
  </si>
  <si>
    <t>PR-ILS-02-009</t>
  </si>
  <si>
    <t xml:space="preserve">PR-ILS-02-009Medição de circularidade e excentricidade do rotor </t>
  </si>
  <si>
    <t>PR-ILS-02-010</t>
  </si>
  <si>
    <t xml:space="preserve">PR-ILS-02-010Ajuste da circularidade do rotor </t>
  </si>
  <si>
    <t>PR-ILS-02-011</t>
  </si>
  <si>
    <t xml:space="preserve">PR-ILS-02-011Medição do nivelamento dos polos </t>
  </si>
  <si>
    <t>PR-ILS-02-013</t>
  </si>
  <si>
    <t xml:space="preserve">PR-ILS-02-013Inspeção da pista de frenagem </t>
  </si>
  <si>
    <t>PR-ILS-02-014</t>
  </si>
  <si>
    <t xml:space="preserve">PR-ILS-02-014Medição de centro (Caixa eixo) e ajuste do mancal guia </t>
  </si>
  <si>
    <t>PR-ILS-02-016</t>
  </si>
  <si>
    <t xml:space="preserve">PR-ILS-02-016Medição de nivelamento e ajuste da superfície para a instalação dos segmentos do mancal de escora </t>
  </si>
  <si>
    <t>PR-ILS-02-017</t>
  </si>
  <si>
    <t xml:space="preserve">PR-ILS-02-017Inspeção dos espelhos do bloco de escora </t>
  </si>
  <si>
    <t>PR-ILS-02-018</t>
  </si>
  <si>
    <t xml:space="preserve">PR-ILS-02-018Inspeção dos parafusos e pinos do bloco de escora e o rotor do gerador </t>
  </si>
  <si>
    <t>PR-ILS-02-020</t>
  </si>
  <si>
    <t xml:space="preserve">PR-ILS-02-020Verificação do nível de óleo </t>
  </si>
  <si>
    <t>PR-ILS-02-021</t>
  </si>
  <si>
    <t xml:space="preserve">PR-ILS-02-021Inspeção dos flanges do suporte do MC </t>
  </si>
  <si>
    <t>PR-ILS-02-022</t>
  </si>
  <si>
    <t xml:space="preserve">PR-ILS-02-022Inspeção dos flanges do cone de sustentação </t>
  </si>
  <si>
    <t>PR-ILS-02-023</t>
  </si>
  <si>
    <t xml:space="preserve">PR-ILS-02-023Medição de nivelamento das lonas de freio </t>
  </si>
  <si>
    <t>PR-ILS-02-024</t>
  </si>
  <si>
    <t xml:space="preserve">PR-ILS-02-024Inspeção dos macacos de frenagem </t>
  </si>
  <si>
    <t>PR-ILS-02-025</t>
  </si>
  <si>
    <t xml:space="preserve">PR-ILS-02-025Medição e ajuste da distância entre a lona de frenagem e a pista de frenagem </t>
  </si>
  <si>
    <t>PR-ILS-02-026</t>
  </si>
  <si>
    <t xml:space="preserve">PR-ILS-02-026Entreferro (run-out e verticalidadeDinâmico </t>
  </si>
  <si>
    <t>PR-ILS-02-027</t>
  </si>
  <si>
    <t xml:space="preserve">PR-ILS-02-027Verticalidade </t>
  </si>
  <si>
    <t>PR-ILS-02-028</t>
  </si>
  <si>
    <t xml:space="preserve">PR-ILS-02-028Run-out </t>
  </si>
  <si>
    <t>PR-ILS-02-029</t>
  </si>
  <si>
    <t xml:space="preserve">PR-ILS-02-029ComissionamentoVibração, oscilação, temperaturas, tempos e pressões </t>
  </si>
  <si>
    <t>PR-ILS-02-031</t>
  </si>
  <si>
    <t xml:space="preserve">PR-ILS-02-031Elevação do cone suporte (escora) </t>
  </si>
  <si>
    <t>PR-ILS-03-000</t>
  </si>
  <si>
    <t xml:space="preserve">PR-ILS-03-000-Manutencao Geradorinspeção e limpeza geral </t>
  </si>
  <si>
    <t>PR-ILS-03-002</t>
  </si>
  <si>
    <t xml:space="preserve">PR-ILS-03-002-Inspeção no enrolamento do estatorcabeças de bobina </t>
  </si>
  <si>
    <t>PR-ILS-03-003</t>
  </si>
  <si>
    <t xml:space="preserve">PR-ILS-03-003-Inspeção no enrolamento do estatoraneis de surto e barramento circular </t>
  </si>
  <si>
    <t>PR-ILS-03-004</t>
  </si>
  <si>
    <t xml:space="preserve">PR-ILS-03-004-Inspeção no nucleo do estatordedos pressao e escadinha </t>
  </si>
  <si>
    <t>PR-ILS-03-005</t>
  </si>
  <si>
    <t xml:space="preserve">PR-ILS-03-005-Inspec e Manut no nucleo do estatorcunhas de fechamento de ranhuras Rev1 </t>
  </si>
  <si>
    <t>PR-ILS-03-006</t>
  </si>
  <si>
    <t xml:space="preserve">PR-ILS-03-006-Inspecao nos polosbobinas e conexoes principais e amortecedor </t>
  </si>
  <si>
    <t>PR-ILS-03-007</t>
  </si>
  <si>
    <t xml:space="preserve">PR-ILS-03-007-Inspeção rotorconexoes e parte rotativa </t>
  </si>
  <si>
    <t>PR-ILS-03-008</t>
  </si>
  <si>
    <t xml:space="preserve">PR-ILS-03-008-Manutencao Estatordesmontagem e montagem das conexoes flexiveis Rev1 </t>
  </si>
  <si>
    <t>PR-ILS-03-009</t>
  </si>
  <si>
    <t xml:space="preserve">PR-ILS-03-009-Ensaios na substituiçao de barra Rev1 </t>
  </si>
  <si>
    <t>PR-ILS-03-010</t>
  </si>
  <si>
    <t xml:space="preserve">PR-ILS-03-010-Manutencao Estatorsecagem enrolamento Rev1 </t>
  </si>
  <si>
    <t>PR-ILS-03-011</t>
  </si>
  <si>
    <t xml:space="preserve">PR-ILS-03-011-Manutencao Polosmontagem e controle das conexoes principais e amortecedor </t>
  </si>
  <si>
    <t>PR-ILS-03-012</t>
  </si>
  <si>
    <t xml:space="preserve">PR-ILS-03-012-Manutencao Polos -substituição de polo Rev1 </t>
  </si>
  <si>
    <t>PR-ILS-03-013</t>
  </si>
  <si>
    <t xml:space="preserve">PR-ILS-03-013-Manutancao Rotordesmontagem e montagem barramento de campo Rev1 </t>
  </si>
  <si>
    <t>PR-ILS-03-014</t>
  </si>
  <si>
    <t xml:space="preserve">PR-ILS-03-014-Manutancao porta escovas </t>
  </si>
  <si>
    <t>PR-ILS-03-015</t>
  </si>
  <si>
    <t xml:space="preserve">PR-ILS-03-015-Manutancao aneis coletores </t>
  </si>
  <si>
    <t>PR-ILS-03-016</t>
  </si>
  <si>
    <t xml:space="preserve">PR-ILS-03-016-Inspeção cubiculos lado neutro </t>
  </si>
  <si>
    <t>PR-ILS-03-020</t>
  </si>
  <si>
    <t xml:space="preserve">PR-ILS-03-020-Manutencao Estatorcontrole aperto nucleo </t>
  </si>
  <si>
    <t>PR-ILS-03-101</t>
  </si>
  <si>
    <t xml:space="preserve">PR-ILS-03-101Testes enrolamento estator e rotorisolação, IP, IA </t>
  </si>
  <si>
    <t>PR-ILS-03-102</t>
  </si>
  <si>
    <t xml:space="preserve">PR-ILS-03-102Testes enrolamento estator e rotorResistência Ohmica </t>
  </si>
  <si>
    <t>PR-ILS-03-103</t>
  </si>
  <si>
    <t xml:space="preserve">PR-ILS-03-103Testes enrolamento estatorensaio de corrente de fuga Rev1 </t>
  </si>
  <si>
    <t>PR-ILS-03-104</t>
  </si>
  <si>
    <t xml:space="preserve">PR-ILS-03-104Testes enrolamento estatortangente delta </t>
  </si>
  <si>
    <t>PR-ILS-03-105</t>
  </si>
  <si>
    <t xml:space="preserve">PR-ILS-03-105Testes enrolamento estator e rotorTensao Aplicada (hipot) AC-CC </t>
  </si>
  <si>
    <t>PR-ILS-03-106</t>
  </si>
  <si>
    <t xml:space="preserve">PR-ILS-03-106Testes enrolamento rotorResistencia ohmica das conexoes polares </t>
  </si>
  <si>
    <t>PR-ILS-03-107</t>
  </si>
  <si>
    <t xml:space="preserve">PR-ILS-03-107Testes enrolamento rotorEnsaio de queda de tensao nos polos Rev1 </t>
  </si>
  <si>
    <t>PR-ILS-03-108</t>
  </si>
  <si>
    <t xml:space="preserve">PR-ILS-03-108Testes circuito de campomedição isolação componentes </t>
  </si>
  <si>
    <t>PR-ILS-03-109</t>
  </si>
  <si>
    <t xml:space="preserve">PR-ILS-03-109Testes enrolamento estatortensão de ranhura </t>
  </si>
  <si>
    <t>PR-ILS-03-110</t>
  </si>
  <si>
    <t xml:space="preserve">PR-ILS-03-110Ensaios nos RTDs Rev1 </t>
  </si>
  <si>
    <t>PR-ILS-03-111</t>
  </si>
  <si>
    <t xml:space="preserve">PR-ILS-03-111Testes enrolamento estator- Ensaio de corona visual </t>
  </si>
  <si>
    <t>PR-ILS-03-112</t>
  </si>
  <si>
    <t xml:space="preserve">PR-ILS-03-112Ensaios equipmts auxpainel de neutro Rev1 </t>
  </si>
  <si>
    <t>PR-ILS-03-113</t>
  </si>
  <si>
    <t xml:space="preserve">PR-ILS-03-113Ensaios nos aquecedores de maq parada </t>
  </si>
  <si>
    <t>PR-ILS-03-114</t>
  </si>
  <si>
    <t xml:space="preserve">PR-ILS-03-114Ensaios para levantamento das curvas caracterisitcas </t>
  </si>
  <si>
    <t>PR-ILS-03-115</t>
  </si>
  <si>
    <t xml:space="preserve">PR-ILS-03-115Ensaio de aquecimento do Gerador </t>
  </si>
  <si>
    <t>PR-ILS-04-001</t>
  </si>
  <si>
    <t xml:space="preserve">PR-ILS-04-001Ensaio de automatismo de motoresbombas </t>
  </si>
  <si>
    <t>PR-ILS-04-002</t>
  </si>
  <si>
    <t xml:space="preserve">PR-ILS-04-002Ensaio de automatismo do sistema hidráulico RV </t>
  </si>
  <si>
    <t>PR-ILS-04-003</t>
  </si>
  <si>
    <t xml:space="preserve">PR-ILS-04-003Ensaio de Fluxostatos </t>
  </si>
  <si>
    <t>PR-ILS-04-004</t>
  </si>
  <si>
    <t xml:space="preserve">PR-ILS-04-004Ensaio de fontes de alimentação </t>
  </si>
  <si>
    <t>PR-ILS-04-005</t>
  </si>
  <si>
    <t xml:space="preserve">PR-ILS-04-005Ensaio de Resistência de Isolação </t>
  </si>
  <si>
    <t>PR-ILS-04-006</t>
  </si>
  <si>
    <t xml:space="preserve">PR-ILS-04-006Ensaio de Pressostatos </t>
  </si>
  <si>
    <t>PR-ILS-04-007</t>
  </si>
  <si>
    <t xml:space="preserve">PR-ILS-04-007Ensaio de relés de subtensão </t>
  </si>
  <si>
    <t>PR-ILS-04-008</t>
  </si>
  <si>
    <t xml:space="preserve">PR-ILS-04-008Ensaio de relés temporizadores </t>
  </si>
  <si>
    <t>PR-ILS-04-009</t>
  </si>
  <si>
    <t xml:space="preserve">PR-ILS-04-009Ensaio de Resistência de contato em relés auxiliares </t>
  </si>
  <si>
    <t>PR-ILS-04-010</t>
  </si>
  <si>
    <t xml:space="preserve">PR-ILS-04-010Ensaio de sensores atuadores de posição </t>
  </si>
  <si>
    <t>PR-ILS-04-011</t>
  </si>
  <si>
    <t xml:space="preserve">PR-ILS-04-011Ensaio de simulação de partida e parada UAC </t>
  </si>
  <si>
    <t>PR-ILS-04-012</t>
  </si>
  <si>
    <t xml:space="preserve">PR-ILS-04-012Ensaio de sistema de água de refrigeração </t>
  </si>
  <si>
    <t>PR-ILS-04-013</t>
  </si>
  <si>
    <t xml:space="preserve">PR-ILS-04-013Ensaio de sistema de aquecimento gerador </t>
  </si>
  <si>
    <t>PR-ILS-04-014</t>
  </si>
  <si>
    <t xml:space="preserve">PR-ILS-04-014Ensaio de sistema de frenagem </t>
  </si>
  <si>
    <t>PR-ILS-04-015</t>
  </si>
  <si>
    <t xml:space="preserve">PR-ILS-04-015Ensaio de transferência automática de fontes </t>
  </si>
  <si>
    <t>PR-ILS-04-016</t>
  </si>
  <si>
    <t xml:space="preserve">PR-ILS-04-016Ensaio de transmissores de pressão </t>
  </si>
  <si>
    <t>PR-ILS-04-017</t>
  </si>
  <si>
    <t xml:space="preserve">PR-ILS-04-017Ensaio de transmissores de temperatura </t>
  </si>
  <si>
    <t>PR-ILS-04-018</t>
  </si>
  <si>
    <t xml:space="preserve">PR-ILS-04-018Ensaio de transmissores de vazão </t>
  </si>
  <si>
    <t>PR-ILS-04-019</t>
  </si>
  <si>
    <t xml:space="preserve">PR-ILS-04-019Ensaio dos sensores de pinos de cisalhamento das diretrizes </t>
  </si>
  <si>
    <t>PR-ILS-04-020</t>
  </si>
  <si>
    <t xml:space="preserve">PR-ILS-04-020Ensaio do sistema de filtragem de água de refrigeração </t>
  </si>
  <si>
    <t>PR-ILS-04-021</t>
  </si>
  <si>
    <t xml:space="preserve">PR-ILS-04-021Tabela de controle desconexão e conexão de cabos </t>
  </si>
  <si>
    <t>PR-ILS-04-022</t>
  </si>
  <si>
    <t xml:space="preserve">PR-ILS-04-022Ensaio de Transferencia de fontes de alimentação </t>
  </si>
  <si>
    <t>PR-ILS-05-000</t>
  </si>
  <si>
    <t xml:space="preserve">PR-ILS-05-000Itens de manutenção e teste </t>
  </si>
  <si>
    <t>PR-ILS-05-003</t>
  </si>
  <si>
    <t xml:space="preserve">PR-ILS-05-003Ensaio de isolação em barramento blindado </t>
  </si>
  <si>
    <t>PR-ILS-05-004</t>
  </si>
  <si>
    <t xml:space="preserve">PR-ILS-05-004Ensaio de tensão aplicada em barramento blindado </t>
  </si>
  <si>
    <t>PR-ILS-05-005</t>
  </si>
  <si>
    <t xml:space="preserve">PR-ILS-05-005Ensaio de TC de cubículos do gerador </t>
  </si>
  <si>
    <t>PR-ILS-05-006</t>
  </si>
  <si>
    <t xml:space="preserve">PR-ILS-05-006Ensaio de TP de cubículos do gerador </t>
  </si>
  <si>
    <t>PR-ILS-05-007</t>
  </si>
  <si>
    <t xml:space="preserve">PR-ILS-05-007Ensaio de protetores de surto do gerador </t>
  </si>
  <si>
    <t>PR-ILS-06-001</t>
  </si>
  <si>
    <t xml:space="preserve">PR-ILS-06-001Inspeção visual do tanque, sistema de preservação e resfriamento </t>
  </si>
  <si>
    <t>PR-ILS-06-002</t>
  </si>
  <si>
    <t xml:space="preserve">PR-ILS-06-002Inspeção visual das buchas </t>
  </si>
  <si>
    <t>PR-ILS-06-003</t>
  </si>
  <si>
    <t xml:space="preserve">PR-ILS-06-003Inspeção visual dos TCs de bucha </t>
  </si>
  <si>
    <t>PR-ILS-06-004</t>
  </si>
  <si>
    <t xml:space="preserve">PR-ILS-06-004Inspeção visual indicadores e termômetros </t>
  </si>
  <si>
    <t>PR-ILS-06-005</t>
  </si>
  <si>
    <t xml:space="preserve">PR-ILS-06-005Inspeção visual do relé de gás e DAP </t>
  </si>
  <si>
    <t>PR-ILS-06-006</t>
  </si>
  <si>
    <t xml:space="preserve">PR-ILS-06-006Inspeção visual painel de controle </t>
  </si>
  <si>
    <t>PR-ILS-06-007</t>
  </si>
  <si>
    <t xml:space="preserve">PR-ILS-06-007 e 06-021Ensaio de Resistência de isolamento </t>
  </si>
  <si>
    <t>PR-ILS-06-008</t>
  </si>
  <si>
    <t xml:space="preserve">PR-ILS-06-008Ensaio de Resistência elétrica dos Enrolamentos </t>
  </si>
  <si>
    <t>PR-ILS-06-009</t>
  </si>
  <si>
    <t xml:space="preserve">PR-ILS-06-009Ensaio de Fator de Potência e Capacitância dos enrolamentos </t>
  </si>
  <si>
    <t>PR-ILS-06-010</t>
  </si>
  <si>
    <t xml:space="preserve">PR-ILS-06-010Ensaio de relação de transformação </t>
  </si>
  <si>
    <t>PR-ILS-06-011</t>
  </si>
  <si>
    <t xml:space="preserve">PR-ILS-06-011Ensaio de Corrente de excitação monofásica </t>
  </si>
  <si>
    <t>PR-ILS-06-012</t>
  </si>
  <si>
    <t xml:space="preserve">PR-ILS-06-012Ensaio de impedância de curto-circuito </t>
  </si>
  <si>
    <t>PR-ILS-06-013</t>
  </si>
  <si>
    <t xml:space="preserve">PR-ILS-06-013-014-015Ensaio no RTD, Relé de Gás e DAP </t>
  </si>
  <si>
    <t>PR-ILS-06-016</t>
  </si>
  <si>
    <t xml:space="preserve">PR-ILS-06-016- Ensaio de Estanqueidade </t>
  </si>
  <si>
    <t>PR-ILS-06-018</t>
  </si>
  <si>
    <t xml:space="preserve">PR-ILS-06-018Ensaio de Fator de Potência e Capacitância das buchas </t>
  </si>
  <si>
    <t>PR-ILS-06-019</t>
  </si>
  <si>
    <t xml:space="preserve">PR-ILS-06-019Ensaio nos TC's </t>
  </si>
  <si>
    <t xml:space="preserve">PR-ILS-06-019Ensaio nos TCs </t>
  </si>
  <si>
    <t>PR-ILS-06-020</t>
  </si>
  <si>
    <t xml:space="preserve">PR-ILS-06-020Ensaio sistema de resfriamento </t>
  </si>
  <si>
    <t>PR-ILS-07-000</t>
  </si>
  <si>
    <t xml:space="preserve">PR-ILS-07-000Itens de manutenção e teste </t>
  </si>
  <si>
    <t>PR-ILS-07-001</t>
  </si>
  <si>
    <t xml:space="preserve">PR-ILS-07-001Ensaio de isolação em transformadores a seco </t>
  </si>
  <si>
    <t>PR-ILS-07-002</t>
  </si>
  <si>
    <t xml:space="preserve">PR-ILS-07-002Ensaio de resistência DC em transformadores à seco </t>
  </si>
  <si>
    <t>PR-ILS-07-003</t>
  </si>
  <si>
    <t xml:space="preserve">PR-ILS-07-003Ensaio de tensão aplicada em transformadores a seco </t>
  </si>
  <si>
    <t>PR-ILS-07-004</t>
  </si>
  <si>
    <t xml:space="preserve">PR-ILS-07-004Ensaio de relação de transformação e polaridade em transformadores a seco </t>
  </si>
  <si>
    <t>PR-ILS-09-000</t>
  </si>
  <si>
    <t xml:space="preserve">PR-ILS-09-000Itens de manutenção e teste </t>
  </si>
  <si>
    <t>PR-ILS-09-001</t>
  </si>
  <si>
    <t xml:space="preserve">PR-ILS-09-001Ensaio de resistência DC em barramento de painéis de média tensão </t>
  </si>
  <si>
    <t>PR-ILS-09-002</t>
  </si>
  <si>
    <t xml:space="preserve">PR-ILS-09-002Ensaio de isolação em barramento de painéis de média tensão </t>
  </si>
  <si>
    <t>PR-ILS-09-003</t>
  </si>
  <si>
    <t xml:space="preserve">PR-ILS-09-003Ensaio de tensão aplicada em barramento de painéis de média tensão </t>
  </si>
  <si>
    <t>PR-ILS-09-004</t>
  </si>
  <si>
    <t xml:space="preserve">PR-ILS-09-004Ensaio de disjuntores de média tensão </t>
  </si>
  <si>
    <t>PR-ILS-09-005</t>
  </si>
  <si>
    <t xml:space="preserve">PR-ILS-09-005Ensaio de tensão aplicada em disjuntores de média tensão </t>
  </si>
  <si>
    <t>PR-ILS-09-006</t>
  </si>
  <si>
    <t xml:space="preserve">PR-ILS-09-006Ensaio de TC de painéis de média tensão </t>
  </si>
  <si>
    <t>PR-ILS-09-007</t>
  </si>
  <si>
    <t xml:space="preserve">PR-ILS-09-007Ensaio de TP de painéis de média tensão </t>
  </si>
  <si>
    <t>PR-ILS-09-008</t>
  </si>
  <si>
    <t xml:space="preserve">PR-ILS-09-008Ensaio de protetores de surto de painéis de média tensão </t>
  </si>
  <si>
    <t>PR-ILS-10-000</t>
  </si>
  <si>
    <t xml:space="preserve">PR-ILS-10-000Itens de manutenção e teste </t>
  </si>
  <si>
    <t>PR-ILS-10-001</t>
  </si>
  <si>
    <t xml:space="preserve">PR-ILS-10-001Ensaio de isolação em barramento de painéis de baixa tensão </t>
  </si>
  <si>
    <t>PR-ILS-10-002</t>
  </si>
  <si>
    <t xml:space="preserve">PR-ILS-10-002Ensaio de resistência DC em barramento de painéis de baixa tensão </t>
  </si>
  <si>
    <t>PR-ILS-10-003</t>
  </si>
  <si>
    <t xml:space="preserve">PR-ILS-10-003Ensaio de tensão aplicada em barramento de painéis de baixa tensão </t>
  </si>
  <si>
    <t>PR-ILS-10-004</t>
  </si>
  <si>
    <t xml:space="preserve">PR-ILS-10-004Ensaio de disjuntores de caixa moldada em painéis de baixa tensão </t>
  </si>
  <si>
    <t>PR-ILS-10-005</t>
  </si>
  <si>
    <t xml:space="preserve">PR-ILS-10-005Ensaio de isolação em TP de painéis de baixa tensão </t>
  </si>
  <si>
    <t>PR-ILS-10-006</t>
  </si>
  <si>
    <t xml:space="preserve">PR-ILS-10-006Ensaio de isolação em cabos de painéis de baixa tensão </t>
  </si>
  <si>
    <t>PR-ILS-10-007</t>
  </si>
  <si>
    <t xml:space="preserve">PR-ILS-10-007- Ensaio de acoplamento automático de barras em painéis de baixa tensão </t>
  </si>
  <si>
    <t>PR-ILS-11-000</t>
  </si>
  <si>
    <t xml:space="preserve">PR-ILS-11-000Itens de manutenção e teste </t>
  </si>
  <si>
    <t>PR-ILS-11-001</t>
  </si>
  <si>
    <t xml:space="preserve">PR-ILS-11-001Ensaio de isolação em cabos até 35kV </t>
  </si>
  <si>
    <t>PR-ILS-11-002</t>
  </si>
  <si>
    <t xml:space="preserve">PR-ILS-11-002Ensaio de fator de perda dielétrica em cabos até 35kV </t>
  </si>
  <si>
    <t>PR-ILS-11-003</t>
  </si>
  <si>
    <t xml:space="preserve">PR-ILS-11-003Ensaio de tensão aplicada em cabos até 35kV </t>
  </si>
  <si>
    <t>PR-ILS-12-001</t>
  </si>
  <si>
    <t xml:space="preserve">PR-ILS-12-001Controle de alteração e backup software </t>
  </si>
  <si>
    <t>PR-ILS-13-001</t>
  </si>
  <si>
    <t xml:space="preserve">PR-ILS-13-001Resistência de Isolação </t>
  </si>
  <si>
    <t>PR-ILS-13-002</t>
  </si>
  <si>
    <t xml:space="preserve">PR-ILS-13-002Resistência de contato em relés auxiliares </t>
  </si>
  <si>
    <t>PR-ILS-13-003</t>
  </si>
  <si>
    <t xml:space="preserve">PR-ILS-13-003Ensaios em relés auxiliares </t>
  </si>
  <si>
    <t>PR-ILS-13-004</t>
  </si>
  <si>
    <t xml:space="preserve">PR-ILS-13-004Calibração de transdutores </t>
  </si>
  <si>
    <t>PR-ILS-13-005</t>
  </si>
  <si>
    <t xml:space="preserve">PR-ILS-13-005Ensaios em relés de sincronismo (ANSI 25) </t>
  </si>
  <si>
    <t>PR-ILS-13-006</t>
  </si>
  <si>
    <t xml:space="preserve">PR-ILS-13-006Controle de alteração e backup software </t>
  </si>
  <si>
    <t>PR-ILS-14-001</t>
  </si>
  <si>
    <t xml:space="preserve">PR-ILS-14-001Controle de alteração e backup software </t>
  </si>
  <si>
    <t>PR-ILS-15-001</t>
  </si>
  <si>
    <t xml:space="preserve">PR-ILS-15-001Ensaios em Transformadores de Corrente </t>
  </si>
  <si>
    <t>PR-ILS-15-002</t>
  </si>
  <si>
    <t xml:space="preserve">PR-ILS-15-002Ensaios em Transformadores de Potencial </t>
  </si>
  <si>
    <t>PR-ILS-15-003</t>
  </si>
  <si>
    <t xml:space="preserve">PR-ILS-15-003Ensaio de Isolação </t>
  </si>
  <si>
    <t>PR-ILS-15-004</t>
  </si>
  <si>
    <t xml:space="preserve">PR-ILS-15-004Ensaio de Resistência </t>
  </si>
  <si>
    <t>PR-ILS-15-005</t>
  </si>
  <si>
    <t xml:space="preserve">PR-ILS-15-005Ensaio de curva característica do TC </t>
  </si>
  <si>
    <t>PR-ILS-15-006</t>
  </si>
  <si>
    <t xml:space="preserve">PR-ILS-15-006Proteção Diferencial </t>
  </si>
  <si>
    <t>PR-ILS-15-007</t>
  </si>
  <si>
    <t xml:space="preserve">PR-ILS-15-007Proteção de Sobre e sub Frequência </t>
  </si>
  <si>
    <t>PR-ILS-15-009</t>
  </si>
  <si>
    <t xml:space="preserve">PR-ILS-15-009Proteção de Potencia Reversa </t>
  </si>
  <si>
    <t>PR-ILS-15-011</t>
  </si>
  <si>
    <t xml:space="preserve">PR-ILS-15-011Proteção de Subtensão </t>
  </si>
  <si>
    <t>PR-ILS-15-012</t>
  </si>
  <si>
    <t xml:space="preserve">PR-ILS-15-012Proteção de Energização Inadvertida </t>
  </si>
  <si>
    <t>PR-ILS-15-013</t>
  </si>
  <si>
    <t xml:space="preserve">PR-ILS-15-013Proteção de sobrecorrente com restrição de tensão </t>
  </si>
  <si>
    <t>PR-ILS-15-014</t>
  </si>
  <si>
    <t xml:space="preserve">PR-ILS-15-014Proteção Diferencial de terra restrita </t>
  </si>
  <si>
    <t>PR-ILS-15-015</t>
  </si>
  <si>
    <t xml:space="preserve">PR-ILS-15-015Proteção de Terra Rotor </t>
  </si>
  <si>
    <t>PR-ILS-15-016</t>
  </si>
  <si>
    <t xml:space="preserve">PR-ILS-15-016Proteção de Sequência Negativa </t>
  </si>
  <si>
    <t>PR-ILS-15-017</t>
  </si>
  <si>
    <t xml:space="preserve">PR-ILS-15-017Proteção de Perda de Excitação </t>
  </si>
  <si>
    <t>PR-ILS-15-018</t>
  </si>
  <si>
    <t xml:space="preserve">PR-ILS-15-018Proteção de Falha Fusível </t>
  </si>
  <si>
    <t>PR-ILS-15-019</t>
  </si>
  <si>
    <t xml:space="preserve">PR-ILS-15-019Proteção de Mínima Impedância </t>
  </si>
  <si>
    <t>PR-ILS-15-020</t>
  </si>
  <si>
    <t xml:space="preserve">PR-ILS-15-020Proteção Diferencial Transversal do Gerador </t>
  </si>
  <si>
    <t>PR-ILS-15-021</t>
  </si>
  <si>
    <t xml:space="preserve">PR-ILS-15-021Proteção de Terra Estator 95 </t>
  </si>
  <si>
    <t>PR-ILS-15-022</t>
  </si>
  <si>
    <t xml:space="preserve">PR-ILS-15-022Proteção de Terra Estator 100 </t>
  </si>
  <si>
    <t>PR-ILS-15-023</t>
  </si>
  <si>
    <t xml:space="preserve">PR-ILS-15-023Proteção de Sobretensão </t>
  </si>
  <si>
    <t>PR-ILS-15-024</t>
  </si>
  <si>
    <t xml:space="preserve">PR-ILS-15-024Proteção de Sobreexcitação </t>
  </si>
  <si>
    <t>PR-ILS-15-025</t>
  </si>
  <si>
    <t xml:space="preserve">PR-ILS-15-025Proteção de Sobrecarga </t>
  </si>
  <si>
    <t>PR-ILS-15-026</t>
  </si>
  <si>
    <t xml:space="preserve">PR-ILS-15-026Proteção de Falha Disjuntor </t>
  </si>
  <si>
    <t>PR-ILS-15-027</t>
  </si>
  <si>
    <t xml:space="preserve">PR-ILS-15-027Ensaio em relés de bloqueio-trip </t>
  </si>
  <si>
    <t>PR-ILS-16-001</t>
  </si>
  <si>
    <t xml:space="preserve">PR-ILS-16-001Ensaios em Transformadores de Corrente </t>
  </si>
  <si>
    <t>PR-ILS-16-002</t>
  </si>
  <si>
    <t xml:space="preserve">PR-ILS-16-002Ensaio de Isolação </t>
  </si>
  <si>
    <t>PR-ILS-16-003</t>
  </si>
  <si>
    <t xml:space="preserve">PR-ILS-16-003Proteção de Falha Disjuntor </t>
  </si>
  <si>
    <t>PR-ILS-16-004</t>
  </si>
  <si>
    <t xml:space="preserve">PR-ILS-16-004Ensaio em relés de bloqueio-trip </t>
  </si>
  <si>
    <t>PR-ILS-16-005</t>
  </si>
  <si>
    <t xml:space="preserve">PR-ILS-16-005Ensaio de curva característica do TC </t>
  </si>
  <si>
    <t>PR-ILS-17-001</t>
  </si>
  <si>
    <t xml:space="preserve">PR-ILS-17-001Ensaios em Transformadores de Corrente </t>
  </si>
  <si>
    <t>PR-ILS-17-002</t>
  </si>
  <si>
    <t xml:space="preserve">PR-ILS-17-002Ensaios em Transformadores de Potencial </t>
  </si>
  <si>
    <t>PR-ILS-17-003</t>
  </si>
  <si>
    <t xml:space="preserve">PR-ILS-17-003Ensaio de Isolação </t>
  </si>
  <si>
    <t>PR-ILS-17-004</t>
  </si>
  <si>
    <t xml:space="preserve">PR-ILS-17-004Ensaio de Resistência </t>
  </si>
  <si>
    <t>PR-ILS-17-005</t>
  </si>
  <si>
    <t xml:space="preserve">PR-ILS-17-005Ensaio de curva característica do TC </t>
  </si>
  <si>
    <t>PR-ILS-17-006</t>
  </si>
  <si>
    <t xml:space="preserve">PR-ILS-17-006Ensaio em relés de bloqueio-trip </t>
  </si>
  <si>
    <t>PR-ILS-18-000</t>
  </si>
  <si>
    <t xml:space="preserve">PR-ILS-18-000Check list de ensaios </t>
  </si>
  <si>
    <t>PR-ILS-18-001</t>
  </si>
  <si>
    <t xml:space="preserve">PR-ILS-18-001Ensaio de componentes e instumentos </t>
  </si>
  <si>
    <t>PR-ILS-18-002</t>
  </si>
  <si>
    <t xml:space="preserve">PR-ILS-18-002Ensaios de proteção sobretensão </t>
  </si>
  <si>
    <t>PR-ILS-18-003</t>
  </si>
  <si>
    <t xml:space="preserve">PR-ILS-18-003Ensaio isolação circuito primário </t>
  </si>
  <si>
    <t>PR-ILS-18-004</t>
  </si>
  <si>
    <t xml:space="preserve">PR-ILS-18-004Ensaio isolação circuito secundário </t>
  </si>
  <si>
    <t>PR-ILS-18-005</t>
  </si>
  <si>
    <t xml:space="preserve">PR-ILS-18-005Ensaios PLC </t>
  </si>
  <si>
    <t>PR-ILS-18-006</t>
  </si>
  <si>
    <t xml:space="preserve">PR-ILS-18-006Ensaios Simulação </t>
  </si>
  <si>
    <t>PR-ILS-18-007</t>
  </si>
  <si>
    <t xml:space="preserve">PR-ILS-18-007Ensaios funcionais </t>
  </si>
  <si>
    <t>PR-ILS-19-000</t>
  </si>
  <si>
    <t xml:space="preserve">PR-ILS-19-000Itens de manutenção e teste </t>
  </si>
  <si>
    <t>PR-ILS-19-001</t>
  </si>
  <si>
    <t xml:space="preserve">PR-ILS-19-001Ensaio de baterias </t>
  </si>
  <si>
    <t>PR-ILS-19-002</t>
  </si>
  <si>
    <t xml:space="preserve">PR-ILS-19-002Ensaio de capacidade e equalização de baterias </t>
  </si>
  <si>
    <t>PR-ILS-19-003</t>
  </si>
  <si>
    <t xml:space="preserve">PR-ILS-19-003Ensaio de retificadores e USCC </t>
  </si>
  <si>
    <t>PR-ILS-20-001</t>
  </si>
  <si>
    <t xml:space="preserve">PR-ILS-20-001Inspeção válvulas distribuidoras (CD e CR) </t>
  </si>
  <si>
    <t>PR-ILS-20-002</t>
  </si>
  <si>
    <t xml:space="preserve">PR-ILS-20-002Inspeção válvulas controle hidráulico </t>
  </si>
  <si>
    <t>PR-ILS-20-003</t>
  </si>
  <si>
    <t xml:space="preserve">PR-ILS-20-003Inspeção servomotor do distribuidor </t>
  </si>
  <si>
    <t>PR-ILS-20-004</t>
  </si>
  <si>
    <t xml:space="preserve">PR-ILS-20-004Inspeção sistema resfriamento RV </t>
  </si>
  <si>
    <t>PR-ILS-20-005</t>
  </si>
  <si>
    <t xml:space="preserve">PR-ILS-20-005Inspeção no acumulador ar e óleo </t>
  </si>
  <si>
    <t>PR-ILS-20-006</t>
  </si>
  <si>
    <t xml:space="preserve">PR-ILS-20-006Calibração válvula de segurança acumulador ar óleo </t>
  </si>
  <si>
    <t>PR-ILS-20-007</t>
  </si>
  <si>
    <t xml:space="preserve">PR-ILS-20-007Critérios de testes </t>
  </si>
  <si>
    <t>PR-ILS-21-000</t>
  </si>
  <si>
    <t xml:space="preserve">PR-ILS-21-000Check list de ensaios </t>
  </si>
  <si>
    <t>PR-ILS-21-001</t>
  </si>
  <si>
    <t xml:space="preserve">PR-ILS-21-001Ensaios de componentes instrumentos plc </t>
  </si>
  <si>
    <t>PR-ILS-21-002</t>
  </si>
  <si>
    <t xml:space="preserve">PR-ILS-21-002Ensaios circuitos elétricos </t>
  </si>
  <si>
    <t>PR-ILS-21-003</t>
  </si>
  <si>
    <t xml:space="preserve">PR-ILS-21-003Ensaios água morta </t>
  </si>
  <si>
    <t>PR-ILS-21-004</t>
  </si>
  <si>
    <t xml:space="preserve">PR-ILS-21-004Ensaios em vazio </t>
  </si>
  <si>
    <t>PR-ILS-21-005</t>
  </si>
  <si>
    <t xml:space="preserve">PR-ILS-21-005Ensaios em carga </t>
  </si>
  <si>
    <t>PR-ILS-22-001</t>
  </si>
  <si>
    <t xml:space="preserve">PR-ILS-22-001Itens de manutençãoCheck-list </t>
  </si>
  <si>
    <t>PR-ILS-23-001</t>
  </si>
  <si>
    <t xml:space="preserve">PR-ILS-23-001Itens de manutençãoCheck-list </t>
  </si>
  <si>
    <t>PR-ILS-24-001</t>
  </si>
  <si>
    <t xml:space="preserve">PR-ILS-24-001Itens de manutençãoCheck-list </t>
  </si>
  <si>
    <t>PR-ILS-25-001</t>
  </si>
  <si>
    <t xml:space="preserve">PR-ILS-25-001Ensaio de Isolação </t>
  </si>
  <si>
    <t>PR-ILS-25-002</t>
  </si>
  <si>
    <t xml:space="preserve">PR-ILS-25-002Ensaio de Resistência </t>
  </si>
  <si>
    <t>PR-ILS-26-001</t>
  </si>
  <si>
    <t xml:space="preserve">PR-ILS-26-001Itens de manutençãoCheck-list </t>
  </si>
  <si>
    <t>PR-ILS-27-001</t>
  </si>
  <si>
    <t xml:space="preserve">PR-ILS-27-001Itens de manutençãoCheck-list </t>
  </si>
  <si>
    <t>PR-ILS-28-001</t>
  </si>
  <si>
    <t xml:space="preserve">PR-ILS-28-001Itens de manutençãoCheck-list </t>
  </si>
  <si>
    <t>PR-ILS-29-001</t>
  </si>
  <si>
    <t xml:space="preserve">PR-ILS-29-001Itens de manutençãoCheck-list </t>
  </si>
  <si>
    <t>PR-ILS-30-002</t>
  </si>
  <si>
    <t xml:space="preserve">PR-ILS-30-002Medição dos ganchos </t>
  </si>
  <si>
    <t>PR-ILS-30-003</t>
  </si>
  <si>
    <t xml:space="preserve">PR-ILS-30-003Ajuste e medição nos freios </t>
  </si>
  <si>
    <t>PR-ILS-31-002</t>
  </si>
  <si>
    <t xml:space="preserve">PR-ILS-31-002Medição dos ganchos </t>
  </si>
  <si>
    <t>PR-ILS-31-003</t>
  </si>
  <si>
    <t xml:space="preserve">PR-ILS-31-003Ajuste e medição nos freios </t>
  </si>
  <si>
    <t>PR-ILS-32-002</t>
  </si>
  <si>
    <t xml:space="preserve">PR-ILS-32-002Medição dos ganchos </t>
  </si>
  <si>
    <t>PR-ILS-32-003</t>
  </si>
  <si>
    <t xml:space="preserve">PR-ILS-32-003Ajuste e medição nos freios </t>
  </si>
  <si>
    <t>PR-ILS-33-001</t>
  </si>
  <si>
    <t xml:space="preserve">PR-ILS-33-001Itens de manutençãoCheck-list </t>
  </si>
  <si>
    <t>PR-ILS-40-001</t>
  </si>
  <si>
    <t xml:space="preserve">PR-ILS-40-001Ensaio do sistema de iluminação </t>
  </si>
  <si>
    <t>PR-ILS-40-002</t>
  </si>
  <si>
    <t xml:space="preserve">PR-ILS-40-002Ensaio de pontos de tomada e de dispositivos DR </t>
  </si>
  <si>
    <t>PR-ILS-41-001</t>
  </si>
  <si>
    <t xml:space="preserve">PR-ILS-41-001Ensaio de resistência de aterramento </t>
  </si>
  <si>
    <t>PR-ILS-41-002</t>
  </si>
  <si>
    <t xml:space="preserve">PR-ILS-41-002Ensaio de tensão de toque e passo </t>
  </si>
  <si>
    <t>PR-ILS-41-003</t>
  </si>
  <si>
    <t xml:space="preserve">PR-ILS-41-003Ensaio de continuidade </t>
  </si>
  <si>
    <t>PR-ILS-51-001</t>
  </si>
  <si>
    <t xml:space="preserve">PR-ILS-51-001Inspeção visual do tanque, TCs, Buchas, sistema de preservação e resfriamento </t>
  </si>
  <si>
    <t>PR-ILS-51-002</t>
  </si>
  <si>
    <t xml:space="preserve">PR-ILS-51-002Inspeção visual indicadores de nível de óleo </t>
  </si>
  <si>
    <t>PR-ILS-51-003</t>
  </si>
  <si>
    <t xml:space="preserve">PR-ILS-51-003Inspeção visual termômetros </t>
  </si>
  <si>
    <t>PR-ILS-51-004</t>
  </si>
  <si>
    <t xml:space="preserve">PR-ILS-51-004Inspeção visual do relé de gás, relé de pressão e DAP </t>
  </si>
  <si>
    <t>PR-ILS-51-005</t>
  </si>
  <si>
    <t xml:space="preserve">PR-ILS-51-005Inspeção visual painel de controle </t>
  </si>
  <si>
    <t>PR-ILS-51-006</t>
  </si>
  <si>
    <t xml:space="preserve">PR-ILS-51-006Inspeção visual comutador </t>
  </si>
  <si>
    <t>PR-ILS-51-007</t>
  </si>
  <si>
    <t xml:space="preserve">PR-ILS-51-007Ensaio de Resistência de isolamento </t>
  </si>
  <si>
    <t>PR-ILS-51-008</t>
  </si>
  <si>
    <t xml:space="preserve">PR-ILS-51-008Ensaio de Resistência elétrica dos Enrolamentos </t>
  </si>
  <si>
    <t>PR-ILS-51-009</t>
  </si>
  <si>
    <t xml:space="preserve">PR-ILS-51-009Ensaio de Fator de Potência e Capacitância dos enrolamentos </t>
  </si>
  <si>
    <t>PR-ILS-51-010</t>
  </si>
  <si>
    <t xml:space="preserve">PR-ILS-51-010Ensaio de relação de transformação </t>
  </si>
  <si>
    <t>PR-ILS-51-011</t>
  </si>
  <si>
    <t xml:space="preserve">PR-ILS-51-011Ensaio de Corrente de excitação monofásica </t>
  </si>
  <si>
    <t>PR-ILS-51-012</t>
  </si>
  <si>
    <t xml:space="preserve">PR-ILS-51-012Ensaio no RTD, Relé de Gás e DAP </t>
  </si>
  <si>
    <t>PR-ILS-51-014</t>
  </si>
  <si>
    <t xml:space="preserve">PR-ILS-51-014Ensaio nos TCs </t>
  </si>
  <si>
    <t>PR-ILS-56-001</t>
  </si>
  <si>
    <t xml:space="preserve">PR-ILS-56-001Ensaios em Transformadores de Corrente </t>
  </si>
  <si>
    <t>PR-ILS-56-002</t>
  </si>
  <si>
    <t xml:space="preserve">PR-ILS-56-002Ensaio de Isolação </t>
  </si>
  <si>
    <t>PR-ILS-56-003</t>
  </si>
  <si>
    <t xml:space="preserve">PR-ILS-56-003Ensaio em relés de bloqueio-trip </t>
  </si>
  <si>
    <t>PR-ILS-56-004</t>
  </si>
  <si>
    <t xml:space="preserve">PR-ILS-56-004Ensaio de Resistência </t>
  </si>
  <si>
    <t>PR-ILS-58-001</t>
  </si>
  <si>
    <t xml:space="preserve">PR-ILS-58-001Itens de manutençãoCheck-list </t>
  </si>
  <si>
    <t>PR-ILS-59-000</t>
  </si>
  <si>
    <t xml:space="preserve">PR-ILS-59-000Itens de manutenção </t>
  </si>
  <si>
    <t>PR-ILS-59-001</t>
  </si>
  <si>
    <t xml:space="preserve">PR-ILS-59-001Ensaio de Isolação </t>
  </si>
  <si>
    <t>PR-ILS-60-001</t>
  </si>
  <si>
    <t xml:space="preserve">PR-ILS-60-001Itens de manutençãoCheck-list </t>
  </si>
  <si>
    <t>PR-ILS-61-001</t>
  </si>
  <si>
    <t xml:space="preserve">PR-ILS-61-001Itens de manutençãoCheck-list </t>
  </si>
  <si>
    <t>PR-ILS-62-001</t>
  </si>
  <si>
    <t xml:space="preserve">PR-ILS-62-001Itens de manutençãoCheck-list </t>
  </si>
  <si>
    <t>PR-ILS-63-002</t>
  </si>
  <si>
    <t xml:space="preserve">PR-ILS-63-002Medição dos ganchos </t>
  </si>
  <si>
    <t>PR-ILS-63-003</t>
  </si>
  <si>
    <t xml:space="preserve">PR-ILS-63-003Ajuste e medição nos freios </t>
  </si>
  <si>
    <t>PR-ILS-65-001</t>
  </si>
  <si>
    <t xml:space="preserve">PR-ILS-65-001Itens de manutençãoCheck-list </t>
  </si>
  <si>
    <t>PR-ILS-67-001</t>
  </si>
  <si>
    <t xml:space="preserve">PR-ILS-67-001Itens de manutençãoCheck-list </t>
  </si>
  <si>
    <t>PR-ILS-68-001</t>
  </si>
  <si>
    <t xml:space="preserve">PR-ILS-68-001Itens de manutençãoCheck-list </t>
  </si>
  <si>
    <t>PR-JUP-68-001</t>
  </si>
  <si>
    <t xml:space="preserve">PR-JUP-68-001Itens de manutençãoCheck-list </t>
  </si>
  <si>
    <t>PR-JUP-67-001</t>
  </si>
  <si>
    <t xml:space="preserve">PR-JUP-67-001Itens de manutençãoCheck-list </t>
  </si>
  <si>
    <t>PR-JUP-66-001</t>
  </si>
  <si>
    <t xml:space="preserve">PR-JUP-66-001Itens de manutençãoCheck-list </t>
  </si>
  <si>
    <t>PR-JUP-65-001</t>
  </si>
  <si>
    <t xml:space="preserve">PR-JUP-65-001Itens de manutençãoCheck-list </t>
  </si>
  <si>
    <t>PR-JUP-64-001</t>
  </si>
  <si>
    <t xml:space="preserve">PR-JUP-64-001Itens de manutençãoCheck-list </t>
  </si>
  <si>
    <t>PR-JUP-62-001</t>
  </si>
  <si>
    <t xml:space="preserve">PR-JUP-62-001Itens de manutençãoCheck-list </t>
  </si>
  <si>
    <t>PR-JUP-61-001</t>
  </si>
  <si>
    <t xml:space="preserve">PR-JUP-61-001Itens de manutençãoCheck-list </t>
  </si>
  <si>
    <t>PR-JUP-60-001</t>
  </si>
  <si>
    <t xml:space="preserve">PR-JUP-60-001Itens de manutençãoCheck-list </t>
  </si>
  <si>
    <t>PR-JUP-59-001</t>
  </si>
  <si>
    <t xml:space="preserve">PR-JUP-59-001Ensaio de Isolação </t>
  </si>
  <si>
    <t>PR-JUP-59-000</t>
  </si>
  <si>
    <t xml:space="preserve">PR-JUP-59-000Itens de manutenção </t>
  </si>
  <si>
    <t>PR-JUP-58-001</t>
  </si>
  <si>
    <t xml:space="preserve">PR-JUP-58-001Itens de manutençãoCheck-list </t>
  </si>
  <si>
    <t>PR-JUP-56-004</t>
  </si>
  <si>
    <t xml:space="preserve">PR-JUP-56-004Ensaio de Resistência </t>
  </si>
  <si>
    <t>PR-JUP-56-003</t>
  </si>
  <si>
    <t xml:space="preserve">PR-JUP-56-003Ensaio em relés de bloqueio-trip </t>
  </si>
  <si>
    <t>PR-JUP-56-002</t>
  </si>
  <si>
    <t xml:space="preserve">PR-JUP-56-002Ensaio de Isolação </t>
  </si>
  <si>
    <t>PR-JUP-56-001</t>
  </si>
  <si>
    <t xml:space="preserve">PR-JUP-56-001Ensaios em Transformadores de Corrente </t>
  </si>
  <si>
    <t>PR-JUP-51-014</t>
  </si>
  <si>
    <t xml:space="preserve">PR-JUP-51-014Ensaio nos TCs </t>
  </si>
  <si>
    <t>PR-JUP-51-012</t>
  </si>
  <si>
    <t xml:space="preserve">PR-JUP-51-012Ensaio no RTD, Relé de Gás e DAP </t>
  </si>
  <si>
    <t>PR-JUP-51-011</t>
  </si>
  <si>
    <t xml:space="preserve">PR-JUP-51-011Ensaio de Corrente de excitação monofásica </t>
  </si>
  <si>
    <t>PR-JUP-51-010</t>
  </si>
  <si>
    <t xml:space="preserve">PR-JUP-51-010Ensaio de relação de transformação </t>
  </si>
  <si>
    <t>PR-JUP-51-009</t>
  </si>
  <si>
    <t xml:space="preserve">PR-JUP-51-009Ensaio de Fator de Potência e Capacitância dos enrolamentos </t>
  </si>
  <si>
    <t>PR-JUP-51-008</t>
  </si>
  <si>
    <t xml:space="preserve">PR-JUP-51-008Ensaio de Resistência elétrica dos Enrolamentos </t>
  </si>
  <si>
    <t>PR-JUP-51-007</t>
  </si>
  <si>
    <t xml:space="preserve">PR-JUP-51-007Ensaio de Resistência de isolamento </t>
  </si>
  <si>
    <t>PR-JUP-51-006</t>
  </si>
  <si>
    <t xml:space="preserve">PR-JUP-51-006Inspeção visual comutador </t>
  </si>
  <si>
    <t>PR-JUP-51-005</t>
  </si>
  <si>
    <t xml:space="preserve">PR-JUP-51-005Inspeção visual painel de controle </t>
  </si>
  <si>
    <t>PR-JUP-51-004</t>
  </si>
  <si>
    <t xml:space="preserve">PR-JUP-51-004Inspeção visual do relé de gás, relé de pressão e DAP </t>
  </si>
  <si>
    <t>PR-JUP-51-003</t>
  </si>
  <si>
    <t xml:space="preserve">PR-JUP-51-003Inspeção visual termômetros </t>
  </si>
  <si>
    <t>PR-JUP-51-002</t>
  </si>
  <si>
    <t xml:space="preserve">PR-JUP-51-002Inspeção visual indicadores de nível de óleo </t>
  </si>
  <si>
    <t>PR-JUP-51-001</t>
  </si>
  <si>
    <t xml:space="preserve">PR-JUP-51-001Inspeção visual do tanque, TCs, Buchas, sistema de preservação e resfriamento </t>
  </si>
  <si>
    <t>PR-JUP-41-003</t>
  </si>
  <si>
    <t xml:space="preserve">PR-JUP-41-003Ensaio de continuidade </t>
  </si>
  <si>
    <t>PR-JUP-41-002</t>
  </si>
  <si>
    <t xml:space="preserve">PR-JUP-41-002Ensaio de tensão de toque e passo </t>
  </si>
  <si>
    <t>PR-JUP-41-001</t>
  </si>
  <si>
    <t xml:space="preserve">PR-JUP-41-001Ensaio de resistência de aterramento </t>
  </si>
  <si>
    <t>PR-JUP-40-002</t>
  </si>
  <si>
    <t xml:space="preserve">PR-JUP-40-002Ensaio de pontos de tomada e de dispositivos DR </t>
  </si>
  <si>
    <t>PR-JUP-40-001</t>
  </si>
  <si>
    <t xml:space="preserve">PR-JUP-40-001Ensaio do sistema de iluminação </t>
  </si>
  <si>
    <t>PR-JUP-33-001</t>
  </si>
  <si>
    <t xml:space="preserve">PR-JUP-33-001Itens de manutençãoCheck-list </t>
  </si>
  <si>
    <t>PR-JUP-30-003</t>
  </si>
  <si>
    <t xml:space="preserve">PR-JUP-30-003Ajuste e medição nos freios </t>
  </si>
  <si>
    <t>PR-JUP-30-002</t>
  </si>
  <si>
    <t xml:space="preserve">PR-JUP-30-002Medição dos ganchos </t>
  </si>
  <si>
    <t>PR-JUP-29-001</t>
  </si>
  <si>
    <t xml:space="preserve">PR-JUP-29-001Itens de manutençãoCheck-list </t>
  </si>
  <si>
    <t>PR-JUP-28-001</t>
  </si>
  <si>
    <t xml:space="preserve">PR-JUP-28-001Itens de manutençãoCheck-list </t>
  </si>
  <si>
    <t>PR-JUP-27-001</t>
  </si>
  <si>
    <t xml:space="preserve">PR-JUP-27-001Itens de manutençãoCheck-list </t>
  </si>
  <si>
    <t>PR-JUP-26-001</t>
  </si>
  <si>
    <t xml:space="preserve">PR-JUP-26-001Itens de manutençãoCheck-list </t>
  </si>
  <si>
    <t>PR-JUP-25-002</t>
  </si>
  <si>
    <t xml:space="preserve">PR-JUP-25-002Ensaio de Resistência </t>
  </si>
  <si>
    <t>PR-JUP-25-001</t>
  </si>
  <si>
    <t xml:space="preserve">PR-JUP-25-001Ensaio de Isolação </t>
  </si>
  <si>
    <t>PR-JUP-24-001</t>
  </si>
  <si>
    <t xml:space="preserve">PR-JUP-24-001Itens de manutençãoCheck-list </t>
  </si>
  <si>
    <t>PR-JUP-23-001</t>
  </si>
  <si>
    <t xml:space="preserve">PR-JUP-23-001Itens de manutençãoCheck-list </t>
  </si>
  <si>
    <t>PR-JUP-22-001</t>
  </si>
  <si>
    <t xml:space="preserve">PR-JUP-22-001Itens de manutençãoCheck-list </t>
  </si>
  <si>
    <t>PR-JUP-21-005</t>
  </si>
  <si>
    <t xml:space="preserve">PR-JUP-21-005Ensaios em carga </t>
  </si>
  <si>
    <t>PR-JUP-21-004</t>
  </si>
  <si>
    <t xml:space="preserve">PR-JUP-21-004Ensaios em vazio </t>
  </si>
  <si>
    <t>PR-JUP-21-003</t>
  </si>
  <si>
    <t xml:space="preserve">PR-JUP-21-003Ensaios água morta </t>
  </si>
  <si>
    <t>PR-JUP-21-002</t>
  </si>
  <si>
    <t xml:space="preserve">PR-JUP-21-002Ensaios circuitos elétricos </t>
  </si>
  <si>
    <t>PR-JUP-21-001</t>
  </si>
  <si>
    <t xml:space="preserve">PR-JUP-21-001Ensaios de componentes instrumentos plc </t>
  </si>
  <si>
    <t>PR-JUP-21-000</t>
  </si>
  <si>
    <t xml:space="preserve">PR-JUP-21-000Check list de ensaios </t>
  </si>
  <si>
    <t>PR-JUP-20-007</t>
  </si>
  <si>
    <t xml:space="preserve">PR-JUP-20-007Critérios de testes </t>
  </si>
  <si>
    <t>PR-JUP-20-006</t>
  </si>
  <si>
    <t xml:space="preserve">PR-JUP-20-006Calibração válvula de segurança acumulador ar óleo </t>
  </si>
  <si>
    <t>PR-JUP-20-005</t>
  </si>
  <si>
    <t xml:space="preserve">PR-JUP-20-005Inspeção no acumulador ar e óleo </t>
  </si>
  <si>
    <t>PR-JUP-20-004</t>
  </si>
  <si>
    <t xml:space="preserve">PR-JUP-20-004Inspeção sistema resfriamento RV </t>
  </si>
  <si>
    <t>PR-JUP-20-003</t>
  </si>
  <si>
    <t xml:space="preserve">PR-JUP-20-003Inspeção servomotor do distribuidor </t>
  </si>
  <si>
    <t>PR-JUP-20-002</t>
  </si>
  <si>
    <t xml:space="preserve">PR-JUP-20-002Inspeção válvulas controle hidráulico </t>
  </si>
  <si>
    <t>PR-JUP-20-001</t>
  </si>
  <si>
    <t xml:space="preserve">PR-JUP-20-001Inspeção válvulas distribuidoras (CD e CR) </t>
  </si>
  <si>
    <t>PR-JUP-19-003</t>
  </si>
  <si>
    <t xml:space="preserve">PR-JUP-19-003Ensaio de retificadores e USCC </t>
  </si>
  <si>
    <t>PR-JUP-19-002</t>
  </si>
  <si>
    <t xml:space="preserve">PR-JUP-19-002Ensaio de capacidade e equalização de baterias </t>
  </si>
  <si>
    <t>PR-JUP-19-001</t>
  </si>
  <si>
    <t xml:space="preserve">PR-JUP-19-001Ensaio de baterias </t>
  </si>
  <si>
    <t>PR-JUP-19-000</t>
  </si>
  <si>
    <t xml:space="preserve">PR-JUP-19-000Itens de manutenção e teste </t>
  </si>
  <si>
    <t>PR-JUP-18-007</t>
  </si>
  <si>
    <t xml:space="preserve">PR-JUP-18-007Ensaios funcionais </t>
  </si>
  <si>
    <t>PR-JUP-18-006</t>
  </si>
  <si>
    <t xml:space="preserve">PR-JUP-18-006Ensaios Simulação </t>
  </si>
  <si>
    <t>PR-JUP-18-005</t>
  </si>
  <si>
    <t xml:space="preserve">PR-JUP-18-005Ensaios PLC </t>
  </si>
  <si>
    <t>PR-JUP-18-004</t>
  </si>
  <si>
    <t xml:space="preserve">PR-JUP-18-004Ensaio isolação circuito secundário </t>
  </si>
  <si>
    <t>PR-JUP-18-003</t>
  </si>
  <si>
    <t xml:space="preserve">PR-JUP-18-003Ensaio isolação circuito primário </t>
  </si>
  <si>
    <t>PR-JUP-18-002</t>
  </si>
  <si>
    <t xml:space="preserve">PR-JUP-18-002Ensaios de proteção sobretensão </t>
  </si>
  <si>
    <t>PR-JUP-18-001</t>
  </si>
  <si>
    <t xml:space="preserve">PR-JUP-18-001Ensaio de componentes e instumentos </t>
  </si>
  <si>
    <t>PR-JUP-18-000</t>
  </si>
  <si>
    <t xml:space="preserve">PR-JUP-18-000Check list de ensaios </t>
  </si>
  <si>
    <t>PR-JUP-17-006</t>
  </si>
  <si>
    <t xml:space="preserve">PR-JUP-17-006Ensaio em relés de bloqueio-trip </t>
  </si>
  <si>
    <t>PR-JUP-17-005</t>
  </si>
  <si>
    <t xml:space="preserve">PR-JUP-17-005Ensaio de curva característica do TC </t>
  </si>
  <si>
    <t>PR-JUP-17-004</t>
  </si>
  <si>
    <t xml:space="preserve">PR-JUP-17-004Ensaio de Resistência </t>
  </si>
  <si>
    <t>PR-JUP-17-003</t>
  </si>
  <si>
    <t xml:space="preserve">PR-JUP-17-003Ensaio de Isolação </t>
  </si>
  <si>
    <t>PR-JUP-17-002</t>
  </si>
  <si>
    <t xml:space="preserve">PR-JUP-17-002Ensaios em Transformadores de Potencial </t>
  </si>
  <si>
    <t>PR-JUP-17-001</t>
  </si>
  <si>
    <t xml:space="preserve">PR-JUP-17-001Ensaios em Transformadores de Corrente </t>
  </si>
  <si>
    <t>PR-JUP-16-005</t>
  </si>
  <si>
    <t xml:space="preserve">PR-JUP-16-005Ensaio de curva característica do TC </t>
  </si>
  <si>
    <t>PR-JUP-16-004</t>
  </si>
  <si>
    <t xml:space="preserve">PR-JUP-16-004Ensaio em relés de bloqueio-trip </t>
  </si>
  <si>
    <t>PR-JUP-16-003</t>
  </si>
  <si>
    <t xml:space="preserve">PR-JUP-16-003Proteção de Falha Disjuntor </t>
  </si>
  <si>
    <t>PR-JUP-16-002</t>
  </si>
  <si>
    <t xml:space="preserve">PR-JUP-16-002Ensaio de Isolação </t>
  </si>
  <si>
    <t>PR-JUP-16-001</t>
  </si>
  <si>
    <t xml:space="preserve">PR-JUP-16-001Ensaios em Transformadores de Corrente </t>
  </si>
  <si>
    <t>PR-JUP-15-027</t>
  </si>
  <si>
    <t xml:space="preserve">PR-JUP-15-027Ensaio em relés de bloqueio-trip </t>
  </si>
  <si>
    <t>PR-JUP-15-026</t>
  </si>
  <si>
    <t xml:space="preserve">PR-JUP-15-026Proteção de Falha Disjuntor </t>
  </si>
  <si>
    <t>PR-JUP-15-025</t>
  </si>
  <si>
    <t xml:space="preserve">PR-JUP-15-025Proteção de Sobrecarga </t>
  </si>
  <si>
    <t>PR-JUP-15-024</t>
  </si>
  <si>
    <t xml:space="preserve">PR-JUP-15-024Proteção de Sobreexcitação </t>
  </si>
  <si>
    <t>PR-JUP-15-023</t>
  </si>
  <si>
    <t xml:space="preserve">PR-JUP-15-023Proteção de Sobretensão </t>
  </si>
  <si>
    <t>PR-JUP-15-022</t>
  </si>
  <si>
    <t xml:space="preserve">PR-JUP-15-022Proteção de Terra Estator 100 </t>
  </si>
  <si>
    <t>PR-JUP-15-021</t>
  </si>
  <si>
    <t xml:space="preserve">PR-JUP-15-021Proteção de Terra Estator 95 </t>
  </si>
  <si>
    <t>PR-JUP-15-020</t>
  </si>
  <si>
    <t xml:space="preserve">PR-JUP-15-020Proteção Diferencial Transversal do Gerador </t>
  </si>
  <si>
    <t>PR-JUP-15-019</t>
  </si>
  <si>
    <t xml:space="preserve">PR-JUP-15-019Proteção de Mínima Impedância </t>
  </si>
  <si>
    <t>PR-JUP-15-018</t>
  </si>
  <si>
    <t xml:space="preserve">PR-JUP-15-018Proteção de Falha Fusível </t>
  </si>
  <si>
    <t>PR-JUP-15-017</t>
  </si>
  <si>
    <t xml:space="preserve">PR-JUP-15-017Proteção de Perda de Excitação </t>
  </si>
  <si>
    <t>PR-JUP-15-016</t>
  </si>
  <si>
    <t xml:space="preserve">PR-JUP-15-016Proteção de Sequência Negativa </t>
  </si>
  <si>
    <t>PR-JUP-15-015</t>
  </si>
  <si>
    <t xml:space="preserve">PR-JUP-15-015Proteção de Terra Rotor </t>
  </si>
  <si>
    <t>PR-JUP-15-014</t>
  </si>
  <si>
    <t xml:space="preserve">PR-JUP-15-014Proteção Diferencial de terra restrita </t>
  </si>
  <si>
    <t>PR-JUP-15-013</t>
  </si>
  <si>
    <t xml:space="preserve">PR-JUP-15-013Proteção de sobrecorrente com restrição de tensão </t>
  </si>
  <si>
    <t>PR-JUP-15-012</t>
  </si>
  <si>
    <t xml:space="preserve">PR-JUP-15-012Proteção de Energização Inadvertida </t>
  </si>
  <si>
    <t>PR-JUP-15-011</t>
  </si>
  <si>
    <t xml:space="preserve">PR-JUP-15-011Proteção de Subtensão </t>
  </si>
  <si>
    <t>PR-JUP-15-009</t>
  </si>
  <si>
    <t xml:space="preserve">PR-JUP-15-009Proteção de Potencia Reversa </t>
  </si>
  <si>
    <t>PR-JUP-15-007</t>
  </si>
  <si>
    <t xml:space="preserve">PR-JUP-15-007Proteção de Sobre e sub Frequência </t>
  </si>
  <si>
    <t>PR-JUP-15-006</t>
  </si>
  <si>
    <t xml:space="preserve">PR-JUP-15-006Proteção Diferencial </t>
  </si>
  <si>
    <t>PR-JUP-15-005</t>
  </si>
  <si>
    <t xml:space="preserve">PR-JUP-15-005Ensaio de curva característica do TC </t>
  </si>
  <si>
    <t>PR-JUP-15-004</t>
  </si>
  <si>
    <t xml:space="preserve">PR-JUP-15-004Ensaio de Resistência </t>
  </si>
  <si>
    <t>PR-JUP-15-003</t>
  </si>
  <si>
    <t xml:space="preserve">PR-JUP-15-003Ensaio de Isolação </t>
  </si>
  <si>
    <t>PR-JUP-15-002</t>
  </si>
  <si>
    <t xml:space="preserve">PR-JUP-15-002Ensaios em Transformadores de Potencial </t>
  </si>
  <si>
    <t>PR-JUP-15-001</t>
  </si>
  <si>
    <t xml:space="preserve">PR-JUP-15-001Ensaios em Transformadores de Corrente </t>
  </si>
  <si>
    <t>PR-JUP-14-001</t>
  </si>
  <si>
    <t xml:space="preserve">PR-JUP-14-001Controle de alteração e backup software </t>
  </si>
  <si>
    <t>PR-JUP-13-006</t>
  </si>
  <si>
    <t xml:space="preserve">PR-JUP-13-006Controle de alteração e backup software </t>
  </si>
  <si>
    <t>PR-JUP-13-005</t>
  </si>
  <si>
    <t xml:space="preserve">PR-JUP-13-005Ensaios em relés de sincronismo (ANSI 25) </t>
  </si>
  <si>
    <t>PR-JUP-13-004</t>
  </si>
  <si>
    <t xml:space="preserve">PR-JUP-13-004Calibração de transdutores </t>
  </si>
  <si>
    <t>PR-JUP-13-003</t>
  </si>
  <si>
    <t xml:space="preserve">PR-JUP-13-003Ensaios em relés auxiliares </t>
  </si>
  <si>
    <t>PR-JUP-13-002</t>
  </si>
  <si>
    <t xml:space="preserve">PR-JUP-13-002Resistência de contato em relés auxiliares </t>
  </si>
  <si>
    <t>PR-JUP-13-001</t>
  </si>
  <si>
    <t xml:space="preserve">PR-JUP-13-001Resistência de Isolação </t>
  </si>
  <si>
    <t>PR-JUP-12-001</t>
  </si>
  <si>
    <t xml:space="preserve">PR-JUP-12-001Controle de alteração e backup software </t>
  </si>
  <si>
    <t>PR-JUP-11-003</t>
  </si>
  <si>
    <t xml:space="preserve">PR-JUP-11-003Ensaio de tensão aplicada em cabos até 35kV </t>
  </si>
  <si>
    <t>PR-JUP-11-002</t>
  </si>
  <si>
    <t xml:space="preserve">PR-JUP-11-002Ensaio de fator de perda dielétrica em cabos até 35kV </t>
  </si>
  <si>
    <t>PR-JUP-11-001</t>
  </si>
  <si>
    <t xml:space="preserve">PR-JUP-11-001Ensaio de isolação em cabos até 35kV </t>
  </si>
  <si>
    <t>PR-JUP-11-000</t>
  </si>
  <si>
    <t xml:space="preserve">PR-JUP-11-000Itens de manutenção e teste </t>
  </si>
  <si>
    <t>PR-JUP-10-007</t>
  </si>
  <si>
    <t xml:space="preserve">PR-JUP-10-007- Ensaio de acoplamento automático de barras em painéis de baixa tensão </t>
  </si>
  <si>
    <t>PR-JUP-10-006</t>
  </si>
  <si>
    <t xml:space="preserve">PR-JUP-10-006Ensaio de isolação em cabos de painéis de baixa tensão </t>
  </si>
  <si>
    <t>PR-JUP-10-005</t>
  </si>
  <si>
    <t xml:space="preserve">PR-JUP-10-005Ensaio de isolação em TP de painéis de baixa tensão </t>
  </si>
  <si>
    <t>PR-JUP-10-004</t>
  </si>
  <si>
    <t xml:space="preserve">PR-JUP-10-004Ensaio de disjuntores de caixa moldada em painéis de baixa tensão </t>
  </si>
  <si>
    <t>PR-JUP-10-003</t>
  </si>
  <si>
    <t xml:space="preserve">PR-JUP-10-003Ensaio de tensão aplicada em barramento de painéis de baixa tensão </t>
  </si>
  <si>
    <t>PR-JUP-10-002</t>
  </si>
  <si>
    <t xml:space="preserve">PR-JUP-10-002Ensaio de resistência DC em barramento de painéis de baixa tensão </t>
  </si>
  <si>
    <t>PR-JUP-10-001</t>
  </si>
  <si>
    <t xml:space="preserve">PR-JUP-10-001Ensaio de isolação em barramento de painéis de baixa tensão </t>
  </si>
  <si>
    <t>PR-JUP-10-000</t>
  </si>
  <si>
    <t xml:space="preserve">PR-JUP-10-000Itens de manutenção e teste </t>
  </si>
  <si>
    <t>PR-JUP-09-008</t>
  </si>
  <si>
    <t xml:space="preserve">PR-JUP-09-008Ensaio de protetores de surto de painéis de média tensão </t>
  </si>
  <si>
    <t>PR-JUP-09-007</t>
  </si>
  <si>
    <t xml:space="preserve">PR-JUP-09-007Ensaio de TP de painéis de média tensão </t>
  </si>
  <si>
    <t>PR-JUP-09-006</t>
  </si>
  <si>
    <t xml:space="preserve">PR-JUP-09-006Ensaio de TC de painéis de média tensão </t>
  </si>
  <si>
    <t>PR-JUP-09-005</t>
  </si>
  <si>
    <t xml:space="preserve">PR-JUP-09-005Ensaio de tensão aplicada em disjuntores de média tensão </t>
  </si>
  <si>
    <t>PR-JUP-09-004</t>
  </si>
  <si>
    <t xml:space="preserve">PR-JUP-09-004Ensaio de disjuntores de média tensão </t>
  </si>
  <si>
    <t>PR-JUP-09-003</t>
  </si>
  <si>
    <t xml:space="preserve">PR-JUP-09-003Ensaio de tensão aplicada em barramento de painéis de média tensão </t>
  </si>
  <si>
    <t>PR-JUP-09-002</t>
  </si>
  <si>
    <t xml:space="preserve">PR-JUP-09-002Ensaio de isolação em barramento de painéis de média tensão </t>
  </si>
  <si>
    <t>PR-JUP-09-001</t>
  </si>
  <si>
    <t xml:space="preserve">PR-JUP-09-001Ensaio de resistência DC em barramento de painéis de média tensão </t>
  </si>
  <si>
    <t>PR-JUP-09-000</t>
  </si>
  <si>
    <t xml:space="preserve">PR-JUP-09-000Itens de manutenção e teste </t>
  </si>
  <si>
    <t>PR-JUP-07-004</t>
  </si>
  <si>
    <t xml:space="preserve">PR-JUP-07-004Ensaio de relação de transformação e polaridade em transformadores a seco </t>
  </si>
  <si>
    <t>PR-JUP-07-003</t>
  </si>
  <si>
    <t xml:space="preserve">PR-JUP-07-003Ensaio de tensão aplicada em transformadores a seco </t>
  </si>
  <si>
    <t>PR-JUP-07-002</t>
  </si>
  <si>
    <t xml:space="preserve">PR-JUP-07-002Ensaio de resistência DC em transformadores à seco </t>
  </si>
  <si>
    <t>PR-JUP-07-001</t>
  </si>
  <si>
    <t xml:space="preserve">PR-JUP-07-001Ensaio de isolação em transformadores a seco </t>
  </si>
  <si>
    <t>PR-JUP-07-000</t>
  </si>
  <si>
    <t xml:space="preserve">PR-JUP-07-000Itens de manutenção e teste </t>
  </si>
  <si>
    <t>PR-JUP-06-020</t>
  </si>
  <si>
    <t xml:space="preserve">PR-JUP-06-020Ensaio sistema de resfriamento </t>
  </si>
  <si>
    <t>PR-JUP-06-019</t>
  </si>
  <si>
    <t xml:space="preserve">PR-JUP-06-019Ensaio nos TCs </t>
  </si>
  <si>
    <t>PR-JUP-06-018</t>
  </si>
  <si>
    <t xml:space="preserve">PR-JUP-06-018Ensaio de Fator de Potência e Capacitância das buchas </t>
  </si>
  <si>
    <t>PR-JUP-06-016</t>
  </si>
  <si>
    <t xml:space="preserve">PR-JUP-06-016- Ensaio de Estanqueidade </t>
  </si>
  <si>
    <t>PR-JUP-06-013</t>
  </si>
  <si>
    <t xml:space="preserve">PR-JUP-06-013-014-015Ensaio no RTD, Relé de Gás e DAP </t>
  </si>
  <si>
    <t>PR-JUP-06-012</t>
  </si>
  <si>
    <t xml:space="preserve">PR-JUP-06-012Ensaio de impedância de curto-circuito </t>
  </si>
  <si>
    <t>PR-JUP-06-011</t>
  </si>
  <si>
    <t xml:space="preserve">PR-JUP-06-011Ensaio de Corrente de excitação monofásica </t>
  </si>
  <si>
    <t>PR-JUP-06-010</t>
  </si>
  <si>
    <t xml:space="preserve">PR-JUP-06-010Ensaio de relação de transformação </t>
  </si>
  <si>
    <t>PR-JUP-06-009</t>
  </si>
  <si>
    <t xml:space="preserve">PR-JUP-06-009Ensaio de Fator de Potência e Capacitância dos enrolamentos </t>
  </si>
  <si>
    <t>PR-JUP-06-008</t>
  </si>
  <si>
    <t xml:space="preserve">PR-JUP-06-008Ensaio de Resistência elétrica dos Enrolamentos </t>
  </si>
  <si>
    <t>PR-JUP-06-007</t>
  </si>
  <si>
    <t xml:space="preserve">PR-JUP-06-007 e 06-021Ensaio de Resistência de isolamento </t>
  </si>
  <si>
    <t>PR-JUP-06-006</t>
  </si>
  <si>
    <t xml:space="preserve">PR-JUP-06-006Inspeção visual painel de controle </t>
  </si>
  <si>
    <t>PR-JUP-06-005</t>
  </si>
  <si>
    <t xml:space="preserve">PR-JUP-06-005Inspeção visual do relé de gás e DAP </t>
  </si>
  <si>
    <t>PR-JUP-06-004</t>
  </si>
  <si>
    <t xml:space="preserve">PR-JUP-06-004Inspeção visual indicadores e termômetros </t>
  </si>
  <si>
    <t>PR-JUP-06-003</t>
  </si>
  <si>
    <t xml:space="preserve">PR-JUP-06-003Inspeção visual dos TCs de bucha </t>
  </si>
  <si>
    <t>PR-JUP-06-002</t>
  </si>
  <si>
    <t xml:space="preserve">PR-JUP-06-002Inspeção visual das buchas </t>
  </si>
  <si>
    <t>PR-JUP-06-001</t>
  </si>
  <si>
    <t xml:space="preserve">PR-JUP-06-001Inspeção visual do tanque, sistema de preservação e resfriamento </t>
  </si>
  <si>
    <t>PR-JUP-05-007</t>
  </si>
  <si>
    <t xml:space="preserve">PR-JUP-05-007Ensaio de protetores de surto do gerador </t>
  </si>
  <si>
    <t>PR-JUP-05-006</t>
  </si>
  <si>
    <t xml:space="preserve">PR-JUP-05-006Ensaio de TP de cubículos do gerador </t>
  </si>
  <si>
    <t>PR-JUP-05-005</t>
  </si>
  <si>
    <t xml:space="preserve">PR-JUP-05-005Ensaio de TC de cubículos do gerador </t>
  </si>
  <si>
    <t>PR-JUP-05-004</t>
  </si>
  <si>
    <t xml:space="preserve">PR-JUP-05-004Ensaio de tensão aplicada em barramento blindado </t>
  </si>
  <si>
    <t>PR-JUP-05-003</t>
  </si>
  <si>
    <t xml:space="preserve">PR-JUP-05-003Ensaio de isolação em barramento blindado </t>
  </si>
  <si>
    <t>PR-JUP-05-002</t>
  </si>
  <si>
    <t xml:space="preserve">PR-JUP-05-002Ensaio de tensão aplicada em cabos de saída do gerador </t>
  </si>
  <si>
    <t>PR-JUP-05-001</t>
  </si>
  <si>
    <t xml:space="preserve">PR-JUP-05-001Ensaio de isolação em cabos de saída do gerador </t>
  </si>
  <si>
    <t>PR-JUP-05-000</t>
  </si>
  <si>
    <t xml:space="preserve">PR-JUP-05-000Itens de manutenção e teste </t>
  </si>
  <si>
    <t>PR-JUP-04-022</t>
  </si>
  <si>
    <t xml:space="preserve">PR-JUP-04-022Ensaio de Transferencia de fontes de alimentação </t>
  </si>
  <si>
    <t>PR-JUP-04-021</t>
  </si>
  <si>
    <t xml:space="preserve">PR-JUP-04-021Tabela de controle desconexão e conexão de cabos </t>
  </si>
  <si>
    <t>PR-JUP-04-020</t>
  </si>
  <si>
    <t xml:space="preserve">PR-JUP-04-020Ensaio do sistema de filtragem de água de refrigeração </t>
  </si>
  <si>
    <t>PR-JUP-04-019</t>
  </si>
  <si>
    <t xml:space="preserve">PR-JUP-04-019Ensaio dos sensores de pinos de cisalhamento das diretrizes </t>
  </si>
  <si>
    <t>PR-JUP-04-018</t>
  </si>
  <si>
    <t xml:space="preserve">PR-JUP-04-018Ensaio de transmissores de vazão </t>
  </si>
  <si>
    <t>PR-JUP-04-017</t>
  </si>
  <si>
    <t xml:space="preserve">PR-JUP-04-017Ensaio de transmissores de temperatura </t>
  </si>
  <si>
    <t>PR-JUP-04-016</t>
  </si>
  <si>
    <t xml:space="preserve">PR-JUP-04-016Ensaio de transmissores de pressão </t>
  </si>
  <si>
    <t>PR-JUP-04-015</t>
  </si>
  <si>
    <t xml:space="preserve">PR-JUP-04-015Ensaio de transferência automática de fontes </t>
  </si>
  <si>
    <t>PR-JUP-04-014</t>
  </si>
  <si>
    <t xml:space="preserve">PR-JUP-04-014Ensaio de sistema de frenagem </t>
  </si>
  <si>
    <t>PR-JUP-04-013</t>
  </si>
  <si>
    <t xml:space="preserve">PR-JUP-04-013Ensaio de sistema de aquecimento gerador </t>
  </si>
  <si>
    <t>PR-JUP-04-012</t>
  </si>
  <si>
    <t xml:space="preserve">PR-JUP-04-012Ensaio de sistema de água de refrigeração </t>
  </si>
  <si>
    <t>PR-JUP-04-011</t>
  </si>
  <si>
    <t xml:space="preserve">PR-JUP-04-011Ensaio de simulação de partida e parada UAC </t>
  </si>
  <si>
    <t>PR-JUP-04-010</t>
  </si>
  <si>
    <t xml:space="preserve">PR-JUP-04-010Ensaio de sensores atuadores de posição </t>
  </si>
  <si>
    <t>PR-JUP-04-009</t>
  </si>
  <si>
    <t xml:space="preserve">PR-JUP-04-009Ensaio de Resistência de contato em relés auxiliares </t>
  </si>
  <si>
    <t>PR-JUP-04-008</t>
  </si>
  <si>
    <t xml:space="preserve">PR-JUP-04-008Ensaio de relés temporizadores </t>
  </si>
  <si>
    <t>PR-JUP-04-007</t>
  </si>
  <si>
    <t xml:space="preserve">PR-JUP-04-007Ensaio de relés de subtensão </t>
  </si>
  <si>
    <t>PR-JUP-04-006</t>
  </si>
  <si>
    <t xml:space="preserve">PR-JUP-04-006Ensaio de Pressostatos </t>
  </si>
  <si>
    <t>PR-JUP-04-005</t>
  </si>
  <si>
    <t xml:space="preserve">PR-JUP-04-005Ensaio de Resistência de Isolação </t>
  </si>
  <si>
    <t>PR-JUP-04-004</t>
  </si>
  <si>
    <t xml:space="preserve">PR-JUP-04-004Ensaio de fontes de alimentação </t>
  </si>
  <si>
    <t>PR-JUP-04-003</t>
  </si>
  <si>
    <t xml:space="preserve">PR-JUP-04-003Ensaio de Fluxostatos </t>
  </si>
  <si>
    <t>PR-JUP-04-002</t>
  </si>
  <si>
    <t xml:space="preserve">PR-JUP-04-002Ensaio de automatismo do sistema hidráulico RV </t>
  </si>
  <si>
    <t>PR-JUP-04-001</t>
  </si>
  <si>
    <t xml:space="preserve">PR-JUP-04-001Ensaio de automatismo de motoresbombas </t>
  </si>
  <si>
    <t>PR-JUP-03-115</t>
  </si>
  <si>
    <t xml:space="preserve">PR-JUP-03-115Ensaio de aquecimento do Gerador </t>
  </si>
  <si>
    <t>PR-JUP-03-114</t>
  </si>
  <si>
    <t xml:space="preserve">PR-JUP-03-114Ensaios para levantamento das curvas caracterisitcas </t>
  </si>
  <si>
    <t>PR-JUP-03-113</t>
  </si>
  <si>
    <t xml:space="preserve">PR-JUP-03-113Ensaios nos aquecedores de maq parada </t>
  </si>
  <si>
    <t>PR-JUP-03-112</t>
  </si>
  <si>
    <t xml:space="preserve">PR-JUP-03-112Ensaios equipmts auxpainel de neutro </t>
  </si>
  <si>
    <t>PR-JUP-03-111</t>
  </si>
  <si>
    <t xml:space="preserve">PR-JUP-03-111Testes enrolamento estator- Ensaio de corona visual </t>
  </si>
  <si>
    <t>PR-JUP-03-110</t>
  </si>
  <si>
    <t xml:space="preserve">PR-JUP-03-110Ensaios nos RTD's </t>
  </si>
  <si>
    <t>PR-JUP-03-109</t>
  </si>
  <si>
    <t xml:space="preserve">PR-JUP-03-109Testes enrolamento estatortensão de ranhura </t>
  </si>
  <si>
    <t>PR-JUP-03-108</t>
  </si>
  <si>
    <t xml:space="preserve">PR-JUP-03-108Testes circuito de campomedição isolação componentes </t>
  </si>
  <si>
    <t>PR-JUP-03-107</t>
  </si>
  <si>
    <t xml:space="preserve">PR-JUP-03-107Testes enrolamento rotorEnsaio de queda de tensao nos polos </t>
  </si>
  <si>
    <t>PR-JUP-03-106</t>
  </si>
  <si>
    <t xml:space="preserve">PR-JUP-03-106Testes enrolamento rotorResistencia ohmica das conexoes polares </t>
  </si>
  <si>
    <t>PR-JUP-03-105</t>
  </si>
  <si>
    <t xml:space="preserve">PR-JUP-03-105Testes enrolamento estator e rotorTensao Aplicada (hipot) AC-CC </t>
  </si>
  <si>
    <t>PR-JUP-03-104</t>
  </si>
  <si>
    <t xml:space="preserve">PR-JUP-03-104Testes enrolamento estatortangente delta </t>
  </si>
  <si>
    <t>PR-JUP-03-103</t>
  </si>
  <si>
    <t xml:space="preserve">PR-JUP-03-103Testes enrolamento estatorensaio de corrente de fuga </t>
  </si>
  <si>
    <t>PR-JUP-03-102</t>
  </si>
  <si>
    <t xml:space="preserve">PR-JUP-03-102Testes enrolamento estator e rotorResistência Ohmica </t>
  </si>
  <si>
    <t>PR-JUP-03-101</t>
  </si>
  <si>
    <t xml:space="preserve">PR-JUP-03-101Testes enrolamento estator e rotorisolação, IP, IA </t>
  </si>
  <si>
    <t>PR-JUP-03-016</t>
  </si>
  <si>
    <t xml:space="preserve">PR-JUP-03-016-Inspeção cubiculos lado neutro </t>
  </si>
  <si>
    <t>PR-JUP-03-015</t>
  </si>
  <si>
    <t xml:space="preserve">PR-JUP-03-015-Manutancao aneis coletores </t>
  </si>
  <si>
    <t>PR-JUP-03-014</t>
  </si>
  <si>
    <t xml:space="preserve">PR-JUP-03-014-Manutancao porta escovas </t>
  </si>
  <si>
    <t>PR-JUP-03-013</t>
  </si>
  <si>
    <t xml:space="preserve">PR-JUP-03-013-Manutancao Rotordesmontagem e montagem barramento de campo </t>
  </si>
  <si>
    <t>PR-JUP-03-012</t>
  </si>
  <si>
    <t xml:space="preserve">PR-JUP-03-012-Manutencao Polos -substituição de polo </t>
  </si>
  <si>
    <t>PR-JUP-03-011</t>
  </si>
  <si>
    <t xml:space="preserve">PR-JUP-03-011-Manutencao Polosmontagem e controle das conexoes principais e amortecedor </t>
  </si>
  <si>
    <t>PR-JUP-03-010</t>
  </si>
  <si>
    <t xml:space="preserve">PR-JUP-03-010-Manutencao Estatorsecagem enrolamento </t>
  </si>
  <si>
    <t>PR-JUP-03-009</t>
  </si>
  <si>
    <t xml:space="preserve">PR-JUP-03-009-Ensaios na substituiçao de barra </t>
  </si>
  <si>
    <t>PR-JUP-03-008</t>
  </si>
  <si>
    <t xml:space="preserve">PR-JUP-03-008-Manutencao Estatordesmontagem e montagem das conexoes flexiveis </t>
  </si>
  <si>
    <t>PR-JUP-03-007</t>
  </si>
  <si>
    <t xml:space="preserve">PR-JUP-03-007-Inspeção rotorconexoes e parte rotativa </t>
  </si>
  <si>
    <t>PR-JUP-03-006</t>
  </si>
  <si>
    <t xml:space="preserve">PR-JUP-03-006-Inspecao nos polosbobinas e conexoes principais e amortecedor </t>
  </si>
  <si>
    <t>PR-JUP-03-005</t>
  </si>
  <si>
    <t xml:space="preserve">PR-JUP-03-005-Inspec e Manut no nucleo do estatorcunhas de fechamento de ranhuras </t>
  </si>
  <si>
    <t>PR-JUP-03-004</t>
  </si>
  <si>
    <t xml:space="preserve">PR-JUP-03-004-Inspeção no nucleo do estatordedos pressao e escadinha </t>
  </si>
  <si>
    <t>PR-JUP-03-003</t>
  </si>
  <si>
    <t xml:space="preserve">PR-JUP-03-003-Inspeção no enrolamento do estatoraneis de surto e barramento circular </t>
  </si>
  <si>
    <t>PR-JUP-03-002</t>
  </si>
  <si>
    <t xml:space="preserve">PR-JUP-03-002-Inspeção no enrolamento do estatorcabeças de bobina </t>
  </si>
  <si>
    <t>PR-JUP-03-000</t>
  </si>
  <si>
    <t xml:space="preserve">PR-JUP-03-000-Manutencao Geradorinspeção e limpeza geral </t>
  </si>
  <si>
    <t>PR-JUP-02-029</t>
  </si>
  <si>
    <t xml:space="preserve">PR-JUP-02-029ComissionamentoVibração, oscilação, temperaturas, tempos e pressões </t>
  </si>
  <si>
    <t>PR-JUP-02-028</t>
  </si>
  <si>
    <t xml:space="preserve">PR-JUP-02-028Run-out </t>
  </si>
  <si>
    <t>PR-JUP-02-027</t>
  </si>
  <si>
    <t xml:space="preserve">PR-JUP-02-027Verticalidade </t>
  </si>
  <si>
    <t>PR-JUP-02-026</t>
  </si>
  <si>
    <t xml:space="preserve">PR-JUP-02-026Entreferro (run-out e verticalidadeDinâmico </t>
  </si>
  <si>
    <t>PR-JUP-02-025</t>
  </si>
  <si>
    <t xml:space="preserve">PR-JUP-02-025Medição e ajuste da distância entre a lona de frenagem e a pista de frenagem </t>
  </si>
  <si>
    <t>PR-JUP-02-024</t>
  </si>
  <si>
    <t xml:space="preserve">PR-JUP-02-024Inspeção dos macacos de frenagem </t>
  </si>
  <si>
    <t>PR-JUP-02-023</t>
  </si>
  <si>
    <t xml:space="preserve">PR-JUP-02-023Medição de nivelamento das lonas de freio </t>
  </si>
  <si>
    <t>PR-JUP-02-022</t>
  </si>
  <si>
    <t xml:space="preserve">PR-JUP-02-022Inspeção dos flanges do cone de sustentação </t>
  </si>
  <si>
    <t>PR-JUP-02-021</t>
  </si>
  <si>
    <t xml:space="preserve">PR-JUP-02-021Inspeção dos flanges do suporte do MC </t>
  </si>
  <si>
    <t>PR-JUP-02-020</t>
  </si>
  <si>
    <t xml:space="preserve">PR-JUP-02-020Verificação do nível de óleo </t>
  </si>
  <si>
    <t>PR-JUP-02-018</t>
  </si>
  <si>
    <t xml:space="preserve">PR-JUP-02-018Inspeção dos parafusos e pinos do bloco de escora e o rotor do gerador </t>
  </si>
  <si>
    <t>PR-JUP-02-017</t>
  </si>
  <si>
    <t xml:space="preserve">PR-JUP-02-017Inspeção dos espelhos do bloco de escora </t>
  </si>
  <si>
    <t>PR-JUP-02-016</t>
  </si>
  <si>
    <t xml:space="preserve">PR-JUP-02-016Medição de nivelamento e ajuste da superfície para a instalação dos segmentos do mancal de escora </t>
  </si>
  <si>
    <t>PR-JUP-02-015</t>
  </si>
  <si>
    <t xml:space="preserve">PR-JUP-02-015Medição e ajuste do nivelamento dos segmentos do mancal de escora </t>
  </si>
  <si>
    <t>PR-JUP-02-014</t>
  </si>
  <si>
    <t xml:space="preserve">PR-JUP-02-014Medição de centro (Caixa eixo) e ajuste do mancal guia </t>
  </si>
  <si>
    <t>PR-JUP-02-013</t>
  </si>
  <si>
    <t xml:space="preserve">PR-JUP-02-013Inspeção da pista de frenagem </t>
  </si>
  <si>
    <t>PR-JUP-02-012</t>
  </si>
  <si>
    <t xml:space="preserve">PR-JUP-02-012Inspeção dos parafusos e pinos de acoplamento do rotor com o bloco de escora </t>
  </si>
  <si>
    <t>PR-JUP-02-011</t>
  </si>
  <si>
    <t xml:space="preserve">PR-JUP-02-011Medição do nivelamento dos polos </t>
  </si>
  <si>
    <t>PR-JUP-02-010</t>
  </si>
  <si>
    <t xml:space="preserve">PR-JUP-02-010Ajuste da circularidade do rotor </t>
  </si>
  <si>
    <t>PR-JUP-02-009</t>
  </si>
  <si>
    <t xml:space="preserve">PR-JUP-02-009Medição de circularidade e excentricidade do rotor </t>
  </si>
  <si>
    <t>PR-JUP-02-008</t>
  </si>
  <si>
    <t xml:space="preserve">PR-JUP-02-008Medição do entreferro </t>
  </si>
  <si>
    <t>PR-JUP-02-007</t>
  </si>
  <si>
    <t xml:space="preserve">PR-JUP-02-007Inspeção das guias de ar </t>
  </si>
  <si>
    <t>PR-JUP-02-006</t>
  </si>
  <si>
    <t xml:space="preserve">PR-JUP-02-006Inspeção dos tirantes de fixação do núcleo do estator (isolação) </t>
  </si>
  <si>
    <t>PR-JUP-02-005</t>
  </si>
  <si>
    <t xml:space="preserve">PR-JUP-02-005Insp. do núcleo do estator </t>
  </si>
  <si>
    <t>PR-JUP-02-004</t>
  </si>
  <si>
    <t xml:space="preserve">PR-JUP-02-004Insp. dos parafusos acop., pinos entre carcaça estator e pedestais </t>
  </si>
  <si>
    <t>PR-JUP-02-003</t>
  </si>
  <si>
    <t xml:space="preserve">PR-JUP-02-003Medição de circularidade e excentricidade do estator </t>
  </si>
  <si>
    <t>PR-JUP-02-002</t>
  </si>
  <si>
    <t xml:space="preserve">PR-JUP-02-002Inspeção dos flanges da cruzeta </t>
  </si>
  <si>
    <t>PR-JUP-02-001</t>
  </si>
  <si>
    <t xml:space="preserve">PR-JUP-02-001Medição e ajuste de centro, elevação e nível da cruzeta superiorFalta Informação do desenho </t>
  </si>
  <si>
    <t>PR-JUP-01-041</t>
  </si>
  <si>
    <t xml:space="preserve">PR-JUP-01-041Inspeção em regiões cavitadasKaplan </t>
  </si>
  <si>
    <t>PR-JUP-01-039</t>
  </si>
  <si>
    <t xml:space="preserve">PR-JUP-01-039Inspeção no rotor Francis </t>
  </si>
  <si>
    <t>PR-JUP-01-035</t>
  </si>
  <si>
    <t xml:space="preserve">PR-JUP-01-035Inspeção dos parafusos de união da tampa superior com o pré-distribuidor após aperto </t>
  </si>
  <si>
    <t>PR-JUP-01-034</t>
  </si>
  <si>
    <t xml:space="preserve">PR-JUP-01-034Inspeção no tubo de sucção e caixa espiral </t>
  </si>
  <si>
    <t>PR-JUP-01-028</t>
  </si>
  <si>
    <t xml:space="preserve">PR-JUP-01-028Ensaio das bombas de injeção de água da vedação do eixo </t>
  </si>
  <si>
    <t>PR-JUP-01-027</t>
  </si>
  <si>
    <t xml:space="preserve">PR-JUP-01-027Medição de tempo de recalque das bombas de drenagem da tampa </t>
  </si>
  <si>
    <t>PR-JUP-01-026</t>
  </si>
  <si>
    <t xml:space="preserve">PR-JUP-01-026Ensaio na vedação de manutenção </t>
  </si>
  <si>
    <t>PR-JUP-01-025</t>
  </si>
  <si>
    <t xml:space="preserve">PR-JUP-01-025Espessura do anel de desgaste da vedação do eixo </t>
  </si>
  <si>
    <t>PR-JUP-01-024</t>
  </si>
  <si>
    <t xml:space="preserve">PR-JUP-01-024Batimento do anel de desgaste da vedação do eixo </t>
  </si>
  <si>
    <t>PR-JUP-01-023</t>
  </si>
  <si>
    <t xml:space="preserve">PR-JUP-01-023Batimento da pista de inox da vedação do eixo </t>
  </si>
  <si>
    <t>PR-JUP-01-021</t>
  </si>
  <si>
    <t xml:space="preserve">PR-JUP-01-021Batimento da tubulação Kaplan </t>
  </si>
  <si>
    <t>PR-JUP-01-020</t>
  </si>
  <si>
    <t xml:space="preserve">PR-JUP-01-020Inspeção da bucha do cabeçote Kaplan </t>
  </si>
  <si>
    <t>PR-JUP-01-018</t>
  </si>
  <si>
    <t xml:space="preserve">PR-JUP-01-018Espessura e bate chocoaro câmara </t>
  </si>
  <si>
    <t>PR-JUP-01-017</t>
  </si>
  <si>
    <t xml:space="preserve">PR-JUP-01-017Medição de folga entre pá e aro câmara </t>
  </si>
  <si>
    <t>PR-JUP-01-015</t>
  </si>
  <si>
    <t xml:space="preserve">PR-JUP-01-015Inspeção dos parafusos de acoplamento com o eixo principal </t>
  </si>
  <si>
    <t>PR-JUP-01-014</t>
  </si>
  <si>
    <t xml:space="preserve">PR-JUP-01-014Inspeção dos parafusos do rotor </t>
  </si>
  <si>
    <t>PR-JUP-01-012</t>
  </si>
  <si>
    <t xml:space="preserve">PR-JUP-01-012Inspeção nos parafusos de fixação das talas das pás Kaplan </t>
  </si>
  <si>
    <t>PR-JUP-01-011</t>
  </si>
  <si>
    <t xml:space="preserve">PR-JUP-01-011Inspeção das bielas e parafusos olhais da Kaplan </t>
  </si>
  <si>
    <t>PR-JUP-01-010</t>
  </si>
  <si>
    <t xml:space="preserve">PR-JUP-01-010Inspeção em pinos das alavancas do servomotor da Kaplan </t>
  </si>
  <si>
    <t>PR-JUP-01-009</t>
  </si>
  <si>
    <t xml:space="preserve">PR-JUP-01-009Dimensional das buchas do munhões das pás do rotor Kaplan </t>
  </si>
  <si>
    <t>PR-JUP-01-008</t>
  </si>
  <si>
    <t xml:space="preserve">PR-JUP-01-008Inspeção da espiga do servomotor </t>
  </si>
  <si>
    <t>PR-JUP-01-007</t>
  </si>
  <si>
    <t xml:space="preserve">PR-JUP-01-007Inspeção da bucha da espiga do rotor Kaplan </t>
  </si>
  <si>
    <t>PR-JUP-01-006</t>
  </si>
  <si>
    <t xml:space="preserve">PR-JUP-01-006Inspeção na camisa do sevomotor Kaplan </t>
  </si>
  <si>
    <t>PR-JUP-01-005</t>
  </si>
  <si>
    <t xml:space="preserve">PR-JUP-01-005Inspeção de torque de elementos de fixação </t>
  </si>
  <si>
    <t>PR-JUP-01-004</t>
  </si>
  <si>
    <t xml:space="preserve">PR-JUP-01-004Inspeção em pinos e buchas do bielismo </t>
  </si>
  <si>
    <t>PR-JUP-01-003</t>
  </si>
  <si>
    <t xml:space="preserve">PR-JUP-01-003Inspeção nas buchas auto-lubrificantes das palhetas diretrizes </t>
  </si>
  <si>
    <t>PR-JUP-01-002</t>
  </si>
  <si>
    <t xml:space="preserve">PR-JUP-01-002Medição de B0, folga e esmagamento </t>
  </si>
  <si>
    <t>PR-JUP-01-001</t>
  </si>
  <si>
    <t xml:space="preserve">PR-JUP-01-001Inspeção de concreto da caixa espiral </t>
  </si>
  <si>
    <t>PR-JUP-00-009</t>
  </si>
  <si>
    <t xml:space="preserve">PR-JUP-00-009Aferição de Manômetros </t>
  </si>
  <si>
    <t>PR-JUP-00-008</t>
  </si>
  <si>
    <t xml:space="preserve">PR-JUP-00-008Inspeção de pintura </t>
  </si>
  <si>
    <t>PR-JUP-00-007</t>
  </si>
  <si>
    <t xml:space="preserve">PR-JUP-00-007Inspeção de torque de elementos de fixação </t>
  </si>
  <si>
    <t>PR-JUP-00-006</t>
  </si>
  <si>
    <t xml:space="preserve">PR-JUP-00-006Ensaio de motobombas </t>
  </si>
  <si>
    <t>PR-JUP-00-005</t>
  </si>
  <si>
    <t xml:space="preserve">PR-JUP-00-005Calibração de instrumentos </t>
  </si>
  <si>
    <t>PR-JUP-00-004</t>
  </si>
  <si>
    <t xml:space="preserve">PR-JUP-00-004Ensaio de motores elétricos </t>
  </si>
  <si>
    <t>PR-JUP-00-003</t>
  </si>
  <si>
    <t xml:space="preserve">PR-JUP-00-003Inspeção Ultrassom </t>
  </si>
  <si>
    <t>PR-JUP-00-002</t>
  </si>
  <si>
    <t xml:space="preserve">PR-JUP-00-002Inspeção Partículas Magnéticas </t>
  </si>
  <si>
    <t>PR-JUP-00-001</t>
  </si>
  <si>
    <t xml:space="preserve">PR-JUP-00-001Inspeção Líquido Penetrante </t>
  </si>
  <si>
    <t>PR-JUR-00-001</t>
  </si>
  <si>
    <t xml:space="preserve">PR-JUR-00-001Inspeção Líquido Penetrante </t>
  </si>
  <si>
    <t>PR-JUR-00-002</t>
  </si>
  <si>
    <t xml:space="preserve">PR-JUR-00-002Inspeção Partículas Magnéticas </t>
  </si>
  <si>
    <t>PR-JUR-00-003</t>
  </si>
  <si>
    <t xml:space="preserve">PR-JUR-00-003Inspeção Ultrassom </t>
  </si>
  <si>
    <t>PR-JUR-00-004</t>
  </si>
  <si>
    <t xml:space="preserve">PR-JUR-00-004Ensaio de motores elétricos </t>
  </si>
  <si>
    <t>PR-JUR-00-005</t>
  </si>
  <si>
    <t xml:space="preserve">PR-JUR-00-005Calibração de instrumentos </t>
  </si>
  <si>
    <t>PR-JUR-00-006</t>
  </si>
  <si>
    <t xml:space="preserve">PR-JUR-00-006Ensaio de motobombas </t>
  </si>
  <si>
    <t>PR-JUR-00-007</t>
  </si>
  <si>
    <t xml:space="preserve">PR-JUR-00-007Inspeção de torque de elementos de fixação </t>
  </si>
  <si>
    <t>PR-JUR-00-008</t>
  </si>
  <si>
    <t xml:space="preserve">PR-JUR-00-008Inspeção de pintura </t>
  </si>
  <si>
    <t>PR-JUR-00-009</t>
  </si>
  <si>
    <t xml:space="preserve">PR-JUR-00-009Aferição de Manômetros </t>
  </si>
  <si>
    <t>PR-JUR-01-001</t>
  </si>
  <si>
    <t xml:space="preserve">PR-JUR-01-001Inspeção de concreto da caixa espiral </t>
  </si>
  <si>
    <t>PR-JUR-01-002</t>
  </si>
  <si>
    <t xml:space="preserve">PR-JUR-01-002Medição de B0, folga e esmagamento </t>
  </si>
  <si>
    <t>PR-JUR-01-003</t>
  </si>
  <si>
    <t xml:space="preserve">PR-JUR-01-003Inspeção nas buchas auto-lubrificantes das palhetas diretrizes </t>
  </si>
  <si>
    <t>PR-JUR-01-004</t>
  </si>
  <si>
    <t xml:space="preserve">PR-JUR-01-004Inspeção em pinos e buchas do bielismo </t>
  </si>
  <si>
    <t>PR-JUR-01-005</t>
  </si>
  <si>
    <t xml:space="preserve">PR-JUR-01-005Inspeção de torque de elementos de fixação </t>
  </si>
  <si>
    <t>PR-JUR-01-006</t>
  </si>
  <si>
    <t xml:space="preserve">PR-JUR-01-006Inspeção na camisa do sevomotor Kaplan </t>
  </si>
  <si>
    <t>PR-JUR-01-007</t>
  </si>
  <si>
    <t xml:space="preserve">PR-JUR-01-007Inspeção da bucha da espiga do rotor Kaplan </t>
  </si>
  <si>
    <t>PR-JUR-01-008</t>
  </si>
  <si>
    <t xml:space="preserve">PR-JUR-01-008Inspeção da espiga do servomotor </t>
  </si>
  <si>
    <t>PR-JUR-01-009</t>
  </si>
  <si>
    <t xml:space="preserve">PR-JUR-01-009Dimensional das buchas do munhões das pás do rotor Kaplan </t>
  </si>
  <si>
    <t>PR-JUR-01-010</t>
  </si>
  <si>
    <t xml:space="preserve">PR-JUR-01-010Inspeção em pinos das alavancas do servomotor da Kaplan </t>
  </si>
  <si>
    <t>PR-JUR-01-011</t>
  </si>
  <si>
    <t xml:space="preserve">PR-JUR-01-011Inspeção das bielas e parafusos olhais da Kaplan </t>
  </si>
  <si>
    <t>PR-JUR-01-012</t>
  </si>
  <si>
    <t xml:space="preserve">PR-JUR-01-012Inspeção nos parafusos de fixação das talas das pás Kaplan </t>
  </si>
  <si>
    <t>PR-JUR-01-014</t>
  </si>
  <si>
    <t xml:space="preserve">PR-JUR-01-014Inspeção dos parafusos do rotor </t>
  </si>
  <si>
    <t>PR-JUR-01-015</t>
  </si>
  <si>
    <t xml:space="preserve">PR-JUR-01-015Inspeção dos parafusos de acoplamento com o eixo principal </t>
  </si>
  <si>
    <t>PR-JUR-01-017</t>
  </si>
  <si>
    <t xml:space="preserve">PR-JUR-01-017Medição de folga entre pá e aro câmara </t>
  </si>
  <si>
    <t>PR-JUR-01-018</t>
  </si>
  <si>
    <t xml:space="preserve">PR-JUR-01-018Espessura e bate chocoaro câmara </t>
  </si>
  <si>
    <t>PR-JUR-01-020</t>
  </si>
  <si>
    <t xml:space="preserve">PR-JUR-01-020Inspeção da bucha do cabeçote Kaplan </t>
  </si>
  <si>
    <t>PR-JUR-01-021</t>
  </si>
  <si>
    <t xml:space="preserve">PR-JUR-01-021Batimento da tubulação Kaplan </t>
  </si>
  <si>
    <t>PR-JUR-01-023</t>
  </si>
  <si>
    <t xml:space="preserve">PR-JUR-01-023Batimento da pista de inox da vedação do eixo </t>
  </si>
  <si>
    <t>PR-JUR-01-024</t>
  </si>
  <si>
    <t xml:space="preserve">PR-JUR-01-024Batimento do anel de desgaste da vedação do eixo </t>
  </si>
  <si>
    <t>PR-JUR-01-025</t>
  </si>
  <si>
    <t xml:space="preserve">PR-JUR-01-025Espessura do anel de desgaste da vedação do eixo </t>
  </si>
  <si>
    <t>PR-JUR-01-026</t>
  </si>
  <si>
    <t xml:space="preserve">PR-JUR-01-026Ensaio na vedação de manutenção </t>
  </si>
  <si>
    <t>PR-JUR-01-027</t>
  </si>
  <si>
    <t xml:space="preserve">PR-JUR-01-027Medição de tempo de recalque das bombas de drenagem da tampa </t>
  </si>
  <si>
    <t>PR-JUR-01-028</t>
  </si>
  <si>
    <t xml:space="preserve">PR-JUR-01-028Ensaio das bombas de injeção de água da vedação do eixo </t>
  </si>
  <si>
    <t>PR-JUR-01-034</t>
  </si>
  <si>
    <t xml:space="preserve">PR-JUR-01-034Inspeção no tubo de sucção e caixa espiral </t>
  </si>
  <si>
    <t>PR-JUR-01-035</t>
  </si>
  <si>
    <t xml:space="preserve">PR-JUR-01-035Inspeção dos parafusos de união da tampa superior com o pré-distribuidor após aperto </t>
  </si>
  <si>
    <t>PR-JUR-01-041</t>
  </si>
  <si>
    <t xml:space="preserve">PR-JUR-01-041Inspeção em regiões cavitadasKaplan </t>
  </si>
  <si>
    <t>PR-JUR-02-001</t>
  </si>
  <si>
    <t xml:space="preserve">PR-JUR-02-001Medição e ajuste de centro, elevação e nível da cruzeta superiorFalta Informação do desenho </t>
  </si>
  <si>
    <t>PR-JUR-02-002</t>
  </si>
  <si>
    <t xml:space="preserve">PR-JUR-02-002Inspeção dos flanges da cruzeta </t>
  </si>
  <si>
    <t>PR-JUR-02-003</t>
  </si>
  <si>
    <t xml:space="preserve">PR-JUR-02-003Medição de circularidade e excentricidade do estator </t>
  </si>
  <si>
    <t>PR-JUR-02-004</t>
  </si>
  <si>
    <t xml:space="preserve">PR-JUR-02-004Insp. dos parafusos acop., pinos entre carcaça estator e pedestais </t>
  </si>
  <si>
    <t>PR-JUR-02-005</t>
  </si>
  <si>
    <t xml:space="preserve">PR-JUR-02-005Insp. do núcleo do estator </t>
  </si>
  <si>
    <t>PR-JUR-02-006</t>
  </si>
  <si>
    <t xml:space="preserve">PR-JUR-02-006Inspeção dos tirantes de fixação do núcleo do estator (isolação) </t>
  </si>
  <si>
    <t>PR-JUR-02-007</t>
  </si>
  <si>
    <t xml:space="preserve">PR-JUR-02-007Inspeção das guias de ar </t>
  </si>
  <si>
    <t>PR-JUR-02-008</t>
  </si>
  <si>
    <t xml:space="preserve">PR-JUR-02-008Medição do entreferro </t>
  </si>
  <si>
    <t>PR-JUR-02-009</t>
  </si>
  <si>
    <t xml:space="preserve">PR-JUR-02-009Medição de circularidade e excentricidade do rotor </t>
  </si>
  <si>
    <t>PR-JUR-02-010</t>
  </si>
  <si>
    <t xml:space="preserve">PR-JUR-02-010Ajuste da circularidade do rotor </t>
  </si>
  <si>
    <t>PR-JUR-02-011</t>
  </si>
  <si>
    <t xml:space="preserve">PR-JUR-02-011Medição do nivelamento dos polos </t>
  </si>
  <si>
    <t>PR-JUR-02-013</t>
  </si>
  <si>
    <t xml:space="preserve">PR-JUR-02-013Inspeção da pista de frenagem </t>
  </si>
  <si>
    <t>PR-JUR-02-014</t>
  </si>
  <si>
    <t xml:space="preserve">PR-JUR-02-014Medição de centro (Caixa eixo) e ajuste do mancal guia </t>
  </si>
  <si>
    <t>PR-JUR-02-015</t>
  </si>
  <si>
    <t xml:space="preserve">PR-JUR-02-015Medição e ajuste do nivelamento dos segmentos do mancal de escora </t>
  </si>
  <si>
    <t>PR-JUR-02-016</t>
  </si>
  <si>
    <t xml:space="preserve">PR-JUR-02-016Medição de nivelamento e ajuste da superfície para a instalação dos segmentos do mancal de escora </t>
  </si>
  <si>
    <t>PR-JUR-02-017</t>
  </si>
  <si>
    <t xml:space="preserve">PR-JUR-02-017Inspeção dos espelhos do bloco de escora </t>
  </si>
  <si>
    <t>PR-JUR-02-018</t>
  </si>
  <si>
    <t xml:space="preserve">PR-JUR-02-018Inspeção dos parafusos e pinos do bloco de escora e o rotor do gerador </t>
  </si>
  <si>
    <t>PR-JUR-02-020</t>
  </si>
  <si>
    <t xml:space="preserve">PR-JUR-02-020Verificação do nível de óleo </t>
  </si>
  <si>
    <t>PR-JUR-02-021</t>
  </si>
  <si>
    <t xml:space="preserve">PR-JUR-02-021Inspeção dos flanges do suporte do MC </t>
  </si>
  <si>
    <t>PR-JUR-02-022</t>
  </si>
  <si>
    <t xml:space="preserve">PR-JUR-02-022Inspeção dos flanges do cone de sustentação </t>
  </si>
  <si>
    <t>PR-JUR-02-023</t>
  </si>
  <si>
    <t xml:space="preserve">PR-JUR-02-023Medição de nivelamento das lonas de freio </t>
  </si>
  <si>
    <t>PR-JUR-02-024</t>
  </si>
  <si>
    <t xml:space="preserve">PR-JUR-02-024Inspeção dos macacos de frenagem </t>
  </si>
  <si>
    <t>PR-JUR-02-025</t>
  </si>
  <si>
    <t xml:space="preserve">PR-JUR-02-025Medição e ajuste da distância entre a lona de frenagem e a pista de frenagem </t>
  </si>
  <si>
    <t>PR-JUR-02-026</t>
  </si>
  <si>
    <t xml:space="preserve">PR-JUR-02-026Entreferro (run-out e verticalidadeDinâmico </t>
  </si>
  <si>
    <t>PR-JUR-02-027</t>
  </si>
  <si>
    <t xml:space="preserve">PR-JUR-02-027Verticalidade </t>
  </si>
  <si>
    <t>PR-JUR-02-028</t>
  </si>
  <si>
    <t xml:space="preserve">PR-JUR-02-028Run-out </t>
  </si>
  <si>
    <t>PR-JUR-02-029</t>
  </si>
  <si>
    <t xml:space="preserve">PR-JUR-02-029ComissionamentoVibração, oscilação, temperaturas, tempos e pressões </t>
  </si>
  <si>
    <t>PR-JUR-03-000</t>
  </si>
  <si>
    <t xml:space="preserve">PR-JUR-03-000-Manutencao Geradorinspeção e limpeza geral </t>
  </si>
  <si>
    <t>PR-JUR-03-001</t>
  </si>
  <si>
    <t xml:space="preserve">PR-JUR-03-001-Inspeção com termografia no Gerador </t>
  </si>
  <si>
    <t>PR-JUR-03-002</t>
  </si>
  <si>
    <t xml:space="preserve">PR-JUR-03-002-Inspeção no enrolamento do estatorcabeças de bobina </t>
  </si>
  <si>
    <t>PR-JUR-03-003</t>
  </si>
  <si>
    <t xml:space="preserve">PR-JUR-03-003-Inspeção no enrolamento do estatoraneis de surto e barramento circular </t>
  </si>
  <si>
    <t>PR-JUR-03-004</t>
  </si>
  <si>
    <t xml:space="preserve">PR-JUR-03-004-Inspeção no nucleo do estatordedos pressao e escadinha </t>
  </si>
  <si>
    <t>PR-JUR-03-005</t>
  </si>
  <si>
    <t xml:space="preserve">PR-JUR-03-005-Inspeção no nucleo do estatorcunhas de fechamento de ranhuras </t>
  </si>
  <si>
    <t>PR-JUR-03-006</t>
  </si>
  <si>
    <t xml:space="preserve">PR-JUR-03-006-Inspeção nos polosbobinas e conexoes principais e amortecedor </t>
  </si>
  <si>
    <t>PR-JUR-03-007</t>
  </si>
  <si>
    <t xml:space="preserve">PR-JUR-03-007-Inspeção campo- regulador_porta escovasanel coletor_polos </t>
  </si>
  <si>
    <t>PR-JUR-03-008</t>
  </si>
  <si>
    <t xml:space="preserve">PR-JUR-03-008-Manutencao Estatordesmontagem e montagem das conexoes flexiveis </t>
  </si>
  <si>
    <t>PR-JUR-03-009</t>
  </si>
  <si>
    <t xml:space="preserve">PR-JUR-03-009-Ensaios na substituiçao de barra </t>
  </si>
  <si>
    <t>PR-JUR-03-010</t>
  </si>
  <si>
    <t xml:space="preserve">PR-JUR-03-010-Manutencao Estatorsecagem enrolamento </t>
  </si>
  <si>
    <t>PR-JUR-03-011</t>
  </si>
  <si>
    <t xml:space="preserve">PR-JUR-03-011-Manutencao Polosmontagem e controle das conexoes principais e amortecedor </t>
  </si>
  <si>
    <t>PR-JUR-03-012</t>
  </si>
  <si>
    <t xml:space="preserve">PR-JUR-03-012-Manutencao Polos -substituição de polo </t>
  </si>
  <si>
    <t>PR-JUR-03-013</t>
  </si>
  <si>
    <t xml:space="preserve">PR-JUR-03-013-Manutancao Rotordesmontagem e montagem barramento de campo (002) </t>
  </si>
  <si>
    <t>PR-JUR-03-014</t>
  </si>
  <si>
    <t xml:space="preserve">PR-JUR-03-014-Manutancao porta escovas </t>
  </si>
  <si>
    <t>PR-JUR-03-015</t>
  </si>
  <si>
    <t xml:space="preserve">PR-JUR-03-015-Manutancao aneis coletores </t>
  </si>
  <si>
    <t>PR-JUR-03-016</t>
  </si>
  <si>
    <t xml:space="preserve">PR-JUR-03-016-Inspeção cubiculo aterramento neutro </t>
  </si>
  <si>
    <t>PR-JUR-03-101</t>
  </si>
  <si>
    <t xml:space="preserve">PR-JUR-03-101Testes enrolamento estator &amp; rotorisolação, IP, IA </t>
  </si>
  <si>
    <t>PR-JUR-03-102</t>
  </si>
  <si>
    <t xml:space="preserve">PR-JUR-03-102Testes enrolamento estator &amp; rotorResistência Ohmica </t>
  </si>
  <si>
    <t>PR-JUR-03-103</t>
  </si>
  <si>
    <t xml:space="preserve">PR-JUR-03-103Testes enrolamento estatorensaio de corrente de fuga </t>
  </si>
  <si>
    <t>PR-JUR-03-104</t>
  </si>
  <si>
    <t xml:space="preserve">PR-JUR-03-104Testes enrolamento estatortangente delta </t>
  </si>
  <si>
    <t>PR-JUR-03-105</t>
  </si>
  <si>
    <t xml:space="preserve">PR-JUR-03-105Testes enrolamento estator &amp; rotorTensao Aplicada (hipot) AC-CC </t>
  </si>
  <si>
    <t>PR-JUR-03-106</t>
  </si>
  <si>
    <t xml:space="preserve">PR-JUR-03-106Testes enrolamento rotorResistencia ohmica das conexoes polares </t>
  </si>
  <si>
    <t>PR-JUR-03-107</t>
  </si>
  <si>
    <t xml:space="preserve">PR-JUR-03-107Testes enrolamento rotorEnsaio de queda de tensao nos polos </t>
  </si>
  <si>
    <t>PR-JUR-03-108</t>
  </si>
  <si>
    <t xml:space="preserve">PR-JUR-03-108Testes circuito de campomedição isolação componentes </t>
  </si>
  <si>
    <t>PR-JUR-03-109</t>
  </si>
  <si>
    <t xml:space="preserve">PR-JUR-03-109Testes enrolamento estatortensão de ranhura </t>
  </si>
  <si>
    <t>PR-JUR-03-110</t>
  </si>
  <si>
    <t xml:space="preserve">PR-JUR-03-110Ensaios nos RTD's </t>
  </si>
  <si>
    <t>PR-JUR-03-111</t>
  </si>
  <si>
    <t xml:space="preserve">PR-JUR-03-111Testes enrolamento estator- Ensaio de corona visual </t>
  </si>
  <si>
    <t>PR-JUR-03-112</t>
  </si>
  <si>
    <t xml:space="preserve">PR-JUR-03-112Ensaios equipmts auxpainel de neutro RevA </t>
  </si>
  <si>
    <t>PR-JUR-03-113</t>
  </si>
  <si>
    <t xml:space="preserve">PR-JUR-03-113Ensaios nos aquecedores de maq parada </t>
  </si>
  <si>
    <t>PR-JUR-03-114</t>
  </si>
  <si>
    <t xml:space="preserve">PR-JUR-03-114Ensaios para levantamento das curvas caracterisitcas </t>
  </si>
  <si>
    <t>PR-JUR-03-115</t>
  </si>
  <si>
    <t xml:space="preserve">PR-JUR-03-115Ensaio de aquecimento do Gerador </t>
  </si>
  <si>
    <t>PR-JUR-04-001</t>
  </si>
  <si>
    <t xml:space="preserve">PR-JUR-04-001Ensaio de automatismo de motoresbombas </t>
  </si>
  <si>
    <t>PR-JUR-04-002</t>
  </si>
  <si>
    <t xml:space="preserve">PR-JUR-04-002Ensaio de automatismo do sistema hidráulico RV </t>
  </si>
  <si>
    <t>PR-JUR-04-003</t>
  </si>
  <si>
    <t xml:space="preserve">PR-JUR-04-003Ensaio de Fluxostatos </t>
  </si>
  <si>
    <t>PR-JUR-04-004</t>
  </si>
  <si>
    <t xml:space="preserve">PR-JUR-04-004Ensaio de fontes de alimentação </t>
  </si>
  <si>
    <t>PR-JUR-04-005</t>
  </si>
  <si>
    <t xml:space="preserve">PR-JUR-04-005Ensaio de Resistência de Isolação </t>
  </si>
  <si>
    <t>PR-JUR-04-006</t>
  </si>
  <si>
    <t xml:space="preserve">PR-JUR-04-006Ensaio de Pressostatos </t>
  </si>
  <si>
    <t>PR-JUR-04-007</t>
  </si>
  <si>
    <t xml:space="preserve">PR-JUR-04-007Ensaio de relés de subtensão </t>
  </si>
  <si>
    <t>PR-JUR-04-008</t>
  </si>
  <si>
    <t xml:space="preserve">PR-JUR-04-008Ensaio de relés temporizadores </t>
  </si>
  <si>
    <t>PR-JUR-04-009</t>
  </si>
  <si>
    <t xml:space="preserve">PR-JUR-04-009Ensaio de Resistência de contato em relés auxiliares </t>
  </si>
  <si>
    <t>PR-JUR-04-010</t>
  </si>
  <si>
    <t xml:space="preserve">PR-JUR-04-010Ensaio de sensores atuadores de posição </t>
  </si>
  <si>
    <t>PR-JUR-04-011</t>
  </si>
  <si>
    <t xml:space="preserve">PR-JUR-04-011Ensaio de simulação de partida e parada UAC </t>
  </si>
  <si>
    <t>PR-JUR-04-012</t>
  </si>
  <si>
    <t xml:space="preserve">PR-JUR-04-012Ensaio de sistema de água de refrigeração </t>
  </si>
  <si>
    <t>PR-JUR-04-013</t>
  </si>
  <si>
    <t xml:space="preserve">PR-JUR-04-013Ensaio de sistema de aquecimento gerador </t>
  </si>
  <si>
    <t>PR-JUR-04-014</t>
  </si>
  <si>
    <t xml:space="preserve">PR-JUR-04-014Ensaio de sistema de frenagem </t>
  </si>
  <si>
    <t>PR-JUR-04-015</t>
  </si>
  <si>
    <t xml:space="preserve">PR-JUR-04-015Ensaio de transferência automática de fontes </t>
  </si>
  <si>
    <t>PR-JUR-04-016</t>
  </si>
  <si>
    <t xml:space="preserve">PR-JUR-04-016Ensaio de transmissores de pressão </t>
  </si>
  <si>
    <t>PR-JUR-04-017</t>
  </si>
  <si>
    <t xml:space="preserve">PR-JUR-04-017Ensaio de transmissores de temperatura </t>
  </si>
  <si>
    <t>PR-JUR-04-018</t>
  </si>
  <si>
    <t xml:space="preserve">PR-JUR-04-018Ensaio de transmissores de vazão </t>
  </si>
  <si>
    <t>PR-JUR-04-019</t>
  </si>
  <si>
    <t xml:space="preserve">PR-JUR-04-019Ensaio dos sensores de pinos de cisalhamento das diretrizes </t>
  </si>
  <si>
    <t>PR-JUR-04-020</t>
  </si>
  <si>
    <t xml:space="preserve">PR-JUR-04-020Ensaio do sistema de filtragem de água de refrigeração </t>
  </si>
  <si>
    <t>PR-JUR-04-021</t>
  </si>
  <si>
    <t xml:space="preserve">PR-JUR-04-021Tabela de controle desconexão e conexão de cabos </t>
  </si>
  <si>
    <t>PR-JUR-04-022</t>
  </si>
  <si>
    <t xml:space="preserve">PR-JUR-04-022Ensaio de Transferencia de fontes de alimentação </t>
  </si>
  <si>
    <t>PR-JUR-05-000</t>
  </si>
  <si>
    <t xml:space="preserve">PR-JUR-05-000Itens de manutenção e teste </t>
  </si>
  <si>
    <t>PR-JUR-05-001</t>
  </si>
  <si>
    <t xml:space="preserve">PR-JUR-05-001Ensaio de isolação em cabos de saída do gerador </t>
  </si>
  <si>
    <t>PR-JUR-05-002</t>
  </si>
  <si>
    <t xml:space="preserve">PR-JUR-05-002Ensaio de tensão aplicada em cabos de saída do gerador </t>
  </si>
  <si>
    <t>PR-JUR-05-005</t>
  </si>
  <si>
    <t xml:space="preserve">PR-JUR-05-005Ensaio de TC de cubículos do gerador </t>
  </si>
  <si>
    <t>PR-JUR-05-006</t>
  </si>
  <si>
    <t xml:space="preserve">PR-JUR-05-006Ensaio de TP de cubículos do gerador </t>
  </si>
  <si>
    <t>PR-JUR-05-007</t>
  </si>
  <si>
    <t xml:space="preserve">PR-JUR-05-007Ensaio de protetores de surto do gerador </t>
  </si>
  <si>
    <t>PR-JUR-05-008</t>
  </si>
  <si>
    <t xml:space="preserve">PR-JUR-05-008Ensaio de isolação para chaves seccionadoras </t>
  </si>
  <si>
    <t>PR-JUR-05-009</t>
  </si>
  <si>
    <t xml:space="preserve">PR-JUR-05-009Ensaio de tensão aplicada para chaves seccionadoras </t>
  </si>
  <si>
    <t>PR-JUR-06-001</t>
  </si>
  <si>
    <t xml:space="preserve">PR-JUR-06-001Inspeção visual do tanque, sistema de preservação e resfriamento </t>
  </si>
  <si>
    <t>PR-JUR-06-002</t>
  </si>
  <si>
    <t xml:space="preserve">PR-JUR-06-002Inspeção visual das buchas </t>
  </si>
  <si>
    <t>PR-JUR-06-003</t>
  </si>
  <si>
    <t xml:space="preserve">PR-JUR-06-003Inspeção visual dos TCs de bucha </t>
  </si>
  <si>
    <t>PR-JUR-06-004</t>
  </si>
  <si>
    <t xml:space="preserve">PR-JUR-06-004Inspeção visual indicadores e termômetros </t>
  </si>
  <si>
    <t>PR-JUR-06-005</t>
  </si>
  <si>
    <t xml:space="preserve">PR-JUR-06-005Inspeção visual do relé de gás e DAP </t>
  </si>
  <si>
    <t>PR-JUR-06-006</t>
  </si>
  <si>
    <t xml:space="preserve">PR-JUR-06-006Inspeção visual painel de controle </t>
  </si>
  <si>
    <t>PR-JUR-06-007</t>
  </si>
  <si>
    <t xml:space="preserve">PR-JUR-06-007 e 06-021Ensaio de Resistência de isolamento </t>
  </si>
  <si>
    <t>PR-JUR-06-008</t>
  </si>
  <si>
    <t xml:space="preserve">PR-JUR-06-008Ensaio de Resistência elétrica dos Enrolamentos </t>
  </si>
  <si>
    <t>PR-JUR-06-009</t>
  </si>
  <si>
    <t xml:space="preserve">PR-JUR-06-009Ensaio de Fator de Potência e Capacitância dos enrolamentos </t>
  </si>
  <si>
    <t>PR-JUR-06-010</t>
  </si>
  <si>
    <t xml:space="preserve">PR-JUR-06-010Ensaio de relação de transformação </t>
  </si>
  <si>
    <t>PR-JUR-06-011</t>
  </si>
  <si>
    <t xml:space="preserve">PR-JUR-06-011Ensaio de Corrente de excitação monofásica </t>
  </si>
  <si>
    <t>PR-JUR-06-012</t>
  </si>
  <si>
    <t xml:space="preserve">PR-JUR-06-012Ensaio de impedância de curto-circuito </t>
  </si>
  <si>
    <t>PR-JUR-06-013</t>
  </si>
  <si>
    <t xml:space="preserve">PR-JUR-06-013-014-015Ensaio no RTD, Relé de Gás e DAP </t>
  </si>
  <si>
    <t>PR-JUR-06-016</t>
  </si>
  <si>
    <t xml:space="preserve">PR-JUR-06-016- Ensaio de Estanqueidade </t>
  </si>
  <si>
    <t>PR-JUR-06-018</t>
  </si>
  <si>
    <t xml:space="preserve">PR-JUR-06-018Ensaio de Fator de Potência e Capacitância das buchas </t>
  </si>
  <si>
    <t>PR-JUR-06-019</t>
  </si>
  <si>
    <t xml:space="preserve">PR-JUR-06-019Ensaio nos TC's </t>
  </si>
  <si>
    <t xml:space="preserve">PR-JUR-06-019Ensaio nos TCs </t>
  </si>
  <si>
    <t>PR-JUR-06-020</t>
  </si>
  <si>
    <t xml:space="preserve">PR-JUR-06-020Ensaio sistema de resfriamento </t>
  </si>
  <si>
    <t>PR-JUR-07-000</t>
  </si>
  <si>
    <t xml:space="preserve">PR-JUR-07-000Itens de manutenção e teste </t>
  </si>
  <si>
    <t>PR-JUR-07-001</t>
  </si>
  <si>
    <t xml:space="preserve">PR-JUR-07-001Ensaio de isolação em transformadores a seco </t>
  </si>
  <si>
    <t>PR-JUR-07-002</t>
  </si>
  <si>
    <t xml:space="preserve">PR-JUR-07-002Ensaio de resistência DC em transformadores à seco </t>
  </si>
  <si>
    <t>PR-JUR-07-003</t>
  </si>
  <si>
    <t xml:space="preserve">PR-JUR-07-003Ensaio de tensão aplicada em transformadores a seco </t>
  </si>
  <si>
    <t>PR-JUR-07-004</t>
  </si>
  <si>
    <t xml:space="preserve">PR-JUR-07-004Ensaio de relação de transformação e polaridade em transformadores a seco </t>
  </si>
  <si>
    <t>PR-JUR-09-000</t>
  </si>
  <si>
    <t xml:space="preserve">PR-JUR-09-000Itens de manutenção e teste </t>
  </si>
  <si>
    <t>PR-JUR-09-001</t>
  </si>
  <si>
    <t xml:space="preserve">PR-JUR-09-001Ensaio de resistência DC em barramento de painéis de média tensão </t>
  </si>
  <si>
    <t>PR-JUR-09-002</t>
  </si>
  <si>
    <t xml:space="preserve">PR-JUR-09-002Ensaio de isolação em barramento de painéis de média tensão </t>
  </si>
  <si>
    <t>PR-JUR-09-003</t>
  </si>
  <si>
    <t xml:space="preserve">PR-JUR-09-003Ensaio de tensão aplicada em barramento de painéis de média tensão </t>
  </si>
  <si>
    <t>PR-JUR-09-004</t>
  </si>
  <si>
    <t xml:space="preserve">PR-JUR-09-004Ensaio de disjuntores de média tensão </t>
  </si>
  <si>
    <t>PR-JUR-09-005</t>
  </si>
  <si>
    <t xml:space="preserve">PR-JUR-09-005Ensaio de tensão aplicada em disjuntores de média tensão </t>
  </si>
  <si>
    <t>PR-JUR-09-006</t>
  </si>
  <si>
    <t xml:space="preserve">PR-JUR-09-006Ensaio de TC de painéis de média tensão </t>
  </si>
  <si>
    <t>PR-JUR-09-007</t>
  </si>
  <si>
    <t xml:space="preserve">PR-JUR-09-007Ensaio de TP de painéis de média tensão </t>
  </si>
  <si>
    <t>PR-JUR-09-008</t>
  </si>
  <si>
    <t xml:space="preserve">PR-JUR-09-008Ensaio de protetores de surto de painéis de média tensão </t>
  </si>
  <si>
    <t>PR-JUR-10-000</t>
  </si>
  <si>
    <t xml:space="preserve">PR-JUR-10-000Itens de manutenção e teste </t>
  </si>
  <si>
    <t>PR-JUR-10-001</t>
  </si>
  <si>
    <t xml:space="preserve">PR-JUR-10-001Ensaio de isolação em barramento de painéis de baixa tensão </t>
  </si>
  <si>
    <t>PR-JUR-10-002</t>
  </si>
  <si>
    <t xml:space="preserve">PR-JUR-10-002Ensaio de resistência DC em barramento de painéis de baixa tensão </t>
  </si>
  <si>
    <t>PR-JUR-10-003</t>
  </si>
  <si>
    <t xml:space="preserve">PR-JUR-10-003Ensaio de tensão aplicada em barramento de painéis de baixa tensão </t>
  </si>
  <si>
    <t>PR-JUR-10-004</t>
  </si>
  <si>
    <t xml:space="preserve">PR-JUR-10-004Ensaio de disjuntores de caixa moldada em painéis de baixa tensão </t>
  </si>
  <si>
    <t>PR-JUR-10-005</t>
  </si>
  <si>
    <t xml:space="preserve">PR-JUR-10-005Ensaio de isolação em TP de painéis de baixa tensão </t>
  </si>
  <si>
    <t>PR-JUR-10-006</t>
  </si>
  <si>
    <t xml:space="preserve">PR-JUR-10-006Ensaio de isolação em cabos de painéis de baixa tensão </t>
  </si>
  <si>
    <t>PR-JUR-10-007</t>
  </si>
  <si>
    <t xml:space="preserve">PR-JUR-10-007- Ensaio de acoplamento automático de barras em painéis de baixa tensão </t>
  </si>
  <si>
    <t>PR-JUR-11-000</t>
  </si>
  <si>
    <t xml:space="preserve">PR-JUR-11-000Itens de manutenção e teste </t>
  </si>
  <si>
    <t>PR-JUR-11-001</t>
  </si>
  <si>
    <t xml:space="preserve">PR-JUR-11-001Ensaio de isolação em cabos até 35kV </t>
  </si>
  <si>
    <t>PR-JUR-11-002</t>
  </si>
  <si>
    <t xml:space="preserve">PR-JUR-11-002Ensaio de fator de perda dielétrica em cabos até 35kV </t>
  </si>
  <si>
    <t>PR-JUR-11-003</t>
  </si>
  <si>
    <t xml:space="preserve">PR-JUR-11-003Ensaio de tensão aplicada em cabos até 35kV </t>
  </si>
  <si>
    <t>PR-JUR-12-001</t>
  </si>
  <si>
    <t xml:space="preserve">PR-JUR-12-001Controle de alteração e backup software </t>
  </si>
  <si>
    <t>PR-JUR-13-001</t>
  </si>
  <si>
    <t xml:space="preserve">PR-JUR-13-001Resistência de Isolação </t>
  </si>
  <si>
    <t>PR-JUR-13-002</t>
  </si>
  <si>
    <t xml:space="preserve">PR-JUR-13-002Resistência de contato em relés auxiliares </t>
  </si>
  <si>
    <t>PR-JUR-13-003</t>
  </si>
  <si>
    <t xml:space="preserve">PR-JUR-13-003Ensaios em relés auxiliares </t>
  </si>
  <si>
    <t>PR-JUR-13-004</t>
  </si>
  <si>
    <t xml:space="preserve">PR-JUR-13-004Calibração de transdutores </t>
  </si>
  <si>
    <t>PR-JUR-13-005</t>
  </si>
  <si>
    <t xml:space="preserve">PR-JUR-13-005Ensaios em relés de sincronismo (ANSI 25) </t>
  </si>
  <si>
    <t>PR-JUR-13-006</t>
  </si>
  <si>
    <t xml:space="preserve">PR-JUR-13-006Controle de alteração e backup software </t>
  </si>
  <si>
    <t>PR-JUR-14-001</t>
  </si>
  <si>
    <t xml:space="preserve">PR-JUR-14-001Controle de alteração e backup software </t>
  </si>
  <si>
    <t>PR-JUR-15-001</t>
  </si>
  <si>
    <t xml:space="preserve">PR-JUR-15-001Ensaios em Transformadores de Corrente </t>
  </si>
  <si>
    <t>PR-JUR-15-002</t>
  </si>
  <si>
    <t xml:space="preserve">PR-JUR-15-002Ensaios em Transformadores de Potencial </t>
  </si>
  <si>
    <t>PR-JUR-15-003</t>
  </si>
  <si>
    <t xml:space="preserve">PR-JUR-15-003Ensaio de Isolação </t>
  </si>
  <si>
    <t>PR-JUR-15-004</t>
  </si>
  <si>
    <t xml:space="preserve">PR-JUR-15-004Ensaio de Resistência </t>
  </si>
  <si>
    <t>PR-JUR-15-005</t>
  </si>
  <si>
    <t xml:space="preserve">PR-JUR-15-005Ensaio de curva característica do TC </t>
  </si>
  <si>
    <t>PR-JUR-15-006</t>
  </si>
  <si>
    <t xml:space="preserve">PR-JUR-15-006Proteção Diferencial </t>
  </si>
  <si>
    <t>PR-JUR-15-007</t>
  </si>
  <si>
    <t xml:space="preserve">PR-JUR-15-007Proteção de Sobre e sub Frequência </t>
  </si>
  <si>
    <t>PR-JUR-15-009</t>
  </si>
  <si>
    <t xml:space="preserve">PR-JUR-15-009Proteção de Potencia Reversa </t>
  </si>
  <si>
    <t>PR-JUR-15-011</t>
  </si>
  <si>
    <t xml:space="preserve">PR-JUR-15-011Proteção de Subtensão </t>
  </si>
  <si>
    <t>PR-JUR-15-012</t>
  </si>
  <si>
    <t xml:space="preserve">PR-JUR-15-012Proteção de Energização Inadvertida </t>
  </si>
  <si>
    <t>PR-JUR-15-013</t>
  </si>
  <si>
    <t xml:space="preserve">PR-JUR-15-013Proteção de sobrecorrente com restrição de tensão </t>
  </si>
  <si>
    <t>PR-JUR-15-014</t>
  </si>
  <si>
    <t xml:space="preserve">PR-JUR-15-014Proteção Diferencial de terra restrita </t>
  </si>
  <si>
    <t>PR-JUR-15-015</t>
  </si>
  <si>
    <t xml:space="preserve">PR-JUR-15-015Proteção de Terra Rotor </t>
  </si>
  <si>
    <t>PR-JUR-15-016</t>
  </si>
  <si>
    <t xml:space="preserve">PR-JUR-15-016Proteção de Sequência Negativa </t>
  </si>
  <si>
    <t>PR-JUR-15-017</t>
  </si>
  <si>
    <t xml:space="preserve">PR-JUR-15-017Proteção de Perda de Excitação </t>
  </si>
  <si>
    <t>PR-JUR-15-018</t>
  </si>
  <si>
    <t xml:space="preserve">PR-JUR-15-018Proteção de Falha Fusível </t>
  </si>
  <si>
    <t>PR-JUR-15-019</t>
  </si>
  <si>
    <t xml:space="preserve">PR-JUR-15-019Proteção de Mínima Impedância </t>
  </si>
  <si>
    <t>PR-JUR-15-020</t>
  </si>
  <si>
    <t xml:space="preserve">PR-JUR-15-020Proteção Diferencial Transversal do Gerador </t>
  </si>
  <si>
    <t>PR-JUR-15-021</t>
  </si>
  <si>
    <t xml:space="preserve">PR-JUR-15-021Proteção de Terra Estator 95 </t>
  </si>
  <si>
    <t>PR-JUR-15-022</t>
  </si>
  <si>
    <t xml:space="preserve">PR-JUR-15-022Proteção de Terra Estator 100 </t>
  </si>
  <si>
    <t>PR-JUR-15-023</t>
  </si>
  <si>
    <t xml:space="preserve">PR-JUR-15-023Proteção de Sobretensão </t>
  </si>
  <si>
    <t>PR-JUR-15-024</t>
  </si>
  <si>
    <t xml:space="preserve">PR-JUR-15-024Proteção de Sobreexcitação </t>
  </si>
  <si>
    <t>PR-JUR-15-025</t>
  </si>
  <si>
    <t xml:space="preserve">PR-JUR-15-025Proteção de Sobrecarga </t>
  </si>
  <si>
    <t>PR-JUR-15-026</t>
  </si>
  <si>
    <t xml:space="preserve">PR-JUR-15-026Proteção de Falha Disjuntor </t>
  </si>
  <si>
    <t>PR-JUR-15-027</t>
  </si>
  <si>
    <t xml:space="preserve">PR-JUR-15-027Ensaio em relés de bloqueio-trip </t>
  </si>
  <si>
    <t>PR-JUR-17-001</t>
  </si>
  <si>
    <t xml:space="preserve">PR-JUR-17-001Ensaios em Transformadores de Corrente </t>
  </si>
  <si>
    <t>PR-JUR-17-002</t>
  </si>
  <si>
    <t xml:space="preserve">PR-JUR-17-002Ensaios em Transformadores de Potencial </t>
  </si>
  <si>
    <t>PR-JUR-17-003</t>
  </si>
  <si>
    <t xml:space="preserve">PR-JUR-17-003Ensaio de Isolação </t>
  </si>
  <si>
    <t>PR-JUR-17-004</t>
  </si>
  <si>
    <t xml:space="preserve">PR-JUR-17-004Ensaio de Resistência </t>
  </si>
  <si>
    <t>PR-JUR-17-005</t>
  </si>
  <si>
    <t xml:space="preserve">PR-JUR-17-005Ensaio de curva característica do TC </t>
  </si>
  <si>
    <t>PR-JUR-17-006</t>
  </si>
  <si>
    <t xml:space="preserve">PR-JUR-17-006Ensaio em relés de bloqueio-trip </t>
  </si>
  <si>
    <t>PR-JUR-18-000</t>
  </si>
  <si>
    <t xml:space="preserve">PR-JUR-18-000Check list de ensaios </t>
  </si>
  <si>
    <t>PR-JUR-18-001</t>
  </si>
  <si>
    <t xml:space="preserve">PR-JUR-18-001Ensaio de componentes e instumentos </t>
  </si>
  <si>
    <t>PR-JUR-18-002</t>
  </si>
  <si>
    <t xml:space="preserve">PR-JUR-18-002Ensaios de proteção sobretensão </t>
  </si>
  <si>
    <t>PR-JUR-18-003</t>
  </si>
  <si>
    <t xml:space="preserve">PR-JUR-18-003Ensaio isolação circuito primário </t>
  </si>
  <si>
    <t>PR-JUR-18-004</t>
  </si>
  <si>
    <t xml:space="preserve">PR-JUR-18-004Ensaio isolação circuito secundário </t>
  </si>
  <si>
    <t>PR-JUR-18-005</t>
  </si>
  <si>
    <t xml:space="preserve">PR-JUR-18-005Ensaios PLC </t>
  </si>
  <si>
    <t>PR-JUR-18-006</t>
  </si>
  <si>
    <t xml:space="preserve">PR-JUR-18-006Ensaios Simulação </t>
  </si>
  <si>
    <t>PR-JUR-18-007</t>
  </si>
  <si>
    <t xml:space="preserve">PR-JUR-18-007Ensaios funcionais </t>
  </si>
  <si>
    <t>PR-JUR-19-000</t>
  </si>
  <si>
    <t xml:space="preserve">PR-JUR-19-000Itens de manutenção e teste </t>
  </si>
  <si>
    <t>PR-JUR-19-001</t>
  </si>
  <si>
    <t xml:space="preserve">PR-JUR-19-001Ensaio de baterias </t>
  </si>
  <si>
    <t>PR-JUR-19-002</t>
  </si>
  <si>
    <t xml:space="preserve">PR-JUR-19-002Ensaio de capacidade e equalização de baterias </t>
  </si>
  <si>
    <t>PR-JUR-19-003</t>
  </si>
  <si>
    <t xml:space="preserve">PR-JUR-19-003Ensaio de retificadores e USCC </t>
  </si>
  <si>
    <t>PR-JUR-20-001</t>
  </si>
  <si>
    <t xml:space="preserve">PR-JUR-20-001Inspeção válvulas distribuidoras (CD e CR) </t>
  </si>
  <si>
    <t>PR-JUR-20-002</t>
  </si>
  <si>
    <t xml:space="preserve">PR-JUR-20-002Inspeção válvulas controle hidráulico </t>
  </si>
  <si>
    <t>PR-JUR-20-003</t>
  </si>
  <si>
    <t xml:space="preserve">PR-JUR-20-003Inspeção servomotor do distribuidor </t>
  </si>
  <si>
    <t>PR-JUR-20-004</t>
  </si>
  <si>
    <t xml:space="preserve">PR-JUR-20-004Inspeção sistema resfriamento RV </t>
  </si>
  <si>
    <t>PR-JUR-20-005</t>
  </si>
  <si>
    <t xml:space="preserve">PR-JUR-20-005Inspeção no acumulador ar e óleo </t>
  </si>
  <si>
    <t>PR-JUR-20-006</t>
  </si>
  <si>
    <t xml:space="preserve">PR-JUR-20-006Calibração válvula de segurança acumulador ar óleo </t>
  </si>
  <si>
    <t>PR-JUR-20-007</t>
  </si>
  <si>
    <t xml:space="preserve">PR-JUR-20-007Critérios de testes </t>
  </si>
  <si>
    <t>PR-JUR-21-000</t>
  </si>
  <si>
    <t xml:space="preserve">PR-JUR-21-000Check list de ensaios </t>
  </si>
  <si>
    <t>PR-JUR-21-001</t>
  </si>
  <si>
    <t xml:space="preserve">PR-JUR-21-001Ensaios de componentes instrumentos plc </t>
  </si>
  <si>
    <t>PR-JUR-21-002</t>
  </si>
  <si>
    <t xml:space="preserve">PR-JUR-21-002Ensaios circuitos elétricos </t>
  </si>
  <si>
    <t>PR-JUR-21-003</t>
  </si>
  <si>
    <t xml:space="preserve">PR-JUR-21-003Ensaios água morta </t>
  </si>
  <si>
    <t>PR-JUR-21-004</t>
  </si>
  <si>
    <t xml:space="preserve">PR-JUR-21-004Ensaios em vazio </t>
  </si>
  <si>
    <t>PR-JUR-21-005</t>
  </si>
  <si>
    <t xml:space="preserve">PR-JUR-21-005Ensaios em carga </t>
  </si>
  <si>
    <t>PR-JUR-22-001</t>
  </si>
  <si>
    <t xml:space="preserve">PR-JUR-22-001Itens de manutençãoCheck-list </t>
  </si>
  <si>
    <t>PR-JUR-23-001</t>
  </si>
  <si>
    <t xml:space="preserve">PR-JUR-23-001Itens de manutençãoCheck-list </t>
  </si>
  <si>
    <t>PR-JUR-24-001</t>
  </si>
  <si>
    <t xml:space="preserve">PR-JUR-24-001Itens de manutençãoCheck-list </t>
  </si>
  <si>
    <t>PR-JUR-25-001</t>
  </si>
  <si>
    <t xml:space="preserve">PR-JUR-25-001Ensaio de Isolação </t>
  </si>
  <si>
    <t>PR-JUR-25-002</t>
  </si>
  <si>
    <t xml:space="preserve">PR-JUR-25-002Ensaio de Resistência </t>
  </si>
  <si>
    <t>PR-JUR-26-001</t>
  </si>
  <si>
    <t xml:space="preserve">PR-JUR-26-001Itens de manutençãoCheck-list </t>
  </si>
  <si>
    <t>PR-JUR-27-001</t>
  </si>
  <si>
    <t xml:space="preserve">PR-JUR-27-001Itens de manutençãoCheck-list </t>
  </si>
  <si>
    <t>PR-JUR-28-001</t>
  </si>
  <si>
    <t xml:space="preserve">PR-JUR-28-001Itens de manutençãoCheck-list </t>
  </si>
  <si>
    <t>PR-JUR-29-001</t>
  </si>
  <si>
    <t xml:space="preserve">PR-JUR-29-001Itens de manutençãoCheck-list </t>
  </si>
  <si>
    <t>PR-JUR-30-002</t>
  </si>
  <si>
    <t xml:space="preserve">PR-JUR-30-002Medição dos ganchos </t>
  </si>
  <si>
    <t>PR-JUR-30-003</t>
  </si>
  <si>
    <t xml:space="preserve">PR-JUR-30-003Ajuste e medição nos freios </t>
  </si>
  <si>
    <t>PR-JUR-33-001</t>
  </si>
  <si>
    <t xml:space="preserve">PR-JUR-33-001Itens de manutençãoCheck-list </t>
  </si>
  <si>
    <t>PR-JUR-40-001</t>
  </si>
  <si>
    <t xml:space="preserve">PR-JUR-40-001Ensaio do sistema de iluminação </t>
  </si>
  <si>
    <t>PR-JUR-40-002</t>
  </si>
  <si>
    <t xml:space="preserve">PR-JUR-40-002Ensaio de pontos de tomada e de dispositivos DR </t>
  </si>
  <si>
    <t>PR-JUR-41-001</t>
  </si>
  <si>
    <t xml:space="preserve">PR-JUR-41-001Ensaio de resistência de aterramento </t>
  </si>
  <si>
    <t>PR-JUR-41-002</t>
  </si>
  <si>
    <t xml:space="preserve">PR-JUR-41-002Ensaio de tensão de toque e passo </t>
  </si>
  <si>
    <t>PR-JUR-41-003</t>
  </si>
  <si>
    <t xml:space="preserve">PR-JUR-41-003Ensaio de continuidade </t>
  </si>
  <si>
    <t>PR-JUR-51-001</t>
  </si>
  <si>
    <t xml:space="preserve">PR-JUR-51-001Inspeção visual do tanque, TCs, Buchas, sistema de preservação e resfriamento </t>
  </si>
  <si>
    <t>PR-JUR-51-002</t>
  </si>
  <si>
    <t xml:space="preserve">PR-JUR-51-002Inspeção visual indicadores de nível de óleo </t>
  </si>
  <si>
    <t>PR-JUR-51-003</t>
  </si>
  <si>
    <t xml:space="preserve">PR-JUR-51-003Inspeção visual termômetros </t>
  </si>
  <si>
    <t>PR-JUR-51-004</t>
  </si>
  <si>
    <t xml:space="preserve">PR-JUR-51-004Inspeção visual do relé de gás, relé de pressão e DAP </t>
  </si>
  <si>
    <t>PR-JUR-51-005</t>
  </si>
  <si>
    <t xml:space="preserve">PR-JUR-51-005Inspeção visual painel de controle </t>
  </si>
  <si>
    <t>PR-JUR-51-006</t>
  </si>
  <si>
    <t xml:space="preserve">PR-JUR-51-006Inspeção visual comutador </t>
  </si>
  <si>
    <t>PR-JUR-51-007</t>
  </si>
  <si>
    <t xml:space="preserve">PR-JUR-51-007Ensaio de Resistência de isolamento </t>
  </si>
  <si>
    <t>PR-JUR-51-008</t>
  </si>
  <si>
    <t xml:space="preserve">PR-JUR-51-008Ensaio de Resistência elétrica dos Enrolamentos </t>
  </si>
  <si>
    <t>PR-JUR-51-009</t>
  </si>
  <si>
    <t xml:space="preserve">PR-JUR-51-009Ensaio de Fator de Potência e Capacitância dos enrolamentos </t>
  </si>
  <si>
    <t>PR-JUR-51-010</t>
  </si>
  <si>
    <t xml:space="preserve">PR-JUR-51-010Ensaio de relação de transformação </t>
  </si>
  <si>
    <t>PR-JUR-51-011</t>
  </si>
  <si>
    <t xml:space="preserve">PR-JUR-51-011Ensaio de Corrente de excitação monofásica </t>
  </si>
  <si>
    <t>PR-JUR-51-012</t>
  </si>
  <si>
    <t xml:space="preserve">PR-JUR-51-012Ensaio no RTD, Relé de Gás e DAP </t>
  </si>
  <si>
    <t>PR-JUR-51-014</t>
  </si>
  <si>
    <t xml:space="preserve">PR-JUR-51-014Ensaio nos TCs </t>
  </si>
  <si>
    <t>PR-JUR-58-001</t>
  </si>
  <si>
    <t xml:space="preserve">PR-JUR-58-001Itens de manutençãoCheck-list </t>
  </si>
  <si>
    <t>PR-JUR-59-000</t>
  </si>
  <si>
    <t xml:space="preserve">PR-JUR-59-000Itens de manutenção </t>
  </si>
  <si>
    <t>PR-JUR-59-001</t>
  </si>
  <si>
    <t xml:space="preserve">PR-JUR-59-001Ensaio de Isolação </t>
  </si>
  <si>
    <t>PR-JUR-60-001</t>
  </si>
  <si>
    <t xml:space="preserve">PR-JUR-60-001Itens de manutençãoCheck-list </t>
  </si>
  <si>
    <t>PR-JUR-61-001</t>
  </si>
  <si>
    <t xml:space="preserve">PR-JUR-61-001Itens de manutençãoCheck-list </t>
  </si>
  <si>
    <t>PR-JUR-62-001</t>
  </si>
  <si>
    <t xml:space="preserve">PR-JUR-62-001Itens de manutençãoCheck-list </t>
  </si>
  <si>
    <t>PR-JUR-64-001</t>
  </si>
  <si>
    <t xml:space="preserve">PR-JUR-64-001Itens de manutençãoCheck-list </t>
  </si>
  <si>
    <t>PR-JUR-65-001</t>
  </si>
  <si>
    <t xml:space="preserve">PR-JUR-65-001Itens de manutençãoCheck-list </t>
  </si>
  <si>
    <t>PR-JUR-66-001</t>
  </si>
  <si>
    <t xml:space="preserve">PR-JUR-66-001Itens de manutençãoCheck-list </t>
  </si>
  <si>
    <t>PR-JUR-67-001</t>
  </si>
  <si>
    <t xml:space="preserve">PR-JUR-67-001Itens de manutençãoCheck-list </t>
  </si>
  <si>
    <t>PR-JUR-68-001</t>
  </si>
  <si>
    <t xml:space="preserve">PR-JUR-68-001Itens de manutençãoCheck-list </t>
  </si>
  <si>
    <t>PR-PLM-00-001</t>
  </si>
  <si>
    <t xml:space="preserve">PR-PLM-00-001Inspeção Líquido Penetrante </t>
  </si>
  <si>
    <t>PR-PLM-00-002</t>
  </si>
  <si>
    <t xml:space="preserve">PR-PLM-00-002Inspeção Partículas Magnéticas </t>
  </si>
  <si>
    <t>PR-PLM-00-003</t>
  </si>
  <si>
    <t xml:space="preserve">PR-PLM-00-003Inspeção Ultrassom </t>
  </si>
  <si>
    <t>PR-PLM-00-004</t>
  </si>
  <si>
    <t xml:space="preserve">PR-PLM-00-004Ensaio de motores elétricos </t>
  </si>
  <si>
    <t>PR-PLM-00-005</t>
  </si>
  <si>
    <t xml:space="preserve">PR-PLM-00-005Calibração de instrumentos </t>
  </si>
  <si>
    <t>PR-PLM-00-006</t>
  </si>
  <si>
    <t xml:space="preserve">PR-PLM-00-006Ensaio de motobombas </t>
  </si>
  <si>
    <t>PR-PLM-00-007</t>
  </si>
  <si>
    <t xml:space="preserve">PR-PLM-00-007Inspeção de torque de elementos de fixação </t>
  </si>
  <si>
    <t>PR-PLM-00-008</t>
  </si>
  <si>
    <t xml:space="preserve">PR-PLM-00-008Inspeção de pintura </t>
  </si>
  <si>
    <t>PR-PLM-00-009</t>
  </si>
  <si>
    <t xml:space="preserve">PR-PLM-00-009Aferição de Manômetros </t>
  </si>
  <si>
    <t>PR-PLM-01-001</t>
  </si>
  <si>
    <t xml:space="preserve">PR-PLM-01-001Inspeção de concreto da caixa espiral </t>
  </si>
  <si>
    <t>PR-PLM-01-002</t>
  </si>
  <si>
    <t xml:space="preserve">PR-PLM-01-002Medição de B0, folga e esmagamento </t>
  </si>
  <si>
    <t>PR-PLM-01-003</t>
  </si>
  <si>
    <t xml:space="preserve">PR-PLM-01-003Inspeção nas buchas auto-lubrificantes das palhetas diretrizes </t>
  </si>
  <si>
    <t>PR-PLM-01-004</t>
  </si>
  <si>
    <t xml:space="preserve">PR-PLM-01-004Inspeção em pinos e buchas do bielismo </t>
  </si>
  <si>
    <t>PR-PLM-01-005</t>
  </si>
  <si>
    <t xml:space="preserve">PR-PLM-01-005Inspeção de torque de elementos de fixação </t>
  </si>
  <si>
    <t>PR-PLM-01-006</t>
  </si>
  <si>
    <t xml:space="preserve">PR-PLM-01-006Inspeção na camisa do sevomotor Kaplan </t>
  </si>
  <si>
    <t>PR-PLM-01-007</t>
  </si>
  <si>
    <t xml:space="preserve">PR-PLM-01-007Inspeção da bucha da espiga do rotor Kaplan </t>
  </si>
  <si>
    <t>PR-PLM-01-008</t>
  </si>
  <si>
    <t xml:space="preserve">PR-PLM-01-008Inspeção da espiga do servomotor </t>
  </si>
  <si>
    <t>PR-PLM-01-009</t>
  </si>
  <si>
    <t xml:space="preserve">PR-PLM-01-009Dimensional das buchas do munhões das pás do rotor Kaplan </t>
  </si>
  <si>
    <t>PR-PLM-01-010</t>
  </si>
  <si>
    <t xml:space="preserve">PR-PLM-01-010Inspeção em pinos das alavancas do servomotor da Kaplan </t>
  </si>
  <si>
    <t>PR-PLM-01-011</t>
  </si>
  <si>
    <t xml:space="preserve">PR-PLM-01-011Inspeção das bielas e parafusos olhais da Kaplan </t>
  </si>
  <si>
    <t>PR-PLM-01-012</t>
  </si>
  <si>
    <t xml:space="preserve">PR-PLM-01-012Inspeção nos parafusos de fixação das talas das pás Kaplan </t>
  </si>
  <si>
    <t>PR-PLM-01-014</t>
  </si>
  <si>
    <t xml:space="preserve">PR-PLM-01-014Inspeção dos parafusos do rotor </t>
  </si>
  <si>
    <t>PR-PLM-01-015</t>
  </si>
  <si>
    <t xml:space="preserve">PR-PLM-01-015Inspeção dos parafusos de acoplamento com o eixo principal </t>
  </si>
  <si>
    <t>PR-PLM-01-017</t>
  </si>
  <si>
    <t xml:space="preserve">PR-PLM-01-017Medição de folga entre pá e aro câmara </t>
  </si>
  <si>
    <t>PR-PLM-01-018</t>
  </si>
  <si>
    <t xml:space="preserve">PR-PLM-01-018Espessura e bate chocoaro câmara </t>
  </si>
  <si>
    <t>PR-PLM-01-020</t>
  </si>
  <si>
    <t xml:space="preserve">PR-PLM-01-020Inspeção da bucha do cabeçote Kaplan </t>
  </si>
  <si>
    <t>PR-PLM-01-021</t>
  </si>
  <si>
    <t xml:space="preserve">PR-PLM-01-021Batimento da tubulação Kaplan </t>
  </si>
  <si>
    <t>PR-PLM-01-023</t>
  </si>
  <si>
    <t xml:space="preserve">PR-PLM-01-023Batimento da pista de inox da vedação do eixo </t>
  </si>
  <si>
    <t>PR-PLM-01-024</t>
  </si>
  <si>
    <t xml:space="preserve">PR-PLM-01-024Batimento do anel de desgaste da vedação do eixo </t>
  </si>
  <si>
    <t>PR-PLM-01-025</t>
  </si>
  <si>
    <t xml:space="preserve">PR-PLM-01-025Espessura do anel de desgaste da vedação do eixo </t>
  </si>
  <si>
    <t>PR-PLM-01-026</t>
  </si>
  <si>
    <t xml:space="preserve">PR-PLM-01-026Ensaio na vedação de manutenção </t>
  </si>
  <si>
    <t>PR-PLM-01-027</t>
  </si>
  <si>
    <t xml:space="preserve">PR-PLM-01-027Medição de tempo de recalque das bombas de drenagem da tampa </t>
  </si>
  <si>
    <t>PR-PLM-01-028</t>
  </si>
  <si>
    <t xml:space="preserve">PR-PLM-01-028Ensaio das bombas de injeção de água da vedação do eixo </t>
  </si>
  <si>
    <t>PR-PLM-01-034</t>
  </si>
  <si>
    <t xml:space="preserve">PR-PLM-01-034Inspeção no tubo de sucção e caixa espiral </t>
  </si>
  <si>
    <t>PR-PLM-01-041</t>
  </si>
  <si>
    <t xml:space="preserve">PR-PLM-01-041Inspeção em regiões cavitadasKaplan </t>
  </si>
  <si>
    <t>PR-PLM-02-003</t>
  </si>
  <si>
    <t xml:space="preserve">PR-PLM-02-003Medição de circularidade e excentricidade do estator </t>
  </si>
  <si>
    <t>PR-PLM-02-004</t>
  </si>
  <si>
    <t xml:space="preserve">PR-PLM-02-004Insp. dos parafusos acop., pinos entre carcaça estator e pedestais </t>
  </si>
  <si>
    <t>PR-PLM-02-006</t>
  </si>
  <si>
    <t xml:space="preserve">PR-PLM-02-006Inspeção dos tirantes de fixação do núcleo do estator (isolação) </t>
  </si>
  <si>
    <t>PR-PLM-02-007</t>
  </si>
  <si>
    <t xml:space="preserve">PR-PLM-02-007Inspeção das guias de ar </t>
  </si>
  <si>
    <t>PR-PLM-02-008</t>
  </si>
  <si>
    <t xml:space="preserve">PR-PLM-02-008Medição do entreferro </t>
  </si>
  <si>
    <t>PR-PLM-02-009</t>
  </si>
  <si>
    <t xml:space="preserve">PR-PLM-02-009Medição de circularidade e excentricidade do rotor </t>
  </si>
  <si>
    <t>PR-PLM-02-010</t>
  </si>
  <si>
    <t xml:space="preserve">PR-PLM-02-010Ajuste da circularidade do rotor </t>
  </si>
  <si>
    <t>PR-PLM-03-101</t>
  </si>
  <si>
    <t xml:space="preserve">PR-PLM-03-101Testes enrolamento estator &amp; rotorisolação, IP, IA </t>
  </si>
  <si>
    <t>PR-PLM-03-102</t>
  </si>
  <si>
    <t xml:space="preserve">PR-PLM-03-102Testes enrolamento estator &amp; rotorResistência Ohmica </t>
  </si>
  <si>
    <t>PR-PLM-03-103</t>
  </si>
  <si>
    <t xml:space="preserve">PR-PLM-03-103Testes enrolamento estatorensaio de corrente de fuga </t>
  </si>
  <si>
    <t>PR-PLM-03-104</t>
  </si>
  <si>
    <t xml:space="preserve">PR-PLM-03-104Testes enrolamento estatortangente delta </t>
  </si>
  <si>
    <t>PR-PLM-03-105</t>
  </si>
  <si>
    <t xml:space="preserve">PR-PLM-03-105Testes enrolamento estator &amp; rotorTensao Aplicada (hipot) AC-CC </t>
  </si>
  <si>
    <t>PR-PLM-03-106</t>
  </si>
  <si>
    <t xml:space="preserve">PR-PLM-03-106Testes enrolamento rotorResistencia ohmica das conexoes polares </t>
  </si>
  <si>
    <t>PR-PLM-03-107</t>
  </si>
  <si>
    <t xml:space="preserve">PR-PLM-03-107Testes enrolamento rotorEnsaio de queda de tensao nos polos </t>
  </si>
  <si>
    <t>PR-PLM-03-108</t>
  </si>
  <si>
    <t xml:space="preserve">PR-PLM-03-108Testes circuito de campomedição isolação componentes </t>
  </si>
  <si>
    <t>PR-PLM-03-109</t>
  </si>
  <si>
    <t xml:space="preserve">PR-PLM-03-109Testes enrolamento estatortensão de ranhura </t>
  </si>
  <si>
    <t>PR-PLM-03-110</t>
  </si>
  <si>
    <t xml:space="preserve">PR-PLM-03-110Ensaios nos RTD's </t>
  </si>
  <si>
    <t>PR-PLM-03-111</t>
  </si>
  <si>
    <t xml:space="preserve">PR-PLM-03-111Testes enrolamento estator- Ensaio de corona visual </t>
  </si>
  <si>
    <t>PR-PLM-03-112</t>
  </si>
  <si>
    <t xml:space="preserve">PR-PLM-03-112Ensaios equipmts auxpainel de neutro RevA </t>
  </si>
  <si>
    <t>PR-PLM-03-113</t>
  </si>
  <si>
    <t xml:space="preserve">PR-PLM-03-113Ensaios nos aquecedores de maq parada </t>
  </si>
  <si>
    <t>PR-PLM-03-114</t>
  </si>
  <si>
    <t xml:space="preserve">PR-PLM-03-114Ensaios para levantamento das curvas caracterisitcas </t>
  </si>
  <si>
    <t>PR-PLM-03-115</t>
  </si>
  <si>
    <t xml:space="preserve">PR-PLM-03-115Ensaio de aquecimento do Gerador </t>
  </si>
  <si>
    <t>PR-PLM-04-001</t>
  </si>
  <si>
    <t xml:space="preserve">PR-PLM-04-001Ensaio de automatismo de motoresbombas </t>
  </si>
  <si>
    <t>PR-PLM-04-002</t>
  </si>
  <si>
    <t xml:space="preserve">PR-PLM-04-002Ensaio de automatismo do sistema hidráulico RV </t>
  </si>
  <si>
    <t>PR-PLM-04-003</t>
  </si>
  <si>
    <t xml:space="preserve">PR-PLM-04-003Ensaio de Fluxostatos </t>
  </si>
  <si>
    <t>PR-PLM-04-004</t>
  </si>
  <si>
    <t xml:space="preserve">PR-PLM-04-004Ensaio de fontes de alimentação </t>
  </si>
  <si>
    <t>PR-PLM-04-005</t>
  </si>
  <si>
    <t xml:space="preserve">PR-PLM-04-005Ensaio de Resistência de Isolação </t>
  </si>
  <si>
    <t>PR-PLM-04-006</t>
  </si>
  <si>
    <t xml:space="preserve">PR-PLM-04-006Ensaio de Pressostatos </t>
  </si>
  <si>
    <t>PR-PLM-04-007</t>
  </si>
  <si>
    <t xml:space="preserve">PR-PLM-04-007Ensaio de relés de subtensão </t>
  </si>
  <si>
    <t>PR-PLM-04-008</t>
  </si>
  <si>
    <t xml:space="preserve">PR-PLM-04-008Ensaio de relés temporizadores </t>
  </si>
  <si>
    <t>PR-PLM-04-009</t>
  </si>
  <si>
    <t xml:space="preserve">PR-PLM-04-009Ensaio de Resistência de contato em relés auxiliares </t>
  </si>
  <si>
    <t>PR-PLM-04-010</t>
  </si>
  <si>
    <t xml:space="preserve">PR-PLM-04-010Ensaio de sensores atuadores de posição </t>
  </si>
  <si>
    <t>PR-PLM-04-011</t>
  </si>
  <si>
    <t xml:space="preserve">PR-PLM-04-011Ensaio de simulação de partida e parada UAC </t>
  </si>
  <si>
    <t>PR-PLM-04-012</t>
  </si>
  <si>
    <t xml:space="preserve">PR-PLM-04-012Ensaio de sistema de água de refrigeração </t>
  </si>
  <si>
    <t>PR-PLM-04-013</t>
  </si>
  <si>
    <t xml:space="preserve">PR-PLM-04-013Ensaio de sistema de aquecimento gerador </t>
  </si>
  <si>
    <t>PR-PLM-04-014</t>
  </si>
  <si>
    <t xml:space="preserve">PR-PLM-04-014Ensaio de sistema de frenagem </t>
  </si>
  <si>
    <t>PR-PLM-04-015</t>
  </si>
  <si>
    <t xml:space="preserve">PR-PLM-04-015Ensaio de transferência automática de fontes </t>
  </si>
  <si>
    <t>PR-PLM-04-016</t>
  </si>
  <si>
    <t xml:space="preserve">PR-PLM-04-016Ensaio de transmissores de pressão </t>
  </si>
  <si>
    <t>PR-PLM-04-017</t>
  </si>
  <si>
    <t xml:space="preserve">PR-PLM-04-017Ensaio de transmissores de temperatura </t>
  </si>
  <si>
    <t>PR-PLM-04-018</t>
  </si>
  <si>
    <t xml:space="preserve">PR-PLM-04-018Ensaio de transmissores de vazão </t>
  </si>
  <si>
    <t>PR-PLM-04-019</t>
  </si>
  <si>
    <t xml:space="preserve">PR-PLM-04-019Ensaio dos sensores de pinos de cisalhamento das diretrizes </t>
  </si>
  <si>
    <t>PR-PLM-04-020</t>
  </si>
  <si>
    <t xml:space="preserve">PR-PLM-04-020Ensaio do sistema de filtragem de água de refrigeração </t>
  </si>
  <si>
    <t>PR-PLM-04-021</t>
  </si>
  <si>
    <t xml:space="preserve">PR-PLM-04-021Tabela de controle desconexão e conexão de cabos </t>
  </si>
  <si>
    <t>PR-PLM-04-022</t>
  </si>
  <si>
    <t xml:space="preserve">PR-PLM-04-022Ensaio de Transferencia de fontes de alimentação </t>
  </si>
  <si>
    <t>PR-PLM-05-000</t>
  </si>
  <si>
    <t xml:space="preserve">PR-PLM-05-000Itens de manutenção e teste </t>
  </si>
  <si>
    <t>PR-PLM-05-001</t>
  </si>
  <si>
    <t xml:space="preserve">PR-PLM-05-001Ensaio de isolação em cabos de saída do gerador </t>
  </si>
  <si>
    <t>PR-PLM-05-002</t>
  </si>
  <si>
    <t xml:space="preserve">PR-PLM-05-002Ensaio de tensão aplicada em cabos de saída do gerador </t>
  </si>
  <si>
    <t>PR-PLM-05-005</t>
  </si>
  <si>
    <t xml:space="preserve">PR-PLM-05-005Ensaio de TC de cubículos do gerador </t>
  </si>
  <si>
    <t>PR-PLM-05-006</t>
  </si>
  <si>
    <t xml:space="preserve">PR-PLM-05-006Ensaio de TP de cubículos do gerador </t>
  </si>
  <si>
    <t>PR-PLM-05-007</t>
  </si>
  <si>
    <t xml:space="preserve">PR-PLM-05-007Ensaio de protetores de surto do gerador </t>
  </si>
  <si>
    <t>PR-PLM-06-001</t>
  </si>
  <si>
    <t xml:space="preserve">PR-PLM-06-001Inspeção visual do tanque, sistema de preservação e resfriamento </t>
  </si>
  <si>
    <t>PR-PLM-06-002</t>
  </si>
  <si>
    <t xml:space="preserve">PR-PLM-06-002Inspeção visual das buchas </t>
  </si>
  <si>
    <t>PR-PLM-06-003</t>
  </si>
  <si>
    <t xml:space="preserve">PR-PLM-06-003Inspeção visual dos TCs de bucha </t>
  </si>
  <si>
    <t>PR-PLM-06-004</t>
  </si>
  <si>
    <t xml:space="preserve">PR-PLM-06-004Inspeção visual indicadores e termômetros </t>
  </si>
  <si>
    <t>PR-PLM-06-005</t>
  </si>
  <si>
    <t xml:space="preserve">PR-PLM-06-005Inspeção visual do relé de gás e DAP </t>
  </si>
  <si>
    <t>PR-PLM-06-006</t>
  </si>
  <si>
    <t xml:space="preserve">PR-PLM-06-006Inspeção visual painel de controle </t>
  </si>
  <si>
    <t>PR-PLM-06-007</t>
  </si>
  <si>
    <t xml:space="preserve">PR-PLM-06-007 e 06-021Ensaio de Resistência de isolamento </t>
  </si>
  <si>
    <t>PR-PLM-06-008</t>
  </si>
  <si>
    <t xml:space="preserve">PR-PLM-06-008Ensaio de Resistência elétrica dos Enrolamentos </t>
  </si>
  <si>
    <t>PR-PLM-06-009</t>
  </si>
  <si>
    <t xml:space="preserve">PR-PLM-06-009Ensaio de Fator de Potência e Capacitância dos enrolamentos </t>
  </si>
  <si>
    <t>PR-PLM-06-010</t>
  </si>
  <si>
    <t xml:space="preserve">PR-PLM-06-010Ensaio de relação de transformação </t>
  </si>
  <si>
    <t>PR-PLM-06-011</t>
  </si>
  <si>
    <t xml:space="preserve">PR-PLM-06-011Ensaio de Corrente de excitação monofásica </t>
  </si>
  <si>
    <t>PR-PLM-06-012</t>
  </si>
  <si>
    <t xml:space="preserve">PR-PLM-06-012Ensaio de impedância de curto-circuito </t>
  </si>
  <si>
    <t>PR-PLM-06-013</t>
  </si>
  <si>
    <t xml:space="preserve">PR-PLM-06-013-014-015Ensaio no RTD, Relé de Gás e DAP </t>
  </si>
  <si>
    <t>PR-PLM-06-016</t>
  </si>
  <si>
    <t xml:space="preserve">PR-PLM-06-016- Ensaio de Estanqueidade </t>
  </si>
  <si>
    <t>PR-PLM-06-018</t>
  </si>
  <si>
    <t xml:space="preserve">PR-PLM-06-018Ensaio de Fator de Potência e Capacitância das buchas </t>
  </si>
  <si>
    <t>PR-PLM-06-019</t>
  </si>
  <si>
    <t xml:space="preserve">PR-PLM-06-019Ensaio nos TC's </t>
  </si>
  <si>
    <t xml:space="preserve">PR-PLM-06-019Ensaio nos TCs </t>
  </si>
  <si>
    <t>PR-PLM-06-020</t>
  </si>
  <si>
    <t xml:space="preserve">PR-PLM-06-020Ensaio sistema de resfriamento </t>
  </si>
  <si>
    <t>PR-PLM-07-000</t>
  </si>
  <si>
    <t xml:space="preserve">PR-PLM-07-000Itens de manutenção e teste </t>
  </si>
  <si>
    <t>PR-PLM-07-001</t>
  </si>
  <si>
    <t xml:space="preserve">PR-PLM-07-001Ensaio de isolação em transformadores a seco </t>
  </si>
  <si>
    <t>PR-PLM-07-002</t>
  </si>
  <si>
    <t xml:space="preserve">PR-PLM-07-002Ensaio de resistência DC em transformadores à seco </t>
  </si>
  <si>
    <t>PR-PLM-07-003</t>
  </si>
  <si>
    <t xml:space="preserve">PR-PLM-07-003Ensaio de tensão aplicada em transformadores a seco </t>
  </si>
  <si>
    <t>PR-PLM-07-004</t>
  </si>
  <si>
    <t xml:space="preserve">PR-PLM-07-004Ensaio de relação de transformação e polaridade em transformadores a seco </t>
  </si>
  <si>
    <t>PR-PLM-09-000</t>
  </si>
  <si>
    <t xml:space="preserve">PR-PLM-09-000Itens de manutenção e teste </t>
  </si>
  <si>
    <t>PR-PLM-09-001</t>
  </si>
  <si>
    <t xml:space="preserve">PR-PLM-09-001Ensaio de resistência DC em barramento de painéis de média tensão </t>
  </si>
  <si>
    <t>PR-PLM-09-002</t>
  </si>
  <si>
    <t xml:space="preserve">PR-PLM-09-002Ensaio de isolação em barramento de painéis de média tensão </t>
  </si>
  <si>
    <t>PR-PLM-09-003</t>
  </si>
  <si>
    <t xml:space="preserve">PR-PLM-09-003Ensaio de tensão aplicada em barramento de painéis de média tensão </t>
  </si>
  <si>
    <t>PR-PLM-09-004</t>
  </si>
  <si>
    <t xml:space="preserve">PR-PLM-09-004Ensaio de disjuntores de média tensão </t>
  </si>
  <si>
    <t>PR-PLM-09-005</t>
  </si>
  <si>
    <t xml:space="preserve">PR-PLM-09-005Ensaio de tensão aplicada em disjuntores de média tensão </t>
  </si>
  <si>
    <t>PR-PLM-09-006</t>
  </si>
  <si>
    <t xml:space="preserve">PR-PLM-09-006Ensaio de TC de painéis de média tensão </t>
  </si>
  <si>
    <t>PR-PLM-09-007</t>
  </si>
  <si>
    <t xml:space="preserve">PR-PLM-09-007Ensaio de TP de painéis de média tensão </t>
  </si>
  <si>
    <t>PR-PLM-09-008</t>
  </si>
  <si>
    <t xml:space="preserve">PR-PLM-09-008Ensaio de protetores de surto de painéis de média tensão </t>
  </si>
  <si>
    <t>PR-PLM-10-000</t>
  </si>
  <si>
    <t xml:space="preserve">PR-PLM-10-000Itens de manutenção e teste </t>
  </si>
  <si>
    <t>PR-PLM-10-001</t>
  </si>
  <si>
    <t xml:space="preserve">PR-PLM-10-001Ensaio de isolação em barramento de painéis de baixa tensão </t>
  </si>
  <si>
    <t>PR-PLM-10-002</t>
  </si>
  <si>
    <t xml:space="preserve">PR-PLM-10-002Ensaio de resistência DC em barramento de painéis de baixa tensão </t>
  </si>
  <si>
    <t>PR-PLM-10-003</t>
  </si>
  <si>
    <t xml:space="preserve">PR-PLM-10-003Ensaio de tensão aplicada em barramento de painéis de baixa tensão </t>
  </si>
  <si>
    <t>PR-PLM-10-004</t>
  </si>
  <si>
    <t xml:space="preserve">PR-PLM-10-004Ensaio de disjuntores de caixa moldada em painéis de baixa tensão </t>
  </si>
  <si>
    <t>PR-PLM-10-005</t>
  </si>
  <si>
    <t xml:space="preserve">PR-PLM-10-005Ensaio de isolação em TP de painéis de baixa tensão </t>
  </si>
  <si>
    <t>PR-PLM-10-006</t>
  </si>
  <si>
    <t xml:space="preserve">PR-PLM-10-006Ensaio de isolação em cabos de painéis de baixa tensão </t>
  </si>
  <si>
    <t>PR-PLM-10-007</t>
  </si>
  <si>
    <t xml:space="preserve">PR-PLM-10-007- Ensaio de acoplamento automático de barras em painéis de baixa tensão </t>
  </si>
  <si>
    <t>PR-PLM-11-000</t>
  </si>
  <si>
    <t xml:space="preserve">PR-PLM-11-000Itens de manutenção e teste </t>
  </si>
  <si>
    <t>PR-PLM-11-001</t>
  </si>
  <si>
    <t xml:space="preserve">PR-PLM-11-001Ensaio de isolação em cabos até 35kV </t>
  </si>
  <si>
    <t>PR-PLM-11-002</t>
  </si>
  <si>
    <t xml:space="preserve">PR-PLM-11-002Ensaio de fator de perda dielétrica em cabos até 35kV </t>
  </si>
  <si>
    <t>PR-PLM-11-003</t>
  </si>
  <si>
    <t xml:space="preserve">PR-PLM-11-003Ensaio de tensão aplicada em cabos até 35kV </t>
  </si>
  <si>
    <t>PR-PLM-12-001</t>
  </si>
  <si>
    <t xml:space="preserve">PR-PLM-12-001Controle de alteração e backup software </t>
  </si>
  <si>
    <t>PR-PLM-13-001</t>
  </si>
  <si>
    <t xml:space="preserve">PR-PLM-13-001Resistência de Isolação </t>
  </si>
  <si>
    <t>PR-PLM-13-002</t>
  </si>
  <si>
    <t xml:space="preserve">PR-PLM-13-002Resistência de contato em relés auxiliares </t>
  </si>
  <si>
    <t>PR-PLM-13-003</t>
  </si>
  <si>
    <t xml:space="preserve">PR-PLM-13-003Ensaios em relés auxiliares </t>
  </si>
  <si>
    <t>PR-PLM-13-004</t>
  </si>
  <si>
    <t xml:space="preserve">PR-PLM-13-004Calibração de transdutores </t>
  </si>
  <si>
    <t>PR-PLM-13-005</t>
  </si>
  <si>
    <t xml:space="preserve">PR-PLM-13-005Ensaios em relés de sincronismo (ANSI 25) </t>
  </si>
  <si>
    <t>PR-PLM-13-006</t>
  </si>
  <si>
    <t xml:space="preserve">PR-PLM-13-006Controle de alteração e backup software </t>
  </si>
  <si>
    <t>PR-PLM-14-001</t>
  </si>
  <si>
    <t xml:space="preserve">PR-PLM-14-001Controle de alteração e backup software </t>
  </si>
  <si>
    <t>PR-PLM-15-001</t>
  </si>
  <si>
    <t xml:space="preserve">PR-PLM-15-001Ensaios em Transformadores de Corrente </t>
  </si>
  <si>
    <t>PR-PLM-15-002</t>
  </si>
  <si>
    <t xml:space="preserve">PR-PLM-15-002Ensaios em Transformadores de Potencial </t>
  </si>
  <si>
    <t>PR-PLM-15-003</t>
  </si>
  <si>
    <t xml:space="preserve">PR-PLM-15-003Ensaio de Isolação </t>
  </si>
  <si>
    <t>PR-PLM-15-004</t>
  </si>
  <si>
    <t xml:space="preserve">PR-PLM-15-004Ensaio de Resistência </t>
  </si>
  <si>
    <t>PR-PLM-15-005</t>
  </si>
  <si>
    <t xml:space="preserve">PR-PLM-15-005Ensaio de curva característica do TC </t>
  </si>
  <si>
    <t>PR-PLM-15-006</t>
  </si>
  <si>
    <t xml:space="preserve">PR-PLM-15-006Proteção Diferencial </t>
  </si>
  <si>
    <t>PR-PLM-15-007</t>
  </si>
  <si>
    <t xml:space="preserve">PR-PLM-15-007Proteção de Sobre e sub Frequência </t>
  </si>
  <si>
    <t>PR-PLM-15-011</t>
  </si>
  <si>
    <t xml:space="preserve">PR-PLM-15-011Proteção de Subtensão </t>
  </si>
  <si>
    <t>PR-PLM-15-012</t>
  </si>
  <si>
    <t xml:space="preserve">PR-PLM-15-012Proteção de Energização Inadvertida </t>
  </si>
  <si>
    <t>PR-PLM-15-013</t>
  </si>
  <si>
    <t xml:space="preserve">PR-PLM-15-013Proteção de sobrecorrente com restrição de tensão </t>
  </si>
  <si>
    <t>PR-PLM-15-014</t>
  </si>
  <si>
    <t xml:space="preserve">PR-PLM-15-014Proteção Diferencial de terra restrita </t>
  </si>
  <si>
    <t>PR-PLM-15-015</t>
  </si>
  <si>
    <t xml:space="preserve">PR-PLM-15-015Proteção de Terra Rotor </t>
  </si>
  <si>
    <t>PR-PLM-15-016</t>
  </si>
  <si>
    <t xml:space="preserve">PR-PLM-15-016Proteção de Sequência Negativa </t>
  </si>
  <si>
    <t>PR-PLM-15-017</t>
  </si>
  <si>
    <t xml:space="preserve">PR-PLM-15-017Proteção de Perda de Excitação </t>
  </si>
  <si>
    <t>PR-PLM-15-018</t>
  </si>
  <si>
    <t xml:space="preserve">PR-PLM-15-018Proteção de Falha Fusível </t>
  </si>
  <si>
    <t>PR-PLM-15-019</t>
  </si>
  <si>
    <t xml:space="preserve">PR-PLM-15-019Proteção de Mínima Impedância </t>
  </si>
  <si>
    <t>PR-PLM-15-020</t>
  </si>
  <si>
    <t xml:space="preserve">PR-PLM-15-020Proteção Diferencial Transversal do Gerador </t>
  </si>
  <si>
    <t>PR-PLM-15-021</t>
  </si>
  <si>
    <t xml:space="preserve">PR-PLM-15-021Proteção de Terra Estator 95 </t>
  </si>
  <si>
    <t>PR-PLM-15-022</t>
  </si>
  <si>
    <t xml:space="preserve">PR-PLM-15-022Proteção de Terra Estator 100 </t>
  </si>
  <si>
    <t>PR-PLM-15-023</t>
  </si>
  <si>
    <t xml:space="preserve">PR-PLM-15-023Proteção de Sobretensão </t>
  </si>
  <si>
    <t>PR-PLM-15-024</t>
  </si>
  <si>
    <t xml:space="preserve">PR-PLM-15-024Proteção de Sobreexcitação </t>
  </si>
  <si>
    <t>PR-PLM-15-025</t>
  </si>
  <si>
    <t xml:space="preserve">PR-PLM-15-025Proteção de Sobrecarga </t>
  </si>
  <si>
    <t>PR-PLM-15-026</t>
  </si>
  <si>
    <t xml:space="preserve">PR-PLM-15-026Proteção de Falha Disjuntor </t>
  </si>
  <si>
    <t>PR-PLM-15-027</t>
  </si>
  <si>
    <t xml:space="preserve">PR-PLM-15-027Ensaio em relés de bloqueio-trip </t>
  </si>
  <si>
    <t>PR-PLM-17-001</t>
  </si>
  <si>
    <t xml:space="preserve">PR-PLM-17-001Ensaios em Transformadores de Corrente </t>
  </si>
  <si>
    <t>PR-PLM-17-002</t>
  </si>
  <si>
    <t xml:space="preserve">PR-PLM-17-002Ensaios em Transformadores de Potencial </t>
  </si>
  <si>
    <t>PR-PLM-17-003</t>
  </si>
  <si>
    <t xml:space="preserve">PR-PLM-17-003Ensaio de Isolação </t>
  </si>
  <si>
    <t>PR-PLM-17-004</t>
  </si>
  <si>
    <t xml:space="preserve">PR-PLM-17-004Ensaio de Resistência </t>
  </si>
  <si>
    <t>PR-PLM-17-005</t>
  </si>
  <si>
    <t xml:space="preserve">PR-PLM-17-005Ensaio de curva característica do TC </t>
  </si>
  <si>
    <t>PR-PLM-17-006</t>
  </si>
  <si>
    <t xml:space="preserve">PR-PLM-17-006Ensaio em relés de bloqueio-trip </t>
  </si>
  <si>
    <t>PR-PLM-18-000</t>
  </si>
  <si>
    <t xml:space="preserve">PR-PLM-18-000Check list de ensaios </t>
  </si>
  <si>
    <t>PR-PLM-18-001</t>
  </si>
  <si>
    <t xml:space="preserve">PR-PLM-18-001Ensaio de componentes e instumentos </t>
  </si>
  <si>
    <t>PR-PLM-18-002</t>
  </si>
  <si>
    <t xml:space="preserve">PR-PLM-18-002Ensaios de proteção sobretensão </t>
  </si>
  <si>
    <t>PR-PLM-18-003</t>
  </si>
  <si>
    <t xml:space="preserve">PR-PLM-18-003Ensaio isolação circuito primário </t>
  </si>
  <si>
    <t>PR-PLM-18-004</t>
  </si>
  <si>
    <t xml:space="preserve">PR-PLM-18-004Ensaio isolação circuito secundário </t>
  </si>
  <si>
    <t>PR-PLM-18-005</t>
  </si>
  <si>
    <t xml:space="preserve">PR-PLM-18-005Ensaios PLC </t>
  </si>
  <si>
    <t>PR-PLM-18-006</t>
  </si>
  <si>
    <t xml:space="preserve">PR-PLM-18-006Ensaios Simulação </t>
  </si>
  <si>
    <t>PR-PLM-18-007</t>
  </si>
  <si>
    <t xml:space="preserve">PR-PLM-18-007Ensaios funcionais </t>
  </si>
  <si>
    <t>PR-PLM-19-000</t>
  </si>
  <si>
    <t xml:space="preserve">PR-PLM-19-000Itens de manutenção e teste </t>
  </si>
  <si>
    <t>PR-PLM-19-001</t>
  </si>
  <si>
    <t xml:space="preserve">PR-PLM-19-001Ensaio de baterias </t>
  </si>
  <si>
    <t>PR-PLM-19-002</t>
  </si>
  <si>
    <t xml:space="preserve">PR-PLM-19-002Ensaio de capacidade e equalização de baterias </t>
  </si>
  <si>
    <t>PR-PLM-19-003</t>
  </si>
  <si>
    <t xml:space="preserve">PR-PLM-19-003Ensaio de retificadores e USCC </t>
  </si>
  <si>
    <t>PR-PLM-20-001</t>
  </si>
  <si>
    <t xml:space="preserve">PR-PLM-20-001Inspeção válvulas distribuidoras (CD e CR) </t>
  </si>
  <si>
    <t>PR-PLM-20-002</t>
  </si>
  <si>
    <t xml:space="preserve">PR-PLM-20-002Inspeção válvulas controle hidráulico </t>
  </si>
  <si>
    <t>PR-PLM-20-003</t>
  </si>
  <si>
    <t xml:space="preserve">PR-PLM-20-003Inspeção servomotor do distribuidor </t>
  </si>
  <si>
    <t>PR-PLM-20-004</t>
  </si>
  <si>
    <t xml:space="preserve">PR-PLM-20-004Inspeção sistema resfriamento RV </t>
  </si>
  <si>
    <t>PR-PLM-20-005</t>
  </si>
  <si>
    <t xml:space="preserve">PR-PLM-20-005Inspeção no acumulador ar e óleo </t>
  </si>
  <si>
    <t>PR-PLM-20-006</t>
  </si>
  <si>
    <t xml:space="preserve">PR-PLM-20-006Calibração válvula de segurança acumulador ar óleo </t>
  </si>
  <si>
    <t>PR-PLM-20-007</t>
  </si>
  <si>
    <t xml:space="preserve">PR-PLM-20-007Critérios de testes </t>
  </si>
  <si>
    <t>PR-PLM-21-000</t>
  </si>
  <si>
    <t xml:space="preserve">PR-PLM-21-000Check list de ensaios </t>
  </si>
  <si>
    <t>PR-PLM-21-001</t>
  </si>
  <si>
    <t xml:space="preserve">PR-PLM-21-001Ensaios de componentes instrumentos plc </t>
  </si>
  <si>
    <t>PR-PLM-21-002</t>
  </si>
  <si>
    <t xml:space="preserve">PR-PLM-21-002Ensaios circuitos elétricos </t>
  </si>
  <si>
    <t>PR-PLM-21-003</t>
  </si>
  <si>
    <t xml:space="preserve">PR-PLM-21-003Ensaios água morta </t>
  </si>
  <si>
    <t>PR-PLM-21-004</t>
  </si>
  <si>
    <t xml:space="preserve">PR-PLM-21-004Ensaios em vazio </t>
  </si>
  <si>
    <t>PR-PLM-21-005</t>
  </si>
  <si>
    <t xml:space="preserve">PR-PLM-21-005Ensaios em carga </t>
  </si>
  <si>
    <t>PR-PLM-22-001</t>
  </si>
  <si>
    <t xml:space="preserve">PR-PLM-22-001Itens de manutençãoCheck-list </t>
  </si>
  <si>
    <t>PR-PLM-23-001</t>
  </si>
  <si>
    <t xml:space="preserve">PR-PLM-23-001Itens de manutençãoCheck-list </t>
  </si>
  <si>
    <t>PR-PLM-24-001</t>
  </si>
  <si>
    <t xml:space="preserve">PR-PLM-24-001Itens de manutençãoCheck-list </t>
  </si>
  <si>
    <t>PR-PLM-25-001</t>
  </si>
  <si>
    <t xml:space="preserve">PR-PLM-25-001Ensaio de Isolação </t>
  </si>
  <si>
    <t>PR-PLM-25-002</t>
  </si>
  <si>
    <t xml:space="preserve">PR-PLM-25-002Ensaio de Resistência </t>
  </si>
  <si>
    <t>PR-PLM-26-001</t>
  </si>
  <si>
    <t xml:space="preserve">PR-PLM-26-001Itens de manutençãoCheck-list </t>
  </si>
  <si>
    <t>PR-PLM-27-001</t>
  </si>
  <si>
    <t xml:space="preserve">PR-PLM-27-001Itens de manutençãoCheck-list </t>
  </si>
  <si>
    <t>PR-PLM-28-001</t>
  </si>
  <si>
    <t xml:space="preserve">PR-PLM-28-001Itens de manutençãoCheck-list </t>
  </si>
  <si>
    <t>PR-PLM-29-001</t>
  </si>
  <si>
    <t xml:space="preserve">PR-PLM-29-001Itens de manutençãoCheck-list </t>
  </si>
  <si>
    <t>PR-PLM-30-002</t>
  </si>
  <si>
    <t xml:space="preserve">PR-PLM-30-002Medição dos ganchos </t>
  </si>
  <si>
    <t>PR-PLM-30-003</t>
  </si>
  <si>
    <t xml:space="preserve">PR-PLM-30-003Ajuste e medição nos freios </t>
  </si>
  <si>
    <t>PR-PLM-33-001</t>
  </si>
  <si>
    <t xml:space="preserve">PR-PLM-33-001Itens de manutençãoCheck-list </t>
  </si>
  <si>
    <t>PR-PLM-40-001</t>
  </si>
  <si>
    <t xml:space="preserve">PR-PLM-40-001Ensaio do sistema de iluminação </t>
  </si>
  <si>
    <t>PR-PLM-40-002</t>
  </si>
  <si>
    <t xml:space="preserve">PR-PLM-40-002Ensaio de pontos de tomada e de dispositivos DR </t>
  </si>
  <si>
    <t>PR-PLM-41-001</t>
  </si>
  <si>
    <t xml:space="preserve">PR-PLM-41-001Ensaio de resistência de aterramento </t>
  </si>
  <si>
    <t>PR-PLM-41-002</t>
  </si>
  <si>
    <t xml:space="preserve">PR-PLM-41-002Ensaio de tensão de toque e passo </t>
  </si>
  <si>
    <t>PR-PLM-41-003</t>
  </si>
  <si>
    <t xml:space="preserve">PR-PLM-41-003Ensaio de continuidade </t>
  </si>
  <si>
    <t>PR-PLM-58-001</t>
  </si>
  <si>
    <t xml:space="preserve">PR-PLM-58-001Itens de manutençãoCheck-list </t>
  </si>
  <si>
    <t>PR-PLM-59-000</t>
  </si>
  <si>
    <t xml:space="preserve">PR-PLM-59-000Itens de manutenção </t>
  </si>
  <si>
    <t>PR-PLM-59-001</t>
  </si>
  <si>
    <t xml:space="preserve">PR-PLM-59-001Ensaio de Isolação </t>
  </si>
  <si>
    <t>PR-PLM-60-001</t>
  </si>
  <si>
    <t xml:space="preserve">PR-PLM-60-001Itens de manutençãoCheck-list </t>
  </si>
  <si>
    <t>PR-PLM-61-001</t>
  </si>
  <si>
    <t xml:space="preserve">PR-PLM-61-001Itens de manutençãoCheck-list </t>
  </si>
  <si>
    <t>PR-PLM-62-001</t>
  </si>
  <si>
    <t xml:space="preserve">PR-PLM-62-001Itens de manutençãoCheck-list </t>
  </si>
  <si>
    <t>PR-PLM-64-001</t>
  </si>
  <si>
    <t xml:space="preserve">PR-PLM-64-001Itens de manutençãoCheck-list </t>
  </si>
  <si>
    <t>PR-PLM-65-001</t>
  </si>
  <si>
    <t xml:space="preserve">PR-PLM-65-001Itens de manutençãoCheck-list </t>
  </si>
  <si>
    <t>PR-PLM-66-001</t>
  </si>
  <si>
    <t xml:space="preserve">PR-PLM-66-001Itens de manutençãoCheck-list </t>
  </si>
  <si>
    <t>PR-PLM-67-001</t>
  </si>
  <si>
    <t xml:space="preserve">PR-PLM-67-001Itens de manutençãoCheck-list </t>
  </si>
  <si>
    <t>PR-PLM-68-001</t>
  </si>
  <si>
    <t xml:space="preserve">PR-PLM-68-001Itens de manutençãoCheck-list </t>
  </si>
  <si>
    <t>PR-RET-00-001</t>
  </si>
  <si>
    <t xml:space="preserve">PR-RET-00-001Inspeção Líquido Penetrante </t>
  </si>
  <si>
    <t>PR-RET-00-002</t>
  </si>
  <si>
    <t xml:space="preserve">PR-RET-00-002Inspeção Partículas Magnéticas </t>
  </si>
  <si>
    <t>PR-RET-00-003</t>
  </si>
  <si>
    <t xml:space="preserve">PR-RET-00-003Inspeção Ultrassom </t>
  </si>
  <si>
    <t>PR-RET-00-004</t>
  </si>
  <si>
    <t xml:space="preserve">PR-RET-00-004Ensaio de motores elétricos </t>
  </si>
  <si>
    <t>PR-RET-00-005</t>
  </si>
  <si>
    <t xml:space="preserve">PR-RET-00-005Calibração de instrumentos </t>
  </si>
  <si>
    <t>PR-RET-00-006</t>
  </si>
  <si>
    <t xml:space="preserve">PR-RET-00-006Ensaio de motobombas </t>
  </si>
  <si>
    <t>PR-RET-00-007</t>
  </si>
  <si>
    <t xml:space="preserve">PR-RET-00-007Inspeção de torque de elementos de fixação </t>
  </si>
  <si>
    <t>PR-RET-00-008</t>
  </si>
  <si>
    <t xml:space="preserve">PR-RET-00-008Inspeção de pintura </t>
  </si>
  <si>
    <t>PR-RET-00-009</t>
  </si>
  <si>
    <t xml:space="preserve">PR-RET-00-009Aferição de Manômetros </t>
  </si>
  <si>
    <t>PR-RET-01-001</t>
  </si>
  <si>
    <t xml:space="preserve">PR-RET-01-001Inspeção de concreto da caixa espiral </t>
  </si>
  <si>
    <t>PR-RET-01-002</t>
  </si>
  <si>
    <t xml:space="preserve">PR-RET-01-002Medição de B0, folga e esmagamento </t>
  </si>
  <si>
    <t>PR-RET-01-003</t>
  </si>
  <si>
    <t xml:space="preserve">PR-RET-01-003Inspeção nas buchas auto-lubrificantes das palhetas diretrizes </t>
  </si>
  <si>
    <t>PR-RET-01-004</t>
  </si>
  <si>
    <t xml:space="preserve">PR-RET-01-004Inspeção em pinos e buchas do bielismo </t>
  </si>
  <si>
    <t>PR-RET-01-005</t>
  </si>
  <si>
    <t xml:space="preserve">PR-RET-01-005Inspeção de torque de elementos de fixação </t>
  </si>
  <si>
    <t>PR-RET-01-006</t>
  </si>
  <si>
    <t xml:space="preserve">PR-RET-01-006Inspeção na camisa do sevomotor Kaplan </t>
  </si>
  <si>
    <t>PR-RET-01-007</t>
  </si>
  <si>
    <t xml:space="preserve">PR-RET-01-007Inspeção da bucha da espiga do rotor Kaplan </t>
  </si>
  <si>
    <t>PR-RET-01-008</t>
  </si>
  <si>
    <t xml:space="preserve">PR-RET-01-008Inspeção da espiga do servomotor </t>
  </si>
  <si>
    <t>PR-RET-01-009</t>
  </si>
  <si>
    <t xml:space="preserve">PR-RET-01-009Dimensional das buchas do munhões das pás do rotor Kaplan </t>
  </si>
  <si>
    <t>PR-RET-01-010</t>
  </si>
  <si>
    <t xml:space="preserve">PR-RET-01-010Inspeção em pinos das alavancas do servomotor da Kaplan </t>
  </si>
  <si>
    <t>PR-RET-01-011</t>
  </si>
  <si>
    <t xml:space="preserve">PR-RET-01-011Inspeção das bielas e parafusos olhais da Kaplan </t>
  </si>
  <si>
    <t>PR-RET-01-012</t>
  </si>
  <si>
    <t xml:space="preserve">PR-RET-01-012Inspeção nos parafusos de fixação das talas das pás Kaplan </t>
  </si>
  <si>
    <t>PR-RET-01-014</t>
  </si>
  <si>
    <t xml:space="preserve">PR-RET-01-014Inspeção dos parafusos do rotor </t>
  </si>
  <si>
    <t>PR-RET-01-015</t>
  </si>
  <si>
    <t xml:space="preserve">PR-RET-01-015Inspeção dos parafusos de acoplamento com o eixo principal </t>
  </si>
  <si>
    <t>PR-RET-01-017</t>
  </si>
  <si>
    <t xml:space="preserve">PR-RET-01-017Medição de folga entre pá e aro câmara </t>
  </si>
  <si>
    <t>PR-RET-01-018</t>
  </si>
  <si>
    <t xml:space="preserve">PR-RET-01-018Espessura e bate chocoaro câmara </t>
  </si>
  <si>
    <t>PR-RET-01-020</t>
  </si>
  <si>
    <t xml:space="preserve">PR-RET-01-020Inspeção da bucha do cabeçote Kaplan </t>
  </si>
  <si>
    <t>PR-RET-01-021</t>
  </si>
  <si>
    <t xml:space="preserve">PR-RET-01-021Batimento da tubulação Kaplan </t>
  </si>
  <si>
    <t>PR-RET-01-023</t>
  </si>
  <si>
    <t xml:space="preserve">PR-RET-01-023Batimento da pista de inox da vedação do eixo </t>
  </si>
  <si>
    <t>PR-RET-01-024</t>
  </si>
  <si>
    <t xml:space="preserve">PR-RET-01-024Batimento do anel de desgaste da vedação do eixo </t>
  </si>
  <si>
    <t>PR-RET-01-025</t>
  </si>
  <si>
    <t xml:space="preserve">PR-RET-01-025Espessura do anel de desgaste da vedação do eixo </t>
  </si>
  <si>
    <t>PR-RET-01-026</t>
  </si>
  <si>
    <t xml:space="preserve">PR-RET-01-026Ensaio na vedação de manutenção </t>
  </si>
  <si>
    <t>PR-RET-01-027</t>
  </si>
  <si>
    <t xml:space="preserve">PR-RET-01-027Medição de tempo de recalque das bombas de drenagem da tampa </t>
  </si>
  <si>
    <t>PR-RET-01-028</t>
  </si>
  <si>
    <t xml:space="preserve">PR-RET-01-028Ensaio das bombas de injeção de água da vedação do eixo </t>
  </si>
  <si>
    <t>PR-RET-01-034</t>
  </si>
  <si>
    <t xml:space="preserve">PR-RET-01-034Inspeção no tubo de sucção e caixa espiral </t>
  </si>
  <si>
    <t>PR-RET-01-041</t>
  </si>
  <si>
    <t xml:space="preserve">PR-RET-01-041Inspeção em regiões cavitadasKaplan </t>
  </si>
  <si>
    <t>PR-RET-02-003</t>
  </si>
  <si>
    <t xml:space="preserve">PR-RET-02-003Medição de circularidade e excentricidade do estator </t>
  </si>
  <si>
    <t>PR-RET-02-004</t>
  </si>
  <si>
    <t xml:space="preserve">PR-RET-02-004Insp. dos parafusos acop., pinos entre carcaça estator e pedestais </t>
  </si>
  <si>
    <t>PR-RET-02-006</t>
  </si>
  <si>
    <t xml:space="preserve">PR-RET-02-006Inspeção dos tirantes de fixação do núcleo do estator (isolação) </t>
  </si>
  <si>
    <t>PR-RET-02-007</t>
  </si>
  <si>
    <t xml:space="preserve">PR-RET-02-007Inspeção das guias de ar </t>
  </si>
  <si>
    <t>PR-RET-02-008</t>
  </si>
  <si>
    <t xml:space="preserve">PR-RET-02-008Medição do entreferro </t>
  </si>
  <si>
    <t>PR-RET-02-009</t>
  </si>
  <si>
    <t xml:space="preserve">PR-RET-02-009Medição de circularidade e excentricidade do rotor </t>
  </si>
  <si>
    <t>PR-RET-02-010</t>
  </si>
  <si>
    <t xml:space="preserve">PR-RET-02-010Ajuste da circularidade do rotor </t>
  </si>
  <si>
    <t>PR-RET-03-101</t>
  </si>
  <si>
    <t xml:space="preserve">PR-RET-03-101Testes enrolamento estator &amp; rotorisolação, IP, IA </t>
  </si>
  <si>
    <t>PR-RET-03-102</t>
  </si>
  <si>
    <t xml:space="preserve">PR-RET-03-102Testes enrolamento estator &amp; rotorResistência Ohmica </t>
  </si>
  <si>
    <t>PR-RET-03-103</t>
  </si>
  <si>
    <t xml:space="preserve">PR-RET-03-103Testes enrolamento estatorensaio de corrente de fuga </t>
  </si>
  <si>
    <t>PR-RET-03-104</t>
  </si>
  <si>
    <t xml:space="preserve">PR-RET-03-104Testes enrolamento estatortangente delta </t>
  </si>
  <si>
    <t>PR-RET-03-105</t>
  </si>
  <si>
    <t xml:space="preserve">PR-RET-03-105Testes enrolamento estator &amp; rotorTensao Aplicada (hipot) AC-CC </t>
  </si>
  <si>
    <t>PR-RET-03-106</t>
  </si>
  <si>
    <t xml:space="preserve">PR-RET-03-106Testes enrolamento rotorResistencia ohmica das conexoes polares </t>
  </si>
  <si>
    <t>PR-RET-03-107</t>
  </si>
  <si>
    <t xml:space="preserve">PR-RET-03-107Testes enrolamento rotorEnsaio de queda de tensao nos polos </t>
  </si>
  <si>
    <t>PR-RET-03-108</t>
  </si>
  <si>
    <t xml:space="preserve">PR-RET-03-108Testes circuito de campomedição isolação componentes </t>
  </si>
  <si>
    <t>PR-RET-03-109</t>
  </si>
  <si>
    <t xml:space="preserve">PR-RET-03-109Testes enrolamento estatortensão de ranhura </t>
  </si>
  <si>
    <t>PR-RET-03-110</t>
  </si>
  <si>
    <t xml:space="preserve">PR-RET-03-110Ensaios nos RTD's </t>
  </si>
  <si>
    <t>PR-RET-03-111</t>
  </si>
  <si>
    <t xml:space="preserve">PR-RET-03-111Testes enrolamento estator- Ensaio de corona visual </t>
  </si>
  <si>
    <t>PR-RET-03-112</t>
  </si>
  <si>
    <t xml:space="preserve">PR-RET-03-112Ensaios equipmts auxpainel de neutro RevA </t>
  </si>
  <si>
    <t>PR-RET-03-113</t>
  </si>
  <si>
    <t xml:space="preserve">PR-RET-03-113Ensaios nos aquecedores de maq parada </t>
  </si>
  <si>
    <t>PR-RET-03-114</t>
  </si>
  <si>
    <t xml:space="preserve">PR-RET-03-114Ensaios para levantamento das curvas caracterisitcas </t>
  </si>
  <si>
    <t>PR-RET-03-115</t>
  </si>
  <si>
    <t xml:space="preserve">PR-RET-03-115Ensaio de aquecimento do Gerador </t>
  </si>
  <si>
    <t>PR-RET-04-001</t>
  </si>
  <si>
    <t xml:space="preserve">PR-RET-04-001Ensaio de automatismo de motoresbombas </t>
  </si>
  <si>
    <t>PR-RET-04-002</t>
  </si>
  <si>
    <t xml:space="preserve">PR-RET-04-002Ensaio de automatismo do sistema hidráulico RV </t>
  </si>
  <si>
    <t>PR-RET-04-003</t>
  </si>
  <si>
    <t xml:space="preserve">PR-RET-04-003Ensaio de Fluxostatos </t>
  </si>
  <si>
    <t>PR-RET-04-004</t>
  </si>
  <si>
    <t xml:space="preserve">PR-RET-04-004Ensaio de fontes de alimentação </t>
  </si>
  <si>
    <t>PR-RET-04-005</t>
  </si>
  <si>
    <t xml:space="preserve">PR-RET-04-005Ensaio de Resistência de Isolação </t>
  </si>
  <si>
    <t>PR-RET-04-006</t>
  </si>
  <si>
    <t xml:space="preserve">PR-RET-04-006Ensaio de Pressostatos </t>
  </si>
  <si>
    <t>PR-RET-04-007</t>
  </si>
  <si>
    <t xml:space="preserve">PR-RET-04-007Ensaio de relés de subtensão </t>
  </si>
  <si>
    <t>PR-RET-04-008</t>
  </si>
  <si>
    <t xml:space="preserve">PR-RET-04-008Ensaio de relés temporizadores </t>
  </si>
  <si>
    <t>PR-RET-04-009</t>
  </si>
  <si>
    <t xml:space="preserve">PR-RET-04-009Ensaio de Resistência de contato em relés auxiliares </t>
  </si>
  <si>
    <t>PR-RET-04-010</t>
  </si>
  <si>
    <t xml:space="preserve">PR-RET-04-010Ensaio de sensores atuadores de posição </t>
  </si>
  <si>
    <t>PR-RET-04-011</t>
  </si>
  <si>
    <t xml:space="preserve">PR-RET-04-011Ensaio de simulação de partida e parada UAC </t>
  </si>
  <si>
    <t>PR-RET-04-012</t>
  </si>
  <si>
    <t xml:space="preserve">PR-RET-04-012Ensaio de sistema de água de refrigeração </t>
  </si>
  <si>
    <t>PR-RET-04-013</t>
  </si>
  <si>
    <t xml:space="preserve">PR-RET-04-013Ensaio de sistema de aquecimento gerador </t>
  </si>
  <si>
    <t>PR-RET-04-014</t>
  </si>
  <si>
    <t xml:space="preserve">PR-RET-04-014Ensaio de sistema de frenagem </t>
  </si>
  <si>
    <t>PR-RET-04-015</t>
  </si>
  <si>
    <t xml:space="preserve">PR-RET-04-015Ensaio de transferência automática de fontes </t>
  </si>
  <si>
    <t>PR-RET-04-016</t>
  </si>
  <si>
    <t xml:space="preserve">PR-RET-04-016Ensaio de transmissores de pressão </t>
  </si>
  <si>
    <t>PR-RET-04-017</t>
  </si>
  <si>
    <t xml:space="preserve">PR-RET-04-017Ensaio de transmissores de temperatura </t>
  </si>
  <si>
    <t>PR-RET-04-018</t>
  </si>
  <si>
    <t xml:space="preserve">PR-RET-04-018Ensaio de transmissores de vazão </t>
  </si>
  <si>
    <t>PR-RET-04-019</t>
  </si>
  <si>
    <t xml:space="preserve">PR-RET-04-019Ensaio dos sensores de pinos de cisalhamento das diretrizes </t>
  </si>
  <si>
    <t>PR-RET-04-020</t>
  </si>
  <si>
    <t xml:space="preserve">PR-RET-04-020Ensaio do sistema de filtragem de água de refrigeração </t>
  </si>
  <si>
    <t>PR-RET-04-021</t>
  </si>
  <si>
    <t xml:space="preserve">PR-RET-04-021Tabela de controle desconexão e conexão de cabos </t>
  </si>
  <si>
    <t>PR-RET-04-022</t>
  </si>
  <si>
    <t xml:space="preserve">PR-RET-04-022Ensaio de Transferencia de fontes de alimentação </t>
  </si>
  <si>
    <t>PR-RET-05-000</t>
  </si>
  <si>
    <t xml:space="preserve">PR-RET-05-000Itens de manutenção e teste </t>
  </si>
  <si>
    <t>PR-RET-05-001</t>
  </si>
  <si>
    <t xml:space="preserve">PR-RET-05-001Ensaio de isolação em cabos de saída do gerador </t>
  </si>
  <si>
    <t>PR-RET-05-002</t>
  </si>
  <si>
    <t xml:space="preserve">PR-RET-05-002Ensaio de tensão aplicada em cabos de saída do gerador </t>
  </si>
  <si>
    <t>PR-RET-05-005</t>
  </si>
  <si>
    <t xml:space="preserve">PR-RET-05-005Ensaio de TC de cubículos do gerador </t>
  </si>
  <si>
    <t>PR-RET-05-006</t>
  </si>
  <si>
    <t xml:space="preserve">PR-RET-05-006Ensaio de TP de cubículos do gerador </t>
  </si>
  <si>
    <t>PR-RET-05-007</t>
  </si>
  <si>
    <t xml:space="preserve">PR-RET-05-007Ensaio de protetores de surto do gerador </t>
  </si>
  <si>
    <t>PR-RET-06-001</t>
  </si>
  <si>
    <t xml:space="preserve">PR-RET-06-001Inspeção visual do tanque, sistema de preservação e resfriamento </t>
  </si>
  <si>
    <t>PR-RET-06-002</t>
  </si>
  <si>
    <t xml:space="preserve">PR-RET-06-002Inspeção visual das buchas </t>
  </si>
  <si>
    <t>PR-RET-06-003</t>
  </si>
  <si>
    <t xml:space="preserve">PR-RET-06-003Inspeção visual dos TCs de bucha </t>
  </si>
  <si>
    <t>PR-RET-06-004</t>
  </si>
  <si>
    <t xml:space="preserve">PR-RET-06-004Inspeção visual indicadores e termômetros </t>
  </si>
  <si>
    <t>PR-RET-06-005</t>
  </si>
  <si>
    <t xml:space="preserve">PR-RET-06-005Inspeção visual do relé de gás e DAP </t>
  </si>
  <si>
    <t>PR-RET-06-006</t>
  </si>
  <si>
    <t xml:space="preserve">PR-RET-06-006Inspeção visual painel de controle </t>
  </si>
  <si>
    <t>PR-RET-06-007</t>
  </si>
  <si>
    <t xml:space="preserve">PR-RET-06-007 e 06-021Ensaio de Resistência de isolamento </t>
  </si>
  <si>
    <t>PR-RET-06-008</t>
  </si>
  <si>
    <t xml:space="preserve">PR-RET-06-008Ensaio de Resistência elétrica dos Enrolamentos </t>
  </si>
  <si>
    <t>PR-RET-06-009</t>
  </si>
  <si>
    <t xml:space="preserve">PR-RET-06-009Ensaio de Fator de Potência e Capacitância dos enrolamentos </t>
  </si>
  <si>
    <t>PR-RET-06-010</t>
  </si>
  <si>
    <t xml:space="preserve">PR-RET-06-010Ensaio de relação de transformação </t>
  </si>
  <si>
    <t>PR-RET-06-011</t>
  </si>
  <si>
    <t xml:space="preserve">PR-RET-06-011Ensaio de Corrente de excitação monofásica </t>
  </si>
  <si>
    <t>PR-RET-06-012</t>
  </si>
  <si>
    <t xml:space="preserve">PR-RET-06-012Ensaio de impedância de curto-circuito </t>
  </si>
  <si>
    <t>PR-RET-06-013</t>
  </si>
  <si>
    <t xml:space="preserve">PR-RET-06-013-014-015Ensaio no RTD, Relé de Gás e DAP </t>
  </si>
  <si>
    <t>PR-RET-06-016</t>
  </si>
  <si>
    <t xml:space="preserve">PR-RET-06-016- Ensaio de Estanqueidade </t>
  </si>
  <si>
    <t>PR-RET-06-018</t>
  </si>
  <si>
    <t xml:space="preserve">PR-RET-06-018Ensaio de Fator de Potência e Capacitância das buchas </t>
  </si>
  <si>
    <t>PR-RET-06-019</t>
  </si>
  <si>
    <t xml:space="preserve">PR-RET-06-019Ensaio nos TCs </t>
  </si>
  <si>
    <t>PR-RET-06-020</t>
  </si>
  <si>
    <t xml:space="preserve">PR-RET-06-020Ensaio sistema de resfriamento </t>
  </si>
  <si>
    <t>PR-RET-07-000</t>
  </si>
  <si>
    <t xml:space="preserve">PR-RET-07-000Itens de manutenção e teste </t>
  </si>
  <si>
    <t>PR-RET-07-001</t>
  </si>
  <si>
    <t xml:space="preserve">PR-RET-07-001Ensaio de isolação em transformadores a seco </t>
  </si>
  <si>
    <t>PR-RET-07-002</t>
  </si>
  <si>
    <t xml:space="preserve">PR-RET-07-002Ensaio de resistência DC em transformadores à seco </t>
  </si>
  <si>
    <t>PR-RET-07-003</t>
  </si>
  <si>
    <t xml:space="preserve">PR-RET-07-003Ensaio de tensão aplicada em transformadores a seco </t>
  </si>
  <si>
    <t>PR-RET-07-004</t>
  </si>
  <si>
    <t xml:space="preserve">PR-RET-07-004Ensaio de relação de transformação e polaridade em transformadores a seco </t>
  </si>
  <si>
    <t>PR-RET-09-000</t>
  </si>
  <si>
    <t xml:space="preserve">PR-RET-09-000Itens de manutenção e teste </t>
  </si>
  <si>
    <t>PR-RET-09-001</t>
  </si>
  <si>
    <t xml:space="preserve">PR-RET-09-001Ensaio de resistência DC em barramento de painéis de média tensão </t>
  </si>
  <si>
    <t>PR-RET-09-002</t>
  </si>
  <si>
    <t xml:space="preserve">PR-RET-09-002Ensaio de isolação em barramento de painéis de média tensão </t>
  </si>
  <si>
    <t>PR-RET-09-003</t>
  </si>
  <si>
    <t xml:space="preserve">PR-RET-09-003Ensaio de tensão aplicada em barramento de painéis de média tensão </t>
  </si>
  <si>
    <t>PR-RET-09-004</t>
  </si>
  <si>
    <t xml:space="preserve">PR-RET-09-004Ensaio de disjuntores de média tensão </t>
  </si>
  <si>
    <t>PR-RET-09-005</t>
  </si>
  <si>
    <t xml:space="preserve">PR-RET-09-005Ensaio de tensão aplicada em disjuntores de média tensão </t>
  </si>
  <si>
    <t>PR-RET-09-006</t>
  </si>
  <si>
    <t xml:space="preserve">PR-RET-09-006Ensaio de TC de painéis de média tensão </t>
  </si>
  <si>
    <t>PR-RET-09-007</t>
  </si>
  <si>
    <t xml:space="preserve">PR-RET-09-007Ensaio de TP de painéis de média tensão </t>
  </si>
  <si>
    <t>PR-RET-09-008</t>
  </si>
  <si>
    <t xml:space="preserve">PR-RET-09-008Ensaio de protetores de surto de painéis de média tensão </t>
  </si>
  <si>
    <t>PR-RET-10-000</t>
  </si>
  <si>
    <t xml:space="preserve">PR-RET-10-000Itens de manutenção e teste </t>
  </si>
  <si>
    <t>PR-RET-10-001</t>
  </si>
  <si>
    <t xml:space="preserve">PR-RET-10-001Ensaio de isolação em barramento de painéis de baixa tensão </t>
  </si>
  <si>
    <t>PR-RET-10-002</t>
  </si>
  <si>
    <t xml:space="preserve">PR-RET-10-002Ensaio de resistência DC em barramento de painéis de baixa tensão </t>
  </si>
  <si>
    <t>PR-RET-10-003</t>
  </si>
  <si>
    <t xml:space="preserve">PR-RET-10-003Ensaio de tensão aplicada em barramento de painéis de baixa tensão </t>
  </si>
  <si>
    <t>PR-RET-10-004</t>
  </si>
  <si>
    <t xml:space="preserve">PR-RET-10-004Ensaio de disjuntores de caixa moldada em painéis de baixa tensão </t>
  </si>
  <si>
    <t>PR-RET-10-005</t>
  </si>
  <si>
    <t xml:space="preserve">PR-RET-10-005Ensaio de isolação em TP de painéis de baixa tensão </t>
  </si>
  <si>
    <t>PR-RET-10-006</t>
  </si>
  <si>
    <t xml:space="preserve">PR-RET-10-006Ensaio de isolação em cabos de painéis de baixa tensão </t>
  </si>
  <si>
    <t>PR-RET-10-007</t>
  </si>
  <si>
    <t xml:space="preserve">PR-RET-10-007- Ensaio de acoplamento automático de barras em painéis de baixa tensão </t>
  </si>
  <si>
    <t>PR-RET-11-000</t>
  </si>
  <si>
    <t xml:space="preserve">PR-RET-11-000Itens de manutenção e teste </t>
  </si>
  <si>
    <t>PR-RET-11-001</t>
  </si>
  <si>
    <t xml:space="preserve">PR-RET-11-001Ensaio de isolação em cabos até 35kV </t>
  </si>
  <si>
    <t>PR-RET-11-002</t>
  </si>
  <si>
    <t xml:space="preserve">PR-RET-11-002Ensaio de fator de perda dielétrica em cabos até 35kV </t>
  </si>
  <si>
    <t>PR-RET-11-003</t>
  </si>
  <si>
    <t xml:space="preserve">PR-RET-11-003Ensaio de tensão aplicada em cabos até 35kV </t>
  </si>
  <si>
    <t>PR-RET-12-001</t>
  </si>
  <si>
    <t xml:space="preserve">PR-RET-12-001Controle de alteração e backup software </t>
  </si>
  <si>
    <t>PR-RET-13-001</t>
  </si>
  <si>
    <t xml:space="preserve">PR-RET-13-001Resistência de Isolação </t>
  </si>
  <si>
    <t>PR-RET-13-002</t>
  </si>
  <si>
    <t xml:space="preserve">PR-RET-13-002Resistência de contato em relés auxiliares </t>
  </si>
  <si>
    <t>PR-RET-13-003</t>
  </si>
  <si>
    <t xml:space="preserve">PR-RET-13-003Ensaios em relés auxiliares </t>
  </si>
  <si>
    <t>PR-RET-13-004</t>
  </si>
  <si>
    <t xml:space="preserve">PR-RET-13-004Calibração de transdutores </t>
  </si>
  <si>
    <t>PR-RET-13-005</t>
  </si>
  <si>
    <t xml:space="preserve">PR-RET-13-005Ensaios em relés de sincronismo (ANSI 25) </t>
  </si>
  <si>
    <t>PR-RET-13-006</t>
  </si>
  <si>
    <t xml:space="preserve">PR-RET-13-006Controle de alteração e backup software </t>
  </si>
  <si>
    <t>PR-RET-14-001</t>
  </si>
  <si>
    <t xml:space="preserve">PR-RET-14-001Controle de alteração e backup software </t>
  </si>
  <si>
    <t>PR-RET-15-001</t>
  </si>
  <si>
    <t xml:space="preserve">PR-RET-15-001Ensaios em Transformadores de Corrente </t>
  </si>
  <si>
    <t>PR-RET-15-002</t>
  </si>
  <si>
    <t xml:space="preserve">PR-RET-15-002Ensaios em Transformadores de Potencial </t>
  </si>
  <si>
    <t>PR-RET-15-003</t>
  </si>
  <si>
    <t xml:space="preserve">PR-RET-15-003Ensaio de Isolação </t>
  </si>
  <si>
    <t>PR-RET-15-004</t>
  </si>
  <si>
    <t xml:space="preserve">PR-RET-15-004Ensaio de Resistência </t>
  </si>
  <si>
    <t>PR-RET-15-005</t>
  </si>
  <si>
    <t xml:space="preserve">PR-RET-15-005Ensaio de curva característica do TC </t>
  </si>
  <si>
    <t>PR-RET-15-006</t>
  </si>
  <si>
    <t xml:space="preserve">PR-RET-15-006Proteção Diferencial </t>
  </si>
  <si>
    <t>PR-RET-15-007</t>
  </si>
  <si>
    <t xml:space="preserve">PR-RET-15-007Proteção de Sobre e sub Frequência </t>
  </si>
  <si>
    <t>PR-RET-15-009</t>
  </si>
  <si>
    <t xml:space="preserve">PR-RET-15-009Proteção de Potencia Reversa </t>
  </si>
  <si>
    <t>PR-RET-15-011</t>
  </si>
  <si>
    <t xml:space="preserve">PR-RET-15-011Proteção de Subtensão </t>
  </si>
  <si>
    <t>PR-RET-15-012</t>
  </si>
  <si>
    <t xml:space="preserve">PR-RET-15-012Proteção de Energização Inadvertida </t>
  </si>
  <si>
    <t>PR-RET-15-013</t>
  </si>
  <si>
    <t xml:space="preserve">PR-RET-15-013Proteção de sobrecorrente com restrição de tensão </t>
  </si>
  <si>
    <t>PR-RET-15-014</t>
  </si>
  <si>
    <t xml:space="preserve">PR-RET-15-014Proteção Diferencial de terra restrita </t>
  </si>
  <si>
    <t>PR-RET-15-015</t>
  </si>
  <si>
    <t xml:space="preserve">PR-RET-15-015Proteção de Terra Rotor </t>
  </si>
  <si>
    <t>PR-RET-15-016</t>
  </si>
  <si>
    <t xml:space="preserve">PR-RET-15-016Proteção de Sequência Negativa </t>
  </si>
  <si>
    <t>PR-RET-15-017</t>
  </si>
  <si>
    <t xml:space="preserve">PR-RET-15-017Proteção de Perda de Excitação </t>
  </si>
  <si>
    <t>PR-RET-15-018</t>
  </si>
  <si>
    <t xml:space="preserve">PR-RET-15-018Proteção de Falha Fusível </t>
  </si>
  <si>
    <t>PR-RET-15-019</t>
  </si>
  <si>
    <t xml:space="preserve">PR-RET-15-019Proteção de Mínima Impedância </t>
  </si>
  <si>
    <t>PR-RET-15-020</t>
  </si>
  <si>
    <t xml:space="preserve">PR-RET-15-020Proteção Diferencial Transversal do Gerador </t>
  </si>
  <si>
    <t>PR-RET-15-021</t>
  </si>
  <si>
    <t xml:space="preserve">PR-RET-15-021Proteção de Terra Estator 95 </t>
  </si>
  <si>
    <t>PR-RET-15-022</t>
  </si>
  <si>
    <t xml:space="preserve">PR-RET-15-022Proteção de Terra Estator 100 </t>
  </si>
  <si>
    <t>PR-RET-15-023</t>
  </si>
  <si>
    <t xml:space="preserve">PR-RET-15-023Proteção de Sobretensão </t>
  </si>
  <si>
    <t>PR-RET-15-024</t>
  </si>
  <si>
    <t xml:space="preserve">PR-RET-15-024Proteção de Sobreexcitação </t>
  </si>
  <si>
    <t>PR-RET-15-025</t>
  </si>
  <si>
    <t xml:space="preserve">PR-RET-15-025Proteção de Sobrecarga </t>
  </si>
  <si>
    <t>PR-RET-15-026</t>
  </si>
  <si>
    <t xml:space="preserve">PR-RET-15-026Proteção de Falha Disjuntor </t>
  </si>
  <si>
    <t>PR-RET-15-027</t>
  </si>
  <si>
    <t xml:space="preserve">PR-RET-15-027Ensaio em relés de bloqueio-trip </t>
  </si>
  <si>
    <t>PR-RET-17-001</t>
  </si>
  <si>
    <t xml:space="preserve">PR-RET-17-001Ensaios em Transformadores de Corrente </t>
  </si>
  <si>
    <t>PR-RET-17-002</t>
  </si>
  <si>
    <t xml:space="preserve">PR-RET-17-002Ensaios em Transformadores de Potencial </t>
  </si>
  <si>
    <t>PR-RET-17-003</t>
  </si>
  <si>
    <t xml:space="preserve">PR-RET-17-003Ensaio de Isolação </t>
  </si>
  <si>
    <t>PR-RET-17-004</t>
  </si>
  <si>
    <t xml:space="preserve">PR-RET-17-004Ensaio de Resistência </t>
  </si>
  <si>
    <t>PR-RET-17-005</t>
  </si>
  <si>
    <t xml:space="preserve">PR-RET-17-005Ensaio de curva característica do TC </t>
  </si>
  <si>
    <t>PR-RET-17-006</t>
  </si>
  <si>
    <t xml:space="preserve">PR-RET-17-006Ensaio em relés de bloqueio-trip </t>
  </si>
  <si>
    <t>PR-RET-18-000</t>
  </si>
  <si>
    <t xml:space="preserve">PR-RET-18-000Check list de ensaios </t>
  </si>
  <si>
    <t>PR-RET-18-001</t>
  </si>
  <si>
    <t xml:space="preserve">PR-RET-18-001Ensaio de componentes e instumentos </t>
  </si>
  <si>
    <t>PR-RET-18-002</t>
  </si>
  <si>
    <t xml:space="preserve">PR-RET-18-002Ensaios de proteção sobretensão </t>
  </si>
  <si>
    <t>PR-RET-18-003</t>
  </si>
  <si>
    <t xml:space="preserve">PR-RET-18-003Ensaio isolação circuito primário </t>
  </si>
  <si>
    <t>PR-RET-18-004</t>
  </si>
  <si>
    <t xml:space="preserve">PR-RET-18-004Ensaio isolação circuito secundário </t>
  </si>
  <si>
    <t>PR-RET-18-005</t>
  </si>
  <si>
    <t xml:space="preserve">PR-RET-18-005Ensaios PLC </t>
  </si>
  <si>
    <t>PR-RET-18-006</t>
  </si>
  <si>
    <t xml:space="preserve">PR-RET-18-006Ensaios Simulação </t>
  </si>
  <si>
    <t>PR-RET-18-007</t>
  </si>
  <si>
    <t xml:space="preserve">PR-RET-18-007Ensaios funcionais </t>
  </si>
  <si>
    <t>PR-RET-19-000</t>
  </si>
  <si>
    <t xml:space="preserve">PR-RET-19-000Itens de manutenção e teste </t>
  </si>
  <si>
    <t>PR-RET-19-001</t>
  </si>
  <si>
    <t xml:space="preserve">PR-RET-19-001Ensaio de baterias </t>
  </si>
  <si>
    <t>PR-RET-19-002</t>
  </si>
  <si>
    <t xml:space="preserve">PR-RET-19-002Ensaio de capacidade e equalização de baterias </t>
  </si>
  <si>
    <t>PR-RET-19-003</t>
  </si>
  <si>
    <t xml:space="preserve">PR-RET-19-003Ensaio de retificadores e USCC </t>
  </si>
  <si>
    <t>PR-RET-20-001</t>
  </si>
  <si>
    <t xml:space="preserve">PR-RET-20-001Inspeção válvulas distribuidoras (CD e CR) </t>
  </si>
  <si>
    <t>PR-RET-20-002</t>
  </si>
  <si>
    <t xml:space="preserve">PR-RET-20-002Inspeção válvulas controle hidráulico </t>
  </si>
  <si>
    <t>PR-RET-20-003</t>
  </si>
  <si>
    <t xml:space="preserve">PR-RET-20-003Inspeção servomotor do distribuidor </t>
  </si>
  <si>
    <t>PR-RET-20-004</t>
  </si>
  <si>
    <t xml:space="preserve">PR-RET-20-004Inspeção sistema resfriamento RV </t>
  </si>
  <si>
    <t>PR-RET-20-005</t>
  </si>
  <si>
    <t xml:space="preserve">PR-RET-20-005Inspeção no acumulador ar e óleo </t>
  </si>
  <si>
    <t>PR-RET-20-006</t>
  </si>
  <si>
    <t xml:space="preserve">PR-RET-20-006Calibração válvula de segurança acumulador ar óleo </t>
  </si>
  <si>
    <t>PR-RET-20-007</t>
  </si>
  <si>
    <t xml:space="preserve">PR-RET-20-007Critérios de testes </t>
  </si>
  <si>
    <t>PR-RET-21-000</t>
  </si>
  <si>
    <t xml:space="preserve">PR-RET-21-000Check list de ensaios </t>
  </si>
  <si>
    <t>PR-RET-21-001</t>
  </si>
  <si>
    <t xml:space="preserve">PR-RET-21-001Ensaios de componentes instrumentos plc </t>
  </si>
  <si>
    <t>PR-RET-21-002</t>
  </si>
  <si>
    <t xml:space="preserve">PR-RET-21-002Ensaios circuitos elétricos </t>
  </si>
  <si>
    <t>PR-RET-21-003</t>
  </si>
  <si>
    <t xml:space="preserve">PR-RET-21-003Ensaios água morta </t>
  </si>
  <si>
    <t>PR-RET-21-004</t>
  </si>
  <si>
    <t xml:space="preserve">PR-RET-21-004Ensaios em vazio </t>
  </si>
  <si>
    <t>PR-RET-21-005</t>
  </si>
  <si>
    <t xml:space="preserve">PR-RET-21-005Ensaios em carga </t>
  </si>
  <si>
    <t>PR-RET-22-001</t>
  </si>
  <si>
    <t xml:space="preserve">PR-RET-22-001Itens de manutençãoCheck-list </t>
  </si>
  <si>
    <t>PR-RET-23-001</t>
  </si>
  <si>
    <t xml:space="preserve">PR-RET-23-001Itens de manutençãoCheck-list </t>
  </si>
  <si>
    <t>PR-RET-24-001</t>
  </si>
  <si>
    <t xml:space="preserve">PR-RET-24-001Itens de manutençãoCheck-list </t>
  </si>
  <si>
    <t>PR-RET-25-001</t>
  </si>
  <si>
    <t xml:space="preserve">PR-RET-25-001Ensaio de Isolação </t>
  </si>
  <si>
    <t>PR-RET-25-002</t>
  </si>
  <si>
    <t xml:space="preserve">PR-RET-25-002Ensaio de Resistência </t>
  </si>
  <si>
    <t>PR-RET-26-001</t>
  </si>
  <si>
    <t xml:space="preserve">PR-RET-26-001Itens de manutençãoCheck-list </t>
  </si>
  <si>
    <t>PR-RET-27-001</t>
  </si>
  <si>
    <t xml:space="preserve">PR-RET-27-001Itens de manutençãoCheck-list </t>
  </si>
  <si>
    <t>PR-RET-28-001</t>
  </si>
  <si>
    <t xml:space="preserve">PR-RET-28-001Itens de manutençãoCheck-list </t>
  </si>
  <si>
    <t>PR-RET-29-001</t>
  </si>
  <si>
    <t xml:space="preserve">PR-RET-29-001Itens de manutençãoCheck-list </t>
  </si>
  <si>
    <t>PR-RET-30-002</t>
  </si>
  <si>
    <t xml:space="preserve">PR-RET-30-002Medição dos ganchos </t>
  </si>
  <si>
    <t>PR-RET-30-003</t>
  </si>
  <si>
    <t xml:space="preserve">PR-RET-30-003Ajuste e medição nos freios </t>
  </si>
  <si>
    <t>PR-RET-33-001</t>
  </si>
  <si>
    <t xml:space="preserve">PR-RET-33-001Itens de manutençãoCheck-list </t>
  </si>
  <si>
    <t>PR-RET-40-001</t>
  </si>
  <si>
    <t xml:space="preserve">PR-RET-40-001Ensaio do sistema de iluminação </t>
  </si>
  <si>
    <t>PR-RET-40-002</t>
  </si>
  <si>
    <t xml:space="preserve">PR-RET-40-002Ensaio de pontos de tomada e de dispositivos DR </t>
  </si>
  <si>
    <t>PR-RET-41-001</t>
  </si>
  <si>
    <t xml:space="preserve">PR-RET-41-001Ensaio de resistência de aterramento </t>
  </si>
  <si>
    <t>PR-RET-41-002</t>
  </si>
  <si>
    <t xml:space="preserve">PR-RET-41-002Ensaio de tensão de toque e passo </t>
  </si>
  <si>
    <t>PR-RET-41-003</t>
  </si>
  <si>
    <t xml:space="preserve">PR-RET-41-003Ensaio de continuidade </t>
  </si>
  <si>
    <t>PR-RET-58-001</t>
  </si>
  <si>
    <t xml:space="preserve">PR-RET-58-001Itens de manutençãoCheck-list </t>
  </si>
  <si>
    <t>PR-RET-59-000</t>
  </si>
  <si>
    <t xml:space="preserve">PR-RET-59-000Itens de manutenção </t>
  </si>
  <si>
    <t>PR-RET-59-001</t>
  </si>
  <si>
    <t xml:space="preserve">PR-RET-59-001Ensaio de Isolação </t>
  </si>
  <si>
    <t>PR-RET-60-001</t>
  </si>
  <si>
    <t xml:space="preserve">PR-RET-60-001Itens de manutençãoCheck-list </t>
  </si>
  <si>
    <t>PR-RET-61-001</t>
  </si>
  <si>
    <t xml:space="preserve">PR-RET-61-001Itens de manutençãoCheck-list </t>
  </si>
  <si>
    <t>PR-RET-62-001</t>
  </si>
  <si>
    <t xml:space="preserve">PR-RET-62-001Itens de manutençãoCheck-list </t>
  </si>
  <si>
    <t>PR-RET-64-001</t>
  </si>
  <si>
    <t xml:space="preserve">PR-RET-64-001Itens de manutençãoCheck-list </t>
  </si>
  <si>
    <t>PR-RET-65-001</t>
  </si>
  <si>
    <t xml:space="preserve">PR-RET-65-001Itens de manutençãoCheck-list </t>
  </si>
  <si>
    <t>PR-RET-66-001</t>
  </si>
  <si>
    <t xml:space="preserve">PR-RET-66-001Itens de manutençãoCheck-list </t>
  </si>
  <si>
    <t>PR-RET-67-001</t>
  </si>
  <si>
    <t xml:space="preserve">PR-RET-67-001Itens de manutençãoCheck-list </t>
  </si>
  <si>
    <t>PR-RET-68-001</t>
  </si>
  <si>
    <t xml:space="preserve">PR-RET-68-001Itens de manutençãoCheck-list </t>
  </si>
  <si>
    <t>PR-ROS-00-001</t>
  </si>
  <si>
    <t xml:space="preserve">PR-ROS-00-001Inspeção Líquido Penetrante </t>
  </si>
  <si>
    <t>PR-ROS-00-002</t>
  </si>
  <si>
    <t xml:space="preserve">PR-ROS-00-002Inspeção Partículas Magnéticas </t>
  </si>
  <si>
    <t>PR-ROS-00-003</t>
  </si>
  <si>
    <t xml:space="preserve">PR-ROS-00-003Inspeção Ultrassom </t>
  </si>
  <si>
    <t>PR-ROS-00-004</t>
  </si>
  <si>
    <t xml:space="preserve">PR-ROS-00-004Ensaio de motores elétricos </t>
  </si>
  <si>
    <t>PR-ROS-00-005</t>
  </si>
  <si>
    <t xml:space="preserve">PR-ROS-00-005Calibração de instrumentos </t>
  </si>
  <si>
    <t>PR-ROS-00-006</t>
  </si>
  <si>
    <t xml:space="preserve">PR-ROS-00-006Ensaio de motobombas </t>
  </si>
  <si>
    <t>PR-ROS-00-007</t>
  </si>
  <si>
    <t xml:space="preserve">PR-ROS-00-007Inspeção de torque de elementos de fixação </t>
  </si>
  <si>
    <t>PR-ROS-00-008</t>
  </si>
  <si>
    <t xml:space="preserve">PR-ROS-00-008Inspeção de pintura </t>
  </si>
  <si>
    <t>PR-ROS-00-009</t>
  </si>
  <si>
    <t xml:space="preserve">PR-ROS-00-009Aferição de Manômetros </t>
  </si>
  <si>
    <t>PR-ROS-01-001</t>
  </si>
  <si>
    <t xml:space="preserve">PR-ROS-01-001Inspeção de concreto da caixa espiral </t>
  </si>
  <si>
    <t>PR-ROS-01-002</t>
  </si>
  <si>
    <t xml:space="preserve">PR-ROS-01-002Medição de B0, folga e esmagamento </t>
  </si>
  <si>
    <t>PR-ROS-01-003</t>
  </si>
  <si>
    <t xml:space="preserve">PR-ROS-01-003Inspeção nas buchas auto-lubrificantes das palhetas diretrizes </t>
  </si>
  <si>
    <t>PR-ROS-01-004</t>
  </si>
  <si>
    <t xml:space="preserve">PR-ROS-01-004Inspeção em pinos e buchas do bielismo </t>
  </si>
  <si>
    <t>PR-ROS-01-005</t>
  </si>
  <si>
    <t xml:space="preserve">PR-ROS-01-005Inspeção de torque de elementos de fixação </t>
  </si>
  <si>
    <t>PR-ROS-01-006</t>
  </si>
  <si>
    <t xml:space="preserve">PR-ROS-01-006Inspeção na camisa do sevomotor Kaplan </t>
  </si>
  <si>
    <t>PR-ROS-01-007</t>
  </si>
  <si>
    <t xml:space="preserve">PR-ROS-01-007Inspeção da bucha da espiga do rotor Kaplan </t>
  </si>
  <si>
    <t>PR-ROS-01-008</t>
  </si>
  <si>
    <t xml:space="preserve">PR-ROS-01-008Inspeção da espiga do servomotor </t>
  </si>
  <si>
    <t>PR-ROS-01-009</t>
  </si>
  <si>
    <t xml:space="preserve">PR-ROS-01-009Dimensional das buchas do munhões das pás do rotor Kaplan </t>
  </si>
  <si>
    <t>PR-ROS-01-010</t>
  </si>
  <si>
    <t xml:space="preserve">PR-ROS-01-010Inspeção em pinos das alavancas do servomotor da Kaplan </t>
  </si>
  <si>
    <t>PR-ROS-01-011</t>
  </si>
  <si>
    <t xml:space="preserve">PR-ROS-01-011Inspeção das bielas e parafusos olhais da Kaplan </t>
  </si>
  <si>
    <t>PR-ROS-01-012</t>
  </si>
  <si>
    <t xml:space="preserve">PR-ROS-01-012Inspeção nos parafusos de fixação das talas das pás Kaplan </t>
  </si>
  <si>
    <t>PR-ROS-01-014</t>
  </si>
  <si>
    <t xml:space="preserve">PR-ROS-01-014Inspeção dos parafusos do rotor </t>
  </si>
  <si>
    <t>PR-ROS-01-015</t>
  </si>
  <si>
    <t xml:space="preserve">PR-ROS-01-015Inspeção dos parafusos de acoplamento com o eixo principal </t>
  </si>
  <si>
    <t>PR-ROS-01-017</t>
  </si>
  <si>
    <t xml:space="preserve">PR-ROS-01-017Medição de folga entre pá e aro câmara </t>
  </si>
  <si>
    <t>PR-ROS-01-018</t>
  </si>
  <si>
    <t xml:space="preserve">PR-ROS-01-018Espessura e bate chocoaro câmara </t>
  </si>
  <si>
    <t>PR-ROS-01-020</t>
  </si>
  <si>
    <t xml:space="preserve">PR-ROS-01-020Inspeção da bucha do cabeçote Kaplan </t>
  </si>
  <si>
    <t>PR-ROS-01-021</t>
  </si>
  <si>
    <t xml:space="preserve">PR-ROS-01-021Batimento da tubulação Kaplan </t>
  </si>
  <si>
    <t>PR-ROS-01-023</t>
  </si>
  <si>
    <t xml:space="preserve">PR-ROS-01-023Batimento da pista de inox da vedação do eixo </t>
  </si>
  <si>
    <t>PR-ROS-01-024</t>
  </si>
  <si>
    <t xml:space="preserve">PR-ROS-01-024Batimento do anel de desgaste da vedação do eixo </t>
  </si>
  <si>
    <t>PR-ROS-01-025</t>
  </si>
  <si>
    <t xml:space="preserve">PR-ROS-01-025Espessura do anel de desgaste da vedação do eixo </t>
  </si>
  <si>
    <t>PR-ROS-01-026</t>
  </si>
  <si>
    <t xml:space="preserve">PR-ROS-01-026Ensaio na vedação de manutenção </t>
  </si>
  <si>
    <t>PR-ROS-01-027</t>
  </si>
  <si>
    <t xml:space="preserve">PR-ROS-01-027Medição de tempo de recalque das bombas de drenagem da tampa </t>
  </si>
  <si>
    <t>PR-ROS-01-028</t>
  </si>
  <si>
    <t xml:space="preserve">PR-ROS-01-028Ensaio das bombas de injeção de água da vedação do eixo </t>
  </si>
  <si>
    <t>PR-ROS-01-034</t>
  </si>
  <si>
    <t xml:space="preserve">PR-ROS-01-034Inspeção no tubo de sucção e caixa espiral </t>
  </si>
  <si>
    <t>PR-ROS-01-035</t>
  </si>
  <si>
    <t xml:space="preserve">PR-ROS-01-035Inspeção dos parafusos de união da tampa superior com o pré-distribuidor após aperto </t>
  </si>
  <si>
    <t>PR-ROS-01-041</t>
  </si>
  <si>
    <t xml:space="preserve">PR-ROS-01-041Inspeção em regiões cavitadasKaplan </t>
  </si>
  <si>
    <t>PR-ROS-02-001</t>
  </si>
  <si>
    <t xml:space="preserve">PR-ROS-02-001Medição e ajuste de centro, elevação e nível da cruzeta superiorFalta Informação do desenho </t>
  </si>
  <si>
    <t>PR-ROS-02-002</t>
  </si>
  <si>
    <t xml:space="preserve">PR-ROS-02-002Inspeção dos flanges da cruzeta </t>
  </si>
  <si>
    <t>PR-ROS-02-003</t>
  </si>
  <si>
    <t xml:space="preserve">PR-ROS-02-003Medição de circularidade e excentricidade do estator </t>
  </si>
  <si>
    <t>PR-ROS-02-004</t>
  </si>
  <si>
    <t xml:space="preserve">PR-ROS-02-004Insp. dos parafusos acop., pinos entre carcaça estator e pedestais </t>
  </si>
  <si>
    <t>PR-ROS-02-005</t>
  </si>
  <si>
    <t xml:space="preserve">PR-ROS-02-005Insp. do núcleo do estator </t>
  </si>
  <si>
    <t>PR-ROS-02-006</t>
  </si>
  <si>
    <t xml:space="preserve">PR-ROS-02-006Inspeção dos tirantes de fixação do núcleo do estator (isolação) </t>
  </si>
  <si>
    <t>PR-ROS-02-007</t>
  </si>
  <si>
    <t xml:space="preserve">PR-ROS-02-007Inspeção das guias de ar </t>
  </si>
  <si>
    <t>PR-ROS-02-008</t>
  </si>
  <si>
    <t xml:space="preserve">PR-ROS-02-008Medição do entreferro </t>
  </si>
  <si>
    <t>PR-ROS-02-009</t>
  </si>
  <si>
    <t xml:space="preserve">PR-ROS-02-009Medição de circularidade e excentricidade do rotor </t>
  </si>
  <si>
    <t>PR-ROS-02-010</t>
  </si>
  <si>
    <t xml:space="preserve">PR-ROS-02-010Ajuste da circularidade do rotor </t>
  </si>
  <si>
    <t>PR-ROS-02-011</t>
  </si>
  <si>
    <t xml:space="preserve">PR-ROS-02-011Medição do nivelamento dos polos </t>
  </si>
  <si>
    <t>PR-ROS-02-012</t>
  </si>
  <si>
    <t xml:space="preserve">PR-ROS-02-012Inspeção dos parafusos e pinos de acoplamento do rotor com o bloco de escora </t>
  </si>
  <si>
    <t>PR-ROS-02-013</t>
  </si>
  <si>
    <t xml:space="preserve">PR-ROS-02-013Inspeção da pista de frenagem </t>
  </si>
  <si>
    <t>PR-ROS-02-014</t>
  </si>
  <si>
    <t xml:space="preserve">PR-ROS-02-014Medição de centro (Caixa eixo) e ajuste do mancal guia </t>
  </si>
  <si>
    <t>PR-ROS-02-015</t>
  </si>
  <si>
    <t xml:space="preserve">PR-ROS-02-015Medição e ajuste do nivelamento dos segmentos do mancal de escora </t>
  </si>
  <si>
    <t>PR-ROS-02-016</t>
  </si>
  <si>
    <t xml:space="preserve">PR-ROS-02-016Medição de nivelamento e ajuste da superfície para a instalação dos segmentos do mancal de escora </t>
  </si>
  <si>
    <t>PR-ROS-02-017</t>
  </si>
  <si>
    <t xml:space="preserve">PR-ROS-02-017Inspeção dos espelhos do bloco de escora </t>
  </si>
  <si>
    <t>PR-ROS-02-018</t>
  </si>
  <si>
    <t xml:space="preserve">PR-ROS-02-018Inspeção dos parafusos e pinos do bloco de escora e o rotor do gerador </t>
  </si>
  <si>
    <t>PR-ROS-02-019</t>
  </si>
  <si>
    <t xml:space="preserve">PR-ROS-02-019Inspeção entre o eixo e o bloco de escora </t>
  </si>
  <si>
    <t>PR-ROS-02-020</t>
  </si>
  <si>
    <t xml:space="preserve">PR-ROS-02-020Verificação do nível de óleo </t>
  </si>
  <si>
    <t>PR-ROS-02-021</t>
  </si>
  <si>
    <t xml:space="preserve">PR-ROS-02-021Inspeção dos flanges do suporte do MC </t>
  </si>
  <si>
    <t>PR-ROS-02-023</t>
  </si>
  <si>
    <t xml:space="preserve">PR-ROS-02-023Medição de nivelamento das lonas de freio </t>
  </si>
  <si>
    <t>PR-ROS-02-024</t>
  </si>
  <si>
    <t xml:space="preserve">PR-ROS-02-024Inspeção dos macacos de frenagem </t>
  </si>
  <si>
    <t>PR-ROS-02-025</t>
  </si>
  <si>
    <t xml:space="preserve">PR-ROS-02-025Medição e ajuste da distância entre a lona de frenagem e a pista de frenagem </t>
  </si>
  <si>
    <t>PR-ROS-02-026</t>
  </si>
  <si>
    <t xml:space="preserve">PR-ROS-02-026Entreferro (run-out e verticalidadeDinâmico </t>
  </si>
  <si>
    <t>PR-ROS-02-027</t>
  </si>
  <si>
    <t xml:space="preserve">PR-ROS-02-027Verticalidade </t>
  </si>
  <si>
    <t>PR-ROS-02-028</t>
  </si>
  <si>
    <t xml:space="preserve">PR-ROS-02-028Run-out </t>
  </si>
  <si>
    <t>PR-ROS-02-029</t>
  </si>
  <si>
    <t xml:space="preserve">PR-ROS-02-029ComissionamentoVibração, oscilação, temperaturas, tempos e pressões </t>
  </si>
  <si>
    <t>PR-ROS-03-000</t>
  </si>
  <si>
    <t xml:space="preserve">PR-ROS-03-000-Manutencao Geradorinspeção e limpeza geral </t>
  </si>
  <si>
    <t>PR-ROS-03-001</t>
  </si>
  <si>
    <t xml:space="preserve">PR-ROS-03-001-Inspeção com termografia no Gerador </t>
  </si>
  <si>
    <t>PR-ROS-03-002</t>
  </si>
  <si>
    <t xml:space="preserve">PR-ROS-03-002-Inspeção no enrolamento do estatorcabeças de bobina </t>
  </si>
  <si>
    <t>PR-ROS-03-003</t>
  </si>
  <si>
    <t xml:space="preserve">PR-ROS-03-003-Inspeção no enrolamento do estatoraneis de surto e barramento circular </t>
  </si>
  <si>
    <t>PR-ROS-03-004</t>
  </si>
  <si>
    <t xml:space="preserve">PR-ROS-03-004-Inspeção no nucleo do estatordedos pressao e escadinha </t>
  </si>
  <si>
    <t>PR-ROS-03-005</t>
  </si>
  <si>
    <t xml:space="preserve">PR-ROS-03-005-Inspeção no nucleo do estatorcunhas de fechamento de ranhuras </t>
  </si>
  <si>
    <t>PR-ROS-03-006</t>
  </si>
  <si>
    <t xml:space="preserve">PR-ROS-03-006-Inspeção nos polosbobinas e conexoes principais e amortecedor </t>
  </si>
  <si>
    <t>PR-ROS-03-007</t>
  </si>
  <si>
    <t xml:space="preserve">PR-ROS-03-007-Inspeção campo- regulador_porta escovasanel coletor_polos </t>
  </si>
  <si>
    <t>PR-ROS-03-008</t>
  </si>
  <si>
    <t xml:space="preserve">PR-ROS-03-008-Manutencao Estatordesmontagem e montagem das conexoes flexiveis </t>
  </si>
  <si>
    <t>PR-ROS-03-009</t>
  </si>
  <si>
    <t xml:space="preserve">PR-ROS-03-009-Ensaios na substituiçao de barra </t>
  </si>
  <si>
    <t>PR-ROS-03-010</t>
  </si>
  <si>
    <t xml:space="preserve">PR-ROS-03-010-Manutencao Estatorsecagem enrolamento </t>
  </si>
  <si>
    <t>PR-ROS-03-011</t>
  </si>
  <si>
    <t xml:space="preserve">PR-ROS-03-011-Manutencao Polosmontagem e controle das conexoes principais e amortecedor </t>
  </si>
  <si>
    <t>PR-ROS-03-012</t>
  </si>
  <si>
    <t xml:space="preserve">PR-ROS-03-012-Manutencao Polos -substituição de polo </t>
  </si>
  <si>
    <t>PR-ROS-03-013</t>
  </si>
  <si>
    <t xml:space="preserve">PR-ROS-03-013-Manutancao Rotordesmontagem e montagem barramento de campo (002) </t>
  </si>
  <si>
    <t>PR-ROS-03-014</t>
  </si>
  <si>
    <t xml:space="preserve">PR-ROS-03-014-Manutancao porta escovas </t>
  </si>
  <si>
    <t>PR-ROS-03-015</t>
  </si>
  <si>
    <t xml:space="preserve">PR-ROS-03-015-Manutancao aneis coletores </t>
  </si>
  <si>
    <t>PR-ROS-03-016</t>
  </si>
  <si>
    <t xml:space="preserve">PR-ROS-03-016-Inspeção cubiculo aterramento neutro </t>
  </si>
  <si>
    <t>PR-ROS-03-101</t>
  </si>
  <si>
    <t xml:space="preserve">PR-ROS-03-101Testes enrolamento estator &amp; rotorisolação, IP, IA </t>
  </si>
  <si>
    <t>PR-ROS-03-102</t>
  </si>
  <si>
    <t xml:space="preserve">PR-ROS-03-102Testes enrolamento estator &amp; rotorResistência Ohmica </t>
  </si>
  <si>
    <t>PR-ROS-03-103</t>
  </si>
  <si>
    <t xml:space="preserve">PR-ROS-03-103Testes enrolamento estatorensaio de corrente de fuga </t>
  </si>
  <si>
    <t>PR-ROS-03-104</t>
  </si>
  <si>
    <t xml:space="preserve">PR-ROS-03-104Testes enrolamento estatortangente delta </t>
  </si>
  <si>
    <t>PR-ROS-03-105</t>
  </si>
  <si>
    <t xml:space="preserve">PR-ROS-03-105Testes enrolamento estator &amp; rotorTensao Aplicada (hipot) AC-CC </t>
  </si>
  <si>
    <t>PR-ROS-03-106</t>
  </si>
  <si>
    <t xml:space="preserve">PR-ROS-03-106Testes enrolamento rotorResistencia ohmica das conexoes polares </t>
  </si>
  <si>
    <t>PR-ROS-03-107</t>
  </si>
  <si>
    <t xml:space="preserve">PR-ROS-03-107Testes enrolamento rotorEnsaio de queda de tensao nos polos </t>
  </si>
  <si>
    <t>PR-ROS-03-108</t>
  </si>
  <si>
    <t xml:space="preserve">PR-ROS-03-108Testes circuito de campomedição isolação componentes </t>
  </si>
  <si>
    <t>PR-ROS-03-109</t>
  </si>
  <si>
    <t xml:space="preserve">PR-ROS-03-109Testes enrolamento estatortensão de ranhura </t>
  </si>
  <si>
    <t>PR-ROS-03-110</t>
  </si>
  <si>
    <t xml:space="preserve">PR-ROS-03-110Ensaios nos RTD's </t>
  </si>
  <si>
    <t>PR-ROS-03-111</t>
  </si>
  <si>
    <t xml:space="preserve">PR-ROS-03-111Testes enrolamento estator- Ensaio de corona visual </t>
  </si>
  <si>
    <t>PR-ROS-03-112</t>
  </si>
  <si>
    <t xml:space="preserve">PR-ROS-03-112Ensaios equipmts auxpainel de neutro RevA </t>
  </si>
  <si>
    <t>PR-ROS-03-113</t>
  </si>
  <si>
    <t xml:space="preserve">PR-ROS-03-113Ensaios nos aquecedores de maq parada </t>
  </si>
  <si>
    <t>PR-ROS-03-114</t>
  </si>
  <si>
    <t xml:space="preserve">PR-ROS-03-114Ensaios para levantamento das curvas caracterisitcas </t>
  </si>
  <si>
    <t>PR-ROS-03-115</t>
  </si>
  <si>
    <t xml:space="preserve">PR-ROS-03-115Ensaio de aquecimento do Gerador </t>
  </si>
  <si>
    <t>PR-ROS-04-001</t>
  </si>
  <si>
    <t xml:space="preserve">PR-ROS-04-001Ensaio de automatismo de motoresbombas </t>
  </si>
  <si>
    <t>PR-ROS-04-002</t>
  </si>
  <si>
    <t xml:space="preserve">PR-ROS-04-002Ensaio de automatismo do sistema hidráulico RV </t>
  </si>
  <si>
    <t>PR-ROS-04-003</t>
  </si>
  <si>
    <t xml:space="preserve">PR-ROS-04-003Ensaio de Fluxostatos </t>
  </si>
  <si>
    <t>PR-ROS-04-004</t>
  </si>
  <si>
    <t xml:space="preserve">PR-ROS-04-004Ensaio de fontes de alimentação </t>
  </si>
  <si>
    <t>PR-ROS-04-005</t>
  </si>
  <si>
    <t xml:space="preserve">PR-ROS-04-005Ensaio de Resistência de Isolação </t>
  </si>
  <si>
    <t>PR-ROS-04-006</t>
  </si>
  <si>
    <t xml:space="preserve">PR-ROS-04-006Ensaio de Pressostatos </t>
  </si>
  <si>
    <t>PR-ROS-04-007</t>
  </si>
  <si>
    <t xml:space="preserve">PR-ROS-04-007Ensaio de relés de subtensão </t>
  </si>
  <si>
    <t>PR-ROS-04-008</t>
  </si>
  <si>
    <t xml:space="preserve">PR-ROS-04-008Ensaio de relés temporizadores </t>
  </si>
  <si>
    <t>PR-ROS-04-009</t>
  </si>
  <si>
    <t xml:space="preserve">PR-ROS-04-009Ensaio de Resistência de contato em relés auxiliares </t>
  </si>
  <si>
    <t>PR-ROS-04-010</t>
  </si>
  <si>
    <t xml:space="preserve">PR-ROS-04-010Ensaio de sensores atuadores de posição </t>
  </si>
  <si>
    <t>PR-ROS-04-011</t>
  </si>
  <si>
    <t xml:space="preserve">PR-ROS-04-011Ensaio de simulação de partida e parada UAC </t>
  </si>
  <si>
    <t>PR-ROS-04-012</t>
  </si>
  <si>
    <t xml:space="preserve">PR-ROS-04-012Ensaio de sistema de água de refrigeração </t>
  </si>
  <si>
    <t>PR-ROS-04-013</t>
  </si>
  <si>
    <t xml:space="preserve">PR-ROS-04-013Ensaio de sistema de aquecimento gerador </t>
  </si>
  <si>
    <t>PR-ROS-04-014</t>
  </si>
  <si>
    <t xml:space="preserve">PR-ROS-04-014Ensaio de sistema de frenagem </t>
  </si>
  <si>
    <t>PR-ROS-04-015</t>
  </si>
  <si>
    <t xml:space="preserve">PR-ROS-04-015Ensaio de transferência automática de fontes </t>
  </si>
  <si>
    <t>PR-ROS-04-016</t>
  </si>
  <si>
    <t xml:space="preserve">PR-ROS-04-016Ensaio de transmissores de pressão </t>
  </si>
  <si>
    <t>PR-ROS-04-017</t>
  </si>
  <si>
    <t xml:space="preserve">PR-ROS-04-017Ensaio de transmissores de temperatura </t>
  </si>
  <si>
    <t>PR-ROS-04-018</t>
  </si>
  <si>
    <t xml:space="preserve">PR-ROS-04-018Ensaio de transmissores de vazão </t>
  </si>
  <si>
    <t>PR-ROS-04-019</t>
  </si>
  <si>
    <t xml:space="preserve">PR-ROS-04-019Ensaio dos sensores de pinos de cisalhamento das diretrizes </t>
  </si>
  <si>
    <t>PR-ROS-04-020</t>
  </si>
  <si>
    <t xml:space="preserve">PR-ROS-04-020Ensaio do sistema de filtragem de água de refrigeração </t>
  </si>
  <si>
    <t>PR-ROS-04-021</t>
  </si>
  <si>
    <t xml:space="preserve">PR-ROS-04-021Tabela de controle desconexão e conexão de cabos </t>
  </si>
  <si>
    <t>PR-ROS-04-022</t>
  </si>
  <si>
    <t xml:space="preserve">PR-ROS-04-022Ensaio de Transferencia de fontes de alimentação </t>
  </si>
  <si>
    <t>PR-ROS-05-000</t>
  </si>
  <si>
    <t xml:space="preserve">PR-ROS-05-000Itens de manutenção e teste </t>
  </si>
  <si>
    <t>PR-ROS-05-003</t>
  </si>
  <si>
    <t xml:space="preserve">PR-ROS-05-003Ensaio de isolação em barramento blindado </t>
  </si>
  <si>
    <t>PR-ROS-05-004</t>
  </si>
  <si>
    <t xml:space="preserve">PR-ROS-05-004Ensaio de tensão aplicada em barramento blindado </t>
  </si>
  <si>
    <t>PR-ROS-05-005</t>
  </si>
  <si>
    <t xml:space="preserve">PR-ROS-05-005Ensaio de TC de cubículos do gerador </t>
  </si>
  <si>
    <t>PR-ROS-05-006</t>
  </si>
  <si>
    <t xml:space="preserve">PR-ROS-05-006Ensaio de TP de cubículos do gerador </t>
  </si>
  <si>
    <t>PR-ROS-05-007</t>
  </si>
  <si>
    <t xml:space="preserve">PR-ROS-05-007Ensaio de protetores de surto do gerador </t>
  </si>
  <si>
    <t>PR-ROS-06-001</t>
  </si>
  <si>
    <t xml:space="preserve">PR-ROS-06-001Inspeção visual do tanque, sistema de preservação e resfriamento </t>
  </si>
  <si>
    <t>PR-ROS-06-002</t>
  </si>
  <si>
    <t xml:space="preserve">PR-ROS-06-002Inspeção visual das buchas </t>
  </si>
  <si>
    <t>PR-ROS-06-003</t>
  </si>
  <si>
    <t xml:space="preserve">PR-ROS-06-003Inspeção visual dos TCs de bucha </t>
  </si>
  <si>
    <t>PR-ROS-06-004</t>
  </si>
  <si>
    <t xml:space="preserve">PR-ROS-06-004Inspeção visual indicadores e termômetros </t>
  </si>
  <si>
    <t>PR-ROS-06-005</t>
  </si>
  <si>
    <t xml:space="preserve">PR-ROS-06-005Inspeção visual do relé de gás e DAP </t>
  </si>
  <si>
    <t>PR-ROS-06-006</t>
  </si>
  <si>
    <t xml:space="preserve">PR-ROS-06-006Inspeção visual painel de controle </t>
  </si>
  <si>
    <t>PR-ROS-06-007</t>
  </si>
  <si>
    <t xml:space="preserve">PR-ROS-06-007 e 06-021Ensaio de Resistência de isolamento </t>
  </si>
  <si>
    <t>PR-ROS-06-008</t>
  </si>
  <si>
    <t xml:space="preserve">PR-ROS-06-008Ensaio de Resistência elétrica dos Enrolamentos </t>
  </si>
  <si>
    <t>PR-ROS-06-009</t>
  </si>
  <si>
    <t xml:space="preserve">PR-ROS-06-009Ensaio de Fator de Potência e Capacitância dos enrolamentos </t>
  </si>
  <si>
    <t>PR-ROS-06-010</t>
  </si>
  <si>
    <t xml:space="preserve">PR-ROS-06-010Ensaio de relação de transformação </t>
  </si>
  <si>
    <t>PR-ROS-06-011</t>
  </si>
  <si>
    <t xml:space="preserve">PR-ROS-06-011Ensaio de Corrente de excitação monofásica </t>
  </si>
  <si>
    <t>PR-ROS-06-012</t>
  </si>
  <si>
    <t xml:space="preserve">PR-ROS-06-012Ensaio de impedância de curto-circuito </t>
  </si>
  <si>
    <t>PR-ROS-06-013</t>
  </si>
  <si>
    <t xml:space="preserve">PR-ROS-06-013-014-015Ensaio no RTD, Relé de Gás e DAP </t>
  </si>
  <si>
    <t>PR-ROS-06-016</t>
  </si>
  <si>
    <t xml:space="preserve">PR-ROS-06-016- Ensaio de Estanqueidade </t>
  </si>
  <si>
    <t>PR-ROS-06-018</t>
  </si>
  <si>
    <t xml:space="preserve">PR-ROS-06-018Ensaio de Fator de Potência e Capacitância das buchas </t>
  </si>
  <si>
    <t>PR-ROS-06-019</t>
  </si>
  <si>
    <t xml:space="preserve">PR-ROS-06-019Ensaio nos TC's </t>
  </si>
  <si>
    <t xml:space="preserve">PR-ROS-06-019Ensaio nos TCs </t>
  </si>
  <si>
    <t>PR-ROS-06-020</t>
  </si>
  <si>
    <t xml:space="preserve">PR-ROS-06-020Ensaio sistema de resfriamento </t>
  </si>
  <si>
    <t>PR-ROS-07-000</t>
  </si>
  <si>
    <t xml:space="preserve">PR-ROS-07-000Itens de manutenção e teste </t>
  </si>
  <si>
    <t>PR-ROS-07-001</t>
  </si>
  <si>
    <t xml:space="preserve">PR-ROS-07-001Ensaio de isolação em transformadores a seco </t>
  </si>
  <si>
    <t>PR-ROS-07-002</t>
  </si>
  <si>
    <t xml:space="preserve">PR-ROS-07-002Ensaio de resistência DC em transformadores à seco </t>
  </si>
  <si>
    <t>PR-ROS-07-003</t>
  </si>
  <si>
    <t xml:space="preserve">PR-ROS-07-003Ensaio de tensão aplicada em transformadores a seco </t>
  </si>
  <si>
    <t>PR-ROS-07-004</t>
  </si>
  <si>
    <t xml:space="preserve">PR-ROS-07-004Ensaio de relação de transformação e polaridade em transformadores a seco </t>
  </si>
  <si>
    <t>PR-ROS-09-000</t>
  </si>
  <si>
    <t xml:space="preserve">PR-ROS-09-000Itens de manutenção e teste </t>
  </si>
  <si>
    <t>PR-ROS-09-001</t>
  </si>
  <si>
    <t xml:space="preserve">PR-ROS-09-001Ensaio de resistência DC em barramento de painéis de média tensão </t>
  </si>
  <si>
    <t>PR-ROS-09-002</t>
  </si>
  <si>
    <t xml:space="preserve">PR-ROS-09-002Ensaio de isolação em barramento de painéis de média tensão </t>
  </si>
  <si>
    <t>PR-ROS-09-003</t>
  </si>
  <si>
    <t xml:space="preserve">PR-ROS-09-003Ensaio de tensão aplicada em barramento de painéis de média tensão </t>
  </si>
  <si>
    <t>PR-ROS-09-004</t>
  </si>
  <si>
    <t xml:space="preserve">PR-ROS-09-004Ensaio de disjuntores de média tensão </t>
  </si>
  <si>
    <t>PR-ROS-09-005</t>
  </si>
  <si>
    <t xml:space="preserve">PR-ROS-09-005Ensaio de tensão aplicada em disjuntores de média tensão </t>
  </si>
  <si>
    <t>PR-ROS-09-006</t>
  </si>
  <si>
    <t xml:space="preserve">PR-ROS-09-006Ensaio de TC de painéis de média tensão </t>
  </si>
  <si>
    <t>PR-ROS-09-007</t>
  </si>
  <si>
    <t xml:space="preserve">PR-ROS-09-007Ensaio de TP de painéis de média tensão </t>
  </si>
  <si>
    <t>PR-ROS-09-008</t>
  </si>
  <si>
    <t xml:space="preserve">PR-ROS-09-008Ensaio de protetores de surto de painéis de média tensão </t>
  </si>
  <si>
    <t>PR-ROS-10-000</t>
  </si>
  <si>
    <t xml:space="preserve">PR-ROS-10-000Itens de manutenção e teste </t>
  </si>
  <si>
    <t>PR-ROS-10-001</t>
  </si>
  <si>
    <t xml:space="preserve">PR-ROS-10-001Ensaio de isolação em barramento de painéis de baixa tensão </t>
  </si>
  <si>
    <t>PR-ROS-10-002</t>
  </si>
  <si>
    <t xml:space="preserve">PR-ROS-10-002Ensaio de resistência DC em barramento de painéis de baixa tensão </t>
  </si>
  <si>
    <t>PR-ROS-10-003</t>
  </si>
  <si>
    <t xml:space="preserve">PR-ROS-10-003Ensaio de tensão aplicada em barramento de painéis de baixa tensão </t>
  </si>
  <si>
    <t>PR-ROS-10-004</t>
  </si>
  <si>
    <t xml:space="preserve">PR-ROS-10-004Ensaio de disjuntores de caixa moldada em painéis de baixa tensão </t>
  </si>
  <si>
    <t>PR-ROS-10-005</t>
  </si>
  <si>
    <t xml:space="preserve">PR-ROS-10-005Ensaio de isolação em TP de painéis de baixa tensão </t>
  </si>
  <si>
    <t>PR-ROS-10-006</t>
  </si>
  <si>
    <t xml:space="preserve">PR-ROS-10-006Ensaio de isolação em cabos de painéis de baixa tensão </t>
  </si>
  <si>
    <t>PR-ROS-10-007</t>
  </si>
  <si>
    <t xml:space="preserve">PR-ROS-10-007- Ensaio de acoplamento automático de barras em painéis de baixa tensão </t>
  </si>
  <si>
    <t>PR-ROS-11-000</t>
  </si>
  <si>
    <t xml:space="preserve">PR-ROS-11-000Itens de manutenção e teste </t>
  </si>
  <si>
    <t>PR-ROS-11-001</t>
  </si>
  <si>
    <t xml:space="preserve">PR-ROS-11-001Ensaio de isolação em cabos até 35kV </t>
  </si>
  <si>
    <t>PR-ROS-11-002</t>
  </si>
  <si>
    <t xml:space="preserve">PR-ROS-11-002Ensaio de fator de perda dielétrica em cabos até 35kV </t>
  </si>
  <si>
    <t>PR-ROS-11-003</t>
  </si>
  <si>
    <t xml:space="preserve">PR-ROS-11-003Ensaio de tensão aplicada em cabos até 35kV </t>
  </si>
  <si>
    <t>PR-ROS-12-001</t>
  </si>
  <si>
    <t xml:space="preserve">PR-ROS-12-001Controle de alteração e backup software </t>
  </si>
  <si>
    <t>PR-ROS-13-001</t>
  </si>
  <si>
    <t xml:space="preserve">PR-ROS-13-001Resistência de Isolação </t>
  </si>
  <si>
    <t>PR-ROS-13-002</t>
  </si>
  <si>
    <t xml:space="preserve">PR-ROS-13-002Resistência de contato em relés auxiliares </t>
  </si>
  <si>
    <t>PR-ROS-13-003</t>
  </si>
  <si>
    <t xml:space="preserve">PR-ROS-13-003Ensaios em relés auxiliares </t>
  </si>
  <si>
    <t>PR-ROS-13-004</t>
  </si>
  <si>
    <t xml:space="preserve">PR-ROS-13-004Calibração de transdutores </t>
  </si>
  <si>
    <t>PR-ROS-13-005</t>
  </si>
  <si>
    <t xml:space="preserve">PR-ROS-13-005Ensaios em relés de sincronismo (ANSI 25) </t>
  </si>
  <si>
    <t>PR-ROS-13-006</t>
  </si>
  <si>
    <t xml:space="preserve">PR-ROS-13-006Controle de alteração e backup software </t>
  </si>
  <si>
    <t>PR-ROS-14-001</t>
  </si>
  <si>
    <t xml:space="preserve">PR-ROS-14-001Controle de alteração e backup software </t>
  </si>
  <si>
    <t>PR-ROS-15-001</t>
  </si>
  <si>
    <t xml:space="preserve">PR-ROS-15-001Ensaios em Transformadores de Corrente </t>
  </si>
  <si>
    <t>PR-ROS-15-002</t>
  </si>
  <si>
    <t xml:space="preserve">PR-ROS-15-002Ensaios em Transformadores de Potencial </t>
  </si>
  <si>
    <t>PR-ROS-15-003</t>
  </si>
  <si>
    <t xml:space="preserve">PR-ROS-15-003Ensaio de Isolação </t>
  </si>
  <si>
    <t>PR-ROS-15-004</t>
  </si>
  <si>
    <t xml:space="preserve">PR-ROS-15-004Ensaio de Resistência </t>
  </si>
  <si>
    <t>PR-ROS-15-005</t>
  </si>
  <si>
    <t xml:space="preserve">PR-ROS-15-005Ensaio de curva característica do TC </t>
  </si>
  <si>
    <t>PR-ROS-15-006</t>
  </si>
  <si>
    <t xml:space="preserve">PR-ROS-15-006Proteção Diferencial </t>
  </si>
  <si>
    <t>PR-ROS-15-007</t>
  </si>
  <si>
    <t xml:space="preserve">PR-ROS-15-007Proteção de Sobre e sub Frequência </t>
  </si>
  <si>
    <t>PR-ROS-15-009</t>
  </si>
  <si>
    <t xml:space="preserve">PR-ROS-15-009Proteção de Potencia Reversa </t>
  </si>
  <si>
    <t>PR-ROS-15-011</t>
  </si>
  <si>
    <t xml:space="preserve">PR-ROS-15-011Proteção de Subtensão </t>
  </si>
  <si>
    <t>PR-ROS-15-012</t>
  </si>
  <si>
    <t xml:space="preserve">PR-ROS-15-012Proteção de Energização Inadvertida </t>
  </si>
  <si>
    <t>PR-ROS-15-013</t>
  </si>
  <si>
    <t xml:space="preserve">PR-ROS-15-013Proteção de sobrecorrente com restrição de tensão </t>
  </si>
  <si>
    <t>PR-ROS-15-014</t>
  </si>
  <si>
    <t xml:space="preserve">PR-ROS-15-014Proteção Diferencial de terra restrita </t>
  </si>
  <si>
    <t>PR-ROS-15-015</t>
  </si>
  <si>
    <t xml:space="preserve">PR-ROS-15-015Proteção de Terra Rotor </t>
  </si>
  <si>
    <t>PR-ROS-15-016</t>
  </si>
  <si>
    <t xml:space="preserve">PR-ROS-15-016Proteção de Sequência Negativa </t>
  </si>
  <si>
    <t>PR-ROS-15-017</t>
  </si>
  <si>
    <t xml:space="preserve">PR-ROS-15-017Proteção de Perda de Excitação </t>
  </si>
  <si>
    <t>PR-ROS-15-018</t>
  </si>
  <si>
    <t xml:space="preserve">PR-ROS-15-018Proteção de Falha Fusível </t>
  </si>
  <si>
    <t>PR-ROS-15-019</t>
  </si>
  <si>
    <t xml:space="preserve">PR-ROS-15-019Proteção de Mínima Impedância </t>
  </si>
  <si>
    <t>PR-ROS-15-020</t>
  </si>
  <si>
    <t xml:space="preserve">PR-ROS-15-020Proteção Diferencial Transversal do Gerador </t>
  </si>
  <si>
    <t>PR-ROS-15-021</t>
  </si>
  <si>
    <t xml:space="preserve">PR-ROS-15-021Proteção de Terra Estator 95 </t>
  </si>
  <si>
    <t>PR-ROS-15-022</t>
  </si>
  <si>
    <t xml:space="preserve">PR-ROS-15-022Proteção de Terra Estator 100 </t>
  </si>
  <si>
    <t>PR-ROS-15-023</t>
  </si>
  <si>
    <t xml:space="preserve">PR-ROS-15-023Proteção de Sobretensão </t>
  </si>
  <si>
    <t>PR-ROS-15-024</t>
  </si>
  <si>
    <t xml:space="preserve">PR-ROS-15-024Proteção de Sobreexcitação </t>
  </si>
  <si>
    <t>PR-ROS-15-025</t>
  </si>
  <si>
    <t xml:space="preserve">PR-ROS-15-025Proteção de Sobrecarga </t>
  </si>
  <si>
    <t>PR-ROS-15-026</t>
  </si>
  <si>
    <t xml:space="preserve">PR-ROS-15-026Proteção de Falha Disjuntor </t>
  </si>
  <si>
    <t>PR-ROS-15-027</t>
  </si>
  <si>
    <t xml:space="preserve">PR-ROS-15-027Ensaio em relés de bloqueio-trip </t>
  </si>
  <si>
    <t>PR-ROS-17-001</t>
  </si>
  <si>
    <t xml:space="preserve">PR-ROS-17-001Ensaios em Transformadores de Corrente </t>
  </si>
  <si>
    <t>PR-ROS-17-002</t>
  </si>
  <si>
    <t xml:space="preserve">PR-ROS-17-002Ensaios em Transformadores de Potencial </t>
  </si>
  <si>
    <t>PR-ROS-17-003</t>
  </si>
  <si>
    <t xml:space="preserve">PR-ROS-17-003Ensaio de Isolação </t>
  </si>
  <si>
    <t>PR-ROS-17-004</t>
  </si>
  <si>
    <t xml:space="preserve">PR-ROS-17-004Ensaio de Resistência </t>
  </si>
  <si>
    <t>PR-ROS-17-005</t>
  </si>
  <si>
    <t xml:space="preserve">PR-ROS-17-005Ensaio de curva característica do TC </t>
  </si>
  <si>
    <t>PR-ROS-17-006</t>
  </si>
  <si>
    <t xml:space="preserve">PR-ROS-17-006Ensaio em relés de bloqueio-trip </t>
  </si>
  <si>
    <t>PR-ROS-18-000</t>
  </si>
  <si>
    <t xml:space="preserve">PR-ROS-18-000Check list de ensaios </t>
  </si>
  <si>
    <t>PR-ROS-18-001</t>
  </si>
  <si>
    <t xml:space="preserve">PR-ROS-18-001Ensaio de componentes e instumentos </t>
  </si>
  <si>
    <t>PR-ROS-18-002</t>
  </si>
  <si>
    <t xml:space="preserve">PR-ROS-18-002Ensaios de proteção sobretensão </t>
  </si>
  <si>
    <t>PR-ROS-18-003</t>
  </si>
  <si>
    <t xml:space="preserve">PR-ROS-18-003Ensaio isolação circuito primário </t>
  </si>
  <si>
    <t>PR-ROS-18-004</t>
  </si>
  <si>
    <t xml:space="preserve">PR-ROS-18-004Ensaio isolação circuito secundário </t>
  </si>
  <si>
    <t>PR-ROS-18-005</t>
  </si>
  <si>
    <t xml:space="preserve">PR-ROS-18-005Ensaios PLC </t>
  </si>
  <si>
    <t>PR-ROS-18-006</t>
  </si>
  <si>
    <t xml:space="preserve">PR-ROS-18-006Ensaios Simulação </t>
  </si>
  <si>
    <t>PR-ROS-18-007</t>
  </si>
  <si>
    <t xml:space="preserve">PR-ROS-18-007Ensaios funcionais </t>
  </si>
  <si>
    <t>PR-ROS-19-000</t>
  </si>
  <si>
    <t xml:space="preserve">PR-ROS-19-000Itens de manutenção e teste </t>
  </si>
  <si>
    <t>PR-ROS-19-001</t>
  </si>
  <si>
    <t xml:space="preserve">PR-ROS-19-001Ensaio de baterias </t>
  </si>
  <si>
    <t>PR-ROS-19-002</t>
  </si>
  <si>
    <t xml:space="preserve">PR-ROS-19-002Ensaio de capacidade e equalização de baterias </t>
  </si>
  <si>
    <t>PR-ROS-19-003</t>
  </si>
  <si>
    <t xml:space="preserve">PR-ROS-19-003Ensaio de retificadores e USCC </t>
  </si>
  <si>
    <t>PR-ROS-20-001</t>
  </si>
  <si>
    <t xml:space="preserve">PR-ROS-20-001Inspeção válvulas distribuidoras (CD e CR) </t>
  </si>
  <si>
    <t>PR-ROS-20-002</t>
  </si>
  <si>
    <t xml:space="preserve">PR-ROS-20-002Inspeção válvulas controle hidráulico </t>
  </si>
  <si>
    <t>PR-ROS-20-003</t>
  </si>
  <si>
    <t xml:space="preserve">PR-ROS-20-003Inspeção servomotor do distribuidor </t>
  </si>
  <si>
    <t>PR-ROS-20-004</t>
  </si>
  <si>
    <t xml:space="preserve">PR-ROS-20-004Inspeção sistema resfriamento RV </t>
  </si>
  <si>
    <t>PR-ROS-20-005</t>
  </si>
  <si>
    <t xml:space="preserve">PR-ROS-20-005Inspeção no acumulador ar e óleo </t>
  </si>
  <si>
    <t>PR-ROS-20-006</t>
  </si>
  <si>
    <t xml:space="preserve">PR-ROS-20-006Calibração válvula de segurança acumulador ar óleo </t>
  </si>
  <si>
    <t>PR-ROS-20-007</t>
  </si>
  <si>
    <t xml:space="preserve">PR-ROS-20-007Critérios de testes </t>
  </si>
  <si>
    <t>PR-ROS-21-000</t>
  </si>
  <si>
    <t xml:space="preserve">PR-ROS-21-000Check list de ensaios </t>
  </si>
  <si>
    <t>PR-ROS-21-001</t>
  </si>
  <si>
    <t xml:space="preserve">PR-ROS-21-001Ensaios de componentes instrumentos plc </t>
  </si>
  <si>
    <t>PR-ROS-21-002</t>
  </si>
  <si>
    <t xml:space="preserve">PR-ROS-21-002Ensaios circuitos elétricos </t>
  </si>
  <si>
    <t>PR-ROS-21-003</t>
  </si>
  <si>
    <t xml:space="preserve">PR-ROS-21-003Ensaios água morta </t>
  </si>
  <si>
    <t>PR-ROS-21-004</t>
  </si>
  <si>
    <t xml:space="preserve">PR-ROS-21-004Ensaios em vazio </t>
  </si>
  <si>
    <t>PR-ROS-21-005</t>
  </si>
  <si>
    <t xml:space="preserve">PR-ROS-21-005Ensaios em carga </t>
  </si>
  <si>
    <t>PR-ROS-22-001</t>
  </si>
  <si>
    <t xml:space="preserve">PR-ROS-22-001Itens de manutençãoCheck-list </t>
  </si>
  <si>
    <t>PR-ROS-23-001</t>
  </si>
  <si>
    <t xml:space="preserve">PR-ROS-23-001Itens de manutençãoCheck-list </t>
  </si>
  <si>
    <t>PR-ROS-24-001</t>
  </si>
  <si>
    <t xml:space="preserve">PR-ROS-24-001Itens de manutençãoCheck-list </t>
  </si>
  <si>
    <t>PR-ROS-25-001</t>
  </si>
  <si>
    <t xml:space="preserve">PR-ROS-25-001Ensaio de Isolação </t>
  </si>
  <si>
    <t>PR-ROS-25-002</t>
  </si>
  <si>
    <t xml:space="preserve">PR-ROS-25-002Ensaio de Resistência </t>
  </si>
  <si>
    <t>PR-ROS-26-001</t>
  </si>
  <si>
    <t xml:space="preserve">PR-ROS-26-001Itens de manutençãoCheck-list </t>
  </si>
  <si>
    <t>PR-ROS-27-001</t>
  </si>
  <si>
    <t xml:space="preserve">PR-ROS-27-001Itens de manutençãoCheck-list </t>
  </si>
  <si>
    <t>PR-ROS-28-001</t>
  </si>
  <si>
    <t xml:space="preserve">PR-ROS-28-001Itens de manutençãoCheck-list </t>
  </si>
  <si>
    <t>PR-ROS-29-001</t>
  </si>
  <si>
    <t xml:space="preserve">PR-ROS-29-001Itens de manutençãoCheck-list </t>
  </si>
  <si>
    <t>PR-ROS-30-002</t>
  </si>
  <si>
    <t xml:space="preserve">PR-ROS-30-002Medição dos ganchos </t>
  </si>
  <si>
    <t>PR-ROS-30-003</t>
  </si>
  <si>
    <t xml:space="preserve">PR-ROS-30-003Ajuste e medição nos freios </t>
  </si>
  <si>
    <t>PR-ROS-33-001</t>
  </si>
  <si>
    <t xml:space="preserve">PR-ROS-33-001Itens de manutençãoCheck-list </t>
  </si>
  <si>
    <t>PR-ROS-40-001</t>
  </si>
  <si>
    <t xml:space="preserve">PR-ROS-40-001Ensaio do sistema de iluminação </t>
  </si>
  <si>
    <t>PR-ROS-40-002</t>
  </si>
  <si>
    <t xml:space="preserve">PR-ROS-40-002Ensaio de pontos de tomada e de dispositivos DR </t>
  </si>
  <si>
    <t>PR-ROS-41-001</t>
  </si>
  <si>
    <t xml:space="preserve">PR-ROS-41-001Ensaio de resistência de aterramento </t>
  </si>
  <si>
    <t>PR-ROS-41-002</t>
  </si>
  <si>
    <t xml:space="preserve">PR-ROS-41-002Ensaio de tensão de toque e passo </t>
  </si>
  <si>
    <t>PR-ROS-41-003</t>
  </si>
  <si>
    <t xml:space="preserve">PR-ROS-41-003Ensaio de continuidade </t>
  </si>
  <si>
    <t>PR-ROS-51-001</t>
  </si>
  <si>
    <t xml:space="preserve">PR-ROS-51-001Inspeção visual do tanque, TC's, Buchas, sistema de preservação e resfriamento </t>
  </si>
  <si>
    <t>PR-ROS-51-002</t>
  </si>
  <si>
    <t xml:space="preserve">PR-ROS-51-002Inspeção visual indicadores de nível de óleo </t>
  </si>
  <si>
    <t>PR-ROS-51-003</t>
  </si>
  <si>
    <t xml:space="preserve">PR-ROS-51-003Inspeção visual termômetros </t>
  </si>
  <si>
    <t>PR-ROS-51-004</t>
  </si>
  <si>
    <t xml:space="preserve">PR-ROS-51-004Inspeção visual do relé de gás, relé de pressão e DAP </t>
  </si>
  <si>
    <t>PR-ROS-51-005</t>
  </si>
  <si>
    <t xml:space="preserve">PR-ROS-51-005Inspeção visual painel de controle </t>
  </si>
  <si>
    <t>PR-ROS-51-006</t>
  </si>
  <si>
    <t xml:space="preserve">PR-ROS-51-006Inspeção visual comutador </t>
  </si>
  <si>
    <t>PR-ROS-51-007</t>
  </si>
  <si>
    <t xml:space="preserve">PR-ROS-51-007Ensaio de Resistência de isolamento </t>
  </si>
  <si>
    <t>PR-ROS-51-008</t>
  </si>
  <si>
    <t xml:space="preserve">PR-ROS-51-008Ensaio de Resistência elétrica dos Enrolamentos </t>
  </si>
  <si>
    <t>PR-ROS-51-009</t>
  </si>
  <si>
    <t xml:space="preserve">PR-ROS-51-009Ensaio de Fator de Potência e Capacitância dos enrolamentos </t>
  </si>
  <si>
    <t>PR-ROS-51-010</t>
  </si>
  <si>
    <t xml:space="preserve">PR-ROS-51-010Ensaio de relação de transformação </t>
  </si>
  <si>
    <t>PR-ROS-51-011</t>
  </si>
  <si>
    <t xml:space="preserve">PR-ROS-51-011Ensaio de Corrente de excitação monofásica </t>
  </si>
  <si>
    <t>PR-ROS-51-012</t>
  </si>
  <si>
    <t xml:space="preserve">PR-ROS-51-012Ensaio no RTD, Relé de Gás e DAP </t>
  </si>
  <si>
    <t>PR-ROS-51-014</t>
  </si>
  <si>
    <t xml:space="preserve">PR-ROS-51-014Ensaio nos TCs </t>
  </si>
  <si>
    <t>PR-ROS-52-001</t>
  </si>
  <si>
    <t xml:space="preserve">PR-ROS-52-001Inspeção visual do tanque, buchas e sistema de preservação </t>
  </si>
  <si>
    <t>PR-ROS-52-002</t>
  </si>
  <si>
    <t xml:space="preserve">PR-ROS-52-002Inspeção visual indicador, termômetro, relé de gás e DAP </t>
  </si>
  <si>
    <t>PR-ROS-52-003</t>
  </si>
  <si>
    <t xml:space="preserve">PR-ROS-52-003Inspeção visual painel de controle </t>
  </si>
  <si>
    <t>PR-ROS-52-004</t>
  </si>
  <si>
    <t xml:space="preserve">PR-ROS-52-004Ensaio de Resistência de isolamento </t>
  </si>
  <si>
    <t>PR-ROS-52-005</t>
  </si>
  <si>
    <t xml:space="preserve">PR-ROS-52-005Ensaio de Resistência elétrica dos Enrolamentos </t>
  </si>
  <si>
    <t>PR-ROS-52-006</t>
  </si>
  <si>
    <t xml:space="preserve">PR-ROS-52-006Ensaio de impedância de curto-circuito </t>
  </si>
  <si>
    <t>PR-ROS-52-007</t>
  </si>
  <si>
    <t xml:space="preserve">PR-ROS-52-007- Ensaio de Estanqueidade </t>
  </si>
  <si>
    <t>PR-ROS-52-008</t>
  </si>
  <si>
    <t xml:space="preserve">PR-ROS-52-008-009 e 010Ensaio no RTD, Relé de Gás e DAP </t>
  </si>
  <si>
    <t>PR-ROS-58-001</t>
  </si>
  <si>
    <t xml:space="preserve">PR-ROS-58-001Itens de manutençãoCheck-list </t>
  </si>
  <si>
    <t>PR-ROS-59-000</t>
  </si>
  <si>
    <t xml:space="preserve">PR-ROS-59-000Itens de manutenção </t>
  </si>
  <si>
    <t>PR-ROS-59-001</t>
  </si>
  <si>
    <t xml:space="preserve">PR-ROS-59-001Ensaio de Isolação </t>
  </si>
  <si>
    <t>PR-ROS-60-001</t>
  </si>
  <si>
    <t xml:space="preserve">PR-ROS-60-001Itens de manutençãoCheck-list </t>
  </si>
  <si>
    <t>PR-ROS-61-001</t>
  </si>
  <si>
    <t xml:space="preserve">PR-ROS-61-001Itens de manutençãoCheck-list </t>
  </si>
  <si>
    <t>PR-ROS-62-001</t>
  </si>
  <si>
    <t xml:space="preserve">PR-ROS-62-001Itens de manutençãoCheck-list </t>
  </si>
  <si>
    <t>PR-ROS-64-001</t>
  </si>
  <si>
    <t xml:space="preserve">PR-ROS-64-001Itens de manutençãoCheck-list </t>
  </si>
  <si>
    <t>PR-ROS-65-001</t>
  </si>
  <si>
    <t xml:space="preserve">PR-ROS-65-001Itens de manutençãoCheck-list </t>
  </si>
  <si>
    <t>PR-ROS-66-001</t>
  </si>
  <si>
    <t xml:space="preserve">PR-ROS-66-001Itens de manutençãoCheck-list </t>
  </si>
  <si>
    <t>PR-ROS-67-001</t>
  </si>
  <si>
    <t xml:space="preserve">PR-ROS-67-001Itens de manutençãoCheck-list </t>
  </si>
  <si>
    <t>PR-ROS-68-001</t>
  </si>
  <si>
    <t xml:space="preserve">PR-ROS-68-001Itens de manutençãoCheck-list </t>
  </si>
  <si>
    <t>PR-SAG--24-00</t>
  </si>
  <si>
    <t xml:space="preserve">PR-SAG--24-001Itens de manutençãoCheck-list </t>
  </si>
  <si>
    <t>PR-SAG-00-001</t>
  </si>
  <si>
    <t xml:space="preserve">PR-SAG-00-001Inspeção Líquido Penetrante </t>
  </si>
  <si>
    <t>PR-SAG-00-002</t>
  </si>
  <si>
    <t xml:space="preserve">PR-SAG-00-002Inspeção Partículas Magnéticas </t>
  </si>
  <si>
    <t>PR-SAG-00-003</t>
  </si>
  <si>
    <t xml:space="preserve">PR-SAG-00-003Inspeção Ultrassom </t>
  </si>
  <si>
    <t>PR-SAG-00-004</t>
  </si>
  <si>
    <t xml:space="preserve">PR-SAG-00-004Ensaio de motores elétricos </t>
  </si>
  <si>
    <t>PR-SAG-00-005</t>
  </si>
  <si>
    <t xml:space="preserve">PR-SAG-00-005Calibração de instrumentos </t>
  </si>
  <si>
    <t>PR-SAG-00-006</t>
  </si>
  <si>
    <t xml:space="preserve">PR-SAG-00-006Ensaio de motobombas </t>
  </si>
  <si>
    <t>PR-SAG-00-007</t>
  </si>
  <si>
    <t xml:space="preserve">PR-SAG-00-007Inspeção de torque de elementos de fixação </t>
  </si>
  <si>
    <t>PR-SAG-00-008</t>
  </si>
  <si>
    <t xml:space="preserve">PR-SAG-00-008Inspeção de pintura </t>
  </si>
  <si>
    <t>PR-SAG-00-009</t>
  </si>
  <si>
    <t xml:space="preserve">PR-SAG-00-009Aferição de Manômetros </t>
  </si>
  <si>
    <t>PR-SAG-01-001</t>
  </si>
  <si>
    <t xml:space="preserve">PR-SAG-01-001Inspeção de concreto da caixa espiral </t>
  </si>
  <si>
    <t>PR-SAG-01-002</t>
  </si>
  <si>
    <t xml:space="preserve">PR-SAG-01-002Medição de B0, folga e esmagamento </t>
  </si>
  <si>
    <t>PR-SAG-01-003</t>
  </si>
  <si>
    <t xml:space="preserve">PR-SAG-01-003Inspeção nas buchas auto-lubrificantes das palhetas diretrizes </t>
  </si>
  <si>
    <t>PR-SAG-01-004</t>
  </si>
  <si>
    <t xml:space="preserve">PR-SAG-01-004Inspeção em pinos e buchas do bielismo </t>
  </si>
  <si>
    <t>PR-SAG-01-005</t>
  </si>
  <si>
    <t xml:space="preserve">PR-SAG-01-005Inspeção de torque de elementos de fixação </t>
  </si>
  <si>
    <t>PR-SAG-01-006</t>
  </si>
  <si>
    <t xml:space="preserve">PR-SAG-01-006Inspeção na camisa do sevomotor Kaplan </t>
  </si>
  <si>
    <t>PR-SAG-01-007</t>
  </si>
  <si>
    <t xml:space="preserve">PR-SAG-01-007Inspeção da bucha da espiga do rotor Kaplan </t>
  </si>
  <si>
    <t>PR-SAG-01-008</t>
  </si>
  <si>
    <t xml:space="preserve">PR-SAG-01-008Inspeção da espiga do servomotor </t>
  </si>
  <si>
    <t>PR-SAG-01-009</t>
  </si>
  <si>
    <t xml:space="preserve">PR-SAG-01-009Dimensional das buchas do munhões das pás do rotor Kaplan </t>
  </si>
  <si>
    <t>PR-SAG-01-010</t>
  </si>
  <si>
    <t xml:space="preserve">PR-SAG-01-010Inspeção em pinos das alavancas do servomotor da Kaplan </t>
  </si>
  <si>
    <t>PR-SAG-01-011</t>
  </si>
  <si>
    <t xml:space="preserve">PR-SAG-01-011Inspeção das bielas e parafusos olhais da Kaplan </t>
  </si>
  <si>
    <t>PR-SAG-01-012</t>
  </si>
  <si>
    <t xml:space="preserve">PR-SAG-01-012Inspeção nos parafusos de fixação das talas das pás Kaplan </t>
  </si>
  <si>
    <t>PR-SAG-01-014</t>
  </si>
  <si>
    <t xml:space="preserve">PR-SAG-01-014Inspeção dos parafusos do rotor </t>
  </si>
  <si>
    <t>PR-SAG-01-015</t>
  </si>
  <si>
    <t xml:space="preserve">PR-SAG-01-015Inspeção dos parafusos de acoplamento com o eixo principal </t>
  </si>
  <si>
    <t>PR-SAG-01-017</t>
  </si>
  <si>
    <t xml:space="preserve">PR-SAG-01-017Medição de folga entre pá e aro câmara </t>
  </si>
  <si>
    <t>PR-SAG-01-018</t>
  </si>
  <si>
    <t xml:space="preserve">PR-SAG-01-018Espessura e bate chocoaro câmara </t>
  </si>
  <si>
    <t>PR-SAG-01-020</t>
  </si>
  <si>
    <t xml:space="preserve">PR-SAG-01-020Inspeção da bucha do cabeçote Kaplan </t>
  </si>
  <si>
    <t>PR-SAG-01-021</t>
  </si>
  <si>
    <t xml:space="preserve">PR-SAG-01-021Batimento da tubulação Kaplan </t>
  </si>
  <si>
    <t>PR-SAG-01-023</t>
  </si>
  <si>
    <t xml:space="preserve">PR-SAG-01-023Batimento da pista de inox da vedação do eixo </t>
  </si>
  <si>
    <t>PR-SAG-01-024</t>
  </si>
  <si>
    <t xml:space="preserve">PR-SAG-01-024Batimento do anel de desgaste da vedação do eixo </t>
  </si>
  <si>
    <t>PR-SAG-01-025</t>
  </si>
  <si>
    <t xml:space="preserve">PR-SAG-01-025Espessura do anel de desgaste da vedação do eixo </t>
  </si>
  <si>
    <t>PR-SAG-01-026</t>
  </si>
  <si>
    <t xml:space="preserve">PR-SAG-01-026Ensaio na vedação de manutenção </t>
  </si>
  <si>
    <t>PR-SAG-01-027</t>
  </si>
  <si>
    <t xml:space="preserve">PR-SAG-01-027Medição de tempo de recalque das bombas de drenagem da tampa </t>
  </si>
  <si>
    <t>PR-SAG-01-028</t>
  </si>
  <si>
    <t xml:space="preserve">PR-SAG-01-028Ensaio das bombas de injeção de água da vedação do eixo </t>
  </si>
  <si>
    <t>PR-SAG-01-034</t>
  </si>
  <si>
    <t xml:space="preserve">PR-SAG-01-034Inspeção no tubo de sucção e caixa espiral </t>
  </si>
  <si>
    <t>PR-SAG-01-035</t>
  </si>
  <si>
    <t xml:space="preserve">PR-SAG-01-035Inspeção dos parafusos de união da tampa superior com o pré-distribuidor após aperto </t>
  </si>
  <si>
    <t>PR-SAG-01-041</t>
  </si>
  <si>
    <t xml:space="preserve">PR-SAG-01-041Inspeção em regiões cavitadasKaplan </t>
  </si>
  <si>
    <t>PR-SAG-02-001</t>
  </si>
  <si>
    <t xml:space="preserve">PR-SAG-02-001Medição e ajuste de centro, elevação e nível da cruzeta superiorFalta Informação do desenho </t>
  </si>
  <si>
    <t>PR-SAG-02-002</t>
  </si>
  <si>
    <t xml:space="preserve">PR-SAG-02-002Inspeção dos flanges da cruzeta </t>
  </si>
  <si>
    <t>PR-SAG-02-004</t>
  </si>
  <si>
    <t xml:space="preserve">PR-SAG-02-004Insp. dos parafusos acop., pinos entre carcaça estator e pedestais </t>
  </si>
  <si>
    <t>PR-SAG-02-005</t>
  </si>
  <si>
    <t xml:space="preserve">PR-SAG-02-005Insp. do núcleo do estator </t>
  </si>
  <si>
    <t>PR-SAG-02-006</t>
  </si>
  <si>
    <t xml:space="preserve">PR-SAG-02-006Inspeção dos tirantes de fixação do núcleo do estator (isolação) </t>
  </si>
  <si>
    <t>PR-SAG-02-007</t>
  </si>
  <si>
    <t xml:space="preserve">PR-SAG-02-007Inspeção das guias de ar </t>
  </si>
  <si>
    <t>PR-SAG-02-008</t>
  </si>
  <si>
    <t xml:space="preserve">PR-SAG-02-008Medição do entreferro </t>
  </si>
  <si>
    <t>PR-SAG-02-009</t>
  </si>
  <si>
    <t xml:space="preserve">PR-SAG-02-009Medição de circularidade e excentricidade do rotor </t>
  </si>
  <si>
    <t>PR-SAG-02-010</t>
  </si>
  <si>
    <t xml:space="preserve">PR-SAG-02-010Ajuste da circularidade do rotor </t>
  </si>
  <si>
    <t>PR-SAG-02-011</t>
  </si>
  <si>
    <t xml:space="preserve">PR-SAG-02-011Medição do nivelamento dos polos </t>
  </si>
  <si>
    <t>PR-SAG-02-012</t>
  </si>
  <si>
    <t xml:space="preserve">PR-SAG-02-012Inspeção dos parafusos e pinos de acoplamento do rotor com o bloco de escora </t>
  </si>
  <si>
    <t>PR-SAG-02-013</t>
  </si>
  <si>
    <t xml:space="preserve">PR-SAG-02-013Inspeção da pista de frenagem </t>
  </si>
  <si>
    <t>PR-SAG-02-014</t>
  </si>
  <si>
    <t xml:space="preserve">PR-SAG-02-014Medição de centro (Caixa eixo) e ajuste do mancal guia </t>
  </si>
  <si>
    <t>PR-SAG-02-015</t>
  </si>
  <si>
    <t xml:space="preserve">PR-SAG-02-015Medição e ajuste do nivelamento dos segmentos do mancal de escora </t>
  </si>
  <si>
    <t>PR-SAG-02-016</t>
  </si>
  <si>
    <t xml:space="preserve">PR-SAG-02-016Medição de nivelamento e ajuste da superfície para a instalação dos segmentos do mancal de escora </t>
  </si>
  <si>
    <t>PR-SAG-02-017</t>
  </si>
  <si>
    <t xml:space="preserve">PR-SAG-02-017Inspeção dos espelhos do bloco de escora </t>
  </si>
  <si>
    <t>PR-SAG-02-018</t>
  </si>
  <si>
    <t xml:space="preserve">PR-SAG-02-018Inspeção dos parafusos e pinos do bloco de escora e o rotor do gerador </t>
  </si>
  <si>
    <t>PR-SAG-02-020</t>
  </si>
  <si>
    <t xml:space="preserve">PR-SAG-02-020Verificação do nível de óleo </t>
  </si>
  <si>
    <t>PR-SAG-02-021</t>
  </si>
  <si>
    <t xml:space="preserve">PR-SAG-02-021Inspeção dos flanges do suporte do MC </t>
  </si>
  <si>
    <t>PR-SAG-02-022</t>
  </si>
  <si>
    <t xml:space="preserve">PR-SAG-02-022Inspeção dos flanges do cone de sustentação </t>
  </si>
  <si>
    <t>PR-SAG-02-023</t>
  </si>
  <si>
    <t xml:space="preserve">PR-SAG-02-023Medição de nivelamento das lonas de freio </t>
  </si>
  <si>
    <t>PR-SAG-02-024</t>
  </si>
  <si>
    <t xml:space="preserve">PR-SAG-02-024Inspeção dos macacos de frenagem </t>
  </si>
  <si>
    <t>PR-SAG-02-025</t>
  </si>
  <si>
    <t xml:space="preserve">PR-SAG-02-025Medição e ajuste da distância entre a lona de frenagem e a pista de frenagem </t>
  </si>
  <si>
    <t>PR-SAG-02-026</t>
  </si>
  <si>
    <t xml:space="preserve">PR-SAG-02-026Entreferro (run-out e verticalidadeDinâmico </t>
  </si>
  <si>
    <t>PR-SAG-02-027</t>
  </si>
  <si>
    <t xml:space="preserve">PR-SAG-02-027Verticalidade </t>
  </si>
  <si>
    <t>PR-SAG-02-028</t>
  </si>
  <si>
    <t xml:space="preserve">PR-SAG-02-028Run-out </t>
  </si>
  <si>
    <t>PR-SAG-02-029</t>
  </si>
  <si>
    <t xml:space="preserve">PR-SAG-02-029ComissionamentoVibração, oscilação, temperaturas, tempos e pressões </t>
  </si>
  <si>
    <t>PR-SAG-03-000</t>
  </si>
  <si>
    <t xml:space="preserve">PR-SAG-03-000-Manutencao Geradorinspeção e limpeza geral </t>
  </si>
  <si>
    <t>PR-SAG-03-001</t>
  </si>
  <si>
    <t xml:space="preserve">PR-SAG-03-001-Inspeção com termografia no Gerador </t>
  </si>
  <si>
    <t>PR-SAG-03-002</t>
  </si>
  <si>
    <t xml:space="preserve">PR-SAG-03-002-Inspeção no enrolamento do estatorcabeças de bobina </t>
  </si>
  <si>
    <t>PR-SAG-03-003</t>
  </si>
  <si>
    <t xml:space="preserve">PR-SAG-03-003-Inspeção no enrolamento do estatoraneis de surto e barramento circular </t>
  </si>
  <si>
    <t>PR-SAG-03-004</t>
  </si>
  <si>
    <t xml:space="preserve">PR-SAG-03-004-Inspeção no nucleo do estatordedos pressao e escadinha </t>
  </si>
  <si>
    <t>PR-SAG-03-005</t>
  </si>
  <si>
    <t xml:space="preserve">PR-SAG-03-005-Inspeção no nucleo do estatorcunhas de fechamento de ranhuras </t>
  </si>
  <si>
    <t>PR-SAG-03-006</t>
  </si>
  <si>
    <t xml:space="preserve">PR-SAG-03-006-Inspeção nos polosbobinas e conexoes principais e amortecedor </t>
  </si>
  <si>
    <t>PR-SAG-03-007</t>
  </si>
  <si>
    <t xml:space="preserve">PR-SAG-03-007-Inspeção campo- regulador_porta escovasanel coletor_polos </t>
  </si>
  <si>
    <t>PR-SAG-03-008</t>
  </si>
  <si>
    <t xml:space="preserve">PR-SAG-03-008-Manutencao Estatordesmontagem e montagem das conexoes flexiveis </t>
  </si>
  <si>
    <t>PR-SAG-03-010</t>
  </si>
  <si>
    <t xml:space="preserve">PR-SAG-03-010-Manutencao Estatorsecagem enrolamento </t>
  </si>
  <si>
    <t>PR-SAG-03-011</t>
  </si>
  <si>
    <t xml:space="preserve">PR-SAG-03-011-Manutencao Polosmont- controle conexoes principais e amortecedor </t>
  </si>
  <si>
    <t>PR-SAG-03-012</t>
  </si>
  <si>
    <t xml:space="preserve">PR-SAG-03-012-Manutencao Polos -substituição de polo </t>
  </si>
  <si>
    <t>PR-SAG-03-013</t>
  </si>
  <si>
    <t xml:space="preserve">PR-SAG-03-013-Manutancao Rotordesm- montagem barramento de campo </t>
  </si>
  <si>
    <t>PR-SAG-03-014</t>
  </si>
  <si>
    <t xml:space="preserve">PR-SAG-03-014-Manutancao porta escovas </t>
  </si>
  <si>
    <t>PR-SAG-03-015</t>
  </si>
  <si>
    <t xml:space="preserve">PR-SAG-03-015-Manutancao aneis coletores </t>
  </si>
  <si>
    <t>PR-SAG-03-016</t>
  </si>
  <si>
    <t xml:space="preserve">PR-SAG-03-016-Inspeção cubiculo aterramento neutro </t>
  </si>
  <si>
    <t>PR-SAG-03-101</t>
  </si>
  <si>
    <t xml:space="preserve">PR-SAG-03-101Testes enrolamento estator &amp; rotorisolação, IP, IA </t>
  </si>
  <si>
    <t>PR-SAG-03-102</t>
  </si>
  <si>
    <t xml:space="preserve">PR-SAG-03-102Testes enrolamento estator &amp; rotorResistência Ohmica </t>
  </si>
  <si>
    <t>PR-SAG-03-103</t>
  </si>
  <si>
    <t xml:space="preserve">PR-SAG-03-103Testes enrolamento estatorensaio de corrente de fuga </t>
  </si>
  <si>
    <t>PR-SAG-03-104</t>
  </si>
  <si>
    <t xml:space="preserve">PR-SAG-03-104Testes enrolamento estatortangente delta </t>
  </si>
  <si>
    <t>PR-SAG-03-105</t>
  </si>
  <si>
    <t xml:space="preserve">PR-SAG-03-105Testes enrolamento estator &amp; rotorTensao Aplicada (hipot) AC-CC </t>
  </si>
  <si>
    <t>PR-SAG-03-106</t>
  </si>
  <si>
    <t xml:space="preserve">PR-SAG-03-106Testes enrolamento rotorResistencia ohmica das conexoes polares </t>
  </si>
  <si>
    <t>PR-SAG-03-107</t>
  </si>
  <si>
    <t xml:space="preserve">PR-SAG-03-107Testes enrolamento rotorEnsaio de queda de tensao nos polos </t>
  </si>
  <si>
    <t>PR-SAG-03-108</t>
  </si>
  <si>
    <t xml:space="preserve">PR-SAG-03-108Testes circuito de campomedição isolação componentes </t>
  </si>
  <si>
    <t>PR-SAG-03-109</t>
  </si>
  <si>
    <t xml:space="preserve">PR-SAG-03-109Testes enrolamento estatortensão de ranhura </t>
  </si>
  <si>
    <t>PR-SAG-03-110</t>
  </si>
  <si>
    <t xml:space="preserve">PR-SAG-03-110Ensaios nos RTD's </t>
  </si>
  <si>
    <t>PR-SAG-03-111</t>
  </si>
  <si>
    <t xml:space="preserve">PR-SAG-03-111Testes enrolamento estator- Ensaio de corona visual </t>
  </si>
  <si>
    <t>PR-SAG-03-112</t>
  </si>
  <si>
    <t xml:space="preserve">PR-SAG-03-112Ensaios equipmts auxpainel de neutro RevA </t>
  </si>
  <si>
    <t>PR-SAG-03-113</t>
  </si>
  <si>
    <t xml:space="preserve">PR-SAG-03-113Ensaios nos aquecedores de maq parada </t>
  </si>
  <si>
    <t>PR-SAG-03-114</t>
  </si>
  <si>
    <t xml:space="preserve">PR-SAG-03-114Ensaios para levantamento das curvas caracterisitcas </t>
  </si>
  <si>
    <t>PR-SAG-03-115</t>
  </si>
  <si>
    <t xml:space="preserve">PR-SAG-03-115Ensaio de aquecimento do Gerador </t>
  </si>
  <si>
    <t>PR-SAG-04-001</t>
  </si>
  <si>
    <t xml:space="preserve">PR-SAG-04-001Ensaio de automatismo de motoresbombas </t>
  </si>
  <si>
    <t>PR-SAG-04-002</t>
  </si>
  <si>
    <t xml:space="preserve">PR-SAG-04-002Ensaio de automatismo do sistema hidráulico RV </t>
  </si>
  <si>
    <t>PR-SAG-04-003</t>
  </si>
  <si>
    <t xml:space="preserve">PR-SAG-04-003Ensaio de Fluxostatos </t>
  </si>
  <si>
    <t>PR-SAG-04-004</t>
  </si>
  <si>
    <t xml:space="preserve">PR-SAG-04-004Ensaio de fontes de alimentação </t>
  </si>
  <si>
    <t>PR-SAG-04-005</t>
  </si>
  <si>
    <t xml:space="preserve">PR-SAG-04-005Ensaio de Resistência de Isolação </t>
  </si>
  <si>
    <t>PR-SAG-04-006</t>
  </si>
  <si>
    <t xml:space="preserve">PR-SAG-04-006Ensaio de Pressostatos </t>
  </si>
  <si>
    <t>PR-SAG-04-007</t>
  </si>
  <si>
    <t xml:space="preserve">PR-SAG-04-007Ensaio de relés de subtensão </t>
  </si>
  <si>
    <t>PR-SAG-04-008</t>
  </si>
  <si>
    <t xml:space="preserve">PR-SAG-04-008Ensaio de relés temporizadores </t>
  </si>
  <si>
    <t>PR-SAG-04-009</t>
  </si>
  <si>
    <t xml:space="preserve">PR-SAG-04-009Ensaio de Resistência de contato em relés auxiliares </t>
  </si>
  <si>
    <t>PR-SAG-04-010</t>
  </si>
  <si>
    <t xml:space="preserve">PR-SAG-04-010Ensaio de sensores atuadores de posição </t>
  </si>
  <si>
    <t>PR-SAG-04-011</t>
  </si>
  <si>
    <t xml:space="preserve">PR-SAG-04-011Ensaio de simulação de partida e parada UAC </t>
  </si>
  <si>
    <t>PR-SAG-04-012</t>
  </si>
  <si>
    <t xml:space="preserve">PR-SAG-04-012Ensaio de sistema de água de refrigeração </t>
  </si>
  <si>
    <t>PR-SAG-04-013</t>
  </si>
  <si>
    <t xml:space="preserve">PR-SAG-04-013Ensaio de sistema de aquecimento gerador </t>
  </si>
  <si>
    <t>PR-SAG-04-014</t>
  </si>
  <si>
    <t xml:space="preserve">PR-SAG-04-014Ensaio de sistema de frenagem </t>
  </si>
  <si>
    <t>PR-SAG-04-015</t>
  </si>
  <si>
    <t xml:space="preserve">PR-SAG-04-015Ensaio de transferência automática de fontes </t>
  </si>
  <si>
    <t>PR-SAG-04-016</t>
  </si>
  <si>
    <t xml:space="preserve">PR-SAG-04-016Ensaio de transmissores de pressão </t>
  </si>
  <si>
    <t>PR-SAG-04-017</t>
  </si>
  <si>
    <t xml:space="preserve">PR-SAG-04-017Ensaio de transmissores de temperatura </t>
  </si>
  <si>
    <t>PR-SAG-04-018</t>
  </si>
  <si>
    <t xml:space="preserve">PR-SAG-04-018Ensaio de transmissores de vazão </t>
  </si>
  <si>
    <t>PR-SAG-04-019</t>
  </si>
  <si>
    <t xml:space="preserve">PR-SAG-04-019Ensaio dos sensores de pinos de cisalhamento das diretrizes </t>
  </si>
  <si>
    <t>PR-SAG-04-020</t>
  </si>
  <si>
    <t xml:space="preserve">PR-SAG-04-020Ensaio do sistema de filtragem de água de refrigeração </t>
  </si>
  <si>
    <t>PR-SAG-04-021</t>
  </si>
  <si>
    <t xml:space="preserve">PR-SAG-04-021Tabela de controle desconexão e conexão de cabos </t>
  </si>
  <si>
    <t>PR-SAG-04-022</t>
  </si>
  <si>
    <t xml:space="preserve">PR-SAG-04-022Ensaio de Transferencia de fontes de alimentação </t>
  </si>
  <si>
    <t>PR-SAG-05-000</t>
  </si>
  <si>
    <t xml:space="preserve">PR-SAG-05-000Itens de manutenção e teste </t>
  </si>
  <si>
    <t>PR-SAG-05-001</t>
  </si>
  <si>
    <t xml:space="preserve">PR-SAG-05-001Ensaio de isolação em cabos de saída do gerador </t>
  </si>
  <si>
    <t>PR-SAG-05-002</t>
  </si>
  <si>
    <t xml:space="preserve">PR-SAG-05-002Ensaio de tensão aplicada em cabos de saída do gerador </t>
  </si>
  <si>
    <t>PR-SAG-05-005</t>
  </si>
  <si>
    <t xml:space="preserve">PR-SAG-05-005Ensaio de TC de cubículos do gerador </t>
  </si>
  <si>
    <t>PR-SAG-05-006</t>
  </si>
  <si>
    <t xml:space="preserve">PR-SAG-05-006Ensaio de TP de cubículos do gerador </t>
  </si>
  <si>
    <t>PR-SAG-05-007</t>
  </si>
  <si>
    <t xml:space="preserve">PR-SAG-05-007Ensaio de protetores de surto do gerador </t>
  </si>
  <si>
    <t>PR-SAG-05-008</t>
  </si>
  <si>
    <t xml:space="preserve">PR-SAG-05-008Ensaio de isolação para chaves seccionadoras </t>
  </si>
  <si>
    <t>PR-SAG-05-009</t>
  </si>
  <si>
    <t xml:space="preserve">PR-SAG-05-009Ensaio de tensão aplicada para chaves seccionadoras </t>
  </si>
  <si>
    <t>PR-SAG-06-001</t>
  </si>
  <si>
    <t xml:space="preserve">PR-SAG-06-001Inspeção visual do tanque, sistema de preservação e resfriamento </t>
  </si>
  <si>
    <t>PR-SAG-06-002</t>
  </si>
  <si>
    <t xml:space="preserve">PR-SAG-06-002Inspeção visual das buchas </t>
  </si>
  <si>
    <t>PR-SAG-06-003</t>
  </si>
  <si>
    <t xml:space="preserve">PR-SAG-06-003Inspeção visual dos TCs de bucha </t>
  </si>
  <si>
    <t>PR-SAG-06-004</t>
  </si>
  <si>
    <t xml:space="preserve">PR-SAG-06-004Inspeção visual indicadores e termômetros </t>
  </si>
  <si>
    <t>PR-SAG-06-005</t>
  </si>
  <si>
    <t xml:space="preserve">PR-SAG-06-005Inspeção visual do relé de gás e DAP </t>
  </si>
  <si>
    <t>PR-SAG-06-006</t>
  </si>
  <si>
    <t xml:space="preserve">PR-SAG-06-006Inspeção visual painel de controle </t>
  </si>
  <si>
    <t>PR-SAG-06-007</t>
  </si>
  <si>
    <t xml:space="preserve">PR-SAG-06-007 e 06-021Ensaio de Resistência de isolamento </t>
  </si>
  <si>
    <t>PR-SAG-06-008</t>
  </si>
  <si>
    <t xml:space="preserve">PR-SAG-06-008Ensaio de Resistência elétrica dos Enrolamentos </t>
  </si>
  <si>
    <t>PR-SAG-06-009</t>
  </si>
  <si>
    <t xml:space="preserve">PR-SAG-06-009Ensaio de Fator de Potência e Capacitância dos enrolamentos </t>
  </si>
  <si>
    <t>PR-SAG-06-010</t>
  </si>
  <si>
    <t xml:space="preserve">PR-SAG-06-010Ensaio de relação de transformação </t>
  </si>
  <si>
    <t>PR-SAG-06-011</t>
  </si>
  <si>
    <t xml:space="preserve">PR-SAG-06-011Ensaio de Corrente de excitação monofásica </t>
  </si>
  <si>
    <t>PR-SAG-06-012</t>
  </si>
  <si>
    <t xml:space="preserve">PR-SAG-06-012Ensaio de impedância de curto-circuito </t>
  </si>
  <si>
    <t>PR-SAG-06-013</t>
  </si>
  <si>
    <t xml:space="preserve">PR-SAG-06-013-014-015Ensaio no RTD, Relé de Gás e DAP </t>
  </si>
  <si>
    <t>PR-SAG-06-016</t>
  </si>
  <si>
    <t xml:space="preserve">PR-SAG-06-016- Ensaio de Estanqueidade </t>
  </si>
  <si>
    <t>PR-SAG-06-018</t>
  </si>
  <si>
    <t xml:space="preserve">PR-SAG-06-018Ensaio de Fator de Potência e Capacitância das buchas </t>
  </si>
  <si>
    <t>PR-SAG-06-019</t>
  </si>
  <si>
    <t xml:space="preserve">PR-SAG-06-019Ensaio nos TC's </t>
  </si>
  <si>
    <t xml:space="preserve">PR-SAG-06-019Ensaio nos TCs </t>
  </si>
  <si>
    <t>PR-SAG-06-020</t>
  </si>
  <si>
    <t xml:space="preserve">PR-SAG-06-020Ensaio sistema de resfriamento </t>
  </si>
  <si>
    <t>PR-SAG-07-000</t>
  </si>
  <si>
    <t xml:space="preserve">PR-SAG-07-000Itens de manutenção e teste </t>
  </si>
  <si>
    <t>PR-SAG-07-001</t>
  </si>
  <si>
    <t xml:space="preserve">PR-SAG-07-001Ensaio de isolação em transformadores a seco </t>
  </si>
  <si>
    <t>PR-SAG-07-002</t>
  </si>
  <si>
    <t xml:space="preserve">PR-SAG-07-002Ensaio de resistência DC em transformadores à seco </t>
  </si>
  <si>
    <t>PR-SAG-07-003</t>
  </si>
  <si>
    <t xml:space="preserve">PR-SAG-07-003Ensaio de tensão aplicada em transformadores a seco </t>
  </si>
  <si>
    <t>PR-SAG-07-004</t>
  </si>
  <si>
    <t xml:space="preserve">PR-SAG-07-004Ensaio de relação de transformação e polaridade em transformadores a seco </t>
  </si>
  <si>
    <t>PR-SAG-09-000</t>
  </si>
  <si>
    <t xml:space="preserve">PR-SAG-09-000Itens de manutenção e teste </t>
  </si>
  <si>
    <t>PR-SAG-09-001</t>
  </si>
  <si>
    <t xml:space="preserve">PR-SAG-09-001Ensaio de resistência DC em barramento de painéis de média tensão </t>
  </si>
  <si>
    <t>PR-SAG-09-002</t>
  </si>
  <si>
    <t xml:space="preserve">PR-SAG-09-002Ensaio de isolação em barramento de painéis de média tensão </t>
  </si>
  <si>
    <t>PR-SAG-09-003</t>
  </si>
  <si>
    <t xml:space="preserve">PR-SAG-09-003Ensaio de tensão aplicada em barramento de painéis de média tensão </t>
  </si>
  <si>
    <t>PR-SAG-09-004</t>
  </si>
  <si>
    <t xml:space="preserve">PR-SAG-09-004Ensaio de disjuntores de média tensão </t>
  </si>
  <si>
    <t>PR-SAG-09-005</t>
  </si>
  <si>
    <t xml:space="preserve">PR-SAG-09-005Ensaio de tensão aplicada em disjuntores de média tensão </t>
  </si>
  <si>
    <t>PR-SAG-09-006</t>
  </si>
  <si>
    <t xml:space="preserve">PR-SAG-09-006Ensaio de TC de painéis de média tensão </t>
  </si>
  <si>
    <t>PR-SAG-09-007</t>
  </si>
  <si>
    <t xml:space="preserve">PR-SAG-09-007Ensaio de TP de painéis de média tensão </t>
  </si>
  <si>
    <t>PR-SAG-09-008</t>
  </si>
  <si>
    <t xml:space="preserve">PR-SAG-09-008Ensaio de protetores de surto de painéis de média tensão </t>
  </si>
  <si>
    <t>PR-SAG-10-000</t>
  </si>
  <si>
    <t xml:space="preserve">PR-SAG-10-000Itens de manutenção e teste </t>
  </si>
  <si>
    <t>PR-SAG-10-001</t>
  </si>
  <si>
    <t xml:space="preserve">PR-SAG-10-001Ensaio de isolação em barramento de painéis de baixa tensão </t>
  </si>
  <si>
    <t>PR-SAG-10-002</t>
  </si>
  <si>
    <t xml:space="preserve">PR-SAG-10-002Ensaio de resistência DC em barramento de painéis de baixa tensão </t>
  </si>
  <si>
    <t>PR-SAG-10-003</t>
  </si>
  <si>
    <t xml:space="preserve">PR-SAG-10-003Ensaio de tensão aplicada em barramento de painéis de baixa tensão </t>
  </si>
  <si>
    <t>PR-SAG-10-004</t>
  </si>
  <si>
    <t xml:space="preserve">PR-SAG-10-004Ensaio de disjuntores de caixa moldada em painéis de baixa tensão </t>
  </si>
  <si>
    <t>PR-SAG-10-005</t>
  </si>
  <si>
    <t xml:space="preserve">PR-SAG-10-005Ensaio de isolação em TP de painéis de baixa tensão </t>
  </si>
  <si>
    <t>PR-SAG-10-006</t>
  </si>
  <si>
    <t xml:space="preserve">PR-SAG-10-006Ensaio de isolação em cabos de painéis de baixa tensão </t>
  </si>
  <si>
    <t>PR-SAG-10-007</t>
  </si>
  <si>
    <t xml:space="preserve">PR-SAG-10-007- Ensaio de acoplamento automático de barras em painéis de baixa tensão </t>
  </si>
  <si>
    <t>PR-SAG-11-000</t>
  </si>
  <si>
    <t xml:space="preserve">PR-SAG-11-000Itens de manutenção e teste </t>
  </si>
  <si>
    <t>PR-SAG-11-001</t>
  </si>
  <si>
    <t xml:space="preserve">PR-SAG-11-001Ensaio de isolação em cabos até 35kV </t>
  </si>
  <si>
    <t>PR-SAG-11-002</t>
  </si>
  <si>
    <t xml:space="preserve">PR-SAG-11-002Ensaio de fator de perda dielétrica em cabos até 35kV </t>
  </si>
  <si>
    <t>PR-SAG-11-003</t>
  </si>
  <si>
    <t xml:space="preserve">PR-SAG-11-003Ensaio de tensão aplicada em cabos até 35kV </t>
  </si>
  <si>
    <t>PR-SAG-12-001</t>
  </si>
  <si>
    <t xml:space="preserve">PR-SAG-12-001Controle de alteração e backup software </t>
  </si>
  <si>
    <t>PR-SAG-13-001</t>
  </si>
  <si>
    <t xml:space="preserve">PR-SAG-13-001Resistência de Isolação </t>
  </si>
  <si>
    <t>PR-SAG-13-002</t>
  </si>
  <si>
    <t xml:space="preserve">PR-SAG-13-002Resistência de contato em relés auxiliares </t>
  </si>
  <si>
    <t>PR-SAG-13-003</t>
  </si>
  <si>
    <t xml:space="preserve">PR-SAG-13-003Ensaios em relés auxiliares </t>
  </si>
  <si>
    <t>PR-SAG-13-004</t>
  </si>
  <si>
    <t xml:space="preserve">PR-SAG-13-004Calibração de transdutores </t>
  </si>
  <si>
    <t>PR-SAG-13-005</t>
  </si>
  <si>
    <t xml:space="preserve">PR-SAG-13-005Ensaios em relés de sincronismo (ANSI 25) </t>
  </si>
  <si>
    <t>PR-SAG-13-006</t>
  </si>
  <si>
    <t xml:space="preserve">PR-SAG-13-006Controle de alteração e backup software </t>
  </si>
  <si>
    <t>PR-SAG-14-001</t>
  </si>
  <si>
    <t xml:space="preserve">PR-SAG-14-001Controle de alteração e backup software </t>
  </si>
  <si>
    <t>PR-SAG-15-001</t>
  </si>
  <si>
    <t xml:space="preserve">PR-SAG-15-001Ensaios em Transformadores de Corrente </t>
  </si>
  <si>
    <t>PR-SAG-15-002</t>
  </si>
  <si>
    <t xml:space="preserve">PR-SAG-15-002Ensaios em Transformadores de Potencial </t>
  </si>
  <si>
    <t>PR-SAG-15-003</t>
  </si>
  <si>
    <t xml:space="preserve">PR-SAG-15-003Ensaio de Isolação </t>
  </si>
  <si>
    <t>PR-SAG-15-004</t>
  </si>
  <si>
    <t xml:space="preserve">PR-SAG-15-004Ensaio de Resistência </t>
  </si>
  <si>
    <t>PR-SAG-15-005</t>
  </si>
  <si>
    <t xml:space="preserve">PR-SAG-15-005Ensaio de curva característica do TC </t>
  </si>
  <si>
    <t>PR-SAG-15-006</t>
  </si>
  <si>
    <t xml:space="preserve">PR-SAG-15-006Proteção Diferencial </t>
  </si>
  <si>
    <t>PR-SAG-15-007</t>
  </si>
  <si>
    <t xml:space="preserve">PR-SAG-15-007Proteção de Sobre e sub Frequência </t>
  </si>
  <si>
    <t>PR-SAG-15-009</t>
  </si>
  <si>
    <t xml:space="preserve">PR-SAG-15-009Proteção de Potencia Reversa </t>
  </si>
  <si>
    <t>PR-SAG-15-011</t>
  </si>
  <si>
    <t xml:space="preserve">PR-SAG-15-011Proteção de Subtensão </t>
  </si>
  <si>
    <t>PR-SAG-15-012</t>
  </si>
  <si>
    <t xml:space="preserve">PR-SAG-15-012Proteção de Energização Inadvertida </t>
  </si>
  <si>
    <t>PR-SAG-15-013</t>
  </si>
  <si>
    <t xml:space="preserve">PR-SAG-15-013Proteção de sobrecorrente com restrição de tensão </t>
  </si>
  <si>
    <t>PR-SAG-15-014</t>
  </si>
  <si>
    <t xml:space="preserve">PR-SAG-15-014Proteção Diferencial de terra restrita </t>
  </si>
  <si>
    <t>PR-SAG-15-015</t>
  </si>
  <si>
    <t xml:space="preserve">PR-SAG-15-015Proteção de Terra Rotor </t>
  </si>
  <si>
    <t>PR-SAG-15-016</t>
  </si>
  <si>
    <t xml:space="preserve">PR-SAG-15-016Proteção de Sequência Negativa </t>
  </si>
  <si>
    <t>PR-SAG-15-017</t>
  </si>
  <si>
    <t xml:space="preserve">PR-SAG-15-017Proteção de Perda de Excitação </t>
  </si>
  <si>
    <t>PR-SAG-15-018</t>
  </si>
  <si>
    <t xml:space="preserve">PR-SAG-15-018Proteção de Falha Fusível </t>
  </si>
  <si>
    <t>PR-SAG-15-019</t>
  </si>
  <si>
    <t xml:space="preserve">PR-SAG-15-019Proteção de Mínima Impedância </t>
  </si>
  <si>
    <t>PR-SAG-15-020</t>
  </si>
  <si>
    <t xml:space="preserve">PR-SAG-15-020Proteção Diferencial Transversal do Gerador </t>
  </si>
  <si>
    <t>PR-SAG-15-021</t>
  </si>
  <si>
    <t xml:space="preserve">PR-SAG-15-021Proteção de Terra Estator 95 </t>
  </si>
  <si>
    <t>PR-SAG-15-022</t>
  </si>
  <si>
    <t xml:space="preserve">PR-SAG-15-022Proteção de Terra Estator 100 </t>
  </si>
  <si>
    <t>PR-SAG-15-023</t>
  </si>
  <si>
    <t xml:space="preserve">PR-SAG-15-023Proteção de Sobretensão </t>
  </si>
  <si>
    <t>PR-SAG-15-024</t>
  </si>
  <si>
    <t xml:space="preserve">PR-SAG-15-024Proteção de Sobreexcitação </t>
  </si>
  <si>
    <t>PR-SAG-15-025</t>
  </si>
  <si>
    <t xml:space="preserve">PR-SAG-15-025Proteção de Sobrecarga </t>
  </si>
  <si>
    <t>PR-SAG-15-026</t>
  </si>
  <si>
    <t xml:space="preserve">PR-SAG-15-026Proteção de Falha Disjuntor </t>
  </si>
  <si>
    <t>PR-SAG-15-027</t>
  </si>
  <si>
    <t xml:space="preserve">PR-SAG-15-027Ensaio em relés de bloqueio-trip </t>
  </si>
  <si>
    <t>PR-SAG-17-001</t>
  </si>
  <si>
    <t xml:space="preserve">PR-SAG-17-001Ensaios em Transformadores de Corrente </t>
  </si>
  <si>
    <t>PR-SAG-17-002</t>
  </si>
  <si>
    <t xml:space="preserve">PR-SAG-17-002Ensaios em Transformadores de Potencial </t>
  </si>
  <si>
    <t>PR-SAG-17-003</t>
  </si>
  <si>
    <t xml:space="preserve">PR-SAG-17-003Ensaio de Isolação </t>
  </si>
  <si>
    <t>PR-SAG-17-004</t>
  </si>
  <si>
    <t xml:space="preserve">PR-SAG-17-004Ensaio de Resistência </t>
  </si>
  <si>
    <t>PR-SAG-17-005</t>
  </si>
  <si>
    <t xml:space="preserve">PR-SAG-17-005Ensaio de curva característica do TC </t>
  </si>
  <si>
    <t>PR-SAG-17-006</t>
  </si>
  <si>
    <t xml:space="preserve">PR-SAG-17-006Ensaio em relés de bloqueio-trip </t>
  </si>
  <si>
    <t>PR-SAG-18-000</t>
  </si>
  <si>
    <t xml:space="preserve">PR-SAG-18-000Check list de ensaios </t>
  </si>
  <si>
    <t>PR-SAG-18-001</t>
  </si>
  <si>
    <t xml:space="preserve">PR-SAG-18-001Ensaio de componentes e instumentos </t>
  </si>
  <si>
    <t>PR-SAG-18-002</t>
  </si>
  <si>
    <t xml:space="preserve">PR-SAG-18-002Ensaios de proteção sobretensão </t>
  </si>
  <si>
    <t>PR-SAG-18-003</t>
  </si>
  <si>
    <t xml:space="preserve">PR-SAG-18-003Ensaio isolação circuito primário </t>
  </si>
  <si>
    <t>PR-SAG-18-004</t>
  </si>
  <si>
    <t xml:space="preserve">PR-SAG-18-004Ensaio isolação circuito secundário </t>
  </si>
  <si>
    <t>PR-SAG-18-005</t>
  </si>
  <si>
    <t xml:space="preserve">PR-SAG-18-005Ensaios PLC </t>
  </si>
  <si>
    <t>PR-SAG-18-006</t>
  </si>
  <si>
    <t xml:space="preserve">PR-SAG-18-006Ensaios Simulação </t>
  </si>
  <si>
    <t>PR-SAG-18-007</t>
  </si>
  <si>
    <t xml:space="preserve">PR-SAG-18-007Ensaios funcionais </t>
  </si>
  <si>
    <t>PR-SAG-19-000</t>
  </si>
  <si>
    <t xml:space="preserve">PR-SAG-19-000Itens de manutenção e teste </t>
  </si>
  <si>
    <t>PR-SAG-19-001</t>
  </si>
  <si>
    <t xml:space="preserve">PR-SAG-19-001Ensaio de baterias </t>
  </si>
  <si>
    <t>PR-SAG-19-002</t>
  </si>
  <si>
    <t xml:space="preserve">PR-SAG-19-002Ensaio de capacidade e equalização de baterias </t>
  </si>
  <si>
    <t>PR-SAG-19-003</t>
  </si>
  <si>
    <t xml:space="preserve">PR-SAG-19-003Ensaio de retificadores e USCC </t>
  </si>
  <si>
    <t>PR-SAG-20-001</t>
  </si>
  <si>
    <t xml:space="preserve">PR-SAG-20-001Inspeção válvulas distribuidoras (CD e CR) </t>
  </si>
  <si>
    <t>PR-SAG-20-002</t>
  </si>
  <si>
    <t xml:space="preserve">PR-SAG-20-002Inspeção válvulas controle hidráulico </t>
  </si>
  <si>
    <t>PR-SAG-20-003</t>
  </si>
  <si>
    <t xml:space="preserve">PR-SAG-20-003Inspeção servomotor do distribuidor </t>
  </si>
  <si>
    <t>PR-SAG-20-004</t>
  </si>
  <si>
    <t xml:space="preserve">PR-SAG-20-004Inspeção sistema resfriamento RV </t>
  </si>
  <si>
    <t>PR-SAG-20-005</t>
  </si>
  <si>
    <t xml:space="preserve">PR-SAG-20-005Inspeção no acumulador ar e óleo </t>
  </si>
  <si>
    <t>PR-SAG-20-006</t>
  </si>
  <si>
    <t xml:space="preserve">PR-SAG-20-006Calibração válvula de segurança acumulador ar óleo </t>
  </si>
  <si>
    <t>PR-SAG-20-007</t>
  </si>
  <si>
    <t xml:space="preserve">PR-SAG-20-007Critérios de testes </t>
  </si>
  <si>
    <t>PR-SAG-21-000</t>
  </si>
  <si>
    <t xml:space="preserve">PR-SAG-21-000Check list de ensaios </t>
  </si>
  <si>
    <t>PR-SAG-21-001</t>
  </si>
  <si>
    <t xml:space="preserve">PR-SAG-21-001Ensaios de componentes instrumentos plc </t>
  </si>
  <si>
    <t>PR-SAG-21-002</t>
  </si>
  <si>
    <t xml:space="preserve">PR-SAG-21-002Ensaios circuitos elétricos </t>
  </si>
  <si>
    <t>PR-SAG-21-003</t>
  </si>
  <si>
    <t xml:space="preserve">PR-SAG-21-003Ensaios água morta </t>
  </si>
  <si>
    <t>PR-SAG-21-004</t>
  </si>
  <si>
    <t xml:space="preserve">PR-SAG-21-004Ensaios em vazio </t>
  </si>
  <si>
    <t>PR-SAG-21-005</t>
  </si>
  <si>
    <t xml:space="preserve">PR-SAG-21-005Ensaios em carga </t>
  </si>
  <si>
    <t>PR-SAG-22-001</t>
  </si>
  <si>
    <t xml:space="preserve">PR-SAG-22-001Itens de manutençãoCheck-list </t>
  </si>
  <si>
    <t>PR-SAG-23-001</t>
  </si>
  <si>
    <t xml:space="preserve">PR-SAG-23-001Itens de manutençãoCheck-list </t>
  </si>
  <si>
    <t>PR-SAG-25-001</t>
  </si>
  <si>
    <t xml:space="preserve">PR-SAG-25-001Ensaio de Isolação </t>
  </si>
  <si>
    <t>PR-SAG-25-002</t>
  </si>
  <si>
    <t xml:space="preserve">PR-SAG-25-002Ensaio de Resistência </t>
  </si>
  <si>
    <t>PR-SAG-26-001</t>
  </si>
  <si>
    <t xml:space="preserve">PR-SAG-26-001Itens de manutençãoCheck-list </t>
  </si>
  <si>
    <t>PR-SAG-27-001</t>
  </si>
  <si>
    <t xml:space="preserve">PR-SAG-27-001Itens de manutençãoCheck-list </t>
  </si>
  <si>
    <t>PR-SAG-28-001</t>
  </si>
  <si>
    <t xml:space="preserve">PR-SAG-28-001Itens de manutençãoCheck-list </t>
  </si>
  <si>
    <t>PR-SAG-29-001</t>
  </si>
  <si>
    <t xml:space="preserve">PR-SAG-29-001Itens de manutençãoCheck-list </t>
  </si>
  <si>
    <t>PR-SAG-30-002</t>
  </si>
  <si>
    <t xml:space="preserve">PR-SAG-30-002Medição dos ganchos </t>
  </si>
  <si>
    <t>PR-SAG-30-003</t>
  </si>
  <si>
    <t xml:space="preserve">PR-SAG-30-003Ajuste e medição nos freios </t>
  </si>
  <si>
    <t>PR-SAG-33-001</t>
  </si>
  <si>
    <t xml:space="preserve">PR-SAG-33-001Itens de manutençãoCheck-list </t>
  </si>
  <si>
    <t>PR-SAG-40-001</t>
  </si>
  <si>
    <t xml:space="preserve">PR-SAG-40-001Ensaio do sistema de iluminação </t>
  </si>
  <si>
    <t>PR-SAG-40-002</t>
  </si>
  <si>
    <t xml:space="preserve">PR-SAG-40-002Ensaio de pontos de tomada e de dispositivos DR </t>
  </si>
  <si>
    <t>PR-SAG-41-001</t>
  </si>
  <si>
    <t xml:space="preserve">PR-SAG-41-001Ensaio de resistência de aterramento </t>
  </si>
  <si>
    <t>PR-SAG-41-002</t>
  </si>
  <si>
    <t xml:space="preserve">PR-SAG-41-002Ensaio de tensão de toque e passo </t>
  </si>
  <si>
    <t>PR-SAG-41-003</t>
  </si>
  <si>
    <t xml:space="preserve">PR-SAG-41-003Ensaio de continuidade </t>
  </si>
  <si>
    <t>PR-SAG-58-001</t>
  </si>
  <si>
    <t xml:space="preserve">PR-SAG-58-001Itens de manutençãoCheck-list </t>
  </si>
  <si>
    <t>PR-SAG-59-000</t>
  </si>
  <si>
    <t xml:space="preserve">PR-SAG-59-000Itens de manutenção </t>
  </si>
  <si>
    <t>PR-SAG-59-001</t>
  </si>
  <si>
    <t xml:space="preserve">PR-SAG-59-001Ensaio de Isolação </t>
  </si>
  <si>
    <t>PR-SAG-60-001</t>
  </si>
  <si>
    <t xml:space="preserve">PR-SAG-60-001Itens de manutençãoCheck-list </t>
  </si>
  <si>
    <t>PR-SAG-61-001</t>
  </si>
  <si>
    <t xml:space="preserve">PR-SAG-61-001Itens de manutençãoCheck-list </t>
  </si>
  <si>
    <t>PR-SAG-62-001</t>
  </si>
  <si>
    <t xml:space="preserve">PR-SAG-62-001Itens de manutençãoCheck-list </t>
  </si>
  <si>
    <t>PR-SAG-64-001</t>
  </si>
  <si>
    <t xml:space="preserve">PR-SAG-64-001Itens de manutençãoCheck-list </t>
  </si>
  <si>
    <t>PR-SAG-65-001</t>
  </si>
  <si>
    <t xml:space="preserve">PR-SAG-65-001Itens de manutençãoCheck-list </t>
  </si>
  <si>
    <t>PR-SAG-66-001</t>
  </si>
  <si>
    <t xml:space="preserve">PR-SAG-66-001Itens de manutençãoCheck-list </t>
  </si>
  <si>
    <t>PR-SAG-67-001</t>
  </si>
  <si>
    <t xml:space="preserve">PR-SAG-67-001Itens de manutençãoCheck-list </t>
  </si>
  <si>
    <t>PR-SAG-68-001</t>
  </si>
  <si>
    <t xml:space="preserve">PR-SAG-68-001Itens de manutençãoCheck-list </t>
  </si>
  <si>
    <t>PR-STO-00-001</t>
  </si>
  <si>
    <t xml:space="preserve">PR-STO-00-001Inspeção Líquido Penetrante </t>
  </si>
  <si>
    <t>PR-STO-00-002</t>
  </si>
  <si>
    <t xml:space="preserve">PR-STO-00-002Inspeção Partículas Magnéticas </t>
  </si>
  <si>
    <t>PR-STO-00-003</t>
  </si>
  <si>
    <t xml:space="preserve">PR-STO-00-003Inspeção Ultrassom </t>
  </si>
  <si>
    <t>PR-STO-00-004</t>
  </si>
  <si>
    <t xml:space="preserve">PR-STO-00-004Ensaio de motores elétricos </t>
  </si>
  <si>
    <t>PR-STO-00-005</t>
  </si>
  <si>
    <t xml:space="preserve">PR-STO-00-005Calibração de instrumentos </t>
  </si>
  <si>
    <t>PR-STO-00-006</t>
  </si>
  <si>
    <t xml:space="preserve">PR-STO-00-006Ensaio de motobombas </t>
  </si>
  <si>
    <t>PR-STO-00-007</t>
  </si>
  <si>
    <t xml:space="preserve">PR-STO-00-007Inspeção de torque de elementos de fixação </t>
  </si>
  <si>
    <t>PR-STO-00-008</t>
  </si>
  <si>
    <t xml:space="preserve">PR-STO-00-008Inspeção de pintura </t>
  </si>
  <si>
    <t>PR-STO-00-009</t>
  </si>
  <si>
    <t xml:space="preserve">PR-STO-00-009Aferição de Manômetros </t>
  </si>
  <si>
    <t>PR-STO-01-001</t>
  </si>
  <si>
    <t xml:space="preserve">PR-STO-01-001Inspeção de concreto da caixa espiral </t>
  </si>
  <si>
    <t>PR-STO-01-002</t>
  </si>
  <si>
    <t xml:space="preserve">PR-STO-01-002Medição de B0, folga e esmagamento </t>
  </si>
  <si>
    <t>PR-STO-01-003</t>
  </si>
  <si>
    <t xml:space="preserve">PR-STO-01-003Inspeção nas buchas auto-lubrificantes das palhetas diretrizes </t>
  </si>
  <si>
    <t>PR-STO-01-004</t>
  </si>
  <si>
    <t xml:space="preserve">PR-STO-01-004Inspeção em pinos e buchas do bielismo </t>
  </si>
  <si>
    <t>PR-STO-01-005</t>
  </si>
  <si>
    <t xml:space="preserve">PR-STO-01-005Inspeção de torque de elementos de fixação </t>
  </si>
  <si>
    <t>PR-STO-01-023</t>
  </si>
  <si>
    <t xml:space="preserve">PR-STO-01-023Batimento da pista de inox da vedação do eixo </t>
  </si>
  <si>
    <t>PR-STO-01-024</t>
  </si>
  <si>
    <t xml:space="preserve">PR-STO-01-024Batimento do anel de desgaste da vedação do eixo </t>
  </si>
  <si>
    <t>PR-STO-01-025</t>
  </si>
  <si>
    <t xml:space="preserve">PR-STO-01-025Espessura do anel de desgaste da vedação do eixo </t>
  </si>
  <si>
    <t>PR-STO-01-026</t>
  </si>
  <si>
    <t xml:space="preserve">PR-STO-01-026Ensaio na vedação de manutenção </t>
  </si>
  <si>
    <t>PR-STO-01-027</t>
  </si>
  <si>
    <t xml:space="preserve">PR-STO-01-027Medição de tempo de recalque das bombas de drenagem da tampa </t>
  </si>
  <si>
    <t>PR-STO-01-028</t>
  </si>
  <si>
    <t xml:space="preserve">PR-STO-01-028Ensaio das bombas de injeção de água da vedação do eixo </t>
  </si>
  <si>
    <t>PR-STO-01-034</t>
  </si>
  <si>
    <t xml:space="preserve">PR-STO-01-034Inspeção no tubo de sucção e caixa espiral </t>
  </si>
  <si>
    <t>PR-STO-01-035</t>
  </si>
  <si>
    <t xml:space="preserve">PR-STO-01-035Inspeção dos parafusos de união da tampa superior com o pré-distribuidor após aperto </t>
  </si>
  <si>
    <t>PR-STO-01-036</t>
  </si>
  <si>
    <t xml:space="preserve">PR-STO-01-036Folga entre labirintos rotativos e estáticorotor Francis </t>
  </si>
  <si>
    <t>PR-STO-01-039</t>
  </si>
  <si>
    <t xml:space="preserve">PR-STO-01-039Inspeção no rotor Francis </t>
  </si>
  <si>
    <t>PR-STO-01-041</t>
  </si>
  <si>
    <t xml:space="preserve">PR-STO-01-041Inspeção em regiões cavitadasFrancis </t>
  </si>
  <si>
    <t>PR-STO-02-001</t>
  </si>
  <si>
    <t xml:space="preserve">PR-STO-02-001Medição e ajuste de centro, elevação e nível da cruzeta superiorFalta Informação do desenho </t>
  </si>
  <si>
    <t>PR-STO-02-002</t>
  </si>
  <si>
    <t xml:space="preserve">PR-STO-02-002Inspeção dos flanges da cruzeta </t>
  </si>
  <si>
    <t>PR-STO-02-003</t>
  </si>
  <si>
    <t xml:space="preserve">PR-STO-02-003Medição de circularidade e excentricidade do estator </t>
  </si>
  <si>
    <t>PR-STO-02-004</t>
  </si>
  <si>
    <t xml:space="preserve">PR-STO-02-004Insp. dos parafusos acop., pinos entre carcaça estator e pedestais </t>
  </si>
  <si>
    <t>PR-STO-02-005</t>
  </si>
  <si>
    <t xml:space="preserve">PR-STO-02-005Insp. do núcleo do estator </t>
  </si>
  <si>
    <t>PR-STO-02-006</t>
  </si>
  <si>
    <t xml:space="preserve">PR-STO-02-006Inspeção dos tirantes de fixação do núcleo do estator (isolação) </t>
  </si>
  <si>
    <t>PR-STO-02-007</t>
  </si>
  <si>
    <t xml:space="preserve">PR-STO-02-007Inspeção das guias de ar </t>
  </si>
  <si>
    <t>PR-STO-02-008</t>
  </si>
  <si>
    <t xml:space="preserve">PR-STO-02-008Medição do entreferro </t>
  </si>
  <si>
    <t>PR-STO-02-009</t>
  </si>
  <si>
    <t xml:space="preserve">PR-STO-02-009Medição de circularidade e excentricidade do rotor </t>
  </si>
  <si>
    <t>PR-STO-02-010</t>
  </si>
  <si>
    <t xml:space="preserve">PR-STO-02-010Ajuste da circularidade do rotor </t>
  </si>
  <si>
    <t>PR-STO-02-011</t>
  </si>
  <si>
    <t xml:space="preserve">PR-STO-02-011Medição do nivelamento dos polos </t>
  </si>
  <si>
    <t>PR-STO-02-013</t>
  </si>
  <si>
    <t xml:space="preserve">PR-STO-02-013Inspeção da pista de frenagem </t>
  </si>
  <si>
    <t>PR-STO-02-014</t>
  </si>
  <si>
    <t xml:space="preserve">PR-STO-02-014Medição de centro (Caixa eixo) e ajuste do mancal guia </t>
  </si>
  <si>
    <t>PR-STO-02-016</t>
  </si>
  <si>
    <t xml:space="preserve">PR-STO-02-016Medição de nivelamento e ajuste da superfície para a instalação dos segmentos do mancal de escora </t>
  </si>
  <si>
    <t>PR-STO-02-017</t>
  </si>
  <si>
    <t xml:space="preserve">PR-STO-02-017Inspeção dos espelhos do bloco de escora </t>
  </si>
  <si>
    <t>PR-STO-02-018</t>
  </si>
  <si>
    <t xml:space="preserve">PR-STO-02-018Inspeção dos parafusos e pinos do bloco de escora e o rotor do gerador </t>
  </si>
  <si>
    <t>PR-STO-02-020</t>
  </si>
  <si>
    <t xml:space="preserve">PR-STO-02-020Verificação do nível de óleo </t>
  </si>
  <si>
    <t>PR-STO-02-021</t>
  </si>
  <si>
    <t xml:space="preserve">PR-STO-02-021Inspeção dos flanges do suporte do MC </t>
  </si>
  <si>
    <t>PR-STO-02-023</t>
  </si>
  <si>
    <t xml:space="preserve">PR-STO-02-023Medição de nivelamento das lonas de freio </t>
  </si>
  <si>
    <t>PR-STO-02-024</t>
  </si>
  <si>
    <t xml:space="preserve">PR-STO-02-024Inspeção dos macacos de frenagem </t>
  </si>
  <si>
    <t>PR-STO-02-025</t>
  </si>
  <si>
    <t xml:space="preserve">PR-STO-02-025Medição e ajuste da distância entre a lona de frenagem e a pista de frenagem </t>
  </si>
  <si>
    <t>PR-STO-02-026</t>
  </si>
  <si>
    <t xml:space="preserve">PR-STO-02-026Entreferro (run-out e verticalidadeDinâmico </t>
  </si>
  <si>
    <t>PR-STO-02-027</t>
  </si>
  <si>
    <t xml:space="preserve">PR-STO-02-027Verticalidade </t>
  </si>
  <si>
    <t>PR-STO-02-028</t>
  </si>
  <si>
    <t xml:space="preserve">PR-STO-02-028Run-out </t>
  </si>
  <si>
    <t>PR-STO-02-029</t>
  </si>
  <si>
    <t xml:space="preserve">PR-STO-02-029ComissionamentoVibração, oscilação, temperaturas, tempos e pressões </t>
  </si>
  <si>
    <t>PR-STO-03-101</t>
  </si>
  <si>
    <t xml:space="preserve">PR-STO-03-101Testes enrolamento estator &amp; rotorisolação, IP, IA </t>
  </si>
  <si>
    <t>PR-STO-03-102</t>
  </si>
  <si>
    <t xml:space="preserve">PR-STO-03-102Testes enrolamento estator &amp; rotorResistência Ohmica </t>
  </si>
  <si>
    <t>PR-STO-03-103</t>
  </si>
  <si>
    <t xml:space="preserve">PR-STO-03-103Testes enrolamento estatorensaio de corrente de fuga </t>
  </si>
  <si>
    <t>PR-STO-03-104</t>
  </si>
  <si>
    <t xml:space="preserve">PR-STO-03-104Testes enrolamento estatortangente delta </t>
  </si>
  <si>
    <t>PR-STO-03-105</t>
  </si>
  <si>
    <t xml:space="preserve">PR-STO-03-105Testes enrolamento estator &amp; rotorTensao Aplicada (hipot) AC-CC </t>
  </si>
  <si>
    <t>PR-STO-03-106</t>
  </si>
  <si>
    <t xml:space="preserve">PR-STO-03-106Testes enrolamento rotorResistencia ohmica das conexoes polares </t>
  </si>
  <si>
    <t>PR-STO-03-107</t>
  </si>
  <si>
    <t xml:space="preserve">PR-STO-03-107Testes enrolamento rotorEnsaio de queda de tensao nos polos </t>
  </si>
  <si>
    <t>PR-STO-03-108</t>
  </si>
  <si>
    <t xml:space="preserve">PR-STO-03-108Testes circuito de campomedição isolação componentes </t>
  </si>
  <si>
    <t>PR-STO-03-109</t>
  </si>
  <si>
    <t xml:space="preserve">PR-STO-03-109Testes enrolamento estatortensão de ranhura </t>
  </si>
  <si>
    <t>PR-STO-03-110</t>
  </si>
  <si>
    <t xml:space="preserve">PR-STO-03-110Ensaios nos RTD's </t>
  </si>
  <si>
    <t>PR-STO-03-111</t>
  </si>
  <si>
    <t xml:space="preserve">PR-STO-03-111Testes enrolamento estator- Ensaio de corona visual </t>
  </si>
  <si>
    <t>PR-STO-03-112</t>
  </si>
  <si>
    <t xml:space="preserve">PR-STO-03-112Ensaios equipmts auxpainel de neutro RevA </t>
  </si>
  <si>
    <t>PR-STO-03-113</t>
  </si>
  <si>
    <t xml:space="preserve">PR-STO-03-113Ensaios nos aquecedores de maq parada </t>
  </si>
  <si>
    <t>PR-STO-03-114</t>
  </si>
  <si>
    <t xml:space="preserve">PR-STO-03-114Ensaios para levantamento das curvas caracterisitcas </t>
  </si>
  <si>
    <t>PR-STO-03-115</t>
  </si>
  <si>
    <t xml:space="preserve">PR-STO-03-115Ensaio de aquecimento do Gerador </t>
  </si>
  <si>
    <t>PR-STO-04-001</t>
  </si>
  <si>
    <t xml:space="preserve">PR-STO-04-001Ensaio de automatismo de motoresbombas </t>
  </si>
  <si>
    <t>PR-STO-04-002</t>
  </si>
  <si>
    <t xml:space="preserve">PR-STO-04-002Ensaio de automatismo do sistema hidráulico RV </t>
  </si>
  <si>
    <t>PR-STO-04-003</t>
  </si>
  <si>
    <t xml:space="preserve">PR-STO-04-003Ensaio de Fluxostatos </t>
  </si>
  <si>
    <t>PR-STO-04-004</t>
  </si>
  <si>
    <t xml:space="preserve">PR-STO-04-004Ensaio de fontes de alimentação </t>
  </si>
  <si>
    <t>PR-STO-04-005</t>
  </si>
  <si>
    <t xml:space="preserve">PR-STO-04-005Ensaio de Resistência de Isolação </t>
  </si>
  <si>
    <t>PR-STO-04-006</t>
  </si>
  <si>
    <t xml:space="preserve">PR-STO-04-006Ensaio de Pressostatos </t>
  </si>
  <si>
    <t>PR-STO-04-007</t>
  </si>
  <si>
    <t xml:space="preserve">PR-STO-04-007Ensaio de relés de subtensão </t>
  </si>
  <si>
    <t>PR-STO-04-008</t>
  </si>
  <si>
    <t xml:space="preserve">PR-STO-04-008Ensaio de relés temporizadores </t>
  </si>
  <si>
    <t>PR-STO-04-009</t>
  </si>
  <si>
    <t xml:space="preserve">PR-STO-04-009Ensaio de Resistência de contato em relés auxiliares </t>
  </si>
  <si>
    <t>PR-STO-04-010</t>
  </si>
  <si>
    <t xml:space="preserve">PR-STO-04-010Ensaio de sensores atuadores de posição </t>
  </si>
  <si>
    <t>PR-STO-04-011</t>
  </si>
  <si>
    <t xml:space="preserve">PR-STO-04-011Ensaio de simulação de partida e parada UAC </t>
  </si>
  <si>
    <t>PR-STO-04-012</t>
  </si>
  <si>
    <t xml:space="preserve">PR-STO-04-012Ensaio de sistema de água de refrigeração </t>
  </si>
  <si>
    <t>PR-STO-04-013</t>
  </si>
  <si>
    <t xml:space="preserve">PR-STO-04-013Ensaio de sistema de aquecimento gerador </t>
  </si>
  <si>
    <t>PR-STO-04-014</t>
  </si>
  <si>
    <t xml:space="preserve">PR-STO-04-014Ensaio de sistema de frenagem </t>
  </si>
  <si>
    <t>PR-STO-04-015</t>
  </si>
  <si>
    <t xml:space="preserve">PR-STO-04-015Ensaio de transferência automática de fontes </t>
  </si>
  <si>
    <t>PR-STO-04-016</t>
  </si>
  <si>
    <t xml:space="preserve">PR-STO-04-016Ensaio de transmissores de pressão </t>
  </si>
  <si>
    <t>PR-STO-04-017</t>
  </si>
  <si>
    <t xml:space="preserve">PR-STO-04-017Ensaio de transmissores de temperatura </t>
  </si>
  <si>
    <t>PR-STO-04-018</t>
  </si>
  <si>
    <t xml:space="preserve">PR-STO-04-018Ensaio de transmissores de vazão </t>
  </si>
  <si>
    <t>PR-STO-04-019</t>
  </si>
  <si>
    <t xml:space="preserve">PR-STO-04-019Ensaio dos sensores de pinos de cisalhamento das diretrizes </t>
  </si>
  <si>
    <t>PR-STO-04-020</t>
  </si>
  <si>
    <t xml:space="preserve">PR-STO-04-020Ensaio do sistema de filtragem de água de refrigeração </t>
  </si>
  <si>
    <t>PR-STO-04-021</t>
  </si>
  <si>
    <t xml:space="preserve">PR-STO-04-021Tabela de controle desconexão e conexão de cabos </t>
  </si>
  <si>
    <t>PR-STO-04-022</t>
  </si>
  <si>
    <t xml:space="preserve">PR-STO-04-022Ensaio de Transferencia de fontes de alimentação </t>
  </si>
  <si>
    <t>PR-STO-05-000</t>
  </si>
  <si>
    <t xml:space="preserve">PR-STO-05-000Itens de manutenção e teste </t>
  </si>
  <si>
    <t>PR-STO-05-003</t>
  </si>
  <si>
    <t xml:space="preserve">PR-STO-05-003Ensaio de isolação em barramento blindado </t>
  </si>
  <si>
    <t>PR-STO-05-004</t>
  </si>
  <si>
    <t xml:space="preserve">PR-STO-05-004Ensaio de tensão aplicada em barramento blindado </t>
  </si>
  <si>
    <t>PR-STO-05-005</t>
  </si>
  <si>
    <t xml:space="preserve">PR-STO-05-005Ensaio de TC de cubículos do gerador </t>
  </si>
  <si>
    <t>PR-STO-05-006</t>
  </si>
  <si>
    <t xml:space="preserve">PR-STO-05-006Ensaio de TP de cubículos do gerador </t>
  </si>
  <si>
    <t>PR-STO-05-007</t>
  </si>
  <si>
    <t xml:space="preserve">PR-STO-05-007Ensaio de protetores de surto do gerador </t>
  </si>
  <si>
    <t>PR-STO-06-001</t>
  </si>
  <si>
    <t xml:space="preserve">PR-STO-06-001Inspeção visual do tanque, sistema de preservação e resfriamento </t>
  </si>
  <si>
    <t>PR-STO-06-002</t>
  </si>
  <si>
    <t xml:space="preserve">PR-STO-06-002Inspeção visual das buchas </t>
  </si>
  <si>
    <t>PR-STO-06-003</t>
  </si>
  <si>
    <t xml:space="preserve">PR-STO-06-003Inspeção visual dos TCs de bucha </t>
  </si>
  <si>
    <t>PR-STO-06-004</t>
  </si>
  <si>
    <t xml:space="preserve">PR-STO-06-004Inspeção visual indicadores e termômetros </t>
  </si>
  <si>
    <t>PR-STO-06-005</t>
  </si>
  <si>
    <t xml:space="preserve">PR-STO-06-005Inspeção visual do relé de gás e DAP </t>
  </si>
  <si>
    <t>PR-STO-06-006</t>
  </si>
  <si>
    <t xml:space="preserve">PR-STO-06-006Inspeção visual painel de controle </t>
  </si>
  <si>
    <t>PR-STO-06-007</t>
  </si>
  <si>
    <t xml:space="preserve">PR-STO-06-007 e 06-021Ensaio de Resistência de isolamento </t>
  </si>
  <si>
    <t>PR-STO-06-008</t>
  </si>
  <si>
    <t xml:space="preserve">PR-STO-06-008Ensaio de Resistência elétrica dos Enrolamentos </t>
  </si>
  <si>
    <t>PR-STO-06-009</t>
  </si>
  <si>
    <t xml:space="preserve">PR-STO-06-009Ensaio de Fator de Potência e Capacitância dos enrolamentos </t>
  </si>
  <si>
    <t>PR-STO-06-010</t>
  </si>
  <si>
    <t xml:space="preserve">PR-STO-06-010Ensaio de relação de transformação </t>
  </si>
  <si>
    <t>PR-STO-06-011</t>
  </si>
  <si>
    <t xml:space="preserve">PR-STO-06-011Ensaio de Corrente de excitação monofásica </t>
  </si>
  <si>
    <t>PR-STO-06-012</t>
  </si>
  <si>
    <t xml:space="preserve">PR-STO-06-012Ensaio de impedância de curto-circuito </t>
  </si>
  <si>
    <t>PR-STO-06-013</t>
  </si>
  <si>
    <t xml:space="preserve">PR-STO-06-013-014-015Ensaio no RTD, Relé de Gás e DAP </t>
  </si>
  <si>
    <t>PR-STO-06-016</t>
  </si>
  <si>
    <t xml:space="preserve">PR-STO-06-016- Ensaio de Estanqueidade </t>
  </si>
  <si>
    <t>PR-STO-06-018</t>
  </si>
  <si>
    <t xml:space="preserve">PR-STO-06-018Ensaio de Fator de Potência e Capacitância das buchas </t>
  </si>
  <si>
    <t>PR-STO-06-019</t>
  </si>
  <si>
    <t xml:space="preserve">PR-STO-06-019Ensaio nos TC's </t>
  </si>
  <si>
    <t xml:space="preserve">PR-STO-06-019Ensaio nos TCs </t>
  </si>
  <si>
    <t>PR-STO-06-020</t>
  </si>
  <si>
    <t xml:space="preserve">PR-STO-06-020Ensaio sistema de resfriamento </t>
  </si>
  <si>
    <t>PR-STO-07-000</t>
  </si>
  <si>
    <t xml:space="preserve">PR-STO-07-000Itens de manutenção e teste </t>
  </si>
  <si>
    <t>PR-STO-07-001</t>
  </si>
  <si>
    <t xml:space="preserve">PR-STO-07-001Ensaio de isolação em transformadores a seco </t>
  </si>
  <si>
    <t>PR-STO-07-002</t>
  </si>
  <si>
    <t xml:space="preserve">PR-STO-07-002Ensaio de resistência DC em transformadores à seco </t>
  </si>
  <si>
    <t>PR-STO-07-003</t>
  </si>
  <si>
    <t xml:space="preserve">PR-STO-07-003Ensaio de tensão aplicada em transformadores a seco </t>
  </si>
  <si>
    <t>PR-STO-07-004</t>
  </si>
  <si>
    <t xml:space="preserve">PR-STO-07-004Ensaio de relação de transformação e polaridade em transformadores a seco </t>
  </si>
  <si>
    <t>PR-STO-09-000</t>
  </si>
  <si>
    <t xml:space="preserve">PR-STO-09-000Itens de manutenção e teste </t>
  </si>
  <si>
    <t>PR-STO-09-001</t>
  </si>
  <si>
    <t xml:space="preserve">PR-STO-09-001Ensaio de resistência DC em barramento de painéis de média tensão </t>
  </si>
  <si>
    <t>PR-STO-09-002</t>
  </si>
  <si>
    <t xml:space="preserve">PR-STO-09-002Ensaio de isolação em barramento de painéis de média tensão </t>
  </si>
  <si>
    <t>PR-STO-09-003</t>
  </si>
  <si>
    <t xml:space="preserve">PR-STO-09-003Ensaio de tensão aplicada em barramento de painéis de média tensão </t>
  </si>
  <si>
    <t>PR-STO-09-004</t>
  </si>
  <si>
    <t xml:space="preserve">PR-STO-09-004Ensaio de disjuntores de média tensão </t>
  </si>
  <si>
    <t>PR-STO-09-005</t>
  </si>
  <si>
    <t xml:space="preserve">PR-STO-09-005Ensaio de tensão aplicada em disjuntores de média tensão </t>
  </si>
  <si>
    <t>PR-STO-09-006</t>
  </si>
  <si>
    <t xml:space="preserve">PR-STO-09-006Ensaio de TC de painéis de média tensão </t>
  </si>
  <si>
    <t>PR-STO-09-007</t>
  </si>
  <si>
    <t xml:space="preserve">PR-STO-09-007Ensaio de TP de painéis de média tensão </t>
  </si>
  <si>
    <t>PR-STO-09-008</t>
  </si>
  <si>
    <t xml:space="preserve">PR-STO-09-008Ensaio de protetores de surto de painéis de média tensão </t>
  </si>
  <si>
    <t>PR-STO-10-000</t>
  </si>
  <si>
    <t xml:space="preserve">PR-STO-10-000Itens de manutenção e teste </t>
  </si>
  <si>
    <t>PR-STO-10-001</t>
  </si>
  <si>
    <t xml:space="preserve">PR-STO-10-001Ensaio de isolação em barramento de painéis de baixa tensão </t>
  </si>
  <si>
    <t>PR-STO-10-002</t>
  </si>
  <si>
    <t xml:space="preserve">PR-STO-10-002Ensaio de resistência DC em barramento de painéis de baixa tensão </t>
  </si>
  <si>
    <t>PR-STO-10-003</t>
  </si>
  <si>
    <t xml:space="preserve">PR-STO-10-003Ensaio de tensão aplicada em barramento de painéis de baixa tensão </t>
  </si>
  <si>
    <t>PR-STO-10-004</t>
  </si>
  <si>
    <t xml:space="preserve">PR-STO-10-004Ensaio de disjuntores de caixa moldada em painéis de baixa tensão </t>
  </si>
  <si>
    <t>PR-STO-10-005</t>
  </si>
  <si>
    <t xml:space="preserve">PR-STO-10-005Ensaio de isolação em TP de painéis de baixa tensão </t>
  </si>
  <si>
    <t>PR-STO-10-006</t>
  </si>
  <si>
    <t xml:space="preserve">PR-STO-10-006Ensaio de isolação em cabos de painéis de baixa tensão </t>
  </si>
  <si>
    <t>PR-STO-10-007</t>
  </si>
  <si>
    <t xml:space="preserve">PR-STO-10-007- Ensaio de acoplamento automático de barras em painéis de baixa tensão </t>
  </si>
  <si>
    <t>PR-STO-11-000</t>
  </si>
  <si>
    <t xml:space="preserve">PR-STO-11-000Itens de manutenção e teste </t>
  </si>
  <si>
    <t>PR-STO-11-001</t>
  </si>
  <si>
    <t xml:space="preserve">PR-STO-11-001Ensaio de isolação em cabos até 35kV </t>
  </si>
  <si>
    <t>PR-STO-11-002</t>
  </si>
  <si>
    <t xml:space="preserve">PR-STO-11-002Ensaio de fator de perda dielétrica em cabos até 35kV </t>
  </si>
  <si>
    <t>PR-STO-11-003</t>
  </si>
  <si>
    <t xml:space="preserve">PR-STO-11-003Ensaio de tensão aplicada em cabos até 35kV </t>
  </si>
  <si>
    <t>PR-STO-12-001</t>
  </si>
  <si>
    <t xml:space="preserve">PR-STO-12-001Controle de alteração e backup software </t>
  </si>
  <si>
    <t>PR-STO-13-001</t>
  </si>
  <si>
    <t xml:space="preserve">PR-STO-13-001Resistência de Isolação </t>
  </si>
  <si>
    <t>PR-STO-13-002</t>
  </si>
  <si>
    <t xml:space="preserve">PR-STO-13-002Resistência de contato em relés auxiliares </t>
  </si>
  <si>
    <t>PR-STO-13-003</t>
  </si>
  <si>
    <t xml:space="preserve">PR-STO-13-003Ensaios em relés auxiliares </t>
  </si>
  <si>
    <t>PR-STO-13-004</t>
  </si>
  <si>
    <t xml:space="preserve">PR-STO-13-004Calibração de transdutores </t>
  </si>
  <si>
    <t>PR-STO-13-005</t>
  </si>
  <si>
    <t xml:space="preserve">PR-STO-13-005Ensaios em relés de sincronismo (ANSI 25) </t>
  </si>
  <si>
    <t>PR-STO-13-006</t>
  </si>
  <si>
    <t xml:space="preserve">PR-STO-13-006Controle de alteração e backup software </t>
  </si>
  <si>
    <t>PR-STO-14-001</t>
  </si>
  <si>
    <t xml:space="preserve">PR-STO-14-001Controle de alteração e backup software </t>
  </si>
  <si>
    <t>PR-STO-15-001</t>
  </si>
  <si>
    <t xml:space="preserve">PR-STO-15-001Ensaios em Transformadores de Corrente </t>
  </si>
  <si>
    <t>PR-STO-15-002</t>
  </si>
  <si>
    <t xml:space="preserve">PR-STO-15-002Ensaios em Transformadores de Potencial </t>
  </si>
  <si>
    <t>PR-STO-15-003</t>
  </si>
  <si>
    <t xml:space="preserve">PR-STO-15-003Ensaio de Isolação </t>
  </si>
  <si>
    <t>PR-STO-15-004</t>
  </si>
  <si>
    <t xml:space="preserve">PR-STO-15-004Ensaio de Resistência </t>
  </si>
  <si>
    <t>PR-STO-15-005</t>
  </si>
  <si>
    <t xml:space="preserve">PR-STO-15-005Ensaio de curva característica do TC </t>
  </si>
  <si>
    <t>PR-STO-15-006</t>
  </si>
  <si>
    <t xml:space="preserve">PR-STO-15-006Proteção Diferencial </t>
  </si>
  <si>
    <t>PR-STO-15-007</t>
  </si>
  <si>
    <t xml:space="preserve">PR-STO-15-007Proteção de Sobre e sub Frequência </t>
  </si>
  <si>
    <t>PR-STO-15-009</t>
  </si>
  <si>
    <t xml:space="preserve">PR-STO-15-009Proteção de Potencia Reversa </t>
  </si>
  <si>
    <t>PR-STO-15-011</t>
  </si>
  <si>
    <t xml:space="preserve">PR-STO-15-011Proteção de Subtensão </t>
  </si>
  <si>
    <t>PR-STO-15-012</t>
  </si>
  <si>
    <t xml:space="preserve">PR-STO-15-012Proteção de Energização Inadvertida </t>
  </si>
  <si>
    <t>PR-STO-15-013</t>
  </si>
  <si>
    <t xml:space="preserve">PR-STO-15-013Proteção de sobrecorrente com restrição de tensão </t>
  </si>
  <si>
    <t>PR-STO-15-014</t>
  </si>
  <si>
    <t xml:space="preserve">PR-STO-15-014Proteção Diferencial de terra restrita </t>
  </si>
  <si>
    <t>PR-STO-15-015</t>
  </si>
  <si>
    <t xml:space="preserve">PR-STO-15-015Proteção de Terra Rotor </t>
  </si>
  <si>
    <t>PR-STO-15-016</t>
  </si>
  <si>
    <t xml:space="preserve">PR-STO-15-016Proteção de Sequência Negativa </t>
  </si>
  <si>
    <t>PR-STO-15-017</t>
  </si>
  <si>
    <t xml:space="preserve">PR-STO-15-017Proteção de Perda de Excitação </t>
  </si>
  <si>
    <t>PR-STO-15-018</t>
  </si>
  <si>
    <t xml:space="preserve">PR-STO-15-018Proteção de Falha Fusível </t>
  </si>
  <si>
    <t>PR-STO-15-019</t>
  </si>
  <si>
    <t xml:space="preserve">PR-STO-15-019Proteção de Mínima Impedância </t>
  </si>
  <si>
    <t>PR-STO-15-020</t>
  </si>
  <si>
    <t xml:space="preserve">PR-STO-15-020Proteção Diferencial Transversal do Gerador </t>
  </si>
  <si>
    <t>PR-STO-15-021</t>
  </si>
  <si>
    <t xml:space="preserve">PR-STO-15-021Proteção de Terra Estator 95 </t>
  </si>
  <si>
    <t>PR-STO-15-022</t>
  </si>
  <si>
    <t xml:space="preserve">PR-STO-15-022Proteção de Terra Estator 100 </t>
  </si>
  <si>
    <t>PR-STO-15-023</t>
  </si>
  <si>
    <t xml:space="preserve">PR-STO-15-023Proteção de Sobretensão </t>
  </si>
  <si>
    <t>PR-STO-15-024</t>
  </si>
  <si>
    <t xml:space="preserve">PR-STO-15-024Proteção de Sobreexcitação </t>
  </si>
  <si>
    <t>PR-STO-15-025</t>
  </si>
  <si>
    <t xml:space="preserve">PR-STO-15-025Proteção de Sobrecarga </t>
  </si>
  <si>
    <t>PR-STO-15-026</t>
  </si>
  <si>
    <t xml:space="preserve">PR-STO-15-026Proteção de Falha Disjuntor </t>
  </si>
  <si>
    <t>PR-STO-15-027</t>
  </si>
  <si>
    <t xml:space="preserve">PR-STO-15-027Ensaio em relés de bloqueio-trip </t>
  </si>
  <si>
    <t>PR-STO-17-001</t>
  </si>
  <si>
    <t xml:space="preserve">PR-STO-17-001Ensaios em Transformadores de Corrente </t>
  </si>
  <si>
    <t>PR-STO-17-002</t>
  </si>
  <si>
    <t xml:space="preserve">PR-STO-17-002Ensaios em Transformadores de Potencial </t>
  </si>
  <si>
    <t>PR-STO-17-003</t>
  </si>
  <si>
    <t xml:space="preserve">PR-STO-17-003Ensaio de Isolação </t>
  </si>
  <si>
    <t>PR-STO-17-004</t>
  </si>
  <si>
    <t xml:space="preserve">PR-STO-17-004Ensaio de Resistência </t>
  </si>
  <si>
    <t>PR-STO-17-005</t>
  </si>
  <si>
    <t xml:space="preserve">PR-STO-17-005Ensaio de curva característica do TC </t>
  </si>
  <si>
    <t>PR-STO-17-006</t>
  </si>
  <si>
    <t xml:space="preserve">PR-STO-17-006Ensaio em relés de bloqueio-trip </t>
  </si>
  <si>
    <t>PR-STO-18-000</t>
  </si>
  <si>
    <t xml:space="preserve">PR-STO-18-000Check list de ensaios </t>
  </si>
  <si>
    <t>PR-STO-18-001</t>
  </si>
  <si>
    <t xml:space="preserve">PR-STO-18-001Ensaio de componentes e instumentos </t>
  </si>
  <si>
    <t>PR-STO-18-002</t>
  </si>
  <si>
    <t xml:space="preserve">PR-STO-18-002Ensaios de proteção sobretensão </t>
  </si>
  <si>
    <t>PR-STO-18-003</t>
  </si>
  <si>
    <t xml:space="preserve">PR-STO-18-003Ensaio isolação circuito primário </t>
  </si>
  <si>
    <t>PR-STO-18-004</t>
  </si>
  <si>
    <t xml:space="preserve">PR-STO-18-004Ensaio isolação circuito secundário </t>
  </si>
  <si>
    <t>PR-STO-18-005</t>
  </si>
  <si>
    <t xml:space="preserve">PR-STO-18-005Ensaios PLC </t>
  </si>
  <si>
    <t>PR-STO-18-006</t>
  </si>
  <si>
    <t xml:space="preserve">PR-STO-18-006Ensaios Simulação </t>
  </si>
  <si>
    <t>PR-STO-18-007</t>
  </si>
  <si>
    <t xml:space="preserve">PR-STO-18-007Ensaios funcionais </t>
  </si>
  <si>
    <t>PR-STO-19-000</t>
  </si>
  <si>
    <t xml:space="preserve">PR-STO-19-000Itens de manutenção e teste </t>
  </si>
  <si>
    <t>PR-STO-19-001</t>
  </si>
  <si>
    <t xml:space="preserve">PR-STO-19-001Ensaio de baterias </t>
  </si>
  <si>
    <t>PR-STO-19-002</t>
  </si>
  <si>
    <t xml:space="preserve">PR-STO-19-002Ensaio de capacidade e equalização de baterias </t>
  </si>
  <si>
    <t>PR-STO-19-003</t>
  </si>
  <si>
    <t xml:space="preserve">PR-STO-19-003Ensaio de retificadores e USCC </t>
  </si>
  <si>
    <t>PR-STO-20-001</t>
  </si>
  <si>
    <t xml:space="preserve">PR-STO-20-001Inspeção válvulas distribuidoras (CD e CR) </t>
  </si>
  <si>
    <t>PR-STO-20-002</t>
  </si>
  <si>
    <t xml:space="preserve">PR-STO-20-002Inspeção válvulas controle hidráulico </t>
  </si>
  <si>
    <t>PR-STO-20-003</t>
  </si>
  <si>
    <t xml:space="preserve">PR-STO-20-003Inspeção servomotor do distribuidor </t>
  </si>
  <si>
    <t>PR-STO-20-004</t>
  </si>
  <si>
    <t xml:space="preserve">PR-STO-20-004Inspeção sistema resfriamento RV </t>
  </si>
  <si>
    <t>PR-STO-20-005</t>
  </si>
  <si>
    <t xml:space="preserve">PR-STO-20-005Inspeção no acumulador ar e óleo </t>
  </si>
  <si>
    <t>PR-STO-20-006</t>
  </si>
  <si>
    <t xml:space="preserve">PR-STO-20-006Calibração válvula de segurança acumulador ar óleo </t>
  </si>
  <si>
    <t>PR-STO-20-007</t>
  </si>
  <si>
    <t xml:space="preserve">PR-STO-20-007Critérios de testes </t>
  </si>
  <si>
    <t>PR-STO-21-000</t>
  </si>
  <si>
    <t xml:space="preserve">PR-STO-21-000Check list de ensaios </t>
  </si>
  <si>
    <t>PR-STO-21-001</t>
  </si>
  <si>
    <t xml:space="preserve">PR-STO-21-001Ensaios de componentes instrumentos plc </t>
  </si>
  <si>
    <t>PR-STO-21-002</t>
  </si>
  <si>
    <t xml:space="preserve">PR-STO-21-002Ensaios circuitos elétricos </t>
  </si>
  <si>
    <t>PR-STO-21-003</t>
  </si>
  <si>
    <t xml:space="preserve">PR-STO-21-003Ensaios água morta </t>
  </si>
  <si>
    <t>PR-STO-21-004</t>
  </si>
  <si>
    <t xml:space="preserve">PR-STO-21-004Ensaios em vazio </t>
  </si>
  <si>
    <t>PR-STO-21-005</t>
  </si>
  <si>
    <t xml:space="preserve">PR-STO-21-005Ensaios em carga </t>
  </si>
  <si>
    <t>PR-STO-22-001</t>
  </si>
  <si>
    <t xml:space="preserve">PR-STO-22-001Itens de manutençãoCheck-list </t>
  </si>
  <si>
    <t>PR-STO-23-001</t>
  </si>
  <si>
    <t xml:space="preserve">PR-STO-23-001Itens de manutençãoCheck-list </t>
  </si>
  <si>
    <t>PR-STO-24-001</t>
  </si>
  <si>
    <t xml:space="preserve">PR-STO-24-001Itens de manutençãoCheck-list </t>
  </si>
  <si>
    <t>PR-STO-25-001</t>
  </si>
  <si>
    <t xml:space="preserve">PR-STO-25-001Ensaio de Isolação </t>
  </si>
  <si>
    <t>PR-STO-25-002</t>
  </si>
  <si>
    <t xml:space="preserve">PR-STO-25-002Ensaio de Resistência </t>
  </si>
  <si>
    <t>PR-STO-26-001</t>
  </si>
  <si>
    <t xml:space="preserve">PR-STO-26-001Itens de manutençãoCheck-list </t>
  </si>
  <si>
    <t>PR-STO-27-001</t>
  </si>
  <si>
    <t xml:space="preserve">PR-STO-27-001Itens de manutençãoCheck-list </t>
  </si>
  <si>
    <t>PR-STO-28-001</t>
  </si>
  <si>
    <t xml:space="preserve">PR-STO-28-001Itens de manutençãoCheck-list </t>
  </si>
  <si>
    <t>PR-STO-29-001</t>
  </si>
  <si>
    <t xml:space="preserve">PR-STO-29-001Itens de manutençãoCheck-list </t>
  </si>
  <si>
    <t>PR-STO-30-002</t>
  </si>
  <si>
    <t xml:space="preserve">PR-STO-30-002Medição dos ganchos </t>
  </si>
  <si>
    <t>PR-STO-30-003</t>
  </si>
  <si>
    <t xml:space="preserve">PR-STO-30-003Ajuste e medição nos freios </t>
  </si>
  <si>
    <t>PR-STO-33-001</t>
  </si>
  <si>
    <t xml:space="preserve">PR-STO-33-001Itens de manutençãoCheck-list </t>
  </si>
  <si>
    <t>PR-STO-40-001</t>
  </si>
  <si>
    <t xml:space="preserve">PR-STO-40-001Ensaio do sistema de iluminação </t>
  </si>
  <si>
    <t>PR-STO-40-002</t>
  </si>
  <si>
    <t xml:space="preserve">PR-STO-40-002Ensaio de pontos de tomada e de dispositivos DR </t>
  </si>
  <si>
    <t>PR-STO-41-001</t>
  </si>
  <si>
    <t xml:space="preserve">PR-STO-41-001Ensaio de resistência de aterramento </t>
  </si>
  <si>
    <t>PR-STO-41-002</t>
  </si>
  <si>
    <t xml:space="preserve">PR-STO-41-002Ensaio de tensão de toque e passo </t>
  </si>
  <si>
    <t>PR-STO-41-003</t>
  </si>
  <si>
    <t xml:space="preserve">PR-STO-41-003Ensaio de continuidade </t>
  </si>
  <si>
    <t>PR-STO-56-001</t>
  </si>
  <si>
    <t xml:space="preserve">PR-STO-56-001Ensaios em Transformadores de Corrente </t>
  </si>
  <si>
    <t>PR-STO-56-002</t>
  </si>
  <si>
    <t xml:space="preserve">PR-STO-56-002Ensaio de Isolação </t>
  </si>
  <si>
    <t>PR-STO-56-003</t>
  </si>
  <si>
    <t xml:space="preserve">PR-STO-56-003Ensaio em relés de bloqueio-trip </t>
  </si>
  <si>
    <t>PR-STO-56-004</t>
  </si>
  <si>
    <t xml:space="preserve">PR-STO-56-004Ensaio de Resistência </t>
  </si>
  <si>
    <t>PR-STO-57-001</t>
  </si>
  <si>
    <t xml:space="preserve">PR-STO-57-001Ensaios em Transformadores de Corrente </t>
  </si>
  <si>
    <t>PR-STO-57-002</t>
  </si>
  <si>
    <t xml:space="preserve">PR-STO-57-002Ensaios em Transformadores de Potencial </t>
  </si>
  <si>
    <t>PR-STO-57-003</t>
  </si>
  <si>
    <t xml:space="preserve">PR-STO-57-003Ensaio de Isolação </t>
  </si>
  <si>
    <t>PR-STO-57-004</t>
  </si>
  <si>
    <t xml:space="preserve">PR-STO-57-004Ensaio de Resistência </t>
  </si>
  <si>
    <t>PR-STO-57-005</t>
  </si>
  <si>
    <t xml:space="preserve">PR-STO-57-005Ensaio em relés de bloqueio-trip </t>
  </si>
  <si>
    <t>PR-STO-58-001</t>
  </si>
  <si>
    <t xml:space="preserve">PR-STO-58-001Itens de manutençãoCheck-list </t>
  </si>
  <si>
    <t>PR-STO-59-000</t>
  </si>
  <si>
    <t xml:space="preserve">PR-STO-59-000Itens de manutenção </t>
  </si>
  <si>
    <t>PR-STO-59-001</t>
  </si>
  <si>
    <t xml:space="preserve">PR-STO-59-001Ensaio de Isolação </t>
  </si>
  <si>
    <t>PR-STO-60-001</t>
  </si>
  <si>
    <t xml:space="preserve">PR-STO-60-001Itens de manutençãoCheck-list </t>
  </si>
  <si>
    <t>PR-STO-61-001</t>
  </si>
  <si>
    <t xml:space="preserve">PR-STO-61-001Itens de manutençãoCheck-list </t>
  </si>
  <si>
    <t>PR-STO-62-001</t>
  </si>
  <si>
    <t xml:space="preserve">PR-STO-62-001Itens de manutençãoCheck-list </t>
  </si>
  <si>
    <t>PR-STO-64-001</t>
  </si>
  <si>
    <t xml:space="preserve">PR-STO-64-001Itens de manutençãoCheck-list </t>
  </si>
  <si>
    <t>PR-STO-65-001</t>
  </si>
  <si>
    <t xml:space="preserve">PR-STO-65-001Itens de manutençãoCheck-list </t>
  </si>
  <si>
    <t>PR-STO-66-001</t>
  </si>
  <si>
    <t xml:space="preserve">PR-STO-66-001Itens de manutençãoCheck-list </t>
  </si>
  <si>
    <t>PR-STO-67-001</t>
  </si>
  <si>
    <t xml:space="preserve">PR-STO-67-001Itens de manutençãoCheck-list </t>
  </si>
  <si>
    <t>PR-STO-68-001</t>
  </si>
  <si>
    <t xml:space="preserve">PR-STO-68-001Itens de manutençãoCheck-list </t>
  </si>
  <si>
    <t>PR-TAQ-00-001</t>
  </si>
  <si>
    <t xml:space="preserve">PR-TAQ-00-001Inspeção Líquido Penetrante </t>
  </si>
  <si>
    <t>PR-TAQ-00-002</t>
  </si>
  <si>
    <t xml:space="preserve">PR-TAQ-00-002Inspeção Partículas Magnéticas </t>
  </si>
  <si>
    <t>PR-TAQ-00-003</t>
  </si>
  <si>
    <t xml:space="preserve">PR-TAQ-00-003Inspeção Ultrassom </t>
  </si>
  <si>
    <t>PR-TAQ-00-004</t>
  </si>
  <si>
    <t xml:space="preserve">PR-TAQ-00-004Ensaio de motores elétricos </t>
  </si>
  <si>
    <t>PR-TAQ-00-005</t>
  </si>
  <si>
    <t xml:space="preserve">PR-TAQ-00-005Calibração de instrumentos </t>
  </si>
  <si>
    <t>PR-TAQ-00-006</t>
  </si>
  <si>
    <t xml:space="preserve">PR-TAQ-00-006Ensaio de motobombas </t>
  </si>
  <si>
    <t>PR-TAQ-00-007</t>
  </si>
  <si>
    <t xml:space="preserve">PR-TAQ-00-007Inspeção de torque de elementos de fixação </t>
  </si>
  <si>
    <t>PR-TAQ-00-008</t>
  </si>
  <si>
    <t xml:space="preserve">PR-TAQ-00-008Inspeção de pintura </t>
  </si>
  <si>
    <t>PR-TAQ-00-009</t>
  </si>
  <si>
    <t xml:space="preserve">PR-TAQ-00-009Aferição de Manômetros </t>
  </si>
  <si>
    <t>PR-TAQ-01-001</t>
  </si>
  <si>
    <t xml:space="preserve">PR-TAQ-01-001Inspeção de concreto da caixa espiral </t>
  </si>
  <si>
    <t>PR-TAQ-01-002</t>
  </si>
  <si>
    <t xml:space="preserve">PR-TAQ-01-002Medição de B0, folga e esmagamento </t>
  </si>
  <si>
    <t>PR-TAQ-01-003</t>
  </si>
  <si>
    <t xml:space="preserve">PR-TAQ-01-003Inspeção nas buchas auto-lubrificantes das palhetas diretrizes </t>
  </si>
  <si>
    <t>PR-TAQ-01-004</t>
  </si>
  <si>
    <t xml:space="preserve">PR-TAQ-01-004Inspeção em pinos e buchas do bielismo </t>
  </si>
  <si>
    <t>PR-TAQ-01-006</t>
  </si>
  <si>
    <t xml:space="preserve">PR-TAQ-01-006Inspeção na camisa do sevomotor Kaplan </t>
  </si>
  <si>
    <t>PR-TAQ-01-007</t>
  </si>
  <si>
    <t xml:space="preserve">PR-TAQ-01-007Inspeção da bucha da espiga do rotor Kaplan </t>
  </si>
  <si>
    <t>PR-TAQ-01-008</t>
  </si>
  <si>
    <t xml:space="preserve">PR-TAQ-01-008Inspeção da espiga do servomotor </t>
  </si>
  <si>
    <t>PR-TAQ-01-009</t>
  </si>
  <si>
    <t xml:space="preserve">PR-TAQ-01-009Dimensional das buchas do munhões das pás do rotor Kaplan </t>
  </si>
  <si>
    <t>PR-TAQ-01-010</t>
  </si>
  <si>
    <t xml:space="preserve">PR-TAQ-01-010Inspeção em pinos das alavancas do servomotor da Kaplan </t>
  </si>
  <si>
    <t>PR-TAQ-01-011</t>
  </si>
  <si>
    <t xml:space="preserve">PR-TAQ-01-011Inspeção das bielas e parafusos olhais da Kaplan </t>
  </si>
  <si>
    <t>PR-TAQ-01-012</t>
  </si>
  <si>
    <t xml:space="preserve">PR-TAQ-01-012Inspeção nos parafusos de fixação das talas das pás Kaplan </t>
  </si>
  <si>
    <t>PR-TAQ-01-015</t>
  </si>
  <si>
    <t xml:space="preserve">PR-TAQ-01-015Inspeção dos parafusos de acoplamento com o eixo principal </t>
  </si>
  <si>
    <t>PR-TAQ-01-017</t>
  </si>
  <si>
    <t xml:space="preserve">PR-TAQ-01-017Medição de folga entre pá e aro câmara </t>
  </si>
  <si>
    <t>PR-TAQ-01-018</t>
  </si>
  <si>
    <t xml:space="preserve">PR-TAQ-01-018Espessura e bate chocoaro câmara </t>
  </si>
  <si>
    <t>PR-TAQ-01-020</t>
  </si>
  <si>
    <t xml:space="preserve">PR-TAQ-01-020Inspeção da bucha do cabeçote Kaplan </t>
  </si>
  <si>
    <t>PR-TAQ-01-021</t>
  </si>
  <si>
    <t xml:space="preserve">PR-TAQ-01-021Batimento da tubulação Kaplan </t>
  </si>
  <si>
    <t>PR-TAQ-01-023</t>
  </si>
  <si>
    <t xml:space="preserve">PR-TAQ-01-023Batimento da pista de inox da vedação do eixo </t>
  </si>
  <si>
    <t>PR-TAQ-01-024</t>
  </si>
  <si>
    <t xml:space="preserve">PR-TAQ-01-024Batimento do anel de desgaste da vedação do eixo </t>
  </si>
  <si>
    <t>PR-TAQ-01-025</t>
  </si>
  <si>
    <t xml:space="preserve">PR-TAQ-01-025Espessura do anel de desgaste da vedação do eixo </t>
  </si>
  <si>
    <t>PR-TAQ-01-026</t>
  </si>
  <si>
    <t xml:space="preserve">PR-TAQ-01-026Ensaio na vedação de manutenção </t>
  </si>
  <si>
    <t>PR-TAQ-01-027</t>
  </si>
  <si>
    <t xml:space="preserve">PR-TAQ-01-027Medição de tempo de recalque das bombas de drenagem da tampa </t>
  </si>
  <si>
    <t>PR-TAQ-01-028</t>
  </si>
  <si>
    <t xml:space="preserve">PR-TAQ-01-028Ensaio das bombas de injeção de água da vedação do eixo </t>
  </si>
  <si>
    <t>PR-TAQ-01-034</t>
  </si>
  <si>
    <t xml:space="preserve">PR-TAQ-01-034Inspeção no tubo de sucção e caixa espiral </t>
  </si>
  <si>
    <t>PR-TAQ-01-035</t>
  </si>
  <si>
    <t xml:space="preserve">PR-TAQ-01-035Inspeção dos parafusos de união da tampa superior com o pré-distribuidor após aperto </t>
  </si>
  <si>
    <t>PR-TAQ-01-041</t>
  </si>
  <si>
    <t xml:space="preserve">PR-TAQ-01-041Inspeção em regiões cavitadasKaplan </t>
  </si>
  <si>
    <t>PR-TAQ-02-001</t>
  </si>
  <si>
    <t xml:space="preserve">PR-TAQ-02-001Medição e ajuste de centro, elevação e nível da cruzeta superiorFalta Informação do desenho </t>
  </si>
  <si>
    <t>PR-TAQ-02-002</t>
  </si>
  <si>
    <t xml:space="preserve">PR-TAQ-02-002Inspeção dos flanges da cruzeta </t>
  </si>
  <si>
    <t>PR-TAQ-02-003</t>
  </si>
  <si>
    <t xml:space="preserve">PR-TAQ-02-003Medição de circularidade e excentricidade do estator </t>
  </si>
  <si>
    <t>PR-TAQ-02-004</t>
  </si>
  <si>
    <t xml:space="preserve">PR-TAQ-02-004Insp. dos parafusos acop., pinos entre carcaça estator e pedestais </t>
  </si>
  <si>
    <t>PR-TAQ-02-005</t>
  </si>
  <si>
    <t xml:space="preserve">PR-TAQ-02-005Insp. do núcleo do estator </t>
  </si>
  <si>
    <t>PR-TAQ-02-006</t>
  </si>
  <si>
    <t xml:space="preserve">PR-TAQ-02-006Inspeção dos tirantes de fixação do núcleo do estator (isolação) </t>
  </si>
  <si>
    <t>PR-TAQ-02-007</t>
  </si>
  <si>
    <t xml:space="preserve">PR-TAQ-02-007Inspeção das guias de ar </t>
  </si>
  <si>
    <t>PR-TAQ-02-008</t>
  </si>
  <si>
    <t xml:space="preserve">PR-TAQ-02-008Medição do entreferro </t>
  </si>
  <si>
    <t>PR-TAQ-02-009</t>
  </si>
  <si>
    <t xml:space="preserve">PR-TAQ-02-009Medição de circularidade e excentricidade do rotor </t>
  </si>
  <si>
    <t>PR-TAQ-02-010</t>
  </si>
  <si>
    <t xml:space="preserve">PR-TAQ-02-010Ajuste da circularidade do rotor </t>
  </si>
  <si>
    <t>PR-TAQ-02-011</t>
  </si>
  <si>
    <t xml:space="preserve">PR-TAQ-02-011Medição do nivelamento dos polos </t>
  </si>
  <si>
    <t>PR-TAQ-02-012</t>
  </si>
  <si>
    <t xml:space="preserve">PR-TAQ-02-012Inspeção dos parafusos e pinos de acoplamento do rotor com o bloco de escora </t>
  </si>
  <si>
    <t>PR-TAQ-02-013</t>
  </si>
  <si>
    <t xml:space="preserve">PR-TAQ-02-013Inspeção da pista de frenagem </t>
  </si>
  <si>
    <t>PR-TAQ-02-014</t>
  </si>
  <si>
    <t xml:space="preserve">PR-TAQ-02-014Medição de centro (Caixa eixo) e ajuste do mancal guia </t>
  </si>
  <si>
    <t>PR-TAQ-02-015</t>
  </si>
  <si>
    <t xml:space="preserve">PR-TAQ-02-015Medição e ajuste do nivelamento dos segmentos do mancal de escora </t>
  </si>
  <si>
    <t>PR-TAQ-02-016</t>
  </si>
  <si>
    <t xml:space="preserve">PR-TAQ-02-016Medição de nivelamento e ajuste da superfície para a instalação dos segmentos do mancal de escora </t>
  </si>
  <si>
    <t>PR-TAQ-02-017</t>
  </si>
  <si>
    <t xml:space="preserve">PR-TAQ-02-017Inspeção dos espelhos do bloco de escora </t>
  </si>
  <si>
    <t>PR-TAQ-02-018</t>
  </si>
  <si>
    <t xml:space="preserve">PR-TAQ-02-018Inspeção dos parafusos e pinos do bloco de escora e o rotor do gerador </t>
  </si>
  <si>
    <t>PR-TAQ-02-019</t>
  </si>
  <si>
    <t xml:space="preserve">PR-TAQ-02-019Inspeção entre o eixo e o bloco de escora </t>
  </si>
  <si>
    <t>PR-TAQ-02-020</t>
  </si>
  <si>
    <t xml:space="preserve">PR-TAQ-02-020Verificação do nível de óleo </t>
  </si>
  <si>
    <t>PR-TAQ-02-021</t>
  </si>
  <si>
    <t xml:space="preserve">PR-TAQ-02-021Inspeção dos flanges do suporte do MC </t>
  </si>
  <si>
    <t>PR-TAQ-02-022</t>
  </si>
  <si>
    <t xml:space="preserve">PR-TAQ-02-022Inspeção dos flanges do cone de sustentação </t>
  </si>
  <si>
    <t>PR-TAQ-02-023</t>
  </si>
  <si>
    <t xml:space="preserve">PR-TAQ-02-023Medição de nivelamento das lonas de freio </t>
  </si>
  <si>
    <t>PR-TAQ-02-024</t>
  </si>
  <si>
    <t xml:space="preserve">PR-TAQ-02-024Inspeção dos macacos de frenagem </t>
  </si>
  <si>
    <t>PR-TAQ-02-025</t>
  </si>
  <si>
    <t xml:space="preserve">PR-TAQ-02-025Medição e ajuste da distância entre a lona de frenagem e a pista de frenagem </t>
  </si>
  <si>
    <t>PR-TAQ-02-026</t>
  </si>
  <si>
    <t xml:space="preserve">PR-TAQ-02-026Entreferro (run-out e verticalidadeDinâmico </t>
  </si>
  <si>
    <t>PR-TAQ-02-027</t>
  </si>
  <si>
    <t xml:space="preserve">PR-TAQ-02-027Verticalidade </t>
  </si>
  <si>
    <t>PR-TAQ-02-028</t>
  </si>
  <si>
    <t xml:space="preserve">PR-TAQ-02-028Run-out </t>
  </si>
  <si>
    <t>PR-TAQ-02-029</t>
  </si>
  <si>
    <t xml:space="preserve">PR-TAQ-02-029ComissionamentoVibração, oscilação, temperaturas, tempos e pressões </t>
  </si>
  <si>
    <t>PR-TAQ-02-030</t>
  </si>
  <si>
    <t xml:space="preserve">PR-TAQ-02-030Medição de folga do Mancal de Guia </t>
  </si>
  <si>
    <t>PR-TAQ-02-031</t>
  </si>
  <si>
    <t xml:space="preserve">PR-TAQ-02-031Elevação do cone suporte (escora) </t>
  </si>
  <si>
    <t>PR-TAQ-02-032</t>
  </si>
  <si>
    <t xml:space="preserve">PR-TAQ-02-032Inspeção do nivel de oleo </t>
  </si>
  <si>
    <t>PR-TAQ-03-000</t>
  </si>
  <si>
    <t xml:space="preserve">PR-TAQ-03-000Manutencao Geradorinspeção e limpeza geral </t>
  </si>
  <si>
    <t>PR-TAQ-03-001</t>
  </si>
  <si>
    <t xml:space="preserve">PR-TAQ-03-001Inspeção com termografia no Gerador </t>
  </si>
  <si>
    <t>PR-TAQ-03-002</t>
  </si>
  <si>
    <t xml:space="preserve">PR-TAQ-03-002Inspeção no enrolamento do estatorcabeças de bobina </t>
  </si>
  <si>
    <t>PR-TAQ-03-003</t>
  </si>
  <si>
    <t xml:space="preserve">PR-TAQ-03-003Inspeção no enrolamento do estatoraneis de surto e barramento circular </t>
  </si>
  <si>
    <t>PR-TAQ-03-004</t>
  </si>
  <si>
    <t xml:space="preserve">PR-TAQ-03-004Inspeção no nucleo do estatordedos pressao e escadinha </t>
  </si>
  <si>
    <t>PR-TAQ-03-005</t>
  </si>
  <si>
    <t xml:space="preserve">PR-TAQ-03-005Inspeção no nucleo do estatorcunhas de fechamento de ranhuras </t>
  </si>
  <si>
    <t>PR-TAQ-03-006</t>
  </si>
  <si>
    <t xml:space="preserve">PR-TAQ-03-006Inspeção nos polosbobinas e conexoes principais e amortecedor </t>
  </si>
  <si>
    <t>PR-TAQ-03-007</t>
  </si>
  <si>
    <t xml:space="preserve">PR-TAQ-03-007Inspeção campo- regulador_porta escovasanel coletor_polos </t>
  </si>
  <si>
    <t>PR-TAQ-03-008</t>
  </si>
  <si>
    <t xml:space="preserve">PR-TAQ-03-008Manutencao Estatordesmontagem e montagem das conexoes flexiveis </t>
  </si>
  <si>
    <t>PR-TAQ-03-009</t>
  </si>
  <si>
    <t xml:space="preserve">PR-TAQ-03-009Ensaios na substituiçao de barra </t>
  </si>
  <si>
    <t>PR-TAQ-03-010</t>
  </si>
  <si>
    <t xml:space="preserve">PR-TAQ-03-010Manutencao Estatorsecagem enrolamento </t>
  </si>
  <si>
    <t>PR-TAQ-03-011</t>
  </si>
  <si>
    <t xml:space="preserve">PR-TAQ-03-011Manutencao Polosmontagem e controle das conexoes principais e amortecedor </t>
  </si>
  <si>
    <t>PR-TAQ-03-012</t>
  </si>
  <si>
    <t xml:space="preserve">PR-TAQ-03-012Manutencao Polos -substituição de polo </t>
  </si>
  <si>
    <t>PR-TAQ-03-013</t>
  </si>
  <si>
    <t xml:space="preserve">PR-TAQ-03-013Manutancao Rotordesmontagem e montagem barramento de campo </t>
  </si>
  <si>
    <t>PR-TAQ-03-014</t>
  </si>
  <si>
    <t xml:space="preserve">PR-TAQ-03-014Manutancao porta escovas </t>
  </si>
  <si>
    <t>PR-TAQ-03-015</t>
  </si>
  <si>
    <t xml:space="preserve">PR-TAQ-03-015Manutancao aneis coletores </t>
  </si>
  <si>
    <t>PR-TAQ-03-016</t>
  </si>
  <si>
    <t xml:space="preserve">PR-TAQ-03-016Inspeção cubiculo aterramento neutro </t>
  </si>
  <si>
    <t>PR-TAQ-03-101</t>
  </si>
  <si>
    <t xml:space="preserve">PR-TAQ-03-101Testes enrolamento estator e rotorisolação IP IA ok </t>
  </si>
  <si>
    <t xml:space="preserve">PR-TAQ-03-101Testes enrolamento estator e rotorisolação IP IA </t>
  </si>
  <si>
    <t>PR-TAQ-03-102</t>
  </si>
  <si>
    <t xml:space="preserve">PR-TAQ-03-102Testes enrolamento estator e rotorResistência Ohmica </t>
  </si>
  <si>
    <t>PR-TAQ-03-103</t>
  </si>
  <si>
    <t xml:space="preserve">PR-TAQ-03-103Testes enrolamento estatorensaio de corrente de fuga </t>
  </si>
  <si>
    <t>PR-TAQ-03-104</t>
  </si>
  <si>
    <t xml:space="preserve">PR-TAQ-03-104Testes enrolamento estatortangente delta RevB </t>
  </si>
  <si>
    <t>PR-TAQ-03-105</t>
  </si>
  <si>
    <t xml:space="preserve">PR-TAQ-03-105Testes enrolamento estator e rotorTensao Aplicada (hipot) AC-CC </t>
  </si>
  <si>
    <t>PR-TAQ-03-106</t>
  </si>
  <si>
    <t xml:space="preserve">PR-TAQ-03-106Testes enrolamento rotorResistencia ohmica das conexoes polares </t>
  </si>
  <si>
    <t>PR-TAQ-03-107</t>
  </si>
  <si>
    <t xml:space="preserve">PR-TAQ-03-107Testes enrolamento rotorEnsaio de queda de tensao nos polos </t>
  </si>
  <si>
    <t>PR-TAQ-03-108</t>
  </si>
  <si>
    <t xml:space="preserve">PR-TAQ-03-108Testes circuito de campomedição isolação componentes </t>
  </si>
  <si>
    <t>PR-TAQ-03-109</t>
  </si>
  <si>
    <t xml:space="preserve">PR-TAQ-03-109Testes enrolamento estatortensão de ranhura </t>
  </si>
  <si>
    <t>PR-TAQ-03-110</t>
  </si>
  <si>
    <t xml:space="preserve">PR-TAQ-03-110Ensaios nos RTDs </t>
  </si>
  <si>
    <t>PR-TAQ-03-111</t>
  </si>
  <si>
    <t xml:space="preserve">PR-TAQ-03-111Testes enrolamento estator- Ensaio de corona visual </t>
  </si>
  <si>
    <t>PR-TAQ-03-112</t>
  </si>
  <si>
    <t xml:space="preserve">PR-TAQ-03-112Ensaios equipmts auxpainel de neutro </t>
  </si>
  <si>
    <t>PR-TAQ-03-113</t>
  </si>
  <si>
    <t xml:space="preserve">PR-TAQ-03-113Ensaios nos aquecedores de maq parada </t>
  </si>
  <si>
    <t>PR-TAQ-03-114</t>
  </si>
  <si>
    <t xml:space="preserve">PR-TAQ-03-114Ensaios para levantamento das curvas caracterisitcas </t>
  </si>
  <si>
    <t>PR-TAQ-03-115</t>
  </si>
  <si>
    <t xml:space="preserve">PR-TAQ-03-115Ensaio de aquecimento do Gerador </t>
  </si>
  <si>
    <t>PR-TAQ-04-001</t>
  </si>
  <si>
    <t xml:space="preserve">PR-TAQ-04-001Ensaio de automatismo de motoresbombas </t>
  </si>
  <si>
    <t>PR-TAQ-04-002</t>
  </si>
  <si>
    <t xml:space="preserve">PR-TAQ-04-002Ensaio de automatismo do sistema hidráulico RV </t>
  </si>
  <si>
    <t>PR-TAQ-04-003</t>
  </si>
  <si>
    <t xml:space="preserve">PR-TAQ-04-003Ensaio de Fluxostatos </t>
  </si>
  <si>
    <t>PR-TAQ-04-004</t>
  </si>
  <si>
    <t xml:space="preserve">PR-TAQ-04-004Ensaio de fontes de alimentação </t>
  </si>
  <si>
    <t>PR-TAQ-04-005</t>
  </si>
  <si>
    <t xml:space="preserve">PR-TAQ-04-005Ensaio de Resistência de Isolação </t>
  </si>
  <si>
    <t>PR-TAQ-04-006</t>
  </si>
  <si>
    <t xml:space="preserve">PR-TAQ-04-006Ensaio de Pressostatos </t>
  </si>
  <si>
    <t>PR-TAQ-04-007</t>
  </si>
  <si>
    <t xml:space="preserve">PR-TAQ-04-007Ensaio de relés de subtensão </t>
  </si>
  <si>
    <t>PR-TAQ-04-008</t>
  </si>
  <si>
    <t xml:space="preserve">PR-TAQ-04-008Ensaio de relés temporizadores </t>
  </si>
  <si>
    <t>PR-TAQ-04-009</t>
  </si>
  <si>
    <t xml:space="preserve">PR-TAQ-04-009Ensaio de Resistência de contato em relés auxiliares </t>
  </si>
  <si>
    <t>PR-TAQ-04-010</t>
  </si>
  <si>
    <t xml:space="preserve">PR-TAQ-04-010Ensaio de sensores atuadores de posição </t>
  </si>
  <si>
    <t>PR-TAQ-04-011</t>
  </si>
  <si>
    <t xml:space="preserve">PR-TAQ-04-011Ensaio de simulação de partida e parada UAC </t>
  </si>
  <si>
    <t>PR-TAQ-04-012</t>
  </si>
  <si>
    <t xml:space="preserve">PR-TAQ-04-012Ensaio de sistema de água de refrigeração </t>
  </si>
  <si>
    <t>PR-TAQ-04-013</t>
  </si>
  <si>
    <t xml:space="preserve">PR-TAQ-04-013Ensaio de sistema de aquecimento gerador </t>
  </si>
  <si>
    <t>PR-TAQ-04-014</t>
  </si>
  <si>
    <t xml:space="preserve">PR-TAQ-04-014Ensaio de sistema de frenagem </t>
  </si>
  <si>
    <t>PR-TAQ-04-015</t>
  </si>
  <si>
    <t xml:space="preserve">PR-TAQ-04-015Ensaio de transferência automática de fontes </t>
  </si>
  <si>
    <t>PR-TAQ-04-016</t>
  </si>
  <si>
    <t xml:space="preserve">PR-TAQ-04-016Ensaio de transmissores de pressão </t>
  </si>
  <si>
    <t>PR-TAQ-04-017</t>
  </si>
  <si>
    <t xml:space="preserve">PR-TAQ-04-017Ensaio de transmissores de temperatura </t>
  </si>
  <si>
    <t>PR-TAQ-04-018</t>
  </si>
  <si>
    <t xml:space="preserve">PR-TAQ-04-018Ensaio de transmissores de vazão </t>
  </si>
  <si>
    <t>PR-TAQ-04-019</t>
  </si>
  <si>
    <t xml:space="preserve">PR-TAQ-04-019Ensaio dos sensores de pinos de cisalhamento das diretrizes </t>
  </si>
  <si>
    <t>PR-TAQ-04-020</t>
  </si>
  <si>
    <t xml:space="preserve">PR-TAQ-04-020Ensaio do sistema de filtragem de água de refrigeração </t>
  </si>
  <si>
    <t>PR-TAQ-04-021</t>
  </si>
  <si>
    <t xml:space="preserve">PR-TAQ-04-021Tabela de controle desconexão e conexão de cabos </t>
  </si>
  <si>
    <t>PR-TAQ-04-022</t>
  </si>
  <si>
    <t xml:space="preserve">PR-TAQ-04-022Ensaio de Transferencia de fontes de alimentação </t>
  </si>
  <si>
    <t>PR-TAQ-05-000</t>
  </si>
  <si>
    <t xml:space="preserve">PR-TAQ-05-000Itens de manutenção e teste </t>
  </si>
  <si>
    <t>PR-TAQ-05-003</t>
  </si>
  <si>
    <t xml:space="preserve">PR-TAQ-05-003Ensaio de isolação em barramento blindado </t>
  </si>
  <si>
    <t>PR-TAQ-05-004</t>
  </si>
  <si>
    <t xml:space="preserve">PR-TAQ-05-004Ensaio de tensão aplicada em barramento blindado </t>
  </si>
  <si>
    <t>PR-TAQ-05-005</t>
  </si>
  <si>
    <t xml:space="preserve">PR-TAQ-05-005Ensaio de TC de cubículos do gerador </t>
  </si>
  <si>
    <t>PR-TAQ-05-006</t>
  </si>
  <si>
    <t xml:space="preserve">PR-TAQ-05-006Ensaio de TP de cubículos do gerador </t>
  </si>
  <si>
    <t>PR-TAQ-05-007</t>
  </si>
  <si>
    <t xml:space="preserve">PR-TAQ-05-007Ensaio de protetores de surto do gerador </t>
  </si>
  <si>
    <t>PR-TAQ-06-001</t>
  </si>
  <si>
    <t xml:space="preserve">PR-TAQ-06-001Inspeção visual do tanque sistema de preservação e resfriamento </t>
  </si>
  <si>
    <t xml:space="preserve">PR-TAQ-06-001Inspeção visual do tanque, sistema de preservação e resfriamento </t>
  </si>
  <si>
    <t>PR-TAQ-06-002</t>
  </si>
  <si>
    <t xml:space="preserve">PR-TAQ-06-002Inspeção visual das buchas </t>
  </si>
  <si>
    <t>PR-TAQ-06-003</t>
  </si>
  <si>
    <t xml:space="preserve">PR-TAQ-06-003Inspeção visual dos TCs de bucha </t>
  </si>
  <si>
    <t>PR-TAQ-06-004</t>
  </si>
  <si>
    <t xml:space="preserve">PR-TAQ-06-004Inspeção visual indicadores e termômetros </t>
  </si>
  <si>
    <t>PR-TAQ-06-005</t>
  </si>
  <si>
    <t xml:space="preserve">PR-TAQ-06-005Inspeção visual do relé de gás e DAP </t>
  </si>
  <si>
    <t>PR-TAQ-06-006</t>
  </si>
  <si>
    <t xml:space="preserve">PR-TAQ-06-006Inspeção visual painel de controle </t>
  </si>
  <si>
    <t>PR-TAQ-06-007</t>
  </si>
  <si>
    <t xml:space="preserve">PR-TAQ-06-007 e PR-TAQ-06-021Ensaio de Resistência de isolamento </t>
  </si>
  <si>
    <t>PR-TAQ-06-008</t>
  </si>
  <si>
    <t xml:space="preserve">PR-TAQ-06-008Ensaio de Resistência elétrica dos Enrolamentos </t>
  </si>
  <si>
    <t>PR-TAQ-06-009</t>
  </si>
  <si>
    <t xml:space="preserve">PR-TAQ-06-009Ensaio de Fator de Potência e Capacitância dos enrolamentos </t>
  </si>
  <si>
    <t>PR-TAQ-06-010</t>
  </si>
  <si>
    <t xml:space="preserve">PR-TAQ-06-010Ensaio de relação de transformação </t>
  </si>
  <si>
    <t>PR-TAQ-06-011</t>
  </si>
  <si>
    <t xml:space="preserve">PR-TAQ-06-011Ensaio de Corrente de excitação monofásica </t>
  </si>
  <si>
    <t>PR-TAQ-06-012</t>
  </si>
  <si>
    <t xml:space="preserve">PR-TAQ-06-012Ensaio de impedância de curto-circuito </t>
  </si>
  <si>
    <t>PR-TAQ-06-013</t>
  </si>
  <si>
    <t xml:space="preserve">PR-TAQ-06-013-014-015Ensaio no RTD, Relé de Gás e DAP </t>
  </si>
  <si>
    <t>PR-TAQ-06-016</t>
  </si>
  <si>
    <t xml:space="preserve">PR-TAQ-06-016- Ensaio de Estanqueidade </t>
  </si>
  <si>
    <t>PR-TAQ-06-018</t>
  </si>
  <si>
    <t xml:space="preserve">PR-TAQ-06-018Ensaio de Fator de Potência e Capacitância das buchas </t>
  </si>
  <si>
    <t>PR-TAQ-06-019</t>
  </si>
  <si>
    <t xml:space="preserve">PR-TAQ-06-019Ensaio nos TCs </t>
  </si>
  <si>
    <t>PR-TAQ-06-020</t>
  </si>
  <si>
    <t xml:space="preserve">PR-TAQ-06-020Ensaio sistema de resfriamento </t>
  </si>
  <si>
    <t>PR-TAQ-07-000</t>
  </si>
  <si>
    <t xml:space="preserve">PR-TAQ-07-000Itens de manutenção e teste </t>
  </si>
  <si>
    <t>PR-TAQ-07-001</t>
  </si>
  <si>
    <t xml:space="preserve">PR-TAQ-07-001Ensaio de isolação em transformadores a seco </t>
  </si>
  <si>
    <t>PR-TAQ-07-002</t>
  </si>
  <si>
    <t xml:space="preserve">PR-TAQ-07-002Ensaio de resistência DC em transformadores à seco </t>
  </si>
  <si>
    <t>PR-TAQ-07-003</t>
  </si>
  <si>
    <t xml:space="preserve">PR-TAQ-07-003Ensaio de tensão aplicada em transformadores a seco </t>
  </si>
  <si>
    <t>PR-TAQ-07-004</t>
  </si>
  <si>
    <t xml:space="preserve">PR-TAQ-07-004Ensaio de relação de transformação e polaridade em transformadores a seco </t>
  </si>
  <si>
    <t>PR-TAQ-09-000</t>
  </si>
  <si>
    <t xml:space="preserve">PR-TAQ-09-000Itens de manutenção e teste </t>
  </si>
  <si>
    <t>PR-TAQ-09-001</t>
  </si>
  <si>
    <t xml:space="preserve">PR-TAQ-09-001Ensaio de resistência DC em barramento de painéis de média tensão </t>
  </si>
  <si>
    <t>PR-TAQ-09-002</t>
  </si>
  <si>
    <t xml:space="preserve">PR-TAQ-09-002Ensaio de isolação em barramento de painéis de média tensão </t>
  </si>
  <si>
    <t>PR-TAQ-09-003</t>
  </si>
  <si>
    <t xml:space="preserve">PR-TAQ-09-003Ensaio de tensão aplicada em barramento de painéis de média tensão </t>
  </si>
  <si>
    <t>PR-TAQ-09-004</t>
  </si>
  <si>
    <t xml:space="preserve">PR-TAQ-09-004Ensaio de disjuntores de média tensão </t>
  </si>
  <si>
    <t>PR-TAQ-09-005</t>
  </si>
  <si>
    <t xml:space="preserve">PR-TAQ-09-005Ensaio de tensão aplicada em disjuntores de média tensão </t>
  </si>
  <si>
    <t>PR-TAQ-09-006</t>
  </si>
  <si>
    <t xml:space="preserve">PR-TAQ-09-006Ensaio de TC de painéis de média tensão </t>
  </si>
  <si>
    <t>PR-TAQ-09-007</t>
  </si>
  <si>
    <t xml:space="preserve">PR-TAQ-09-007Ensaio de TP de painéis de média tensão </t>
  </si>
  <si>
    <t>PR-TAQ-09-008</t>
  </si>
  <si>
    <t xml:space="preserve">PR-TAQ-09-008Ensaio de protetores de surto de painéis de média tensão </t>
  </si>
  <si>
    <t>PR-TAQ-10-000</t>
  </si>
  <si>
    <t xml:space="preserve">PR-TAQ-10-000Itens de manutenção e teste </t>
  </si>
  <si>
    <t>PR-TAQ-10-001</t>
  </si>
  <si>
    <t xml:space="preserve">PR-TAQ-10-001Ensaio de isolação em barramento de painéis de baixa tensão </t>
  </si>
  <si>
    <t>PR-TAQ-10-002</t>
  </si>
  <si>
    <t xml:space="preserve">PR-TAQ-10-002Ensaio de resistência DC em barramento de painéis de baixa tensão </t>
  </si>
  <si>
    <t>PR-TAQ-10-003</t>
  </si>
  <si>
    <t xml:space="preserve">PR-TAQ-10-003Ensaio de tensão aplicada em barramento de painéis de baixa tensão </t>
  </si>
  <si>
    <t>PR-TAQ-10-004</t>
  </si>
  <si>
    <t xml:space="preserve">PR-TAQ-10-004Ensaio de disjuntores de caixa moldada em painéis de baixa tensão </t>
  </si>
  <si>
    <t>PR-TAQ-10-005</t>
  </si>
  <si>
    <t xml:space="preserve">PR-TAQ-10-005Ensaio de isolação em TP de painéis de baixa tensão </t>
  </si>
  <si>
    <t>PR-TAQ-10-006</t>
  </si>
  <si>
    <t xml:space="preserve">PR-TAQ-10-006Ensaio de isolação em cabos de painéis de baixa tensão </t>
  </si>
  <si>
    <t>PR-TAQ-10-007</t>
  </si>
  <si>
    <t xml:space="preserve">PR-TAQ-10-007- Ensaio de acoplamento automático de barras em painéis de baixa tensão </t>
  </si>
  <si>
    <t>PR-TAQ-11-000</t>
  </si>
  <si>
    <t xml:space="preserve">PR-TAQ-11-000Itens de manutenção e teste </t>
  </si>
  <si>
    <t>PR-TAQ-11-001</t>
  </si>
  <si>
    <t xml:space="preserve">PR-TAQ-11-001Ensaio de isolação em cabos até 35kV </t>
  </si>
  <si>
    <t>PR-TAQ-11-002</t>
  </si>
  <si>
    <t xml:space="preserve">PR-TAQ-11-002Ensaio de fator de perda dielétrica em cabos até 35kV </t>
  </si>
  <si>
    <t>PR-TAQ-11-003</t>
  </si>
  <si>
    <t xml:space="preserve">PR-TAQ-11-003Ensaio de tensão aplicada em cabos até 35kV </t>
  </si>
  <si>
    <t>PR-TAQ-12-001</t>
  </si>
  <si>
    <t xml:space="preserve">PR-TAQ-12-001Controle de alteração e backup software </t>
  </si>
  <si>
    <t>PR-TAQ-13-001</t>
  </si>
  <si>
    <t xml:space="preserve">PR-TAQ-13-001Resistência de Isolação </t>
  </si>
  <si>
    <t>PR-TAQ-13-002</t>
  </si>
  <si>
    <t xml:space="preserve">PR-TAQ-13-002Resistência de contato em relés auxiliares </t>
  </si>
  <si>
    <t>PR-TAQ-13-003</t>
  </si>
  <si>
    <t xml:space="preserve">PR-TAQ-13-003Ensaios em relés auxiliares </t>
  </si>
  <si>
    <t>PR-TAQ-13-004</t>
  </si>
  <si>
    <t xml:space="preserve">PR-TAQ-13-004Calibração de transdutores </t>
  </si>
  <si>
    <t>PR-TAQ-13-005</t>
  </si>
  <si>
    <t xml:space="preserve">PR-TAQ-13-005Ensaios em relés de sincronismo (ANSI 25) </t>
  </si>
  <si>
    <t>PR-TAQ-13-006</t>
  </si>
  <si>
    <t xml:space="preserve">PR-TAQ-13-006Controle de alteração e backup software </t>
  </si>
  <si>
    <t>PR-TAQ-14-001</t>
  </si>
  <si>
    <t xml:space="preserve">PR-TAQ-14-001Controle de alteração e backup software </t>
  </si>
  <si>
    <t>PR-TAQ-15-001</t>
  </si>
  <si>
    <t xml:space="preserve">PR-TAQ-15-001Ensaios em Transformadores de Corrente </t>
  </si>
  <si>
    <t>PR-TAQ-15-002</t>
  </si>
  <si>
    <t xml:space="preserve">PR-TAQ-15-002Ensaios em Transformadores de Potencial </t>
  </si>
  <si>
    <t>PR-TAQ-15-003</t>
  </si>
  <si>
    <t xml:space="preserve">PR-TAQ-15-003Ensaio de Isolação </t>
  </si>
  <si>
    <t>PR-TAQ-15-004</t>
  </si>
  <si>
    <t xml:space="preserve">PR-TAQ-15-004Ensaio de Resistência </t>
  </si>
  <si>
    <t>PR-TAQ-15-005</t>
  </si>
  <si>
    <t xml:space="preserve">PR-TAQ-15-005Ensaio de curva característica do TC </t>
  </si>
  <si>
    <t>PR-TAQ-15-006</t>
  </si>
  <si>
    <t xml:space="preserve">PR-TAQ-15-006Proteção Diferencial </t>
  </si>
  <si>
    <t>PR-TAQ-15-007</t>
  </si>
  <si>
    <t xml:space="preserve">PR-TAQ-15-007Proteção de Sobre e sub Frequência </t>
  </si>
  <si>
    <t>PR-TAQ-15-009</t>
  </si>
  <si>
    <t xml:space="preserve">PR-TAQ-15-009Proteção de Potencia Reversa </t>
  </si>
  <si>
    <t>PR-TAQ-15-011</t>
  </si>
  <si>
    <t xml:space="preserve">PR-TAQ-15-011Proteção de Subtensão </t>
  </si>
  <si>
    <t>PR-TAQ-15-012</t>
  </si>
  <si>
    <t xml:space="preserve">PR-TAQ-15-012Proteção de Energização Inadvertida </t>
  </si>
  <si>
    <t>PR-TAQ-15-013</t>
  </si>
  <si>
    <t xml:space="preserve">PR-TAQ-15-013Proteção de sobrecorrente com restrição de tensão </t>
  </si>
  <si>
    <t>PR-TAQ-15-014</t>
  </si>
  <si>
    <t xml:space="preserve">PR-TAQ-15-014Proteção Diferencial de terra restrita </t>
  </si>
  <si>
    <t>PR-TAQ-15-015</t>
  </si>
  <si>
    <t xml:space="preserve">PR-TAQ-15-015Proteção de Terra Rotor </t>
  </si>
  <si>
    <t>PR-TAQ-15-016</t>
  </si>
  <si>
    <t xml:space="preserve">PR-TAQ-15-016Proteção de Sequência Negativa </t>
  </si>
  <si>
    <t>PR-TAQ-15-017</t>
  </si>
  <si>
    <t xml:space="preserve">PR-TAQ-15-017Proteção de Perda de Excitação </t>
  </si>
  <si>
    <t>PR-TAQ-15-018</t>
  </si>
  <si>
    <t xml:space="preserve">PR-TAQ-15-018Proteção de Falha Fusível </t>
  </si>
  <si>
    <t>PR-TAQ-15-019</t>
  </si>
  <si>
    <t xml:space="preserve">PR-TAQ-15-019Proteção de Mínima Impedância </t>
  </si>
  <si>
    <t>PR-TAQ-15-020</t>
  </si>
  <si>
    <t xml:space="preserve">PR-TAQ-15-020Proteção Diferencial Transversal do Gerador </t>
  </si>
  <si>
    <t>PR-TAQ-15-021</t>
  </si>
  <si>
    <t xml:space="preserve">PR-TAQ-15-021Proteção de Terra Estator 95 </t>
  </si>
  <si>
    <t>PR-TAQ-15-022</t>
  </si>
  <si>
    <t xml:space="preserve">PR-TAQ-15-022Proteção de Terra Estator 100 </t>
  </si>
  <si>
    <t>PR-TAQ-15-023</t>
  </si>
  <si>
    <t xml:space="preserve">PR-TAQ-15-023Proteção de Sobretensão </t>
  </si>
  <si>
    <t>PR-TAQ-15-024</t>
  </si>
  <si>
    <t xml:space="preserve">PR-TAQ-15-024Proteção de Sobreexcitação </t>
  </si>
  <si>
    <t>PR-TAQ-15-025</t>
  </si>
  <si>
    <t xml:space="preserve">PR-TAQ-15-025Proteção de Sobrecarga </t>
  </si>
  <si>
    <t>PR-TAQ-15-026</t>
  </si>
  <si>
    <t xml:space="preserve">PR-TAQ-15-026Proteção de Falha Disjuntor </t>
  </si>
  <si>
    <t>PR-TAQ-15-027</t>
  </si>
  <si>
    <t xml:space="preserve">PR-TAQ-15-027Ensaio em relés de bloqueio-trip </t>
  </si>
  <si>
    <t>PR-TAQ-17-001</t>
  </si>
  <si>
    <t xml:space="preserve">PR-TAQ-17-001Ensaios em Transformadores de Corrente </t>
  </si>
  <si>
    <t>PR-TAQ-17-002</t>
  </si>
  <si>
    <t xml:space="preserve">PR-TAQ-17-002Ensaios em Transformadores de Potencial </t>
  </si>
  <si>
    <t>PR-TAQ-17-003</t>
  </si>
  <si>
    <t xml:space="preserve">PR-TAQ-17-003Ensaio de Isolação </t>
  </si>
  <si>
    <t>PR-TAQ-17-004</t>
  </si>
  <si>
    <t xml:space="preserve">PR-TAQ-17-004Ensaio de Resistência </t>
  </si>
  <si>
    <t>PR-TAQ-17-005</t>
  </si>
  <si>
    <t xml:space="preserve">PR-TAQ-17-005Ensaio de curva característica do TC </t>
  </si>
  <si>
    <t>PR-TAQ-17-006</t>
  </si>
  <si>
    <t xml:space="preserve">PR-TAQ-17-006Ensaio em relés de bloqueio-trip </t>
  </si>
  <si>
    <t>PR-TAQ-18-000</t>
  </si>
  <si>
    <t xml:space="preserve">PR-TAQ-18-000Check list de ensaios </t>
  </si>
  <si>
    <t>PR-TAQ-18-001</t>
  </si>
  <si>
    <t xml:space="preserve">PR-TAQ-18-001Ensaio de componentes e instumentos </t>
  </si>
  <si>
    <t>PR-TAQ-18-002</t>
  </si>
  <si>
    <t xml:space="preserve">PR-TAQ-18-002Ensaios de proteção sobretensão </t>
  </si>
  <si>
    <t>PR-TAQ-18-003</t>
  </si>
  <si>
    <t xml:space="preserve">PR-TAQ-18-003Ensaio isolação circuito primário </t>
  </si>
  <si>
    <t>PR-TAQ-18-004</t>
  </si>
  <si>
    <t xml:space="preserve">PR-TAQ-18-004Ensaio isolação circuito secundário </t>
  </si>
  <si>
    <t>PR-TAQ-18-005</t>
  </si>
  <si>
    <t xml:space="preserve">PR-TAQ-18-005Ensaios PLC </t>
  </si>
  <si>
    <t>PR-TAQ-18-006</t>
  </si>
  <si>
    <t xml:space="preserve">PR-TAQ-18-006Ensaios Simulação </t>
  </si>
  <si>
    <t>PR-TAQ-18-007</t>
  </si>
  <si>
    <t xml:space="preserve">PR-TAQ-18-007Ensaios funcionais </t>
  </si>
  <si>
    <t>PR-TAQ-19-000</t>
  </si>
  <si>
    <t xml:space="preserve">PR-TAQ-19-000Itens de manutenção e teste </t>
  </si>
  <si>
    <t>PR-TAQ-19-001</t>
  </si>
  <si>
    <t xml:space="preserve">PR-TAQ-19-001Ensaio de baterias </t>
  </si>
  <si>
    <t>PR-TAQ-19-002</t>
  </si>
  <si>
    <t xml:space="preserve">PR-TAQ-19-002Ensaio de capacidade e equalização de baterias </t>
  </si>
  <si>
    <t>PR-TAQ-19-003</t>
  </si>
  <si>
    <t xml:space="preserve">PR-TAQ-19-003Ensaio de retificadores e USCC </t>
  </si>
  <si>
    <t>PR-TAQ-20-001</t>
  </si>
  <si>
    <t xml:space="preserve">PR-TAQ-20-001Inspeção válvulas distribuidoras (CD e CR) </t>
  </si>
  <si>
    <t>PR-TAQ-20-002</t>
  </si>
  <si>
    <t xml:space="preserve">PR-TAQ-20-002Inspeção válvulas controle hidráulico </t>
  </si>
  <si>
    <t>PR-TAQ-20-003</t>
  </si>
  <si>
    <t xml:space="preserve">PR-TAQ-20-003Inspeção servomotor do distribuidor </t>
  </si>
  <si>
    <t>PR-TAQ-20-004</t>
  </si>
  <si>
    <t xml:space="preserve">PR-TAQ-20-004Inspeção sistema resfriamento RV </t>
  </si>
  <si>
    <t>PR-TAQ-20-005</t>
  </si>
  <si>
    <t xml:space="preserve">PR-TAQ-20-005Inspeção no acumulador ar e óleo </t>
  </si>
  <si>
    <t>PR-TAQ-20-006</t>
  </si>
  <si>
    <t xml:space="preserve">PR-TAQ-20-006Calibração válvula de segurança acumulador ar óleo </t>
  </si>
  <si>
    <t>PR-TAQ-20-007</t>
  </si>
  <si>
    <t xml:space="preserve">PR-TAQ-20-007Critérios de testes </t>
  </si>
  <si>
    <t>PR-TAQ-21-000</t>
  </si>
  <si>
    <t xml:space="preserve">PR-TAQ-21-000Check list de ensaios </t>
  </si>
  <si>
    <t>PR-TAQ-21-001</t>
  </si>
  <si>
    <t xml:space="preserve">PR-TAQ-21-001Ensaios de componentes instrumentos plc </t>
  </si>
  <si>
    <t>PR-TAQ-21-002</t>
  </si>
  <si>
    <t xml:space="preserve">PR-TAQ-21-002Ensaios circuitos elétricos </t>
  </si>
  <si>
    <t>PR-TAQ-21-003</t>
  </si>
  <si>
    <t xml:space="preserve">PR-TAQ-21-003Ensaios água morta </t>
  </si>
  <si>
    <t>PR-TAQ-21-004</t>
  </si>
  <si>
    <t xml:space="preserve">PR-TAQ-21-004Ensaios em vazio </t>
  </si>
  <si>
    <t>PR-TAQ-21-005</t>
  </si>
  <si>
    <t xml:space="preserve">PR-TAQ-21-005Ensaios em carga </t>
  </si>
  <si>
    <t>PR-TAQ-22-001</t>
  </si>
  <si>
    <t xml:space="preserve">PR-TAQ-22-001Itens de manutençãoCheck-list </t>
  </si>
  <si>
    <t>PR-TAQ-23-001</t>
  </si>
  <si>
    <t xml:space="preserve">PR-TAQ-23-001Itens de manutençãoCheck-list </t>
  </si>
  <si>
    <t>PR-TAQ-24-001</t>
  </si>
  <si>
    <t xml:space="preserve">PR-TAQ-24-001Itens de manutençãoCheck-list </t>
  </si>
  <si>
    <t>PR-TAQ-25-001</t>
  </si>
  <si>
    <t xml:space="preserve">PR-TAQ-25-001Ensaio de Isolação </t>
  </si>
  <si>
    <t>PR-TAQ-25-002</t>
  </si>
  <si>
    <t xml:space="preserve">PR-TAQ-25-002Ensaio de Resistência </t>
  </si>
  <si>
    <t>PR-TAQ-26-001</t>
  </si>
  <si>
    <t xml:space="preserve">PR-TAQ-26-001Itens de manutençãoCheck-list </t>
  </si>
  <si>
    <t>PR-TAQ-27-001</t>
  </si>
  <si>
    <t xml:space="preserve">PR-TAQ-27-001Itens de manutençãoCheck-list </t>
  </si>
  <si>
    <t>PR-TAQ-28-001</t>
  </si>
  <si>
    <t xml:space="preserve">PR-TAQ-28-001Itens de manutençãoCheck-list </t>
  </si>
  <si>
    <t>PR-TAQ-29-001</t>
  </si>
  <si>
    <t xml:space="preserve">PR-TAQ-29-001Itens de manutençãoCheck-list </t>
  </si>
  <si>
    <t>PR-TAQ-30-002</t>
  </si>
  <si>
    <t xml:space="preserve">PR-TAQ-30-002Medição dos ganchos </t>
  </si>
  <si>
    <t>PR-TAQ-30-003</t>
  </si>
  <si>
    <t xml:space="preserve">PR-TAQ-30-003Ajuste e medição nos freios </t>
  </si>
  <si>
    <t>PR-TAQ-31-002</t>
  </si>
  <si>
    <t xml:space="preserve">PR-TAQ-31-002Medição dos ganchos </t>
  </si>
  <si>
    <t>PR-TAQ-31-003</t>
  </si>
  <si>
    <t xml:space="preserve">PR-TAQ-31-003Ajuste e medição nos freios </t>
  </si>
  <si>
    <t>PR-TAQ-32-002</t>
  </si>
  <si>
    <t xml:space="preserve">PR-TAQ-32-002Medição dos ganchos </t>
  </si>
  <si>
    <t>PR-TAQ-32-003</t>
  </si>
  <si>
    <t xml:space="preserve">PR-TAQ-32-003Ajuste e medição nos freios </t>
  </si>
  <si>
    <t>PR-TAQ-33-001</t>
  </si>
  <si>
    <t xml:space="preserve">PR-TAQ-33-001Itens de manutençãoCheck-list </t>
  </si>
  <si>
    <t>PR-TAQ-40-001</t>
  </si>
  <si>
    <t xml:space="preserve">PR-TAQ-40-001Ensaio do sistema de iluminação </t>
  </si>
  <si>
    <t>PR-TAQ-40-002</t>
  </si>
  <si>
    <t xml:space="preserve">PR-TAQ-40-002Ensaio de pontos de tomada e de dispositivos DR </t>
  </si>
  <si>
    <t>PR-TAQ-41-001</t>
  </si>
  <si>
    <t xml:space="preserve">PR-TAQ-41-001Ensaio de resistência de aterramento </t>
  </si>
  <si>
    <t>PR-TAQ-41-002</t>
  </si>
  <si>
    <t xml:space="preserve">PR-TAQ-41-002Ensaio de tensão de toque e passo </t>
  </si>
  <si>
    <t>PR-TAQ-41-003</t>
  </si>
  <si>
    <t xml:space="preserve">PR-TAQ-41-003Ensaio de continuidade </t>
  </si>
  <si>
    <t>PR-TAQ-51-001</t>
  </si>
  <si>
    <t xml:space="preserve">PR-TAQ-51-001Inspeção visual tanque TCs Buchas sistema de preservação e resfriamento </t>
  </si>
  <si>
    <t>PR-TAQ-51-002</t>
  </si>
  <si>
    <t xml:space="preserve">PR-TAQ-51-002Inspeção visual indicadores de nível de óleo </t>
  </si>
  <si>
    <t>PR-TAQ-51-003</t>
  </si>
  <si>
    <t xml:space="preserve">PR-TAQ-51-003Inspeção visual termômetros </t>
  </si>
  <si>
    <t>PR-TAQ-51-004</t>
  </si>
  <si>
    <t xml:space="preserve">PR-TAQ-51-004Inspeção visual do relé de gás relé de pressão e DAP </t>
  </si>
  <si>
    <t>PR-TAQ-51-005</t>
  </si>
  <si>
    <t xml:space="preserve">PR-TAQ-51-005Inspeção visual painel de controle </t>
  </si>
  <si>
    <t>PR-TAQ-51-006</t>
  </si>
  <si>
    <t xml:space="preserve">PR-TAQ-51-006Inspeção visual comutador </t>
  </si>
  <si>
    <t>PR-TAQ-51-007</t>
  </si>
  <si>
    <t xml:space="preserve">PR-TAQ-51-007Ensaio de Resistência de isolamento </t>
  </si>
  <si>
    <t>PR-TAQ-51-008</t>
  </si>
  <si>
    <t xml:space="preserve">PR-TAQ-51-008Ensaio de Resistência elétrica dos Enrolamentos </t>
  </si>
  <si>
    <t>PR-TAQ-51-009</t>
  </si>
  <si>
    <t xml:space="preserve">PR-TAQ-51-009Ensaio de Fator de Potência e Capacitância dos enrolamentos </t>
  </si>
  <si>
    <t>PR-TAQ-51-010</t>
  </si>
  <si>
    <t xml:space="preserve">PR-TAQ-51-010Ensaio de relação de transformação </t>
  </si>
  <si>
    <t>PR-TAQ-51-011</t>
  </si>
  <si>
    <t xml:space="preserve">PR-TAQ-51-011Ensaio de Corrente de excitação monofásica </t>
  </si>
  <si>
    <t>PR-TAQ-51-012</t>
  </si>
  <si>
    <t xml:space="preserve">PR-TAQ-51-012Ensaio no RTD, Relé de Gás e DAP </t>
  </si>
  <si>
    <t>PR-TAQ-51-014</t>
  </si>
  <si>
    <t xml:space="preserve">PR-TAQ-51-014Ensaio nos TCs </t>
  </si>
  <si>
    <t>PR-TAQ-52-001</t>
  </si>
  <si>
    <t xml:space="preserve">PR-TAQ-52-001Inspeção visual do tanque buchas e sistema de preservação </t>
  </si>
  <si>
    <t>PR-TAQ-52-002</t>
  </si>
  <si>
    <t xml:space="preserve">PR-TAQ-52-002Inspeção visual indicador termômetro relé de gás e DAP </t>
  </si>
  <si>
    <t>PR-TAQ-52-003</t>
  </si>
  <si>
    <t xml:space="preserve">PR-TAQ-52-003Inspeção visual painel de controle </t>
  </si>
  <si>
    <t>PR-TAQ-52-004</t>
  </si>
  <si>
    <t xml:space="preserve">PR-TAQ-52-004Ensaio de Resistência de isolamento </t>
  </si>
  <si>
    <t>PR-TAQ-52-005</t>
  </si>
  <si>
    <t xml:space="preserve">PR-TAQ-52-005Ensaio de Resistência elétrica dos Enrolamentos </t>
  </si>
  <si>
    <t>PR-TAQ-52-006</t>
  </si>
  <si>
    <t xml:space="preserve">PR-TAQ-52-006Ensaio de impedância de curto-circuito </t>
  </si>
  <si>
    <t>PR-TAQ-52-007</t>
  </si>
  <si>
    <t xml:space="preserve">PR-TAQ-52-007- Ensaio de Estanqueidade </t>
  </si>
  <si>
    <t>PR-TAQ-52-008</t>
  </si>
  <si>
    <t xml:space="preserve">PR-TAQ-52-008-009 e 010Ensaio no RTD Relé de Gás e DAP </t>
  </si>
  <si>
    <t>PR-TAQ-58-001</t>
  </si>
  <si>
    <t xml:space="preserve">PR-TAQ-58-001Itens de manutençãoCheck-list </t>
  </si>
  <si>
    <t>PR-TAQ-60-001</t>
  </si>
  <si>
    <t xml:space="preserve">PR-TAQ-60-001Itens de manutençãoCheck-list </t>
  </si>
  <si>
    <t>PR-TAQ-61-001</t>
  </si>
  <si>
    <t xml:space="preserve">PR-TAQ-61-001Itens de manutençãoCheck-list </t>
  </si>
  <si>
    <t>PR-TAQ-62-001</t>
  </si>
  <si>
    <t xml:space="preserve">PR-TAQ-62-001Itens de manutençãoCheck-list </t>
  </si>
  <si>
    <t>PR-TAQ-63-002</t>
  </si>
  <si>
    <t xml:space="preserve">PR-TAQ-63-002Medição dos ganchos </t>
  </si>
  <si>
    <t>PR-TAQ-63-003</t>
  </si>
  <si>
    <t xml:space="preserve">PR-TAQ-63-003Ajuste e medição nos freios </t>
  </si>
  <si>
    <t>PR-TAQ-65-001</t>
  </si>
  <si>
    <t xml:space="preserve">PR-TAQ-65-001Itens de manutençãoCheck-list </t>
  </si>
  <si>
    <t>PR-TAQ-68-001</t>
  </si>
  <si>
    <t xml:space="preserve">PR-TAQ-68-001Itens de manutençãoCheck-list </t>
  </si>
  <si>
    <t>PR-CHV-08-006</t>
  </si>
  <si>
    <t>PR-CHV-08-006Ensaio de fator de potência.xlsx</t>
  </si>
  <si>
    <t>PR-CHV-08-007</t>
  </si>
  <si>
    <t>PR-CHV-08-007Ensaio de Resistência Ôhmica dos enrolamentos.xlsx</t>
  </si>
  <si>
    <t>PR-CHV-08-008</t>
  </si>
  <si>
    <t>PR-CHV-08-008Ensaio de tensão de saturação.xlsx</t>
  </si>
  <si>
    <t>PR-CHV-08-009</t>
  </si>
  <si>
    <t>PR-CHV-08-009Ensaio de isolação.xlsx</t>
  </si>
  <si>
    <t>PR-CHV-08-010</t>
  </si>
  <si>
    <t>PR-CHV-08-010Ensaio de relação de transformação.xlsx</t>
  </si>
  <si>
    <t>PR-CHV-08-011</t>
  </si>
  <si>
    <t>PR-CHV-08-011Ensaio de carga imposta.xlsx</t>
  </si>
  <si>
    <t>PR-CN1-08-006</t>
  </si>
  <si>
    <t>PR-CN1-08-006Ensaio de fator de potência.xlsx</t>
  </si>
  <si>
    <t>PR-CN1-08-007</t>
  </si>
  <si>
    <t>PR-CN1-08-007Ensaio de Resistência Ôhmica dos enrolamentos.xlsx</t>
  </si>
  <si>
    <t>PR-CN1-08-008</t>
  </si>
  <si>
    <t>PR-CN1-08-008Ensaio de tensão de saturação.xlsx</t>
  </si>
  <si>
    <t>PR-CN1-08-009</t>
  </si>
  <si>
    <t>PR-CN1-08-009Ensaio de isolação.xlsx</t>
  </si>
  <si>
    <t>PR-CN1-08-010</t>
  </si>
  <si>
    <t>PR-CN1-08-010Ensaio de relação de transformação.xlsx</t>
  </si>
  <si>
    <t>PR-CN1-08-011</t>
  </si>
  <si>
    <t>PR-CN1-08-011Ensaio de carga imposta.xlsx</t>
  </si>
  <si>
    <t>PR-CN2-08-006</t>
  </si>
  <si>
    <t>PR-CN2-08-006Ensaio de fator de potência.xlsx</t>
  </si>
  <si>
    <t>PR-CN2-08-007</t>
  </si>
  <si>
    <t>PR-CN2-08-007Ensaio de Resistência Ôhmica dos enrolamentos.xlsx</t>
  </si>
  <si>
    <t>PR-CN2-08-008</t>
  </si>
  <si>
    <t>PR-CN2-08-008Ensaio de tensão de saturação.xlsx</t>
  </si>
  <si>
    <t>PR-CN2-08-009</t>
  </si>
  <si>
    <t>PR-CN2-08-009Ensaio de isolação.xlsx</t>
  </si>
  <si>
    <t>PR-CN2-08-010</t>
  </si>
  <si>
    <t>PR-CN2-08-010Ensaio de relação de transformação.xlsx</t>
  </si>
  <si>
    <t>PR-CN2-08-011</t>
  </si>
  <si>
    <t>PR-CN2-08-011Ensaio de carga imposta.xlsx</t>
  </si>
  <si>
    <t>PR-CPV-08-006</t>
  </si>
  <si>
    <t>PR-CPV-08-006Ensaio de fator de potência.xlsx</t>
  </si>
  <si>
    <t>PR-CPV-08-007</t>
  </si>
  <si>
    <t>PR-CPV-08-007Ensaio de Resistência Ôhmica dos enrolamentos.xlsx</t>
  </si>
  <si>
    <t>PR-CPV-08-008</t>
  </si>
  <si>
    <t>PR-CPV-08-008Ensaio de tensão de saturação.xlsx</t>
  </si>
  <si>
    <t>PR-CPV-08-009</t>
  </si>
  <si>
    <t>PR-CPV-08-009Ensaio de isolação.xlsx</t>
  </si>
  <si>
    <t>PR-CPV-08-010</t>
  </si>
  <si>
    <t>PR-CPV-08-010Ensaio de relação de transformação.xlsx</t>
  </si>
  <si>
    <t>PR-CPV-08-011</t>
  </si>
  <si>
    <t>PR-CPV-08-011Ensaio de carga imposta.xlsx</t>
  </si>
  <si>
    <t>PR-GAR-08-006</t>
  </si>
  <si>
    <t>PR-GAR-08-006Ensaio de fator de potência.xlsx</t>
  </si>
  <si>
    <t>PR-GAR-08-007</t>
  </si>
  <si>
    <t>PR-GAR-08-007Ensaio de Resistência Ôhmica dos enrolamentos.xlsx</t>
  </si>
  <si>
    <t>PR-GAR-08-008</t>
  </si>
  <si>
    <t>PR-GAR-08-008Ensaio de tensão de saturação.xlsx</t>
  </si>
  <si>
    <t>PR-GAR-08-009</t>
  </si>
  <si>
    <t>PR-GAR-08-009Ensaio de isolação.xlsx</t>
  </si>
  <si>
    <t>PR-GAR-08-010</t>
  </si>
  <si>
    <t>PR-GAR-08-010Ensaio de relação de transformação.xlsx</t>
  </si>
  <si>
    <t>PR-GAR-08-011</t>
  </si>
  <si>
    <t>PR-GAR-08-011Ensaio de carga imposta.xlsx</t>
  </si>
  <si>
    <t>PR-ILS-08-006</t>
  </si>
  <si>
    <t>PR-ILS-08-006Ensaio de fator de potência.xlsx</t>
  </si>
  <si>
    <t>PR-ILS-08-007</t>
  </si>
  <si>
    <t>PR-ILS-08-007Ensaio de Resistência Ôhmica dos enrolamentos.xlsx</t>
  </si>
  <si>
    <t>PR-ILS-08-008</t>
  </si>
  <si>
    <t>PR-ILS-08-008Ensaio de tensão de saturação.xlsx</t>
  </si>
  <si>
    <t>PR-ILS-08-009</t>
  </si>
  <si>
    <t>PR-ILS-08-009Ensaio de isolação.xlsx</t>
  </si>
  <si>
    <t>PR-ILS-08-010</t>
  </si>
  <si>
    <t>PR-ILS-08-010Ensaio de relação de transformação.xlsx</t>
  </si>
  <si>
    <t>PR-ILS-08-011</t>
  </si>
  <si>
    <t>PR-ILS-08-011Ensaio de carga imposta.xlsx</t>
  </si>
  <si>
    <t>PR-JUP-08-006</t>
  </si>
  <si>
    <t>PR-JUP-08-006Ensaio de fator de potência.xlsx</t>
  </si>
  <si>
    <t>PR-JUP-08-007</t>
  </si>
  <si>
    <t>PR-JUP-08-007Ensaio de Resistência Ôhmica dos enrolamentos.xlsx</t>
  </si>
  <si>
    <t>PR-JUP-08-008</t>
  </si>
  <si>
    <t>PR-JUP-08-008Ensaio de tensão de saturação.xlsx</t>
  </si>
  <si>
    <t>PR-JUP-08-009</t>
  </si>
  <si>
    <t>PR-JUP-08-009Ensaio de isolação.xlsx</t>
  </si>
  <si>
    <t>PR-JUP-08-010</t>
  </si>
  <si>
    <t>PR-JUP-08-010Ensaio de relação de transformação.xlsx</t>
  </si>
  <si>
    <t>PR-JUP-08-011</t>
  </si>
  <si>
    <t>PR-JUP-08-011Ensaio de carga imposta.xlsx</t>
  </si>
  <si>
    <t>PR-JUR-08-006</t>
  </si>
  <si>
    <t>PR-JUR-08-006Ensaio de fator de potência.xlsx</t>
  </si>
  <si>
    <t>PR-JUR-08-007</t>
  </si>
  <si>
    <t>PR-JUR-08-007Ensaio de Resistência Ôhmica dos enrolamentos.xlsx</t>
  </si>
  <si>
    <t>PR-JUR-08-008</t>
  </si>
  <si>
    <t>PR-JUR-08-008Ensaio de tensão de saturação.xlsx</t>
  </si>
  <si>
    <t>PR-JUR-08-009</t>
  </si>
  <si>
    <t>PR-JUR-08-009Ensaio de isolação.xlsx</t>
  </si>
  <si>
    <t>PR-JUR-08-010</t>
  </si>
  <si>
    <t>PR-JUR-08-010Ensaio de relação de transformação.xlsx</t>
  </si>
  <si>
    <t>PR-JUR-08-011</t>
  </si>
  <si>
    <t>PR-JUR-08-011Ensaio de carga imposta.xlsx</t>
  </si>
  <si>
    <t>PR-PLM-08-006</t>
  </si>
  <si>
    <t>PR-PLM-08-006Ensaio de fator de potência.xlsx</t>
  </si>
  <si>
    <t>PR-PLM-08-007</t>
  </si>
  <si>
    <t>PR-PLM-08-007Ensaio de Resistência Ôhmica dos enrolamentos.xlsx</t>
  </si>
  <si>
    <t>PR-PLM-08-008</t>
  </si>
  <si>
    <t>PR-PLM-08-008Ensaio de tensão de saturação.xlsx</t>
  </si>
  <si>
    <t>PR-PLM-08-009</t>
  </si>
  <si>
    <t>PR-PLM-08-009Ensaio de isolação.xlsx</t>
  </si>
  <si>
    <t>PR-PLM-08-010</t>
  </si>
  <si>
    <t>PR-PLM-08-010Ensaio de relação de transformação.xlsx</t>
  </si>
  <si>
    <t>PR-PLM-08-011</t>
  </si>
  <si>
    <t>PR-PLM-08-011Ensaio de carga imposta.xlsx</t>
  </si>
  <si>
    <t>PR-RET-08-006</t>
  </si>
  <si>
    <t>PR-RET-08-006Ensaio de fator de potência.xlsx</t>
  </si>
  <si>
    <t>PR-RET-08-007</t>
  </si>
  <si>
    <t>PR-RET-08-007Ensaio de Resistência Ôhmica dos enrolamentos.xlsx</t>
  </si>
  <si>
    <t>PR-RET-08-008</t>
  </si>
  <si>
    <t>PR-RET-08-008Ensaio de tensão de saturação.xlsx</t>
  </si>
  <si>
    <t>PR-RET-08-009</t>
  </si>
  <si>
    <t>PR-RET-08-009Ensaio de isolação.xlsx</t>
  </si>
  <si>
    <t>PR-RET-08-010</t>
  </si>
  <si>
    <t>PR-RET-08-010Ensaio de relação de transformação.xlsx</t>
  </si>
  <si>
    <t>PR-RET-08-011</t>
  </si>
  <si>
    <t>PR-RET-08-011Ensaio de carga imposta.xlsx</t>
  </si>
  <si>
    <t>PR-ROS-08-006</t>
  </si>
  <si>
    <t>PR-ROS-08-006Ensaio de fator de potência.xlsx</t>
  </si>
  <si>
    <t>PR-ROS-08-007</t>
  </si>
  <si>
    <t>PR-ROS-08-007Ensaio de Resistência Ôhmica dos enrolamentos.xlsx</t>
  </si>
  <si>
    <t>PR-ROS-08-008</t>
  </si>
  <si>
    <t>PR-ROS-08-008Ensaio de tensão de saturação.xlsx</t>
  </si>
  <si>
    <t>PR-ROS-08-009</t>
  </si>
  <si>
    <t>PR-ROS-08-009Ensaio de isolação.xlsx</t>
  </si>
  <si>
    <t>PR-ROS-08-010</t>
  </si>
  <si>
    <t>PR-ROS-08-010Ensaio de relação de transformação.xlsx</t>
  </si>
  <si>
    <t>PR-ROS-08-011</t>
  </si>
  <si>
    <t>PR-ROS-08-011Ensaio de carga imposta.xlsx</t>
  </si>
  <si>
    <t>PR-SAG-08-006</t>
  </si>
  <si>
    <t>PR-SAG-08-006Ensaio de fator de potência.xlsx</t>
  </si>
  <si>
    <t>PR-SAG-08-007</t>
  </si>
  <si>
    <t>PR-SAG-08-007Ensaio de Resistência Ôhmica dos enrolamentos.xlsx</t>
  </si>
  <si>
    <t>PR-SAG-08-008</t>
  </si>
  <si>
    <t>PR-SAG-08-008Ensaio de tensão de saturação.xlsx</t>
  </si>
  <si>
    <t>PR-SAG-08-009</t>
  </si>
  <si>
    <t>PR-SAG-08-009Ensaio de isolação.xlsx</t>
  </si>
  <si>
    <t>PR-SAG-08-010</t>
  </si>
  <si>
    <t>PR-SAG-08-010Ensaio de relação de transformação.xlsx</t>
  </si>
  <si>
    <t>PR-SAG-08-011</t>
  </si>
  <si>
    <t>PR-SAG-08-011Ensaio de carga imposta.xlsx</t>
  </si>
  <si>
    <t>PR-STO-08-006</t>
  </si>
  <si>
    <t>PR-STO-08-006Ensaio de fator de potência.xlsx</t>
  </si>
  <si>
    <t>PR-STO-08-007</t>
  </si>
  <si>
    <t>PR-STO-08-007Ensaio de Resistência Ôhmica dos enrolamentos.xlsx</t>
  </si>
  <si>
    <t>PR-STO-08-008</t>
  </si>
  <si>
    <t>PR-STO-08-008Ensaio de tensão de saturação.xlsx</t>
  </si>
  <si>
    <t>PR-STO-08-009</t>
  </si>
  <si>
    <t>PR-STO-08-009Ensaio de isolação.xlsx</t>
  </si>
  <si>
    <t>PR-STO-08-010</t>
  </si>
  <si>
    <t>PR-STO-08-010Ensaio de relação de transformação.xlsx</t>
  </si>
  <si>
    <t>PR-STO-08-011</t>
  </si>
  <si>
    <t>PR-STO-08-011Ensaio de carga imposta.xlsx</t>
  </si>
  <si>
    <t>PR-TAQ-08-006</t>
  </si>
  <si>
    <t>PR-TAQ-08-006Ensaio de fator de potência.xlsx</t>
  </si>
  <si>
    <t>PR-TAQ-08-007</t>
  </si>
  <si>
    <t>PR-TAQ-08-007Ensaio de Resistência Ôhmica dos enrolamentos.xlsx</t>
  </si>
  <si>
    <t>PR-TAQ-08-008</t>
  </si>
  <si>
    <t>PR-TAQ-08-008Ensaio de tensão de saturação.xlsx</t>
  </si>
  <si>
    <t>PR-TAQ-08-009</t>
  </si>
  <si>
    <t>PR-TAQ-08-009Ensaio de isolação.xlsx</t>
  </si>
  <si>
    <t>PR-TAQ-08-010</t>
  </si>
  <si>
    <t>PR-TAQ-08-010Ensaio de relação de transformação.xlsx</t>
  </si>
  <si>
    <t>PR-TAQ-08-011</t>
  </si>
  <si>
    <t>PR-TAQ-08-011Ensaio de carga imposta.xlsx</t>
  </si>
  <si>
    <t>PR-GAR-03-014</t>
  </si>
  <si>
    <t>PR-GAR-03-014-Manutancao porta escovas</t>
  </si>
  <si>
    <t>PR-STO-03-014</t>
  </si>
  <si>
    <t>PR-STO-03-014-Manutancao porta escovas</t>
  </si>
  <si>
    <t>PR-CHV-32.2-002</t>
  </si>
  <si>
    <t>PR-CHV-32.2-002Medição dos ganchos</t>
  </si>
  <si>
    <t xml:space="preserve">PR-CHV-32.2-003 </t>
  </si>
  <si>
    <t>PR-CHV-32.2-003Ajuste e medição nos freios</t>
  </si>
  <si>
    <t>PR-CHV-63-002</t>
  </si>
  <si>
    <t>PR-CHV-63-002Medição dos ganchos</t>
  </si>
  <si>
    <t xml:space="preserve">PR-CHV-63-003 </t>
  </si>
  <si>
    <t>PR-CHV-63-003Ajuste e medição nos freios</t>
  </si>
  <si>
    <t>PR-GAR-32.2-002</t>
  </si>
  <si>
    <t>PR-GAR-32.2-002Medição dos ganchos</t>
  </si>
  <si>
    <t>PR-GAR-32.2-003</t>
  </si>
  <si>
    <t>PR-GAR-32.2-003Ajuste e medição nos freios</t>
  </si>
  <si>
    <t>PR-GAR-32.3-002</t>
  </si>
  <si>
    <t>PR-GAR-32.3-002Medição dos ganchos</t>
  </si>
  <si>
    <t>PR-GAR-32.4-002</t>
  </si>
  <si>
    <t>PR-GAR-32.4-002- Medição dos ganchos</t>
  </si>
  <si>
    <t xml:space="preserve">PR-ILS-32.3-002 </t>
  </si>
  <si>
    <t>PR-ILS-32.3-002Medição dos ganchos</t>
  </si>
  <si>
    <t>PR-ILS-32.3-003</t>
  </si>
  <si>
    <t>PR-ILS-32.3-003Ajuste e medição nos freios</t>
  </si>
  <si>
    <t>PR-ILS-32.4-002</t>
  </si>
  <si>
    <t>PR-ILS-32.4-002Medição dos ganchos</t>
  </si>
  <si>
    <t xml:space="preserve">PR-ILS-32.4-003 </t>
  </si>
  <si>
    <t>PR-ILS-32.4-003Ajuste e medição nos freios</t>
  </si>
  <si>
    <t xml:space="preserve">PR-ILS-32.5-002 </t>
  </si>
  <si>
    <t>PR-ILS-32.5-002Medição dos ganchos</t>
  </si>
  <si>
    <t>PR-ILS-32.5-003</t>
  </si>
  <si>
    <t>PR-ILS-32.5-003Ajuste e medição nos freios</t>
  </si>
  <si>
    <t xml:space="preserve">PR-ILS-32.7-002 </t>
  </si>
  <si>
    <t>PR-ILS-32.7-002Medição dos ganchos</t>
  </si>
  <si>
    <t xml:space="preserve">PR-JUP-32.2-002 </t>
  </si>
  <si>
    <t>PR-JUP-32.2-002Medição dos ganchos</t>
  </si>
  <si>
    <t>PR-JUP-32.2-003</t>
  </si>
  <si>
    <t>PR-JUP-32.2-003Ajuste e medição nos freios</t>
  </si>
  <si>
    <t>PR-JUP-32.3-002</t>
  </si>
  <si>
    <t>PR-JUP-32.3-002Medição dos ganchos</t>
  </si>
  <si>
    <t>PR-JUP-32.3-003</t>
  </si>
  <si>
    <t>PR-JUP-32.3-003Ajuste e medição nos freios</t>
  </si>
  <si>
    <t xml:space="preserve">PR-JUP-32.4-002 </t>
  </si>
  <si>
    <t>PR-JUP-32.4-002Medição dos ganchos</t>
  </si>
  <si>
    <t>PR-JUP-32.4-003</t>
  </si>
  <si>
    <t>PR-JUP-32.4-003Ajuste e medição nos freios</t>
  </si>
  <si>
    <t>PR-JUP-63.1-002</t>
  </si>
  <si>
    <t>PR-JUP-63.1-002Medição dos ganchos</t>
  </si>
  <si>
    <t>PR-JUP-63.1-003</t>
  </si>
  <si>
    <t>PR-JUP-63.1-003Ajuste e medição nos freios</t>
  </si>
  <si>
    <t>PR-JUP-63.2-002</t>
  </si>
  <si>
    <t>PR-JUP-63.2-002Medição dos ganchos</t>
  </si>
  <si>
    <t xml:space="preserve">PR-JUP-63.2-003 </t>
  </si>
  <si>
    <t>PR-JUP-63.2-003Ajuste e medição nos freios</t>
  </si>
  <si>
    <t>PR-JUP-63.3-002</t>
  </si>
  <si>
    <t>PR-JUP-63.3-002Medição dos ganchos</t>
  </si>
  <si>
    <t>PR-JUP-63.3-003</t>
  </si>
  <si>
    <t>PR-JUP-63.3-003Ajuste e medição nos freios</t>
  </si>
  <si>
    <t>PR-JUR-30.2-002</t>
  </si>
  <si>
    <t>PR-JUR-30.2-002Medição dos ganchos</t>
  </si>
  <si>
    <t>PR-JUR-30.2-003</t>
  </si>
  <si>
    <t>PR-JUR-30.2-003Ajuste e medição nos freios</t>
  </si>
  <si>
    <t>PR-SAG-32-002</t>
  </si>
  <si>
    <t>PR-SAG-32-002Medição dos ganchos</t>
  </si>
  <si>
    <t>PR-ILS-72-001</t>
  </si>
  <si>
    <t>PR-ILS-72-001Gerador Sincrono</t>
  </si>
  <si>
    <t>PR-CPV-32-002</t>
  </si>
  <si>
    <t xml:space="preserve">PR-CPV-32-002Medição dos ganchos </t>
  </si>
  <si>
    <t>PR-CPV-32-003</t>
  </si>
  <si>
    <t xml:space="preserve">PR-CPV-32-003 Ajuste e medição nos freios </t>
  </si>
  <si>
    <t>PR-ROS-31-002</t>
  </si>
  <si>
    <t xml:space="preserve">PR-ROS-31-002Medição dos ganchos </t>
  </si>
  <si>
    <t>PR-ROS-31-003</t>
  </si>
  <si>
    <t xml:space="preserve">PR-ROS-31-003 Ajuste e medição nos freios </t>
  </si>
  <si>
    <t>PR-ROS-32-002</t>
  </si>
  <si>
    <t xml:space="preserve">PR-ROS-32-002Medição dos ganchos </t>
  </si>
  <si>
    <t>PR-ROS-32-003</t>
  </si>
  <si>
    <t xml:space="preserve">PR-ROS-32-003 Ajuste e medição nos freios </t>
  </si>
  <si>
    <t>PR-ROS-63-002</t>
  </si>
  <si>
    <t xml:space="preserve">PR-ROS-63-002Medição dos ganchos </t>
  </si>
  <si>
    <t>PR-ROS-63-003</t>
  </si>
  <si>
    <t xml:space="preserve">PR-ROS-63-003 Ajuste e medição nos freios </t>
  </si>
  <si>
    <t xml:space="preserve">PR-CHV-30.1-004 </t>
  </si>
  <si>
    <t>PR-CHV-30.1-004Inspeção cabo de aço</t>
  </si>
  <si>
    <t xml:space="preserve">PR-CHV-30.2-004 </t>
  </si>
  <si>
    <t>PR-CHV-30.2-004Inspeção cabo de aço</t>
  </si>
  <si>
    <t xml:space="preserve">PR-CHV-32.1-004 </t>
  </si>
  <si>
    <t>PR-CHV-32.1-004Inspeção cabo de aço</t>
  </si>
  <si>
    <t xml:space="preserve">PR-CHV-32.2-004 </t>
  </si>
  <si>
    <t>PR-CHV-32.2-004Inspeção cabo de aço</t>
  </si>
  <si>
    <t>PR-CHV-63-004</t>
  </si>
  <si>
    <t>PR-CHV-63-004Inspeção cabo de aço</t>
  </si>
  <si>
    <t>PR-CN1-30-004</t>
  </si>
  <si>
    <t>PR-CN1-30-004Inspeção cabo de aço</t>
  </si>
  <si>
    <t>PR-CN1-31-004</t>
  </si>
  <si>
    <t>PR-CN1-31-004Inspeção cabo de aço</t>
  </si>
  <si>
    <t>PR-CN1-63-004</t>
  </si>
  <si>
    <t>PR-CN1-63-004Inspeção cabo de aço</t>
  </si>
  <si>
    <t>PR-CN2-30-004</t>
  </si>
  <si>
    <t>PR-CN2-30-004Inspeção cabo de aço</t>
  </si>
  <si>
    <t>PR-CN2-31-004</t>
  </si>
  <si>
    <t>PR-CN2-31-004Inspeção cabo de aço</t>
  </si>
  <si>
    <t>PR-CN2-63-004</t>
  </si>
  <si>
    <t>PR-CN2-63-004Inspeção cabo de aço</t>
  </si>
  <si>
    <t xml:space="preserve">PR-CPV-30.1-004 </t>
  </si>
  <si>
    <t>PR-CPV-30.1-004Inspeção cabo de aço</t>
  </si>
  <si>
    <t xml:space="preserve">PR-CPV-30.2-004 </t>
  </si>
  <si>
    <t>PR-CPV-30.2-004Inspeção cabo de aço</t>
  </si>
  <si>
    <t>PR-CPV-31-004</t>
  </si>
  <si>
    <t>PR-CPV-31-004Inspeção cabo de aço</t>
  </si>
  <si>
    <t>PR-CPV-32-004</t>
  </si>
  <si>
    <t>PR-CPV-32-004Inspeção cabo de aço</t>
  </si>
  <si>
    <t>PR-CPV-63-004</t>
  </si>
  <si>
    <t>PR-CPV-63-004Inspeção cabo de aço</t>
  </si>
  <si>
    <t>PR-GAR-30-004</t>
  </si>
  <si>
    <t>PR-GAR-30-004Inspeção cabo de aço</t>
  </si>
  <si>
    <t>PR-GAR-31-004</t>
  </si>
  <si>
    <t>PR-GAR-31-004Inspeção cabo de aço</t>
  </si>
  <si>
    <t xml:space="preserve">PR-GAR-32.1-004 </t>
  </si>
  <si>
    <t>PR-GAR-32.1-004Inspeção cabo de aço</t>
  </si>
  <si>
    <t xml:space="preserve">PR-GAR-32.2-004 </t>
  </si>
  <si>
    <t>PR-GAR-32.2-004Inspeção cabo de aço</t>
  </si>
  <si>
    <t>PR-GAR-63-004</t>
  </si>
  <si>
    <t>PR-GAR-63-004Inspeção cabo de aço</t>
  </si>
  <si>
    <t>PR-ILS-30-004</t>
  </si>
  <si>
    <t>PR-ILS-30-004Inspeção cabo de aço</t>
  </si>
  <si>
    <t>PR-ILS-31-004</t>
  </si>
  <si>
    <t>PR-ILS-31-004Inspeção cabo de aço</t>
  </si>
  <si>
    <t xml:space="preserve">PR-ILS-32.1-004 </t>
  </si>
  <si>
    <t>PR-ILS-32.1-004Inspeção cabo de aço</t>
  </si>
  <si>
    <t xml:space="preserve">PR-ILS-32.2-004 </t>
  </si>
  <si>
    <t>PR-ILS-32.2-004Inspeção cabo de aço</t>
  </si>
  <si>
    <t xml:space="preserve">PR-ILS-32.3-004 </t>
  </si>
  <si>
    <t>PR-ILS-32.3-004Inspeção cabo de aço</t>
  </si>
  <si>
    <t xml:space="preserve">PR-ILS-32.4-004 </t>
  </si>
  <si>
    <t>PR-ILS-32.4-004Inspeção cabo de aço</t>
  </si>
  <si>
    <t xml:space="preserve">PR-ILS-32.5-004 </t>
  </si>
  <si>
    <t>PR-ILS-32.5-004Inspeção cabo de aço</t>
  </si>
  <si>
    <t xml:space="preserve">PR-ILS-32.6-004 </t>
  </si>
  <si>
    <t>PR-ILS-32.6-004Inspeção cabo de aço</t>
  </si>
  <si>
    <t xml:space="preserve">PR-ILS-32.7-004 </t>
  </si>
  <si>
    <t>PR-ILS-32.7-004Inspeção cabo de aço</t>
  </si>
  <si>
    <t xml:space="preserve">PR-ILS-63.1-004 </t>
  </si>
  <si>
    <t>PR-ILS-63.1-004Inspeção cabo de aço</t>
  </si>
  <si>
    <t xml:space="preserve">PR-ILS-63.2-004 </t>
  </si>
  <si>
    <t>PR-ILS-63.2-004Inspeção cabo de aço</t>
  </si>
  <si>
    <t xml:space="preserve">PR-JUP-30.1-004 </t>
  </si>
  <si>
    <t>PR-JUP-30.1-004Inspeção cabo de aço</t>
  </si>
  <si>
    <t xml:space="preserve">PR-JUP-30.2-004 </t>
  </si>
  <si>
    <t>PR-JUP-30.2-004Inspeção cabo de aço</t>
  </si>
  <si>
    <t>PR-JUP-31-004</t>
  </si>
  <si>
    <t>PR-JUP-31-004Inspeção cabo de aço</t>
  </si>
  <si>
    <t xml:space="preserve">PR-JUP-32.1-004 </t>
  </si>
  <si>
    <t>PR-JUP-32.1-004Inspeção cabo de aço</t>
  </si>
  <si>
    <t xml:space="preserve">PR-JUP-32.2-004 </t>
  </si>
  <si>
    <t>PR-JUP-32.2-004Inspeção cabo de aço</t>
  </si>
  <si>
    <t xml:space="preserve">PR-JUP-32.3-004 </t>
  </si>
  <si>
    <t>PR-JUP-32.3-004Inspeção cabo de aço</t>
  </si>
  <si>
    <t xml:space="preserve">PR-JUP-32.4-004 </t>
  </si>
  <si>
    <t>PR-JUP-32.4-004Inspeção cabo de aço</t>
  </si>
  <si>
    <t xml:space="preserve">PR-JUP-63.1-004 </t>
  </si>
  <si>
    <t>PR-JUP-63.1-004Inspeção cabo de aço</t>
  </si>
  <si>
    <t xml:space="preserve">PR-JUP-63.2-004 </t>
  </si>
  <si>
    <t>PR-JUP-63.2-004Inspeção cabo de aço</t>
  </si>
  <si>
    <t xml:space="preserve">PR-JUP-63.3-004 </t>
  </si>
  <si>
    <t>PR-JUP-63.3-004Inspeção cabo de aço</t>
  </si>
  <si>
    <t xml:space="preserve">PR-JUR-30.1-004 </t>
  </si>
  <si>
    <t>PR-JUR-30.1-004Inspeção cabo de aço</t>
  </si>
  <si>
    <t xml:space="preserve">PR-JUR-30.2-004 </t>
  </si>
  <si>
    <t>PR-JUR-30.2-004Inspeção cabo de aço</t>
  </si>
  <si>
    <t>PR-JUR-31-004</t>
  </si>
  <si>
    <t>PR-JUR-31-004Inspeção cabo de aço</t>
  </si>
  <si>
    <t>PR-JUR-32-004</t>
  </si>
  <si>
    <t>PR-JUR-32-004Inspeção cabo de aço</t>
  </si>
  <si>
    <t>PR-JUR-63-004</t>
  </si>
  <si>
    <t>PR-JUR-63-004Inspeção cabo de aço</t>
  </si>
  <si>
    <t>PR-PLM-30-004</t>
  </si>
  <si>
    <t>PR-PLM-30-004Inspeção cabo de aço</t>
  </si>
  <si>
    <t>PR-PLM-31-004</t>
  </si>
  <si>
    <t>PR-PLM-31-004Inspeção cabo de aço</t>
  </si>
  <si>
    <t>PR-RET-30-004</t>
  </si>
  <si>
    <t>PR-RET-30-004Inspeção cabo de aço</t>
  </si>
  <si>
    <t>PR-RET-31-004</t>
  </si>
  <si>
    <t>PR-RET-31-004Inspeção cabo de aço</t>
  </si>
  <si>
    <t>PR-ROS-30-004</t>
  </si>
  <si>
    <t>PR-ROS-30-004Inspeção cabo de aço</t>
  </si>
  <si>
    <t>PR-ROS-31-004</t>
  </si>
  <si>
    <t>PR-ROS-31-004Inspeção cabo de aço</t>
  </si>
  <si>
    <t>PR-ROS-32-004</t>
  </si>
  <si>
    <t>PR-ROS-32-004Inspeção cabo de aço</t>
  </si>
  <si>
    <t>PR-ROS-63-004</t>
  </si>
  <si>
    <t>PR-ROS-63-004Inspeção cabo de aço</t>
  </si>
  <si>
    <t>PR-SAG-30-004</t>
  </si>
  <si>
    <t>PR-SAG-30-004Inspeção cabo de aço</t>
  </si>
  <si>
    <t>PR-SAG-31-004</t>
  </si>
  <si>
    <t>PR-SAG-31-004Inspeção cabo de aço</t>
  </si>
  <si>
    <t>PR-SAG-32-004</t>
  </si>
  <si>
    <t>PR-SAG-32-004Inspeção cabo de aço</t>
  </si>
  <si>
    <t>PR-SAG-63-004</t>
  </si>
  <si>
    <t>PR-SAG-63-004Inspeção cabo de aço</t>
  </si>
  <si>
    <t>PR-STO-30-004</t>
  </si>
  <si>
    <t>PR-STO-30-004Inspeção cabo de aço</t>
  </si>
  <si>
    <t>PR-STO-31-004</t>
  </si>
  <si>
    <t>PR-STO-31-004Inspeção cabo de aço</t>
  </si>
  <si>
    <t>PR-STO-63-004</t>
  </si>
  <si>
    <t>PR-STO-63-004Inspeção cabo de aço</t>
  </si>
  <si>
    <t>PR-TAQ-30-004</t>
  </si>
  <si>
    <t>PR-TAQ-30-004Inspeção cabo de aço</t>
  </si>
  <si>
    <t>PR-TAQ-31-004</t>
  </si>
  <si>
    <t>PR-TAQ-31-004Inspeção cabo de aço</t>
  </si>
  <si>
    <t>PR-TAQ-32-004</t>
  </si>
  <si>
    <t>PR-TAQ-32-004Inspeção cabo de aço</t>
  </si>
  <si>
    <t>PR-TAQ-63-004</t>
  </si>
  <si>
    <t>PR-TAQ-63-004Inspeção cabo de aço</t>
  </si>
  <si>
    <t xml:space="preserve">PR-ILS-15-028 </t>
  </si>
  <si>
    <t>PR-ILS-15-028 - Proteção de Sobrecorrente de neutro</t>
  </si>
  <si>
    <t>PR-CN2-03-000</t>
  </si>
  <si>
    <t>PR-CN2-03-000-Manutencao Gerador - inspeção e limpeza geral.xlsx</t>
  </si>
  <si>
    <t>PR-CN2-03-002</t>
  </si>
  <si>
    <t>PR-CN2-03-002-Inspeção no enrolamento do estator - cabeças de bobina.xlsx</t>
  </si>
  <si>
    <t>PR-CN2-03-003</t>
  </si>
  <si>
    <t>PR-CN2-03-003-Inspeção no enrolamento do estator - aneis de surto e barramento circular.xlsx</t>
  </si>
  <si>
    <t>PR-CN2-03-004</t>
  </si>
  <si>
    <t>PR-CN2-03-004-Inspeção no nucleo do estator - dedos pressao e escadinha.xlsx</t>
  </si>
  <si>
    <t>PR-CN2-03-005</t>
  </si>
  <si>
    <t>PR-CN2-03-005-Inspeção no nucleo do estator - cunhas de fechamento de ranhuras.xlsx</t>
  </si>
  <si>
    <t>PR-CN2-03-006</t>
  </si>
  <si>
    <t>PR-CN2-03-006-Inspeção nos polos - bobinas e conexoes principais e amortecedor.xlsx</t>
  </si>
  <si>
    <t>PR-CN2-03-007</t>
  </si>
  <si>
    <t>PR-CN2-03-007-Inspeção campo- regulador_porta escovas - anel coletor_polos.xlsx</t>
  </si>
  <si>
    <t>PR-CN2-03-008</t>
  </si>
  <si>
    <t>PR-CN2-03-008-Manutencao Estator - desmontagem e montagem das conexoes flexiveis.xlsx</t>
  </si>
  <si>
    <t>PR-CN2-03-010</t>
  </si>
  <si>
    <t>PR-CN2-03-010-Manutencao Estator - secagem enrolamento.xlsx</t>
  </si>
  <si>
    <t>PR-CN2-03-011</t>
  </si>
  <si>
    <t>PR-CN2-03-011-Manutencao Polos - montagem e controle das conexoes principais e amortecedor.xlsx</t>
  </si>
  <si>
    <t>PR-CN2-03-012</t>
  </si>
  <si>
    <t>PR-CN2-03-012-Manutencao Polos - substituição de polo em bulbo.xlsx</t>
  </si>
  <si>
    <t>PR-CN2-03-013</t>
  </si>
  <si>
    <t>PR-CN2-03-013-Manutancao Rotor - desmontagem e montagem barramento de campo.xlsx</t>
  </si>
  <si>
    <t>PR-CN2-03-014</t>
  </si>
  <si>
    <t>PR-CN2-03-014-Manutancao porta escovas.xlsx</t>
  </si>
  <si>
    <t>PR-CN2-03-015</t>
  </si>
  <si>
    <t>PR-CN2-03-015-Manutancao aneis coletores.xlsx</t>
  </si>
  <si>
    <t>PR-CN2-03-016</t>
  </si>
  <si>
    <t>PR-CN2-03-016-Inspeção cubiculo aterramento neutro.xlsx</t>
  </si>
  <si>
    <t>PR-CN2-03-017</t>
  </si>
  <si>
    <t>PR-CN2-03-017-Manutancao Equip Aux - desmontagem e montagem VENTILADORES.xlsx</t>
  </si>
  <si>
    <t>PR-CN2-03-018</t>
  </si>
  <si>
    <t>PR-CN2-03-018- Medição da vazão de ar dos ventiladores.xlsx</t>
  </si>
  <si>
    <t>PR-CN2-03-101</t>
  </si>
  <si>
    <t>PR-CN2-03-101 - Testes enrolamento estator e rotor - isolação, IP, IA.xlsx</t>
  </si>
  <si>
    <t>PR-CN2-03-102</t>
  </si>
  <si>
    <t>PR-CN2-03-102 - Testes enrolamento estator e rotor - Resistência Ohmica.xlsx</t>
  </si>
  <si>
    <t>PR-CN2-03-103</t>
  </si>
  <si>
    <t>PR-CN2-03-103 - Testes enrolamento estator - ensaio de corrente de fuga.xlsx</t>
  </si>
  <si>
    <t>PR-CN2-03-104</t>
  </si>
  <si>
    <t>PR-CN2-03-104 - Testes enrolamento estator - tangente delta RevA.xlsx</t>
  </si>
  <si>
    <t>PR-CN2-03-105</t>
  </si>
  <si>
    <t>PR-CN2-03-105 - Testes enrolamento estator e rotor - Tensao Aplicada (hipot) AC-CC.xlsx</t>
  </si>
  <si>
    <t>PR-CN2-03-106</t>
  </si>
  <si>
    <t>PR-CN2-03-106 - Testes enrolamento rotor - Resistencia ohmica das conexoes polares.xlsx</t>
  </si>
  <si>
    <t>PR-CN2-03-107</t>
  </si>
  <si>
    <t>PR-CN2-03-107 - Testes enrolamento rotor - Ensaio de queda de tensao nos polos.xlsx</t>
  </si>
  <si>
    <t>PR-CN2-03-108</t>
  </si>
  <si>
    <t>PR-CN2-03-108 - Testes circuito de campo - medição isolação componentes.xlsx</t>
  </si>
  <si>
    <t>PR-CN2-03-109</t>
  </si>
  <si>
    <t>PR-CN2-03-109 - Testes enrolamento estator - tensão de ranhura.xlsx</t>
  </si>
  <si>
    <t>PR-CN2-03-110</t>
  </si>
  <si>
    <t>PR-CN2-03-110 - Ensaios nos RTDs.xlsx</t>
  </si>
  <si>
    <t>PR-CN2-03-111</t>
  </si>
  <si>
    <t>PR-CN2-03-111 - Testes enrolamento estator- Ensaio de corona visual.xlsx</t>
  </si>
  <si>
    <t>PR-CN2-03-112</t>
  </si>
  <si>
    <t>PR-CN2-03-112 - Ensaios equipmts aux - painel de neutro.xlsx</t>
  </si>
  <si>
    <t>PR-CN2-03-113</t>
  </si>
  <si>
    <t>PR-CN2-03-113 - Ensaios nos aquecedores de maq parada.xlsx</t>
  </si>
  <si>
    <t>PR-CN2-03-114</t>
  </si>
  <si>
    <t>PR-CN2-03-114 - Ensaios para levantamento das curvas caracterisitcas.xlsx</t>
  </si>
  <si>
    <t>PR-CN2-03-115</t>
  </si>
  <si>
    <t>PR-CN2-03-115 - Ensaio de aquecimento do Gerador.xlsx</t>
  </si>
  <si>
    <t>PR-CHV-20-008</t>
  </si>
  <si>
    <t>PR-CHV-20-008 - Inspeção aro de regulação.xlsx</t>
  </si>
  <si>
    <t>PR-JUR-20-008</t>
  </si>
  <si>
    <t>PR-JUR-20-008 - Inspeção aro de regulação.xlsx</t>
  </si>
  <si>
    <t>PR-SAG-20-008</t>
  </si>
  <si>
    <t>PR-SAG-20-008 - Inspeção aro de regulação.xlsx</t>
  </si>
  <si>
    <t>PR-CN1-20-008</t>
  </si>
  <si>
    <t>PR-CN1-20-008 - Inspeção aro de regulação.xlsx</t>
  </si>
  <si>
    <t>PR-CN2-20-008</t>
  </si>
  <si>
    <t>PR-CN2-20-008 - Inspeção aro de regulação.xlsx</t>
  </si>
  <si>
    <t>PR-CPV-20-008</t>
  </si>
  <si>
    <t>PR-CPV-20-008 - Inspeção aro de regulação.xlsx</t>
  </si>
  <si>
    <t>PR-GAR-20-008</t>
  </si>
  <si>
    <t>PR-GAR-20-008 - Inspeção aro de regulação.xlsx</t>
  </si>
  <si>
    <t>PR-STO-20-008</t>
  </si>
  <si>
    <t>PR-STO-20-008 - Inspeção aro de regulação.xlsx</t>
  </si>
  <si>
    <t>PR-PLM-20-008</t>
  </si>
  <si>
    <t>PR-PLM-20-008 - Inspeção aro de regulação.xlsx</t>
  </si>
  <si>
    <t>PR-RET-20-008</t>
  </si>
  <si>
    <t>PR-RET-20-008 - Inspeção aro de regulação.xlsx</t>
  </si>
  <si>
    <t>PR-JUP-20-008</t>
  </si>
  <si>
    <t>PR-JUP-20-008 - Inspeção aro de regulação.xlsx</t>
  </si>
  <si>
    <t>PR-ILS-20-008</t>
  </si>
  <si>
    <t>PR-ILS-20-008 - Inspeção aro de regulação.xlsx</t>
  </si>
  <si>
    <t>PR-TAQ-20-008</t>
  </si>
  <si>
    <t>PR-TAQ-20-008 - Inspeção aro de regulação.xlsx</t>
  </si>
  <si>
    <t>PR-ROS-20-008</t>
  </si>
  <si>
    <t>PR-ROS-20-008 - Inspeção aro de regulação.xlsx</t>
  </si>
  <si>
    <t>PR-CHV-62-002</t>
  </si>
  <si>
    <t>PR-CHV-62-002 - Vazamento da comporta.xlsx</t>
  </si>
  <si>
    <t>PR-JUR-62-002</t>
  </si>
  <si>
    <t>PR-JUR-62-002 - Vazamento da comporta.xlsx</t>
  </si>
  <si>
    <t>PR-SAG-62-002</t>
  </si>
  <si>
    <t>PR-SAG-62-002 - Vazamento da comporta.xlsx</t>
  </si>
  <si>
    <t>PR-CN1-62-002</t>
  </si>
  <si>
    <t>PR-CN1-62-002 - Vazamento da comporta.xlsx</t>
  </si>
  <si>
    <t>PR-CN2-62-002</t>
  </si>
  <si>
    <t>PR-CN2-62-002 - Vazamento da comporta.xlsx</t>
  </si>
  <si>
    <t>PR-CPV-62-002</t>
  </si>
  <si>
    <t>PR-CPV-62-002 - Vazamento da comporta.xlsx</t>
  </si>
  <si>
    <t>PR-GAR-62-002</t>
  </si>
  <si>
    <t>PR-GAR-62-002 - Vazamento da comporta.xlsx</t>
  </si>
  <si>
    <t>PR-STO-62-002</t>
  </si>
  <si>
    <t>PR-STO-62-002 - Vazamento da comporta.xlsx</t>
  </si>
  <si>
    <t>PR-PLM-62-002</t>
  </si>
  <si>
    <t>PR-PLM-62-002 - Vazamento da comporta.xlsx</t>
  </si>
  <si>
    <t>PR-RET-62-002</t>
  </si>
  <si>
    <t>PR-RET-62-002 - Vazamento da comporta.xlsx</t>
  </si>
  <si>
    <t>PR-JUP-62-002</t>
  </si>
  <si>
    <t>PR-JUP-62-002 - Vazamento da comporta.xlsx</t>
  </si>
  <si>
    <t>PR-ILS-62-002</t>
  </si>
  <si>
    <t>PR-ILS-62-002 - Vazamento da comporta.xlsx</t>
  </si>
  <si>
    <t>PR-TAQ-62-002</t>
  </si>
  <si>
    <t>PR-TAQ-62-002 - Vazamento da comporta.xlsx</t>
  </si>
  <si>
    <t>PR-ROS-62-002</t>
  </si>
  <si>
    <t>PR-ROS-62-002 - Vazamento da comporta.xlsx</t>
  </si>
  <si>
    <t>PR-CHV-61-002</t>
  </si>
  <si>
    <t>PR-CHV-61-002 - Folga entre eixo do munhão e bucha.xlsx</t>
  </si>
  <si>
    <t>PR-JUR-61-002</t>
  </si>
  <si>
    <t>PR-JUR-61-002 - Folga entre eixo do munhão e bucha.xlsx</t>
  </si>
  <si>
    <t>PR-SAG-61-002</t>
  </si>
  <si>
    <t>PR-SAG-61-002 - Folga entre eixo do munhão e bucha.xlsx</t>
  </si>
  <si>
    <t>PR-CN1-61-002</t>
  </si>
  <si>
    <t>PR-CN1-61-002 - Folga entre eixo do munhão e bucha.xlsx</t>
  </si>
  <si>
    <t>PR-CN2-61-002</t>
  </si>
  <si>
    <t>PR-CN2-61-002 - Folga entre eixo do munhão e bucha.xlsx</t>
  </si>
  <si>
    <t>PR-CPV-61-002</t>
  </si>
  <si>
    <t>PR-CPV-61-002 - Folga entre eixo do munhão e bucha.xlsx</t>
  </si>
  <si>
    <t>PR-GAR-61-002</t>
  </si>
  <si>
    <t>PR-GAR-61-002 - Folga entre eixo do munhão e bucha.xlsx</t>
  </si>
  <si>
    <t>PR-STO-61-002</t>
  </si>
  <si>
    <t>PR-STO-61-002 - Folga entre eixo do munhão e bucha.xlsx</t>
  </si>
  <si>
    <t>PR-PLM-61-002</t>
  </si>
  <si>
    <t>PR-PLM-61-002 - Folga entre eixo do munhão e bucha.xlsx</t>
  </si>
  <si>
    <t>PR-RET-61-002</t>
  </si>
  <si>
    <t>PR-RET-61-002 - Folga entre eixo do munhão e bucha.xlsx</t>
  </si>
  <si>
    <t>PR-JUP-61-002</t>
  </si>
  <si>
    <t>PR-JUP-61-002 - Folga entre eixo do munhão e bucha.xlsx</t>
  </si>
  <si>
    <t>PR-ILS-61-002</t>
  </si>
  <si>
    <t>PR-ILS-61-002 - Folga entre eixo do munhão e bucha.xlsx</t>
  </si>
  <si>
    <t>PR-TAQ-61-002</t>
  </si>
  <si>
    <t>PR-TAQ-61-002 - Folga entre eixo do munhão e bucha.xlsx</t>
  </si>
  <si>
    <t>PR-ROS-61-002</t>
  </si>
  <si>
    <t>PR-ROS-61-002 - Folga entre eixo do munhão e bucha.xlsx</t>
  </si>
  <si>
    <t>PR-CHV-61-003</t>
  </si>
  <si>
    <t>PR-CHV-61-003 - Vazamento da comporta.xlsx</t>
  </si>
  <si>
    <t>PR-JUR-61-003</t>
  </si>
  <si>
    <t>PR-JUR-61-003 - Vazamento da comporta.xlsx</t>
  </si>
  <si>
    <t>PR-SAG-61-003</t>
  </si>
  <si>
    <t>PR-SAG-61-003 - Vazamento da comporta.xlsx</t>
  </si>
  <si>
    <t>PR-CN1-61-003</t>
  </si>
  <si>
    <t>PR-CN1-61-003 - Vazamento da comporta.xlsx</t>
  </si>
  <si>
    <t>PR-CN2-61-003</t>
  </si>
  <si>
    <t>PR-CN2-61-003 - Vazamento da comporta.xlsx</t>
  </si>
  <si>
    <t>PR-CPV-61-003</t>
  </si>
  <si>
    <t>PR-CPV-61-003 - Vazamento da comporta.xlsx</t>
  </si>
  <si>
    <t>PR-GAR-61-003</t>
  </si>
  <si>
    <t>PR-GAR-61-003 - Vazamento da comporta.xlsx</t>
  </si>
  <si>
    <t>PR-STO-61-003</t>
  </si>
  <si>
    <t>PR-STO-61-003 - Vazamento da comporta.xlsx</t>
  </si>
  <si>
    <t>PR-PLM-61-003</t>
  </si>
  <si>
    <t>PR-PLM-61-003 - Vazamento da comporta.xlsx</t>
  </si>
  <si>
    <t>PR-RET-61-003</t>
  </si>
  <si>
    <t>PR-RET-61-003 - Vazamento da comporta.xlsx</t>
  </si>
  <si>
    <t>PR-JUP-61-003</t>
  </si>
  <si>
    <t>PR-JUP-61-003 - Vazamento da comporta.xlsx</t>
  </si>
  <si>
    <t>PR-ILS-61-003</t>
  </si>
  <si>
    <t>PR-ILS-61-003 - Vazamento da comporta.xlsx</t>
  </si>
  <si>
    <t>PR-TAQ-61-003</t>
  </si>
  <si>
    <t>PR-TAQ-61-003 - Vazamento da comporta.xlsx</t>
  </si>
  <si>
    <t>PR-ROS-61-003</t>
  </si>
  <si>
    <t>PR-ROS-61-003 - Vazamento da comporta.xlsx</t>
  </si>
  <si>
    <t>PR-CN1-03-001</t>
  </si>
  <si>
    <t xml:space="preserve">PR-CN1-03-001-Inspeção com termografia no Gerador </t>
  </si>
  <si>
    <t>PR-CN1-03-009</t>
  </si>
  <si>
    <t xml:space="preserve">PR-CN1-03-009Ensaios na substituiçao de barra </t>
  </si>
  <si>
    <t>PR-CN2-03-009</t>
  </si>
  <si>
    <t xml:space="preserve">PR-CN2-03-009Ensaios na substituiçao de barra </t>
  </si>
  <si>
    <t>PR-CN2-03-001</t>
  </si>
  <si>
    <t xml:space="preserve">PR-CN2-03-001-Inspeção com termografia no Gerador </t>
  </si>
  <si>
    <t>PR-GAR-03-000</t>
  </si>
  <si>
    <t>PR-GAR-03-000-Manutencao Gerador - inspeção e limpeza geral.xlsx</t>
  </si>
  <si>
    <t>PR-GAR-03-001</t>
  </si>
  <si>
    <t xml:space="preserve">PR-GAR-03-001-Inspeção com termografia no Gerador </t>
  </si>
  <si>
    <t>PR-GAR-03-002</t>
  </si>
  <si>
    <t>PR-GAR-03-002-Inspeção no enrolamento do estator - cabeças de bobina.xlsx</t>
  </si>
  <si>
    <t>PR-GAR-03-003</t>
  </si>
  <si>
    <t>PR-GAR-03-003-Inspeção no enrolamento do estator - aneis de surto e barramento circular.xlsx</t>
  </si>
  <si>
    <t>PR-GAR-03-004</t>
  </si>
  <si>
    <t>PR-GAR-03-004-Inspeção no nucleo do estator - dedos pressao e escadinha.xlsx</t>
  </si>
  <si>
    <t>PR-GAR-03-005</t>
  </si>
  <si>
    <t>PR-GAR-03-005-Inspeção no nucleo do estator - cunhas de fechamento de ranhuras.xlsx</t>
  </si>
  <si>
    <t>PR-GAR-03-006</t>
  </si>
  <si>
    <t>PR-GAR-03-006-Inspeção nos polos - bobinas e conexoes principais e amortecedor.xlsx</t>
  </si>
  <si>
    <t>PR-GAR-03-007</t>
  </si>
  <si>
    <t>PR-GAR-03-007-Inspeção campo- regulador_porta escovas - anel coletor_polos.xlsx</t>
  </si>
  <si>
    <t>PR-GAR-03-008</t>
  </si>
  <si>
    <t>PR-GAR-03-008-Manutencao Estator - desmontagem e montagem das conexoes flexiveis.xlsx</t>
  </si>
  <si>
    <t>PR-GAR-03-010</t>
  </si>
  <si>
    <t>PR-GAR-03-010-Manutencao Estator - secagem enrolamento.xlsx</t>
  </si>
  <si>
    <t>PR-GAR-03-011</t>
  </si>
  <si>
    <t>PR-GAR-03-011-Manutencao Polos - montagem e controle das conexoes principais e amortecedor.xlsx</t>
  </si>
  <si>
    <t>PR-GAR-03-012</t>
  </si>
  <si>
    <t>PR-GAR-03-012-Manutencao Polos - substituição de polo em bulbo.xlsx</t>
  </si>
  <si>
    <t>PR-GAR-03-013</t>
  </si>
  <si>
    <t>PR-GAR-03-013-Manutancao Rotor - desmontagem e montagem barramento de campo.xlsx</t>
  </si>
  <si>
    <t>PR-GAR-03-014-Manutancao porta escovas.xlsx</t>
  </si>
  <si>
    <t>PR-GAR-03-015</t>
  </si>
  <si>
    <t>PR-GAR-03-015-Manutancao aneis coletores.xlsx</t>
  </si>
  <si>
    <t>PR-GAR-03-016</t>
  </si>
  <si>
    <t>PR-GAR-03-016-Inspeção cubiculo aterramento neutro.xlsx</t>
  </si>
  <si>
    <t>PR-ILS-03-001</t>
  </si>
  <si>
    <t xml:space="preserve">PR-ILS-03-001-Inspeção com termografia no Gerador </t>
  </si>
  <si>
    <t>PR-JUP-03-001</t>
  </si>
  <si>
    <t xml:space="preserve">PR-JUP-03-001-Inspeção com termografia no Gerador </t>
  </si>
  <si>
    <t>PR-PLM-03-001</t>
  </si>
  <si>
    <t xml:space="preserve">PR-PLM-03-001-Inspeção com termografia no Gerador </t>
  </si>
  <si>
    <t>PR-PLM-03-000</t>
  </si>
  <si>
    <t>PR-PLM-03-000-Manutencao Gerador - inspeção e limpeza geral.xlsx</t>
  </si>
  <si>
    <t>PR-PLM-03-002</t>
  </si>
  <si>
    <t>PR-PLM-03-002-Inspeção no enrolamento do estator - cabeças de bobina.xlsx</t>
  </si>
  <si>
    <t>PR-PLM-03-003</t>
  </si>
  <si>
    <t>PR-PLM-03-003-Inspeção no enrolamento do estator - aneis de surto e barramento circular.xlsx</t>
  </si>
  <si>
    <t>PR-PLM-03-004</t>
  </si>
  <si>
    <t>PR-PLM-03-004-Inspeção no nucleo do estator - dedos pressao e escadinha.xlsx</t>
  </si>
  <si>
    <t>PR-PLM-03-005</t>
  </si>
  <si>
    <t>PR-PLM-03-005-Inspeção no nucleo do estator - cunhas de fechamento de ranhuras.xlsx</t>
  </si>
  <si>
    <t>PR-PLM-03-006</t>
  </si>
  <si>
    <t>PR-PLM-03-006-Inspeção nos polos - bobinas e conexoes principais e amortecedor.xlsx</t>
  </si>
  <si>
    <t>PR-PLM-03-007</t>
  </si>
  <si>
    <t>PR-PLM-03-007-Inspeção campo- regulador_porta escovas - anel coletor_polos.xlsx</t>
  </si>
  <si>
    <t>PR-PLM-03-008</t>
  </si>
  <si>
    <t>PR-PLM-03-008-Manutencao Estator - desmontagem e montagem das conexoes flexiveis.xlsx</t>
  </si>
  <si>
    <t>PR-PLM-03-010</t>
  </si>
  <si>
    <t>PR-PLM-03-010-Manutencao Estator - secagem enrolamento.xlsx</t>
  </si>
  <si>
    <t>PR-PLM-03-011</t>
  </si>
  <si>
    <t>PR-PLM-03-011-Manutencao Polos - montagem e controle das conexoes principais e amortecedor.xlsx</t>
  </si>
  <si>
    <t>PR-PLM-03-012</t>
  </si>
  <si>
    <t>PR-PLM-03-012-Manutencao Polos - substituição de polo em bulbo.xlsx</t>
  </si>
  <si>
    <t>PR-PLM-03-013</t>
  </si>
  <si>
    <t>PR-PLM-03-013-Manutancao Rotor - desmontagem e montagem barramento de campo.xlsx</t>
  </si>
  <si>
    <t>PR-PLM-03-015</t>
  </si>
  <si>
    <t>PR-PLM-03-015-Manutancao aneis coletores.xlsx</t>
  </si>
  <si>
    <t>PR-PLM-03-016</t>
  </si>
  <si>
    <t>PR-PLM-03-016-Inspeção cubiculo aterramento neutro.xlsx</t>
  </si>
  <si>
    <t>PR-RET-03-001</t>
  </si>
  <si>
    <t xml:space="preserve">PR-RET-03-001-Inspeção com termografia no Gerador </t>
  </si>
  <si>
    <t>PR-RET-03-000</t>
  </si>
  <si>
    <t>PR-RET-03-000-Manutencao Gerador - inspeção e limpeza geral.xlsx</t>
  </si>
  <si>
    <t>PR-RET-03-002</t>
  </si>
  <si>
    <t>PR-RET-03-002-Inspeção no enrolamento do estator - cabeças de bobina.xlsx</t>
  </si>
  <si>
    <t>PR-RET-03-003</t>
  </si>
  <si>
    <t>PR-RET-03-003-Inspeção no enrolamento do estator - aneis de surto e barramento circular.xlsx</t>
  </si>
  <si>
    <t>PR-RET-03-004</t>
  </si>
  <si>
    <t>PR-RET-03-004-Inspeção no nucleo do estator - dedos pressao e escadinha.xlsx</t>
  </si>
  <si>
    <t>PR-RET-03-005</t>
  </si>
  <si>
    <t>PR-RET-03-005-Inspeção no nucleo do estator - cunhas de fechamento de ranhuras.xlsx</t>
  </si>
  <si>
    <t>PR-RET-03-006</t>
  </si>
  <si>
    <t>PR-RET-03-006-Inspeção nos polos - bobinas e conexoes principais e amortecedor.xlsx</t>
  </si>
  <si>
    <t>PR-RET-03-007</t>
  </si>
  <si>
    <t>PR-RET-03-007-Inspeção campo- regulador_porta escovas - anel coletor_polos.xlsx</t>
  </si>
  <si>
    <t>PR-RET-03-008</t>
  </si>
  <si>
    <t>PR-RET-03-008-Manutencao Estator - desmontagem e montagem das conexoes flexiveis.xlsx</t>
  </si>
  <si>
    <t>PR-RET-03-010</t>
  </si>
  <si>
    <t>PR-RET-03-010-Manutencao Estator - secagem enrolamento.xlsx</t>
  </si>
  <si>
    <t>PR-RET-03-011</t>
  </si>
  <si>
    <t>PR-RET-03-011-Manutencao Polos - montagem e controle das conexoes principais e amortecedor.xlsx</t>
  </si>
  <si>
    <t>PR-RET-03-012</t>
  </si>
  <si>
    <t>PR-RET-03-012-Manutencao Polos - substituição de polo em bulbo.xlsx</t>
  </si>
  <si>
    <t>PR-RET-03-013</t>
  </si>
  <si>
    <t>PR-RET-03-013-Manutancao Rotor - desmontagem e montagem barramento de campo.xlsx</t>
  </si>
  <si>
    <t>PR-RET-03-015</t>
  </si>
  <si>
    <t>PR-RET-03-015-Manutancao aneis coletores.xlsx</t>
  </si>
  <si>
    <t>PR-RET-03-016</t>
  </si>
  <si>
    <t>PR-RET-03-016-Inspeção cubiculo aterramento neutro.xlsx</t>
  </si>
  <si>
    <t>PR-SAG-03-009</t>
  </si>
  <si>
    <t>PR-SAG-03-009-Inspeção cubiculo aterramento neutro.xlsx</t>
  </si>
  <si>
    <t>PR-STO-03-001</t>
  </si>
  <si>
    <t xml:space="preserve">PR-STO-03-001-Inspeção com termografia no Gerador </t>
  </si>
  <si>
    <t>PR-STO-03-000</t>
  </si>
  <si>
    <t>PR-STO-03-000-Manutencao Gerador - inspeção e limpeza geral.xlsx</t>
  </si>
  <si>
    <t>PR-STO-03-002</t>
  </si>
  <si>
    <t>PR-STO-03-002-Inspeção no enrolamento do estator - cabeças de bobina.xlsx</t>
  </si>
  <si>
    <t>PR-STO-03-003</t>
  </si>
  <si>
    <t>PR-STO-03-003-Inspeção no enrolamento do estator - aneis de surto e barramento circular.xlsx</t>
  </si>
  <si>
    <t>PR-STO-03-004</t>
  </si>
  <si>
    <t>PR-STO-03-004-Inspeção no nucleo do estator - dedos pressao e escadinha.xlsx</t>
  </si>
  <si>
    <t>PR-STO-03-005</t>
  </si>
  <si>
    <t>PR-STO-03-005-Inspeção no nucleo do estator - cunhas de fechamento de ranhuras.xlsx</t>
  </si>
  <si>
    <t>PR-STO-03-006</t>
  </si>
  <si>
    <t>PR-STO-03-006-Inspeção nos polos - bobinas e conexoes principais e amortecedor.xlsx</t>
  </si>
  <si>
    <t>PR-STO-03-007</t>
  </si>
  <si>
    <t>PR-STO-03-007-Inspeção campo- regulador_porta escovas - anel coletor_polos.xlsx</t>
  </si>
  <si>
    <t>PR-STO-03-008</t>
  </si>
  <si>
    <t>PR-STO-03-008-Manutencao Estator - desmontagem e montagem das conexoes flexiveis.xlsx</t>
  </si>
  <si>
    <t>PR-STO-03-010</t>
  </si>
  <si>
    <t>PR-STO-03-010-Manutencao Estator - secagem enrolamento.xlsx</t>
  </si>
  <si>
    <t>PR-STO-03-011</t>
  </si>
  <si>
    <t>PR-STO-03-011-Manutencao Polos - montagem e controle das conexoes principais e amortecedor.xlsx</t>
  </si>
  <si>
    <t>PR-STO-03-012</t>
  </si>
  <si>
    <t>PR-STO-03-012-Manutencao Polos - substituição de polo em bulbo.xlsx</t>
  </si>
  <si>
    <t>PR-STO-03-013</t>
  </si>
  <si>
    <t>PR-STO-03-013-Manutancao Rotor - desmontagem e montagem barramento de campo.xlsx</t>
  </si>
  <si>
    <t>PR-STO-03-015</t>
  </si>
  <si>
    <t>PR-STO-03-015-Manutancao aneis coletores.xlsx</t>
  </si>
  <si>
    <t>PR-STO-03-016</t>
  </si>
  <si>
    <t>PR-STO-03-016-Inspeção cubiculo aterramento neutro.xlsx</t>
  </si>
  <si>
    <t xml:space="preserve">PR-CHV-51-015 - Ensaio em relé regulador de tensão </t>
  </si>
  <si>
    <t xml:space="preserve">PR-CN1-51-015 - Ensaio em relé regulador de tensão </t>
  </si>
  <si>
    <t xml:space="preserve">PR-CN2-51-015 - Ensaio em relé regulador de tensão </t>
  </si>
  <si>
    <t xml:space="preserve">PR-CPV-51-015 - Ensaio em relé regulador de tensão </t>
  </si>
  <si>
    <t xml:space="preserve">PR-GAR-51-015 - Ensaio em relé regulador de tensão </t>
  </si>
  <si>
    <t xml:space="preserve">PR-ILS-51-015 - Ensaio em relé regulador de tensão </t>
  </si>
  <si>
    <t xml:space="preserve">PR-JUP-51-015 - Ensaio em relé regulador de tensão </t>
  </si>
  <si>
    <t xml:space="preserve">PR-JUR-51-015 - Ensaio em relé regulador de tensão </t>
  </si>
  <si>
    <t>PR-ROS-51-015</t>
  </si>
  <si>
    <t xml:space="preserve">PR-ROS-51-015 - Ensaio em relé regulador de tensão </t>
  </si>
  <si>
    <t xml:space="preserve">PR-TAQ-51-015 - Ensaio em relé regulador de tensão </t>
  </si>
  <si>
    <t>PR-GAR-31-002</t>
  </si>
  <si>
    <t>PR-GAR-31-002 - Medição dos ganchos</t>
  </si>
  <si>
    <t xml:space="preserve">PR-GAR-63-002 </t>
  </si>
  <si>
    <t>PR-GAR-63-002 - Medição dos ganchos</t>
  </si>
  <si>
    <t>PR-GAR-63-003</t>
  </si>
  <si>
    <t>PR-GAR-63-003 - Ajuste e medição nos freios</t>
  </si>
  <si>
    <t xml:space="preserve">PR-GAR-31-003 </t>
  </si>
  <si>
    <t>PR-GAR-31-003 - Ajuste e medição nos freios</t>
  </si>
  <si>
    <t>PR-CHV-35-001</t>
  </si>
  <si>
    <t>PR-CHV-35-001 - Inspeção no conduto forçado</t>
  </si>
  <si>
    <t>PR-CN1-86-001</t>
  </si>
  <si>
    <t>PR-CN1-86-001 - Itens de manutenção - Sistema dosagem dicloro - Check-list</t>
  </si>
  <si>
    <t>PR-CN2-86-001</t>
  </si>
  <si>
    <t>PR-CN2-86-001 - Itens de manutenção - Sistema dosagem dicloro - Check-list</t>
  </si>
  <si>
    <t>PR-CPV-35-001</t>
  </si>
  <si>
    <t>PR-CPV-35-001 - Inspeção no conduto forçado</t>
  </si>
  <si>
    <t>PR-GAR-35-001</t>
  </si>
  <si>
    <t>PR-GAR-35-001 - Inspeção no conduto forçado</t>
  </si>
  <si>
    <t>PR-GAR-35.1-0</t>
  </si>
  <si>
    <t>PR-GAR-35.1-001 - Inspeção no conduto forçado</t>
  </si>
  <si>
    <t>PR-GAR-86-001</t>
  </si>
  <si>
    <t>PR-GAR-86-001 - Itens de manutenção - Sistema dosagem dicloro - Check-list_Usina</t>
  </si>
  <si>
    <t>PR-GAR-86.1-0</t>
  </si>
  <si>
    <t>PR-GAR-86.1-001 - Itens de manutenção - Sistema dosagem dicloro - Check-list_PCH</t>
  </si>
  <si>
    <t>PR-ILS-35-001</t>
  </si>
  <si>
    <t>PR-ILS-35-001 - Inspeção no conduto forçado</t>
  </si>
  <si>
    <t>PR-JUP-35-001</t>
  </si>
  <si>
    <t>PR-JUP-35-001 - Inspeção no conduto forçado</t>
  </si>
  <si>
    <t>PR-JUP-86-001</t>
  </si>
  <si>
    <t>PR-JUP-86-001 - Itens de manutenção - Sistema dosagem dicloro - Check-list</t>
  </si>
  <si>
    <t>PR-JUR-35-001</t>
  </si>
  <si>
    <t>PR-JUR-35-001 - Inspeção no conduto forçado</t>
  </si>
  <si>
    <t>PR-ROS-86-001</t>
  </si>
  <si>
    <t>PR-ROS-86-001 - Itens de manutenção - Sistema dosagem dicloro - Check-list</t>
  </si>
  <si>
    <t>PR-STO-35-001</t>
  </si>
  <si>
    <t>PR-STO-35-001 - Inspeção no conduto forçado</t>
  </si>
  <si>
    <t>PR-TAQ-86-001</t>
  </si>
  <si>
    <t>PR-TAQ-86-001 - Itens de manutenção - Sistema dosagem dicloro - Check-list</t>
  </si>
  <si>
    <t>PR-ARN-306-001 - Inspeção visual do tanque, sistema de preservação e resfriamento</t>
  </si>
  <si>
    <t>PR-ARN-306-002 - Inspeção visual das buchas</t>
  </si>
  <si>
    <t>PR-ARN-306-003 - Inspeção visual dos TCs de bucha</t>
  </si>
  <si>
    <t>PR-ARN-306-004 - Inspeção visual indicadores e termômetros</t>
  </si>
  <si>
    <t>PR-ARN-306-005 - Inspeção visual do relé de gás e DAP</t>
  </si>
  <si>
    <t>PR-ARN-306-006 - Inspeção visual painel de controle</t>
  </si>
  <si>
    <t>PR-ARN-306-007 e 306-021 - Ensaio de Resistência de isolamento</t>
  </si>
  <si>
    <t>PR-ARN-306-008 - Ensaio de Resistência elétrica dos Enrolamentos</t>
  </si>
  <si>
    <t>PR-ARN-306-009 - Ensaio de Fator de Potência e Capacitância dos enrolamentos</t>
  </si>
  <si>
    <t>PR-ARN-306-010 - Ensaio de relação de transformação</t>
  </si>
  <si>
    <t>PR-ARN-306-011 - Ensaio de Corrente de excitação monofásica</t>
  </si>
  <si>
    <t>PR-ARN-306-013-014-015 - Ensaio no RTD, Relé de Gás e DAP</t>
  </si>
  <si>
    <t>PR-ARN-306-016- Ensaio de Estanqueidade</t>
  </si>
  <si>
    <t>PR-ARN-306-018 - Ensaio de Fator de Potência e Capacitância das buchas</t>
  </si>
  <si>
    <t>PR-ARN-306-019 - Ensaio nos TCs</t>
  </si>
  <si>
    <t>PR-ARN-306-020 - Ensaio sistema de resfriamento</t>
  </si>
  <si>
    <t>PR-ARN-315-001 - Ensaios em Transformadores de Corrente</t>
  </si>
  <si>
    <t>PR-ARN-315-002 - Ensaios em Transformadores de Potencial</t>
  </si>
  <si>
    <t>PR-ARN-315-003 - Ensaio de Isolação</t>
  </si>
  <si>
    <t>PR-ARN-315-004 - Ensaio de Resistência Ohmica</t>
  </si>
  <si>
    <t>PR-ARN-315-005 - Ensaio de curva característica do TC</t>
  </si>
  <si>
    <t>PR-ARN-315-006 - Proteção Diferencial</t>
  </si>
  <si>
    <t>PR-ARN-315-007 - STUB</t>
  </si>
  <si>
    <t>PR-ARN-315-008 - Sobrecorrente de neutro</t>
  </si>
  <si>
    <t>PR-ARN-315-009 - Proteção de Subtensão</t>
  </si>
  <si>
    <t>PR-ARN-315-011 - Proteção Diferencial de terra restrita</t>
  </si>
  <si>
    <t>PR-ARN-315-012 - Proteção de sobrecorrente com restrição de tensão</t>
  </si>
  <si>
    <t>PR-ARN-315-013 - Sobrecorrente</t>
  </si>
  <si>
    <t>PR-ARN-315-014 - Proteção de Sobretensão</t>
  </si>
  <si>
    <t>PR-ARN-315-015 - Proteção de Falha Disjuntor</t>
  </si>
  <si>
    <t>PR-ARN-315-016 - Ensaio em relés de bloqueio-trip</t>
  </si>
  <si>
    <t>PR-ARN-309-000 - Itens de manutenção e teste</t>
  </si>
  <si>
    <t>PR-ARN-309-001 - Ensaio de resistência DC em barramento de painéis de média tensão</t>
  </si>
  <si>
    <t>PR-ARN-309-002 - Ensaio de isolação em barramento de painéis de média tensão</t>
  </si>
  <si>
    <t>PR-ARN-309-003 - Ensaio de tensão aplicada em barramento de painéis de média tensão</t>
  </si>
  <si>
    <t>PR-ARN-309-004 - Ensaio de disjuntores de média tensão</t>
  </si>
  <si>
    <t>PR-ARN-309-005 - Ensaio de tensão aplicada em disjuntores de média tensão</t>
  </si>
  <si>
    <t>PR-ARN-309-006 - Ensaio de seccionadoras de média tensão</t>
  </si>
  <si>
    <t>PR-ARN-309-007 - Ensaio de tensão aplicada em seccionadoras de média tensão</t>
  </si>
  <si>
    <t>PR-ARN-309-008 - Ensaio de TC de painéis de média tensão</t>
  </si>
  <si>
    <t>PR-ARN-309-009 - Ensaio de TP de painéis de média tensão</t>
  </si>
  <si>
    <t>PR-ARN-324-001 - Itens de manutenção - Check-list - novo padrão - Gerador diesel - Ingles</t>
  </si>
  <si>
    <t>PR-ARN-324-001 - Itens de manutenção - Check-list - novo padrão - Gerador diesel</t>
  </si>
  <si>
    <t>PR-ARN-327-001 - Itens de manutenção - Check-list - novo padrão - Separador</t>
  </si>
  <si>
    <t>PR-ARN-340-001 - Ensaio do sistema de iluminação</t>
  </si>
  <si>
    <t>PR-ARN-340-002 - Ensaio de pontos de tomada e de dispositivos DR</t>
  </si>
  <si>
    <t>PR-ARN-341-001 - Ensaio de resistência de aterramento</t>
  </si>
  <si>
    <t>PR-ARN-341-002 - Ensaio de tensão de toque e passo</t>
  </si>
  <si>
    <t>PR-ARN-341-003 - Ensaio de continuidade</t>
  </si>
  <si>
    <t>PR-ARN-351-001 - Inspeção visual do tanque, TC's, Buchas, sistema de preservação e resfriamento</t>
  </si>
  <si>
    <t>PR-ARN-351-002 - Inspeção visual indicadores de nível de óleo</t>
  </si>
  <si>
    <t>PR-ARN-351-004 - Inspeção visual do relé de gás, relé de pressão e DAP</t>
  </si>
  <si>
    <t>PR-ARN-351-007 - Ensaio de Resistência de isolamento</t>
  </si>
  <si>
    <t>PR-ARN-351-008 - Ensaio de Resistência elétrica dos Enrolamentos</t>
  </si>
  <si>
    <t>PR-ARN-351-010 - Ensaio de relação de transformação</t>
  </si>
  <si>
    <t>PR-ARN-351-011 - Ensaio de Corrente de excitação monofásica</t>
  </si>
  <si>
    <t>PR-ARN-360-001 - Itens de manutenção - Check-list - novo padrão - Incêndio - Ingles</t>
  </si>
  <si>
    <t>PR-ARN-360-001 - Itens de manutenção - Check-list - novo padrão - Incêndio</t>
  </si>
  <si>
    <t>PR-ARN-310-000 - Itens de manutenção e teste</t>
  </si>
  <si>
    <t>PR-ARN-310-001 - Ensaio de isolação em barramento de painéis de baixa tensão</t>
  </si>
  <si>
    <t>PR-ARN-310-002 - Ensaio de resistência DC em barramento de painéis de baixa tensão</t>
  </si>
  <si>
    <t>PR-ARN-310-003 - Ensaio de tensão aplicada em barramento de painéis de baixa tensão</t>
  </si>
  <si>
    <t>PR-ARN-310-004 - Ensaio de disjuntores de caixa moldada em painéis de baixa tensão</t>
  </si>
  <si>
    <t>PR-ARN-310-005 - Ensaio de isolação em TP de painéis de baixa tensão</t>
  </si>
  <si>
    <t>PR-ARN-310-006 - Ensaio de isolação em cabos de painéis de baixa tensão</t>
  </si>
  <si>
    <t>PR-ARN-310-007- Ensaio de acoplamento automático de barras em painéis de baixa tensão</t>
  </si>
  <si>
    <t>PR-ARI-319-000 - Itens de manutenção e teste</t>
  </si>
  <si>
    <t>PR-ARI-319-001 - Ensaio de baterias</t>
  </si>
  <si>
    <t>PR-ARI-319-002 - Ensaio de capacidade e equalização de baterias</t>
  </si>
  <si>
    <t>PR-ARI-319-003 - Ensaio de retificadores</t>
  </si>
  <si>
    <t xml:space="preserve">COG </t>
  </si>
  <si>
    <t xml:space="preserve">PR-COG-12-001 </t>
  </si>
  <si>
    <t>PR-COG-12-001 - Check list equipamento SCADA</t>
  </si>
  <si>
    <t>PR-ROS-24-101</t>
  </si>
  <si>
    <t>PR-ROS-24-101 - Testes enrolamento estator  - isolação, IP, IA</t>
  </si>
  <si>
    <t>PR-ROS-24-102</t>
  </si>
  <si>
    <t>PR-ROS-24-102 - Testes enrolamento estator - Resistência Ohmica</t>
  </si>
  <si>
    <t>PR-ROS-24-103</t>
  </si>
  <si>
    <t>PR-ROS-24-103 - Testes enrolamento estator  - tensão aplicada Vcc</t>
  </si>
  <si>
    <t>PR-ROS-24-104</t>
  </si>
  <si>
    <t>PR-ROS-24-104 - Testes enrolamento estator  - tensão aplicada Vca</t>
  </si>
  <si>
    <t>PR-ROS-24-105</t>
  </si>
  <si>
    <t>PR-ROS-24-105 - Testes enrolamento campo  - isolação</t>
  </si>
  <si>
    <t>PR-SDP-609-000</t>
  </si>
  <si>
    <t>PR-SDP-609-000 - Itens de manutenção e teste</t>
  </si>
  <si>
    <t>PR-SDP-609-001</t>
  </si>
  <si>
    <t>PR-SDP-609-001 - Ensaio de resistência DC em barramento de painéis de média tensão</t>
  </si>
  <si>
    <t>PR-SDP-609-002</t>
  </si>
  <si>
    <t>PR-SDP-609-002 - Ensaio de isolação em barramento de painéis de média tensão</t>
  </si>
  <si>
    <t>PR-SDP-609-003</t>
  </si>
  <si>
    <t>PR-SDP-609-003 - Ensaio de tensão aplicada em barramento de painéis de média tensão</t>
  </si>
  <si>
    <t>PR-SDP-609-004</t>
  </si>
  <si>
    <t>PR-SDP-609-004 - Ensaio de disjuntores de média tensão</t>
  </si>
  <si>
    <t>PR-SDP-609-005</t>
  </si>
  <si>
    <t>PR-SDP-609-005 - Ensaio de tensão aplicada em disjuntores de média tensão</t>
  </si>
  <si>
    <t>PR-SDP-609-006</t>
  </si>
  <si>
    <t>PR-SDP-609-006 - Ensaio de seccionadoras de média tensão</t>
  </si>
  <si>
    <t>PR-SDP-609-007</t>
  </si>
  <si>
    <t>PR-SDP-609-007 - Ensaio de tensão aplicada em seccionadoras de média tensão</t>
  </si>
  <si>
    <t>PR-SDP-609-008</t>
  </si>
  <si>
    <t>PR-SDP-609-008 - Ensaio de TC de painéis de média tensão</t>
  </si>
  <si>
    <t>PR-SDP-609-009</t>
  </si>
  <si>
    <t>PR-SDP-609-009 - Ensaio de TP de painéis de média tensão</t>
  </si>
  <si>
    <t xml:space="preserve">PR-SDP-624-001 </t>
  </si>
  <si>
    <t>PR-SDP-624-001 - Check-list -  Gerador diesel_PT</t>
  </si>
  <si>
    <t xml:space="preserve">PR-SDP-627-001 </t>
  </si>
  <si>
    <t>PR-SDP-627-001 - Check-list - Separador_PT</t>
  </si>
  <si>
    <t xml:space="preserve">PR-SDP-660-001 </t>
  </si>
  <si>
    <t>PR-SDP-660-001 - Check-list - Combate Incêndio_PT</t>
  </si>
  <si>
    <t xml:space="preserve">PR-SDP-684-001 </t>
  </si>
  <si>
    <t>PR-SDP-684-001 - Check-list - Sistema de Esgoto_PT</t>
  </si>
  <si>
    <t>PR-ILS-87-001</t>
  </si>
  <si>
    <t>PR-ILS-87-001 -  Inspeção Visual Dispostivos Icamento</t>
  </si>
  <si>
    <t>PR-TAQ-08-001</t>
  </si>
  <si>
    <t>PR-TAQ-08-001 - Resistência de Contatos R1</t>
  </si>
  <si>
    <t>PR-TAQ-08-002</t>
  </si>
  <si>
    <t>PR-TAQ-08-002 - Ensaio de Tempos de Operação do Disjuntor R1b</t>
  </si>
  <si>
    <t>PR-TAQ-08-003</t>
  </si>
  <si>
    <t>PR-TAQ-08-003 - Fator de Potência R1</t>
  </si>
  <si>
    <t>PR-TAQ-08-004</t>
  </si>
  <si>
    <t>PR-TAQ-08-004 - Verificação Funcional R1</t>
  </si>
  <si>
    <t>PR-TAQ-08-005</t>
  </si>
  <si>
    <t>PR-TAQ-08-005 - Seccionadoras - Ensaio de Resistência elétrica dos contatos</t>
  </si>
  <si>
    <t xml:space="preserve">PR-CHV-24-101 </t>
  </si>
  <si>
    <t>PR-CHV-24-101 - Testes enrolamento estator  - isolação, IP, IA 2.XLSX</t>
  </si>
  <si>
    <t xml:space="preserve">PR-CHV-24-102 </t>
  </si>
  <si>
    <t>PR-CHV-24-102 - Testes enrolamento estator - Resistência Ohmica 2.xlsx</t>
  </si>
  <si>
    <t xml:space="preserve">PR-CHV-24-103 </t>
  </si>
  <si>
    <t>PR-CHV-24-103 - Testes enrolamento estator  - tensão aplicada Vcc 2.xlsx</t>
  </si>
  <si>
    <t xml:space="preserve">PR-CHV-24-104 </t>
  </si>
  <si>
    <t>PR-CHV-24-104 - Testes enrolamento estator  - tensão aplicada Vca 2.xlsx</t>
  </si>
  <si>
    <t xml:space="preserve">PR-CHV-24-105 </t>
  </si>
  <si>
    <t>PR-CHV-24-105 - Testes enrolamento campo  - isolação 2.xlsx</t>
  </si>
  <si>
    <t xml:space="preserve">PR-CN1-24-101 </t>
  </si>
  <si>
    <t>PR-CN1-24-101 - Testes enrolamento estator  - isolação, IP, IA 2.XLSX</t>
  </si>
  <si>
    <t xml:space="preserve">PR-CN1-24-102 </t>
  </si>
  <si>
    <t>PR-CN1-24-102 - Testes enrolamento estator - Resistência Ohmica 2.xlsx</t>
  </si>
  <si>
    <t xml:space="preserve">PR-CN1-24-103 </t>
  </si>
  <si>
    <t>PR-CN1-24-103 - Testes enrolamento estator  - tensão aplicada Vcc 2.xlsx</t>
  </si>
  <si>
    <t xml:space="preserve">PR-CN1-24-104 </t>
  </si>
  <si>
    <t>PR-CN1-24-104 - Testes enrolamento estator  - tensão aplicada Vca 2.xlsx</t>
  </si>
  <si>
    <t xml:space="preserve">PR-CN1-24-105 </t>
  </si>
  <si>
    <t>PR-CN1-24-105 - Testes enrolamento campo  - isolação 2.xlsx</t>
  </si>
  <si>
    <t xml:space="preserve">PR-CN2-24-101 </t>
  </si>
  <si>
    <t>PR-CN2-24-101 - Testes enrolamento estator  - isolação, IP, IA 2.XLSX</t>
  </si>
  <si>
    <t xml:space="preserve">PR-CN2-24-102 </t>
  </si>
  <si>
    <t>PR-CN2-24-102 - Testes enrolamento estator - Resistência Ohmica 2.xlsx</t>
  </si>
  <si>
    <t xml:space="preserve">PR-CN2-24-103 </t>
  </si>
  <si>
    <t>PR-CN2-24-103 - Testes enrolamento estator  - tensão aplicada Vcc 2.xlsx</t>
  </si>
  <si>
    <t xml:space="preserve">PR-CN2-24-104 </t>
  </si>
  <si>
    <t>PR-CN2-24-104 - Testes enrolamento estator  - tensão aplicada Vca 2.xlsx</t>
  </si>
  <si>
    <t xml:space="preserve">PR-CN2-24-105 </t>
  </si>
  <si>
    <t>PR-CN2-24-105 - Testes enrolamento campo  - isolação 2.xlsx</t>
  </si>
  <si>
    <t xml:space="preserve">PR-CPV-24-101 </t>
  </si>
  <si>
    <t>PR-CPV-24-101 - Testes enrolamento estator  - isolação, IP, IA 2.XLSX</t>
  </si>
  <si>
    <t xml:space="preserve">PR-CPV-24-102 </t>
  </si>
  <si>
    <t>PR-CPV-24-102 - Testes enrolamento estator - Resistência Ohmica 2.xlsx</t>
  </si>
  <si>
    <t xml:space="preserve">PR-CPV-24-103 </t>
  </si>
  <si>
    <t>PR-CPV-24-103 - Testes enrolamento estator  - tensão aplicada Vcc 2.xlsx</t>
  </si>
  <si>
    <t xml:space="preserve">PR-CPV-24-104 </t>
  </si>
  <si>
    <t>PR-CPV-24-104 - Testes enrolamento estator  - tensão aplicada Vca 2.xlsx</t>
  </si>
  <si>
    <t xml:space="preserve">PR-CPV-24-105 </t>
  </si>
  <si>
    <t>PR-CPV-24-105 - Testes enrolamento campo  - isolação 2.xlsx</t>
  </si>
  <si>
    <t xml:space="preserve">PR-GAR-24-101 </t>
  </si>
  <si>
    <t>PR-GAR-24-101 - Testes enrolamento estator  - isolação, IP, IA 2.XLSX</t>
  </si>
  <si>
    <t xml:space="preserve">PR-GAR-24-102 </t>
  </si>
  <si>
    <t>PR-GAR-24-102 - Testes enrolamento estator - Resistência Ohmica 2.xlsx</t>
  </si>
  <si>
    <t xml:space="preserve">PR-GAR-24-103 </t>
  </si>
  <si>
    <t>PR-GAR-24-103 - Testes enrolamento estator  - tensão aplicada Vcc 2.xlsx</t>
  </si>
  <si>
    <t xml:space="preserve">PR-GAR-24-104 </t>
  </si>
  <si>
    <t>PR-GAR-24-104 - Testes enrolamento estator  - tensão aplicada Vca 2.xlsx</t>
  </si>
  <si>
    <t xml:space="preserve">PR-GAR-24-105 </t>
  </si>
  <si>
    <t>PR-GAR-24-105 - Testes enrolamento campo  - isolação 2.xlsx</t>
  </si>
  <si>
    <t xml:space="preserve">PR-ILS-24-101 </t>
  </si>
  <si>
    <t>PR-ILS-24-101 - Testes enrolamento estator  - isolação, IP, IA 2.XLSX</t>
  </si>
  <si>
    <t xml:space="preserve">PR-ILS-24-102 </t>
  </si>
  <si>
    <t>PR-ILS-24-102 - Testes enrolamento estator - Resistência Ohmica 2.xlsx</t>
  </si>
  <si>
    <t xml:space="preserve">PR-ILS-24-103 </t>
  </si>
  <si>
    <t>PR-ILS-24-103 - Testes enrolamento estator  - tensão aplicada Vcc 2.xlsx</t>
  </si>
  <si>
    <t xml:space="preserve">PR-ILS-24-104 </t>
  </si>
  <si>
    <t>PR-ILS-24-104 - Testes enrolamento estator  - tensão aplicada Vca 2.xlsx</t>
  </si>
  <si>
    <t xml:space="preserve">PR-ILS-24-105 </t>
  </si>
  <si>
    <t>PR-ILS-24-105 - Testes enrolamento campo  - isolação 2.xlsx</t>
  </si>
  <si>
    <t xml:space="preserve">PR-JUP-24-101 </t>
  </si>
  <si>
    <t>PR-JUP-24-101 - Testes enrolamento estator  - isolação, IP, IA 2.XLSX</t>
  </si>
  <si>
    <t xml:space="preserve">PR-JUP-24-102 </t>
  </si>
  <si>
    <t>PR-JUP-24-102 - Testes enrolamento estator - Resistência Ohmica 2.xlsx</t>
  </si>
  <si>
    <t xml:space="preserve">PR-JUP-24-103 </t>
  </si>
  <si>
    <t>PR-JUP-24-103 - Testes enrolamento estator  - tensão aplicada Vcc 2.xlsx</t>
  </si>
  <si>
    <t xml:space="preserve">PR-JUP-24-104 </t>
  </si>
  <si>
    <t>PR-JUP-24-104 - Testes enrolamento estator  - tensão aplicada Vca 2.xlsx</t>
  </si>
  <si>
    <t xml:space="preserve">PR-JUP-24-105 </t>
  </si>
  <si>
    <t>PR-JUP-24-105 - Testes enrolamento campo  - isolação 2.xlsx</t>
  </si>
  <si>
    <t xml:space="preserve">PR-JUR-24-101 </t>
  </si>
  <si>
    <t>PR-JUR-24-101 - Testes enrolamento estator  - isolação, IP, IA 2.XLSX</t>
  </si>
  <si>
    <t xml:space="preserve">PR-JUR-24-102 </t>
  </si>
  <si>
    <t>PR-JUR-24-102 - Testes enrolamento estator - Resistência Ohmica 2.xlsx</t>
  </si>
  <si>
    <t xml:space="preserve">PR-JUR-24-103 </t>
  </si>
  <si>
    <t>PR-JUR-24-103 - Testes enrolamento estator  - tensão aplicada Vcc 2.xlsx</t>
  </si>
  <si>
    <t xml:space="preserve">PR-JUR-24-104 </t>
  </si>
  <si>
    <t>PR-JUR-24-104 - Testes enrolamento estator  - tensão aplicada Vca 2.xlsx</t>
  </si>
  <si>
    <t xml:space="preserve">PR-JUR-24-105 </t>
  </si>
  <si>
    <t>PR-JUR-24-105 - Testes enrolamento campo  - isolação 2.xlsx</t>
  </si>
  <si>
    <t xml:space="preserve">PR-PLM-24-101 </t>
  </si>
  <si>
    <t>PR-PLM-24-101 - Testes enrolamento estator  - isolação, IP, IA 2.XLSX</t>
  </si>
  <si>
    <t xml:space="preserve">PR-PLM-24-102 </t>
  </si>
  <si>
    <t>PR-PLM-24-102 - Testes enrolamento estator - Resistência Ohmica 2.xlsx</t>
  </si>
  <si>
    <t xml:space="preserve">PR-PLM-24-103 </t>
  </si>
  <si>
    <t>PR-PLM-24-103 - Testes enrolamento estator  - tensão aplicada Vcc 2.xlsx</t>
  </si>
  <si>
    <t xml:space="preserve">PR-PLM-24-104 </t>
  </si>
  <si>
    <t>PR-PLM-24-104 - Testes enrolamento estator  - tensão aplicada Vca 2.xlsx</t>
  </si>
  <si>
    <t xml:space="preserve">PR-PLM-24-105 </t>
  </si>
  <si>
    <t>PR-PLM-24-105 - Testes enrolamento campo  - isolação 2.xlsx</t>
  </si>
  <si>
    <t xml:space="preserve">PR-RET-24-101 </t>
  </si>
  <si>
    <t>PR-RET-24-101 - Testes enrolamento estator  - isolação, IP, IA 2.XLSX</t>
  </si>
  <si>
    <t xml:space="preserve">PR-RET-24-102 </t>
  </si>
  <si>
    <t>PR-RET-24-102 - Testes enrolamento estator - Resistência Ohmica 2.xlsx</t>
  </si>
  <si>
    <t xml:space="preserve">PR-RET-24-103 </t>
  </si>
  <si>
    <t>PR-RET-24-103 - Testes enrolamento estator  - tensão aplicada Vcc 2.xlsx</t>
  </si>
  <si>
    <t xml:space="preserve">PR-RET-24-104 </t>
  </si>
  <si>
    <t>PR-RET-24-104 - Testes enrolamento estator  - tensão aplicada Vca 2.xlsx</t>
  </si>
  <si>
    <t xml:space="preserve">PR-RET-24-105 </t>
  </si>
  <si>
    <t>PR-RET-24-105 - Testes enrolamento campo  - isolação 2.xlsx</t>
  </si>
  <si>
    <t xml:space="preserve">PR-SAG-24-101 </t>
  </si>
  <si>
    <t>PR-SAG-24-101 - Testes enrolamento estator  - isolação, IP, IA 2.XLSX</t>
  </si>
  <si>
    <t xml:space="preserve">PR-SAG-24-102 </t>
  </si>
  <si>
    <t>PR-SAG-24-102 - Testes enrolamento estator - Resistência Ohmica 2.xlsx</t>
  </si>
  <si>
    <t xml:space="preserve">PR-SAG-24-103 </t>
  </si>
  <si>
    <t>PR-SAG-24-103 - Testes enrolamento estator  - tensão aplicada Vcc 2.xlsx</t>
  </si>
  <si>
    <t xml:space="preserve">PR-SAG-24-104 </t>
  </si>
  <si>
    <t>PR-SAG-24-104 - Testes enrolamento estator  - tensão aplicada Vca 2.xlsx</t>
  </si>
  <si>
    <t xml:space="preserve">PR-SAG-24-105 </t>
  </si>
  <si>
    <t>PR-SAG-24-105 - Testes enrolamento campo  - isolação 2.xlsx</t>
  </si>
  <si>
    <t xml:space="preserve">PR-STO-24-101 </t>
  </si>
  <si>
    <t>PR-STO-24-101 - Testes enrolamento estator  - isolação, IP, IA 2.XLSX</t>
  </si>
  <si>
    <t xml:space="preserve">PR-STO-24-102 </t>
  </si>
  <si>
    <t>PR-STO-24-102 - Testes enrolamento estator - Resistência Ohmica 2.xlsx</t>
  </si>
  <si>
    <t xml:space="preserve">PR-STO-24-103 </t>
  </si>
  <si>
    <t>PR-STO-24-103 - Testes enrolamento estator  - tensão aplicada Vcc 2.xlsx</t>
  </si>
  <si>
    <t xml:space="preserve">PR-STO-24-104 </t>
  </si>
  <si>
    <t>PR-STO-24-104 - Testes enrolamento estator  - tensão aplicada Vca 2.xlsx</t>
  </si>
  <si>
    <t xml:space="preserve">PR-STO-24-105 </t>
  </si>
  <si>
    <t>PR-STO-24-105 - Testes enrolamento campo  - isolação 2.xlsx</t>
  </si>
  <si>
    <t xml:space="preserve">PR-TAQ-24-101 </t>
  </si>
  <si>
    <t>PR-TAQ-24-101 - Testes enrolamento estator  - isolação, IP, IA 2.XLSX</t>
  </si>
  <si>
    <t xml:space="preserve">PR-TAQ-24-102 </t>
  </si>
  <si>
    <t>PR-TAQ-24-102 - Testes enrolamento estator - Resistência Ohmica 2.xlsx</t>
  </si>
  <si>
    <t xml:space="preserve">PR-TAQ-24-103 </t>
  </si>
  <si>
    <t>PR-TAQ-24-103 - Testes enrolamento estator  - tensão aplicada Vcc 2.xlsx</t>
  </si>
  <si>
    <t xml:space="preserve">PR-TAQ-24-104 </t>
  </si>
  <si>
    <t>PR-TAQ-24-104 - Testes enrolamento estator  - tensão aplicada Vca 2.xlsx</t>
  </si>
  <si>
    <t xml:space="preserve">PR-TAQ-24-105 </t>
  </si>
  <si>
    <t>PR-TAQ-24-105 - Testes enrolamento campo  - isolação 2.xlsx</t>
  </si>
  <si>
    <t>IO - INSTRUÇÕES DE OPERAÇÃO (OPERATION INSTRUCTION)</t>
  </si>
  <si>
    <t>IO-UHE-001</t>
  </si>
  <si>
    <t>Operação Local das Instalações</t>
  </si>
  <si>
    <t>Local Operation of Installations</t>
  </si>
  <si>
    <t>13//10/2022</t>
  </si>
  <si>
    <t>IO-UFV-001</t>
  </si>
  <si>
    <t>IO-UHE-002</t>
  </si>
  <si>
    <t>Troca de turno das usinas</t>
  </si>
  <si>
    <t>IO-UHE-003</t>
  </si>
  <si>
    <t>Gestão de inspeção rotineira</t>
  </si>
  <si>
    <t>Routine Inspection Management</t>
  </si>
  <si>
    <t>IO-UHE-004</t>
  </si>
  <si>
    <t xml:space="preserve">Aterramento Temporário </t>
  </si>
  <si>
    <t>Temporary Grounding</t>
  </si>
  <si>
    <t>IO-UEE-004</t>
  </si>
  <si>
    <t>IO-UFV-004</t>
  </si>
  <si>
    <t>IO.UEE.001</t>
  </si>
  <si>
    <t>Local operation</t>
  </si>
  <si>
    <t>IO.COG.100</t>
  </si>
  <si>
    <t>Gestão de Normas de Operação</t>
  </si>
  <si>
    <t xml:space="preserve">Cancelada </t>
  </si>
  <si>
    <t>IO-EO-101</t>
  </si>
  <si>
    <t>Intervenção em planta solar fotovoltaica</t>
  </si>
  <si>
    <t>Intervention in solar photovoltaic and wind instalation</t>
  </si>
  <si>
    <t>IO.EO.102</t>
  </si>
  <si>
    <t>Intervenção em Equipamentos ou Instalação_V01</t>
  </si>
  <si>
    <t>IO.COG.103</t>
  </si>
  <si>
    <t>Controle Hidráulico de Reservatórios</t>
  </si>
  <si>
    <t>IO.EO.104</t>
  </si>
  <si>
    <t>Solicitação de Intervenção</t>
  </si>
  <si>
    <t>Intervention Request</t>
  </si>
  <si>
    <t>IO.EO.105</t>
  </si>
  <si>
    <t>Comunicação de Voz na Operação</t>
  </si>
  <si>
    <t>Voice Communication in Operation</t>
  </si>
  <si>
    <t>IO.EO.106</t>
  </si>
  <si>
    <t>Compensador Síncrono</t>
  </si>
  <si>
    <t>Synchronous Compensator</t>
  </si>
  <si>
    <t>IO.COG.107</t>
  </si>
  <si>
    <t>Eclusagem</t>
  </si>
  <si>
    <t>IO-EO-108</t>
  </si>
  <si>
    <t>Investigação, caracterização e tratamento de falha humana.pdf</t>
  </si>
  <si>
    <t>IO.EO.109</t>
  </si>
  <si>
    <t>Telecheia e Comunicação Externa</t>
  </si>
  <si>
    <t>Emergency hotline for flood</t>
  </si>
  <si>
    <t>IO-EO-110</t>
  </si>
  <si>
    <t>Telecomando ou Operação Remota de Usina.pdf</t>
  </si>
  <si>
    <t>IO.EO.111</t>
  </si>
  <si>
    <t>Manobras para Ensaios de Operação e Treinamento de Técnicos de Produção</t>
  </si>
  <si>
    <t>Maneuvers for operation tests and training of production technicians</t>
  </si>
  <si>
    <t>IO.COG.113</t>
  </si>
  <si>
    <t>Atuação de Proteção de Transformadores</t>
  </si>
  <si>
    <t>IO.COG.114</t>
  </si>
  <si>
    <t>Informação de Ocorrência</t>
  </si>
  <si>
    <t>IO.COG.115</t>
  </si>
  <si>
    <t>Identificação de Negativo ou Positivo à Terra</t>
  </si>
  <si>
    <t>IO.COG.116</t>
  </si>
  <si>
    <t>Comissionamento de Equipamento e Instalação</t>
  </si>
  <si>
    <t>IO.COG.117</t>
  </si>
  <si>
    <t>Identificação de Cubículos e Painéis</t>
  </si>
  <si>
    <t>IO.EO.119</t>
  </si>
  <si>
    <t>Diagrama e Esquema de Operação</t>
  </si>
  <si>
    <t>Diagram and Operation Scheme</t>
  </si>
  <si>
    <t>IO.EO.120</t>
  </si>
  <si>
    <t>Treinamento e Desenvolvimento de Técnico de Operação do Sistema e Técnico de Produ</t>
  </si>
  <si>
    <t>Training and Development</t>
  </si>
  <si>
    <t>IO.COG.121</t>
  </si>
  <si>
    <t>Atividades de Pós-Operação nas Usinas</t>
  </si>
  <si>
    <t>IO.EO.123</t>
  </si>
  <si>
    <t>Boletim Informativo de Vazões - BIV</t>
  </si>
  <si>
    <t>Flow Rate Information Bulletin</t>
  </si>
  <si>
    <t>IO.COG.124</t>
  </si>
  <si>
    <t>Elaboração do Relatório GIO</t>
  </si>
  <si>
    <t>IO.EO.125</t>
  </si>
  <si>
    <t>Inspeção nos Órgãos de Descarga</t>
  </si>
  <si>
    <t>Inspection of Discharge Devices</t>
  </si>
  <si>
    <t>IO.COG.126</t>
  </si>
  <si>
    <t>Inspeção na Eclusa</t>
  </si>
  <si>
    <t>IO-EO-127</t>
  </si>
  <si>
    <t>Auditoria nos processos de operação.pdf</t>
  </si>
  <si>
    <t>Audit in operation processes</t>
  </si>
  <si>
    <t>IO.EO.128</t>
  </si>
  <si>
    <t>Atualização dos Manuais SOSEm</t>
  </si>
  <si>
    <t>SOSEm Manuals Update</t>
  </si>
  <si>
    <t>IO-EO-129</t>
  </si>
  <si>
    <t>Livro de Ocorrências.pdf</t>
  </si>
  <si>
    <t>Occurrence Book</t>
  </si>
  <si>
    <t>IO.EO.130</t>
  </si>
  <si>
    <t>Programação e Realização de Visitas nas Usinas</t>
  </si>
  <si>
    <t>Programming and Conducting Visits to Plants</t>
  </si>
  <si>
    <t>IO-EO-131</t>
  </si>
  <si>
    <t>Operação por Teleassistência da UHE Jurumirim.pdf</t>
  </si>
  <si>
    <t>IO.EO.132</t>
  </si>
  <si>
    <t>Operação Remota UHE CHV</t>
  </si>
  <si>
    <t>Teleassistance operation of the Chavantes hydroelectric power plant</t>
  </si>
  <si>
    <t>IO.EO.133</t>
  </si>
  <si>
    <t>Operação Remota UHE SAG</t>
  </si>
  <si>
    <t>Remote Operation - HPP Salto Grande</t>
  </si>
  <si>
    <t>IO-EO-134</t>
  </si>
  <si>
    <t>Operação por Teleassistência das UHEs CNO I e II.pdf</t>
  </si>
  <si>
    <t>IO.EO.135</t>
  </si>
  <si>
    <t>Operação Remota UHE CPV</t>
  </si>
  <si>
    <t>Operation by Teleassistance of the Capivara HPP</t>
  </si>
  <si>
    <t>IO.EO.136</t>
  </si>
  <si>
    <t>Operação Remota UHE TAQ</t>
  </si>
  <si>
    <t>Remote Operation HPP Taquaruçu</t>
  </si>
  <si>
    <t>IO.EO.137</t>
  </si>
  <si>
    <t>Operação Remota UHE ROS</t>
  </si>
  <si>
    <t>Remote Operationção HPP Rosana</t>
  </si>
  <si>
    <t>IO.EO.138</t>
  </si>
  <si>
    <t>Operação Remota PCHs PLM e RET</t>
  </si>
  <si>
    <t>Remote Operation SHPs Palmeiras e Retiro</t>
  </si>
  <si>
    <t>IO.COG.139</t>
  </si>
  <si>
    <t>Controle Serviço Auxiliar CA e CC - UHEs e PCHs da Rio Paranapanema Energia</t>
  </si>
  <si>
    <t>IO.COG.140</t>
  </si>
  <si>
    <t>Controle Despacho Geração de Energia</t>
  </si>
  <si>
    <t>IO.COG.141</t>
  </si>
  <si>
    <t>Acesso e Dowload Programa Diário Operação - PDO</t>
  </si>
  <si>
    <t>IO.COG.142</t>
  </si>
  <si>
    <t>Análise Balanço Hidráulico</t>
  </si>
  <si>
    <t>IO.COG.143</t>
  </si>
  <si>
    <t>Apuração Energia Vertida Turbinável</t>
  </si>
  <si>
    <t>IO.COG.144</t>
  </si>
  <si>
    <t>Check List COG</t>
  </si>
  <si>
    <t>IO.COG.145</t>
  </si>
  <si>
    <t>Diretrizes Área Planejamento Operação</t>
  </si>
  <si>
    <t>IO-EO-146</t>
  </si>
  <si>
    <t>Manual de Operação Spectrum Power 5.6 Siemens - SSC-COG.pdf</t>
  </si>
  <si>
    <t>IO.COG.146</t>
  </si>
  <si>
    <t>Manual Operação Sistema Spectrum Power 5.3 Siemens - COG Paranapanema</t>
  </si>
  <si>
    <t>IO.EO.147</t>
  </si>
  <si>
    <t>Lançamento Dados SISOP</t>
  </si>
  <si>
    <t>SISOP Data Release</t>
  </si>
  <si>
    <t>IO.COG.148</t>
  </si>
  <si>
    <t>Processos de Liberação e Normalização</t>
  </si>
  <si>
    <t>IO-EO-149</t>
  </si>
  <si>
    <t>SSC-COG Anomalias.pdf</t>
  </si>
  <si>
    <t>IO.COG.149</t>
  </si>
  <si>
    <t>SSC-COG Anomalias</t>
  </si>
  <si>
    <t>IO.COG.150</t>
  </si>
  <si>
    <t>Procedimento Acesso Sala Servidor</t>
  </si>
  <si>
    <t>IO.COG.151</t>
  </si>
  <si>
    <t>Solicitação de Serviços de TI</t>
  </si>
  <si>
    <t>IO.COG.152</t>
  </si>
  <si>
    <t>Teste Potência Máxima UHE's</t>
  </si>
  <si>
    <t>IO.EO.153</t>
  </si>
  <si>
    <t>Contingências em Disjuntores de Grupo</t>
  </si>
  <si>
    <t>Contingencies in Group Circuit Breakers</t>
  </si>
  <si>
    <t>IO.EO.154</t>
  </si>
  <si>
    <t>Curva Capabilidade UG's</t>
  </si>
  <si>
    <t>UG Capability Curve</t>
  </si>
  <si>
    <t>IO.COG.155</t>
  </si>
  <si>
    <t>Despacho Ótimo UG's</t>
  </si>
  <si>
    <t>IO.COG.156</t>
  </si>
  <si>
    <t>Faixa Operativa Unidades Geradoras</t>
  </si>
  <si>
    <t>IO.COG.157</t>
  </si>
  <si>
    <t>Hidrologia Verificações</t>
  </si>
  <si>
    <t>IO.COG.158</t>
  </si>
  <si>
    <t>Informações Meteorológicas Anomalias</t>
  </si>
  <si>
    <t>IO.COG.159</t>
  </si>
  <si>
    <t>Inspeção à Jusante Vertedor UHE Capivara</t>
  </si>
  <si>
    <t>IO.EO.160</t>
  </si>
  <si>
    <t>Interrupção Sistema Comunicação Devido Interferência Solar</t>
  </si>
  <si>
    <t>Communication System Interruption Due to Solar Interference</t>
  </si>
  <si>
    <t>IO.COG.161</t>
  </si>
  <si>
    <t>Manobras Vertedores UHEs e PCHs</t>
  </si>
  <si>
    <t>IO.COG.162</t>
  </si>
  <si>
    <t>PRE COG</t>
  </si>
  <si>
    <t>IO.COG.163</t>
  </si>
  <si>
    <t>Processo Despacho Operação</t>
  </si>
  <si>
    <t>IO.EO.164</t>
  </si>
  <si>
    <t>Restrição Geração UGs</t>
  </si>
  <si>
    <t>Generation Restriction in Installations and Ugs</t>
  </si>
  <si>
    <t>IO.COG.165</t>
  </si>
  <si>
    <t>Simulador Hydroexpert</t>
  </si>
  <si>
    <t>IO.COG.166</t>
  </si>
  <si>
    <t>SSC COG Colocação de TAG</t>
  </si>
  <si>
    <t>IO.COG.167</t>
  </si>
  <si>
    <t>SSC COG Modo Operação Facilidades</t>
  </si>
  <si>
    <t>IO.COG.169</t>
  </si>
  <si>
    <t>Manutenção Dados Rede Telemétrica PI ou SISOP</t>
  </si>
  <si>
    <t>IO.EO.170</t>
  </si>
  <si>
    <t>Transposição Plantas Aquáticas</t>
  </si>
  <si>
    <t>Aquatic Plant Transposition</t>
  </si>
  <si>
    <t>IO.COG.171</t>
  </si>
  <si>
    <t>Tratativas COSR-SE</t>
  </si>
  <si>
    <t>IO.COG.172</t>
  </si>
  <si>
    <t>Recomposição UHE JUR</t>
  </si>
  <si>
    <t>IO.COG.173</t>
  </si>
  <si>
    <t>Recomposição UHE CHV</t>
  </si>
  <si>
    <t>IO.EO.174</t>
  </si>
  <si>
    <t>Recomposição UHE SAG</t>
  </si>
  <si>
    <t>Recomposition of the HPP Salto Grande</t>
  </si>
  <si>
    <t>IO.EO.175</t>
  </si>
  <si>
    <t>Recomposição UHE CN2</t>
  </si>
  <si>
    <t>Recomposition of the HPP Canoas 2</t>
  </si>
  <si>
    <t>IO.EO.176</t>
  </si>
  <si>
    <t>Recomposição UHE CN1</t>
  </si>
  <si>
    <t>Recomposition of the HPP Canoas 1</t>
  </si>
  <si>
    <t>IO.COG.177</t>
  </si>
  <si>
    <t>Recomposição UHE CPV</t>
  </si>
  <si>
    <t>IO.COG.178</t>
  </si>
  <si>
    <t>Recomposição UHE TAQ</t>
  </si>
  <si>
    <t>IO.COG.179</t>
  </si>
  <si>
    <t>Recomposição UHE ROS</t>
  </si>
  <si>
    <t>IO.EO.180</t>
  </si>
  <si>
    <t>Operação Via COG Alternativo do Paranapanema</t>
  </si>
  <si>
    <t>Real-time operation via COG CTG Brazil Alternative</t>
  </si>
  <si>
    <t>IO.COG.181</t>
  </si>
  <si>
    <t>Dados Geração Verificada Horária</t>
  </si>
  <si>
    <t>IO.COG.182</t>
  </si>
  <si>
    <t>Profissionais Credenciados a Receber AES</t>
  </si>
  <si>
    <t>IO.EO.183</t>
  </si>
  <si>
    <t>Programa PRIMO</t>
  </si>
  <si>
    <t>PRIMO Program</t>
  </si>
  <si>
    <t>IO.COG.184</t>
  </si>
  <si>
    <t>Relatório Diário da Operação a partir do SISOP</t>
  </si>
  <si>
    <t>IO.COG.185</t>
  </si>
  <si>
    <t>Solicitação de SGI</t>
  </si>
  <si>
    <t>IO-EO-186</t>
  </si>
  <si>
    <t>Comunicação de Ocorrências para a CTGI.pdf</t>
  </si>
  <si>
    <t>IO.COG.187</t>
  </si>
  <si>
    <t>Sistema de Supervisão e Comando do COG Paranapanema</t>
  </si>
  <si>
    <t>IO.EO.188</t>
  </si>
  <si>
    <t>Partida de UG parada em DCO nas UHE Canoas I e II</t>
  </si>
  <si>
    <t>UG startup in HPPs Canoas I and II</t>
  </si>
  <si>
    <t>IO.COG.190</t>
  </si>
  <si>
    <t>Troca de turno dos COGs</t>
  </si>
  <si>
    <t>IO.EO.191</t>
  </si>
  <si>
    <t xml:space="preserve"> Teleassistance Operation - UEE Serra da Palmeira</t>
  </si>
  <si>
    <t>Operação por Teleassistência da UEE Serra da Palmeira</t>
  </si>
  <si>
    <t>IO-EO-192</t>
  </si>
  <si>
    <t>Operação Teleassistida - UFV Arinos</t>
  </si>
  <si>
    <t>Teleassistance Operation - Arinos SPP</t>
  </si>
  <si>
    <t>IO-EO-193</t>
  </si>
  <si>
    <t>Treinop e Certificação de Operadores.pdf</t>
  </si>
  <si>
    <t>IO-EO-194</t>
  </si>
  <si>
    <t>Operação Remota - UHE Ilha Solteira.pdf</t>
  </si>
  <si>
    <t>Remote Operation - Ilha Solteira HPP</t>
  </si>
  <si>
    <t>IO-EO-195</t>
  </si>
  <si>
    <t>Operação Remota - UHE Jupiá.pdf</t>
  </si>
  <si>
    <t>Remote Operation - Jupiá HPP</t>
  </si>
  <si>
    <t>IO-EO-196</t>
  </si>
  <si>
    <t>Operação Remota - UHE Salto.pdf</t>
  </si>
  <si>
    <t>IO-EO-197</t>
  </si>
  <si>
    <t>Operação Remota - UHE Garibaldi.pdf</t>
  </si>
  <si>
    <t>IO-EO-198</t>
  </si>
  <si>
    <t>Plano de Contingência Operação Teleassistida.pdf</t>
  </si>
  <si>
    <t>IO-EO-199</t>
  </si>
  <si>
    <t>Dupla Verificação.pdf</t>
  </si>
  <si>
    <t>IO.COG.200</t>
  </si>
  <si>
    <t>EnvioBoletinsPrefeiturasRPNE</t>
  </si>
  <si>
    <t>IO.COG.201</t>
  </si>
  <si>
    <t>Weekly_Operation_Policy_Report</t>
  </si>
  <si>
    <t>IO.EO.202</t>
  </si>
  <si>
    <t>Inserção da Garantia Fisica no SISOP</t>
  </si>
  <si>
    <t>Insertion Of The Monthly Physical Garantee In Sisop</t>
  </si>
  <si>
    <t>IO.EO.203</t>
  </si>
  <si>
    <t>Envio Geração Verificada CTG SIMA</t>
  </si>
  <si>
    <t>Sending The CTG Verified Generation (Rpe And Rpne) To Sima</t>
  </si>
  <si>
    <t>IO.EO.204</t>
  </si>
  <si>
    <t>Envio Geração Verificada CTG Interno</t>
  </si>
  <si>
    <t>Sending The CTG Verified Generation (Rpe, Rpne, Rve, Rce) To The Internal</t>
  </si>
  <si>
    <t>IO.EO.205</t>
  </si>
  <si>
    <t>Preenchimento dos Dados no Sistema WebPMO</t>
  </si>
  <si>
    <t>Filling In The Data In The Webpmo System</t>
  </si>
  <si>
    <t>IO.COG.206</t>
  </si>
  <si>
    <t>Previsão de Vazões Diárias pelo Sistema SGPV</t>
  </si>
  <si>
    <t>IO.EO.207</t>
  </si>
  <si>
    <t>Elaboração do New Monthly Report</t>
  </si>
  <si>
    <t>Operation Engineering Monthly Report Update</t>
  </si>
  <si>
    <t>IO.EO.208</t>
  </si>
  <si>
    <t>Daily_Information</t>
  </si>
  <si>
    <t>IO.EO.209</t>
  </si>
  <si>
    <t>Critérios e padrões para a realização do Treinamento SOSEm</t>
  </si>
  <si>
    <t>Criteria And Standards For Conducting The Sosem Training</t>
  </si>
  <si>
    <t>IO.EO.210</t>
  </si>
  <si>
    <t>Simples EPE</t>
  </si>
  <si>
    <t>Filling Out The Simples-Epe</t>
  </si>
  <si>
    <t>IO.EO.211</t>
  </si>
  <si>
    <t>Recalibracao SMAP</t>
  </si>
  <si>
    <t>Smap Recalibration</t>
  </si>
  <si>
    <t>IO.EO.212</t>
  </si>
  <si>
    <t>Procedimento de Inserção de Dados SADEPE</t>
  </si>
  <si>
    <t>Data Entry Into Dataplanes</t>
  </si>
  <si>
    <t>IO.EO.214</t>
  </si>
  <si>
    <t>Coleta de Restricoes Eletricas do SGI</t>
  </si>
  <si>
    <t>Electrical Constraint Collection In Sgi-Op</t>
  </si>
  <si>
    <t>IO.COG.215</t>
  </si>
  <si>
    <t>Inserção de Dados de Precipitação da CTEEP no SISOP</t>
  </si>
  <si>
    <t>IO.COG.216</t>
  </si>
  <si>
    <t>Manual da Fonte de Informações Estratégicas - FIE</t>
  </si>
  <si>
    <t>IO.EO.217</t>
  </si>
  <si>
    <t>Geração_do_arquivo_PREVS</t>
  </si>
  <si>
    <t>Price Round Support With Smap And Previvaz Model</t>
  </si>
  <si>
    <t>IO.COG.218</t>
  </si>
  <si>
    <t>Execução de Estudos na Ferramenta SolverSIN</t>
  </si>
  <si>
    <t>IO.EO.219</t>
  </si>
  <si>
    <t>Atualização Anual das Séries de Vazões</t>
  </si>
  <si>
    <t>Annual Update Of Flow Series Operation</t>
  </si>
  <si>
    <t>IO.EO.220</t>
  </si>
  <si>
    <t>Elaboração do Weekly Report</t>
  </si>
  <si>
    <t>Update Of Preliminary And Final Monthly Reports Of The Generation Asset Management Board - Gag</t>
  </si>
  <si>
    <t>IO.EO.221</t>
  </si>
  <si>
    <t>Rebaixamento do Reservatório da UHE Salto Grande</t>
  </si>
  <si>
    <t>IO.COG.223</t>
  </si>
  <si>
    <t>Previsão Trimestral de Geração</t>
  </si>
  <si>
    <t>IO.EO.224</t>
  </si>
  <si>
    <t>Elaboração_PDP_PDF_DOUG</t>
  </si>
  <si>
    <t>Preparation Of The Daily Production Program (Pdp), Daily Defluence Program (Pdf) And Optimal Dispatch Of Generating Units (Doug)</t>
  </si>
  <si>
    <t>IO.EO.225</t>
  </si>
  <si>
    <t>Participação e Feedback de PMO</t>
  </si>
  <si>
    <t>Participation In The Meeting On Maintenance In Generating Units For The PMO</t>
  </si>
  <si>
    <t>IO-EO-226</t>
  </si>
  <si>
    <t>Critérios Hidrometeorológicos Retorno Operação Local UHE JUR</t>
  </si>
  <si>
    <t>Hydrometeorological Criteria For Return To Local Operation At The Jurumirim Hpp</t>
  </si>
  <si>
    <t>IO-EO-227</t>
  </si>
  <si>
    <t>Acompanhamento Dos Dados Hidrometeorológicos E Previsão Meteorológica</t>
  </si>
  <si>
    <t>Monitoring Of Hydrometeorological Data And Weather Forecasting</t>
  </si>
  <si>
    <t>IO.EO.300</t>
  </si>
  <si>
    <t>Gerenciamento do Plano de Produção</t>
  </si>
  <si>
    <t>Production Plan Management</t>
  </si>
  <si>
    <t>IO.EO.301</t>
  </si>
  <si>
    <t>Gerenciamento de Despacho da Produção</t>
  </si>
  <si>
    <t>Production Dispatch Management</t>
  </si>
  <si>
    <t>IO.EO.302</t>
  </si>
  <si>
    <t>Gerenciamento de Controle de Cheias</t>
  </si>
  <si>
    <t>Flood Control Management</t>
  </si>
  <si>
    <t>IO.EO.303</t>
  </si>
  <si>
    <t>Elaboração do Planejamento da Operação</t>
  </si>
  <si>
    <t>Operation Planning Elaboration</t>
  </si>
  <si>
    <t>IO.EO.304</t>
  </si>
  <si>
    <t>Despacho e Controle da Operação no COG</t>
  </si>
  <si>
    <t>Dispatch and Operation Control of COG</t>
  </si>
  <si>
    <t>IO.EO.307</t>
  </si>
  <si>
    <t>Tratamento de Acidentes em Equipamentos</t>
  </si>
  <si>
    <t>Equipment Accident Handling</t>
  </si>
  <si>
    <t>IO.EO.308</t>
  </si>
  <si>
    <t>Operação de Reservatórios</t>
  </si>
  <si>
    <t>Reservoir Operation in COG</t>
  </si>
  <si>
    <t>IO.EO.309</t>
  </si>
  <si>
    <t>Despacho de Operação no COG e UHE</t>
  </si>
  <si>
    <t>Power Dispatch in COG and HPP</t>
  </si>
  <si>
    <t>IO-UEE-001</t>
  </si>
  <si>
    <t>GO - GUIA DE OPERAÇÃO (OPERATION GUIDE)</t>
  </si>
  <si>
    <t>N UHE/HPP</t>
  </si>
  <si>
    <t>Guia de Operação - Alarmes e Providências.pdf</t>
  </si>
  <si>
    <t>Alarms and Actions</t>
  </si>
  <si>
    <t>Guia de Operação - Partida e Parada de UG</t>
  </si>
  <si>
    <t>GO-JUR-030 - Guia de Operação do Gerador Auxiliar de Emergência - GAE</t>
  </si>
  <si>
    <t>Auxiliary emergency generator - GAE</t>
  </si>
  <si>
    <t>Contingências em Tubulações de Água_UHE JUR</t>
  </si>
  <si>
    <t>Operação em Seccionadoras de 230 Kv</t>
  </si>
  <si>
    <t>Guia de Operação - Inspeção Rotineira</t>
  </si>
  <si>
    <t>Routine Inspection</t>
  </si>
  <si>
    <t>Serviços que podem ser realizados sem AES</t>
  </si>
  <si>
    <t>Services that can be performed without AES</t>
  </si>
  <si>
    <t>Sinalização e Isolamento de Área</t>
  </si>
  <si>
    <t>Guia de Operação de Alarmes e Providências</t>
  </si>
  <si>
    <t>Guia de Operação - Partida e Parada de Ugs</t>
  </si>
  <si>
    <t>Starting And Stopping Of Power Unit</t>
  </si>
  <si>
    <t>Guia de Operação do Gerador Auxiliar de Emergência</t>
  </si>
  <si>
    <t>Auxiliary Emergency Generator - GAE</t>
  </si>
  <si>
    <t>Contingências em Tubulações de Água_UHE CHV</t>
  </si>
  <si>
    <t>Operação em Seccionadoras de 88 e 230 kV</t>
  </si>
  <si>
    <t>10.07</t>
  </si>
  <si>
    <t>Guia de Operação - Sinalizações e Providências do Sistema PAE</t>
  </si>
  <si>
    <t xml:space="preserve"> PAE system Alarms and Actions</t>
  </si>
  <si>
    <t>Guia de Operação do Gerador Auxiliar de Emergência - GAE</t>
  </si>
  <si>
    <t>Guide Operation Auxiliary Emergency Generator - GAE</t>
  </si>
  <si>
    <t>Contingências em Tubulações de Água_UHE SAG</t>
  </si>
  <si>
    <t>Operação em Seccionadoras de 88 kV</t>
  </si>
  <si>
    <t>GO-SAG-070 - Guia de Operação - Inspeção Rotineira.pdf</t>
  </si>
  <si>
    <t>GO-SAG-080 - Guia de Operação - Subestação 88 kV.pdf</t>
  </si>
  <si>
    <t>GO-SAG-330_V.00 - Sinalização e Isolamento de Área.pdf</t>
  </si>
  <si>
    <t>Contingências em Tubulações de Água_UHE CN1</t>
  </si>
  <si>
    <t>Contingências em Tubulações de Água_UHE CN2</t>
  </si>
  <si>
    <t>Guia de Operação - Alarmes e Providências</t>
  </si>
  <si>
    <t>Guia de Operação - Partida e Parada de UG's</t>
  </si>
  <si>
    <t>Guia de Operação - Contingências em Tubulações de Água</t>
  </si>
  <si>
    <t>Guia de Operação - Manobras em Seccionadoras</t>
  </si>
  <si>
    <t>Guia de Operação - Recomposição pós desligamento geral da Usina ou blecaute</t>
  </si>
  <si>
    <t>Guia de Operação - Inspeção Rotineira.pdf</t>
  </si>
  <si>
    <t>Signage and area isolation</t>
  </si>
  <si>
    <t>010.01</t>
  </si>
  <si>
    <t>GO-ILS-010.01 - Guia de operação de alarmes e providências - UG01 - 1º Grau.pdf</t>
  </si>
  <si>
    <t>010.02</t>
  </si>
  <si>
    <t>GO-ILS-010.02 - Guia de operação de alarmes e providências - UG02 - 1º Grau.pdf</t>
  </si>
  <si>
    <t>010.04</t>
  </si>
  <si>
    <t>GO-ILS-010.04 - Guia de operação de alarmes e providências - UG04 - 1º Grau.pdf</t>
  </si>
  <si>
    <t>010.05</t>
  </si>
  <si>
    <t>GO-ILS-010.05 - Guia de operação de alarmes e providências - UG05 - 1º Grau.pdf</t>
  </si>
  <si>
    <t>010.06</t>
  </si>
  <si>
    <t>GO-ILS-010.06 - Guia de operação de alarmes e providências - UG06 - 1º Grau.pdf</t>
  </si>
  <si>
    <t>010.08</t>
  </si>
  <si>
    <t>GO-ILS-010.08 - Guia de operação de alarmes e providências - UG08 - 1º Grau.pdf</t>
  </si>
  <si>
    <t>010.10</t>
  </si>
  <si>
    <t>GO-ILS-010.10 - Guia de operação de alarmes e providências - UG10 - 1º Grau.pdf</t>
  </si>
  <si>
    <t>010.11</t>
  </si>
  <si>
    <t>GO-ILS-010.11 - Guia de operação de alarmes e providências - UG11 - 1º Grau.pdf</t>
  </si>
  <si>
    <t>010.12</t>
  </si>
  <si>
    <t>GO-ILS-010.12 - Guia de operação de alarmes e providências - UG12 - 1º Grau.pdf</t>
  </si>
  <si>
    <t>010.13</t>
  </si>
  <si>
    <t>GO-ILS-010.13 - Guia de operação de alarmes e providências - UG13 - 1º Grau.pdf</t>
  </si>
  <si>
    <t>010.14</t>
  </si>
  <si>
    <t>GO-ILS-010.14 - Guia de operação de alarmes e providências - UG14 - 1º Grau.pdf</t>
  </si>
  <si>
    <t>010.15</t>
  </si>
  <si>
    <t>GO-ILS-010.15 - Guia de operação de alarmes e providências - UG15 - 1º Grau.pdf</t>
  </si>
  <si>
    <t>010.16</t>
  </si>
  <si>
    <t>GO-ILS-010.16 - Guia de operação de alarmes e providências - UG16 - 1º Grau.pdf</t>
  </si>
  <si>
    <t>010.17</t>
  </si>
  <si>
    <t>GO-ILS-010.17 - Guia de operação de alarmes e providências - UG17 - 1º Grau.pdf</t>
  </si>
  <si>
    <t>010.18</t>
  </si>
  <si>
    <t>GO-ILS-010.18 - Guia de operação de alarmes e providências - UG18 - 1º Grau.pdf</t>
  </si>
  <si>
    <t>010.19</t>
  </si>
  <si>
    <t>GO-ILS-010.19 - Guia de operação de alarmes e providências - UG19 - 1º Grau.pdf</t>
  </si>
  <si>
    <t>010.21</t>
  </si>
  <si>
    <t>GO-ILS-010.21 - Guia de operação de alarmes e providências - UG01 - 2º Grau.pdf</t>
  </si>
  <si>
    <t>010.22</t>
  </si>
  <si>
    <t>GO-ILS-010.22 - Guia de operação de alarmes e providências - UG02 - 2º Grau.pdf</t>
  </si>
  <si>
    <t>010.24</t>
  </si>
  <si>
    <t>GO-ILS-010.24 - Guia de operação de alarmes e providências - UG04 - 2º Grau.pdf</t>
  </si>
  <si>
    <t>010.25</t>
  </si>
  <si>
    <t>GO-ILS-010.25 - Guia de operação de alarmes e providências - UG05 - 2º Grau.pdf</t>
  </si>
  <si>
    <t>010.26</t>
  </si>
  <si>
    <t>GO-ILS-010.26 - Guia de operação de alarmes e providências - UG06 - 2º Grau.pdf</t>
  </si>
  <si>
    <t>010.28</t>
  </si>
  <si>
    <t>GO-ILS-010.28 - Guia de operação de alarmes e providências - UG08 - 2º Grau.pdf</t>
  </si>
  <si>
    <t>010.30</t>
  </si>
  <si>
    <t>GO-ILS-010.30 - Guia de operação de alarmes e providências - UG10 - 2º Grau.pdf</t>
  </si>
  <si>
    <t>010.31</t>
  </si>
  <si>
    <t>GO-ILS-010.31 - Guia de operação de alarmes e providências - UG11 - 2º Grau.pdf</t>
  </si>
  <si>
    <t>010.32</t>
  </si>
  <si>
    <t>GO-ILS-010.32 - Guia de operação de alarmes e providências - UG12 - 2º Grau.pdf</t>
  </si>
  <si>
    <t>010.33</t>
  </si>
  <si>
    <t>GO-ILS-010.33 - Guia de operação de alarmes e providências - UG13 - 2º Grau.pdf</t>
  </si>
  <si>
    <t>010.34</t>
  </si>
  <si>
    <t>GO-ILS-010.34 - Guia de operação de alarmes e providências - UG14 - 2º Grau.pdf</t>
  </si>
  <si>
    <t>010.35</t>
  </si>
  <si>
    <t>GO-ILS-010.35 - Guia de operação de alarmes e providências - UG15 - 2º Grau.pdf</t>
  </si>
  <si>
    <t>010.36</t>
  </si>
  <si>
    <t>GO-ILS-010.36 - Guia de operação de alarmes e providências - UG16 - 2º Grau.pdf</t>
  </si>
  <si>
    <t>010.37</t>
  </si>
  <si>
    <t>GO-ILS-010.37 - Guia de operação de alarmes e providências - UG17 - 2º Grau.pdf</t>
  </si>
  <si>
    <t>010.38</t>
  </si>
  <si>
    <t>GO-ILS-010.38 - Guia de operação de alarmes e providências - UG18 - 2º Grau.pdf</t>
  </si>
  <si>
    <t>010.39</t>
  </si>
  <si>
    <t>GO-ILS-010.39 - Guia de operação de alarmes e providências - UG19 - 2º Grau.pdf</t>
  </si>
  <si>
    <t>010.41</t>
  </si>
  <si>
    <t>Guia de Operação - Sinalizações e providências do Sistema PAE</t>
  </si>
  <si>
    <t>PAE system Alarms and Actions</t>
  </si>
  <si>
    <t>020.01</t>
  </si>
  <si>
    <t>GO-ILS-020.01 - Guia de Operação de Partida e Parada UG-01, 02, 04, 05, 06, 08, 10 à 16 e 17 à 19.pdf</t>
  </si>
  <si>
    <t>020.02</t>
  </si>
  <si>
    <t>GO-ILS-020.02 - Guia de Operação de Partida e Parada UG-03 e 07.pdf</t>
  </si>
  <si>
    <t>Start And Stop Of Generating Units 03 And 07</t>
  </si>
  <si>
    <t>020.03</t>
  </si>
  <si>
    <t>GO-ILS-020.03 - Guia de Operação para Acompanhamento remoto de Manobras em UG.pdf</t>
  </si>
  <si>
    <t>020.04</t>
  </si>
  <si>
    <t>GO-ILS-020.04  - Guia de Operação para Partida de UG com Vazamento pelo Distribuidor.pdf</t>
  </si>
  <si>
    <t>020.05</t>
  </si>
  <si>
    <t>GO-ILS-020.05 - Guia de Operação para Retorno de unidade geradora após manutenção.pdf</t>
  </si>
  <si>
    <t>GO-ILS-030 - Guia de Operação do Gerador Auxiliar de Emergência - GAE.pdf</t>
  </si>
  <si>
    <t>030.01</t>
  </si>
  <si>
    <t>GO-ILS-030.01 - Guia de Operação do Gerador Auxiliar de Emergência - GAE Móvel.pdf</t>
  </si>
  <si>
    <t>Cancelado</t>
  </si>
  <si>
    <t>GO-ILS-040 - Guia de Operação de Contingências em Tubulações de Água.pdf</t>
  </si>
  <si>
    <t>Recomposição Fluente da UHE após desligamento total ou parcial</t>
  </si>
  <si>
    <t>Fluent Recomposition of the Plant Full or Partial Shutdown</t>
  </si>
  <si>
    <t>060.01</t>
  </si>
  <si>
    <t>GO-ILS-060.01 - Guia de Operação para Blackout parcial.pdf</t>
  </si>
  <si>
    <t>060.02</t>
  </si>
  <si>
    <t>GO-ILS-060.02  - Guia Operação Blackout total.pdf</t>
  </si>
  <si>
    <t>GO-ILS-070_V.06 - Guia de Operação de Inspeção Rotineira.pdf</t>
  </si>
  <si>
    <t>070.01</t>
  </si>
  <si>
    <t>GO-ILS-070.01- Guia de Operação para Criação de Gráficos no MDM.pdf</t>
  </si>
  <si>
    <t>Creating Charts In Mdm</t>
  </si>
  <si>
    <t>070.02</t>
  </si>
  <si>
    <t>GO-ILS-070.02 - Guia de Operação Sistema MDM Análise Personalizada.pdf</t>
  </si>
  <si>
    <t>Mdm System – Custom Analysis</t>
  </si>
  <si>
    <t>070.03</t>
  </si>
  <si>
    <t>Criação e Ajustes de Alarmes do MDM</t>
  </si>
  <si>
    <t>Creation and Adjustment of MDM Alarms</t>
  </si>
  <si>
    <t>070.04</t>
  </si>
  <si>
    <t>Criação de Rotas no MDM</t>
  </si>
  <si>
    <t>MDM Route Creation</t>
  </si>
  <si>
    <t>080.01</t>
  </si>
  <si>
    <t>GO-ILS-080.01  - Guia de Operação para Indisponibilidade Proteção 50BF 87B.pdf</t>
  </si>
  <si>
    <t>080.02</t>
  </si>
  <si>
    <t>GO-ILS-080.02  - Guia de Operação para Recomposição circuitos após atuação 50BF.pdf</t>
  </si>
  <si>
    <t>Restoration After The Conjugate Protection Of Bars (50Bf+87B)</t>
  </si>
  <si>
    <t>080.03</t>
  </si>
  <si>
    <t>GO-ILS-080.03 - Guia de Operação para Acesso a SE 440kV.pdf</t>
  </si>
  <si>
    <t xml:space="preserve">Cancelado </t>
  </si>
  <si>
    <t>080.04</t>
  </si>
  <si>
    <t>GO-ILS-080.04 - Seccionadora pantográfica 440kV GE modelo SX</t>
  </si>
  <si>
    <t>Panttographic Panel Saw 440Kv Ge Model Sx</t>
  </si>
  <si>
    <t>100.01</t>
  </si>
  <si>
    <t>GO-ILS-100.01 - Guia de Operação Painel de Comando Disjuntores 440kV.pdf</t>
  </si>
  <si>
    <t>100.02</t>
  </si>
  <si>
    <t>GO-ILS-100.02 - Guia de Operação Ensaios no serviço auxiliar CA – Quadros complementares 14,4kV.pdf</t>
  </si>
  <si>
    <t>100.05</t>
  </si>
  <si>
    <t>GO-ILS-100.05 - Operação e Liberação do Quadro 7qS-2</t>
  </si>
  <si>
    <t>Operation And Release Frame 7qs-2</t>
  </si>
  <si>
    <t>110.01</t>
  </si>
  <si>
    <t>GO-ILS-110.01 - Guia de Operação Transferência e normalização de alimentação 7qc.pdf</t>
  </si>
  <si>
    <t>Switchboard Power Transfer 7qc 125Vcc</t>
  </si>
  <si>
    <t>110.02</t>
  </si>
  <si>
    <t>GO-ILS-110.02  - Guia de Operação para Painel de distribuição 125Vcc Modernizado.pdf</t>
  </si>
  <si>
    <t>110.03</t>
  </si>
  <si>
    <t>GO-ILS-110.03 - Guia de Operação para Retificador trifásico VALEK.pdf</t>
  </si>
  <si>
    <t>Guide Operation VALEK Three-Phase Rectifier</t>
  </si>
  <si>
    <t>110.04</t>
  </si>
  <si>
    <t>GO-ILS-110.04 - Guia de Operação e Liberação do Quadro 7qS-2.pdf</t>
  </si>
  <si>
    <t>GO-ILS-150 - Guia de Operação Esgotamento e Enchimento de UG.pdf</t>
  </si>
  <si>
    <t>GO-ILS-160 - Guia de Operação e Liberação dos Quadros de Ventilação Forçada - QI.pdf</t>
  </si>
  <si>
    <t>160.01</t>
  </si>
  <si>
    <t>GO-ILS-160.01  - Guia de Operação Desligamento da Ventilação Forçada em Caso de Incêndio no Trafo.pdf</t>
  </si>
  <si>
    <t>180.01</t>
  </si>
  <si>
    <t>GO-ILS-180.01  - Guia de Operação Rearme do Dispositivo Mecânico de Sobrevelocidade.pdf</t>
  </si>
  <si>
    <t>24/082020</t>
  </si>
  <si>
    <t>180.02</t>
  </si>
  <si>
    <t>GO-ILS-180.02  - Guia de Operação para o Sistema de frenagem das UG-01 a 20.pdf</t>
  </si>
  <si>
    <t>Braking System From Ug-01 To 20</t>
  </si>
  <si>
    <t>180.03</t>
  </si>
  <si>
    <t>GO-ILS-180.03 - Guia de Operação Retrolavagem 5QF.pdf</t>
  </si>
  <si>
    <t>Backwash On The 5Qf Raw Water Filters</t>
  </si>
  <si>
    <t>180.04</t>
  </si>
  <si>
    <t>GO-ILS-180.04 - Guia de Operação para Desligamento de Alfa Laval em caso de derramamento de óleo.pdf</t>
  </si>
  <si>
    <t>180.05</t>
  </si>
  <si>
    <t>GO-ILS-180.05 - Guia de Operação para Parada de UG com pino de Ruptura Quebrado.pdf</t>
  </si>
  <si>
    <t>Stop Of Generator Unit With Broken Break Pin</t>
  </si>
  <si>
    <t>190.01</t>
  </si>
  <si>
    <t>GO-ILS-190.01 - Guia de Operação para Bloqueio do sistema de CO2 dos geradores.pdf</t>
  </si>
  <si>
    <t>Blocking Of The Co2 Fire Fighting System Of Generators</t>
  </si>
  <si>
    <t>GO-ILS-200 - Guia de Operação para isolamento dos poços de drenagem.pdf</t>
  </si>
  <si>
    <t>200.01</t>
  </si>
  <si>
    <t>GO-ILS-200.01 - Guia de Operação para Operação do Poço D.pdf</t>
  </si>
  <si>
    <t>Operation Of Well D</t>
  </si>
  <si>
    <t>200.02</t>
  </si>
  <si>
    <t>GO-ILS-200.02 - Guia de Operação para Reset nas Bombas dos Poços 01 a 05.pdf</t>
  </si>
  <si>
    <t>GO-ILS-210  - Guia de Operação do Vertedouro.pdf</t>
  </si>
  <si>
    <t>GO-ILS-230 - Guia de Operação Pedido de Trabalho MANTec.pdf</t>
  </si>
  <si>
    <t>GO-ILS-240 - ECE Esquema de Controle de Emergência</t>
  </si>
  <si>
    <t>ECE Emergency Control Scheme</t>
  </si>
  <si>
    <t>250.01</t>
  </si>
  <si>
    <t>GO-ILS-250.01 - Guia de Operação para Operação dos compressores CPSR.pdf</t>
  </si>
  <si>
    <t>Operation Of The Compressors Of The Lowering System - Cpsr</t>
  </si>
  <si>
    <t>270.01</t>
  </si>
  <si>
    <t>GO-ILS-270.01 - Controle Conjunto de Reativo</t>
  </si>
  <si>
    <t>Operation of CCR - Reactive Power Joint Control</t>
  </si>
  <si>
    <t>GO-ILS-330_V.00 - Sinalização e Isolamento de Área.pdf</t>
  </si>
  <si>
    <t>GO-JUP-010.01 - Guia de Operação de Alarmes e Providências da UG-03.pdf</t>
  </si>
  <si>
    <t>GO-JUP-010.02 - Guia de Operação de Alarmes e Providências da UG-04.pdf</t>
  </si>
  <si>
    <t>010.03</t>
  </si>
  <si>
    <t>GO-JUP-010.03 - Guia de Operação de Alarmes e Providências da UG-05.pdf</t>
  </si>
  <si>
    <t>GO-JUP-010.04 - Guia de Operação de Alarmes e Providências da UG-07.pdf</t>
  </si>
  <si>
    <t>GO-JUP-010.05 - Guia de Operação de Alarmes e Providências da UG-08.pdf</t>
  </si>
  <si>
    <t>GO-JUP-010.06 - Guia de Operação de Alarmes e Providências da UG-09.pdf</t>
  </si>
  <si>
    <t>010.07</t>
  </si>
  <si>
    <t>GO-JUP-010.07 - Guia de Operação de Alarmes e Providências da UG-11.pdf</t>
  </si>
  <si>
    <t>GO-JUP-010.08 - Guia de Operação de Alarmes e Providências da UG-12.pdf</t>
  </si>
  <si>
    <t>010.09</t>
  </si>
  <si>
    <t>GO-JUP-010.09 - Guia de Operação de Alarmes e Providências da UG-13.pdf</t>
  </si>
  <si>
    <t>GO-JUP-010.10 - Guia de Operação de Alarmes e Providências da UG-14.pdf</t>
  </si>
  <si>
    <t>GO-JUP-010.11 - Guia de Operação de Alarmes e Providências da UG-02.pdf</t>
  </si>
  <si>
    <t>GO-JUP-010.12 - Guia de Operação de Alarmes e Providências da UG-06.pdf</t>
  </si>
  <si>
    <t>Sinalizações e Providência do Sistema PAE</t>
  </si>
  <si>
    <t>GO-JUP-020.02 - Guia de Operação Partida e Parada da UG-02.pdf</t>
  </si>
  <si>
    <t>GO-JUP-020.03 - Guia de Operação Partida e Parada da UG-03.pdf</t>
  </si>
  <si>
    <t>GO-JUP-020.04 - Guia de Operação Partida e Parada da UG-04.pdf</t>
  </si>
  <si>
    <t>GO-JUP-020.05 - Guia de Operação Partida e Parada da UG-05.pdf</t>
  </si>
  <si>
    <t>020.06</t>
  </si>
  <si>
    <t>GO-JUP-020.06 - Guia de Operação Partida e Parada da UG-06.pdf</t>
  </si>
  <si>
    <t>020.07</t>
  </si>
  <si>
    <t>GO-JUP-020.07 - Guia de Operação Partida e Parada da UG-07.pdf</t>
  </si>
  <si>
    <t>020.08</t>
  </si>
  <si>
    <t>GO-JUP-020.08 - Guia de Operação Partida e Parada da UG-08.pdf</t>
  </si>
  <si>
    <t>020.09</t>
  </si>
  <si>
    <t>GO-JUP-020.09 - Guia de Operação Partida e Parada da UG-09.pdf</t>
  </si>
  <si>
    <t>020.11</t>
  </si>
  <si>
    <t>GO-JUP-020.11 - Guia de Operação Partida e Parada da UG-11.pdf</t>
  </si>
  <si>
    <t>020.12</t>
  </si>
  <si>
    <t>GO-JUP-020.12 - Guia de Operação Partida e Parada da UG-12.pdf</t>
  </si>
  <si>
    <t>020.13</t>
  </si>
  <si>
    <t>GO-JUP-020.13 - Guia de Operação Partida e Parada da UG-13.pdf</t>
  </si>
  <si>
    <t>020.14</t>
  </si>
  <si>
    <t>GO-JUP-020.14 - Guia de Operação Partida e Parada da UG-14.pdf</t>
  </si>
  <si>
    <t>020.15</t>
  </si>
  <si>
    <t>GO-JUP-020.15 - Partida e Parada da UGA-01.pdf</t>
  </si>
  <si>
    <t>020.16</t>
  </si>
  <si>
    <t>GO-JUP-020.16 - Partida e Parada da UGA-02.pdf</t>
  </si>
  <si>
    <t xml:space="preserve">030.1 </t>
  </si>
  <si>
    <t>GO-JUP-030.1 - Ensaio do Gerador Auxiliar de Emergência GD-01.pdf</t>
  </si>
  <si>
    <t xml:space="preserve">030.2 </t>
  </si>
  <si>
    <t>GO-JUP-030.2 - Ensaio do Gerador Auxiliar de Emergência Vertedor GD-02.pdf</t>
  </si>
  <si>
    <t xml:space="preserve">030.3 </t>
  </si>
  <si>
    <t>GO-JUP-030.3 - Ensaio do Gerador Auxiliar de Emergência Vertedor GD-03.pdf</t>
  </si>
  <si>
    <t xml:space="preserve">030.4 </t>
  </si>
  <si>
    <t>GO-JUP-030.4 - Ensaio do Gerador Auxliar de Emergência UG-05.pdf</t>
  </si>
  <si>
    <t xml:space="preserve">030.5 </t>
  </si>
  <si>
    <t>GO-JUP-030.5 - Ensaio do Gerador Auxliar de Emergência UG-09.pdf</t>
  </si>
  <si>
    <t xml:space="preserve">030.6 </t>
  </si>
  <si>
    <t>GO-JUP-030.6 - Ensaio da Motobomba Diesel dos Transformadores 440 kV.pdf</t>
  </si>
  <si>
    <t>GO-JUP-040 - Guia de Operação de Contingências em Tubulações de Água.pdf</t>
  </si>
  <si>
    <t>GO-JUP-070 - Guia de Operação Gestão de Inspeção Rotineira.pdf</t>
  </si>
  <si>
    <t xml:space="preserve">090.1 </t>
  </si>
  <si>
    <t>GO-JUP-090.1 - Liberação e Normalização Sistema Anti-Incêndio TR-13.pdf</t>
  </si>
  <si>
    <t xml:space="preserve">090.2 </t>
  </si>
  <si>
    <t>GO-JUP-090.2 - Liberação e Normalização Sistema Anti-Incêndio TR-14.pdf</t>
  </si>
  <si>
    <t>GO-JUP-310 - Guia de Operação para Manobras no Sistema de Resfriamento das UG.pdf</t>
  </si>
  <si>
    <t>GO-JUP-330_V.00 - Sinalização e Isolamento de Área.pdf</t>
  </si>
  <si>
    <t xml:space="preserve">340.1 </t>
  </si>
  <si>
    <t>GO-JUP-340.1 - Procedimento para limpeza das grades da tomada d'água.pdf</t>
  </si>
  <si>
    <t>Partida e Parada da UG</t>
  </si>
  <si>
    <t>UG START AND STOP</t>
  </si>
  <si>
    <t>Contingências em Tubulações de Água</t>
  </si>
  <si>
    <t>Operação em Seccionadoras de 138 kV</t>
  </si>
  <si>
    <t>GO-PLM-070 - Guia de Operação - Inspeção Rotineira.pdf</t>
  </si>
  <si>
    <t>GO-PLM-080 - Guia de Operação - Subestação 138 kV.pdf</t>
  </si>
  <si>
    <t>GO-PLM-330_V.00 - Sinalização e Isolamento de Área.pdf</t>
  </si>
  <si>
    <t>GO-RET-070 - Guia de Operação - Inspeção Rotineira.pdf</t>
  </si>
  <si>
    <t>GO-RET-080 - Guia de Operação - Subestação 138 kV.pdf</t>
  </si>
  <si>
    <t>GO-RET-330_V.00 - Sinalização e Isolamento de Área.pdf</t>
  </si>
  <si>
    <t>Guia de Operação - Partida e Parada de UG's.pdf</t>
  </si>
  <si>
    <t>Guia de Operação do Grupo Auxiliar de Emergência - GAE</t>
  </si>
  <si>
    <t>AUXILIARY EMERGENCY GENERATOR - GAE</t>
  </si>
  <si>
    <t>Guia de Operação - Contingências em Tubulações de Água.pdf</t>
  </si>
  <si>
    <t>Guia de Operação - Manobras em Seccionadoras.pdf</t>
  </si>
  <si>
    <t>Guia de Operação - Recomposição pós desligamento geral da Usina ou blackout.pdf</t>
  </si>
  <si>
    <t>GO-ROS-330_V.00 - Sinalização e Isolamento de Área.pdf</t>
  </si>
  <si>
    <t>Guia de Operação de Alarmes e Ações</t>
  </si>
  <si>
    <t>Guia de Operação do Serviço Auxiliar em Corrente Alternada</t>
  </si>
  <si>
    <t>Operation Guide AC Auxiliary Services</t>
  </si>
  <si>
    <t>Guia de operação do Serviço Auxiliar em Corrente Contínua</t>
  </si>
  <si>
    <t>Operation Guide Direct Current Service</t>
  </si>
  <si>
    <t>Guia de Operação do Sistema de Combate a Incêndio</t>
  </si>
  <si>
    <t>Guide Operation Fire Fighting Systems</t>
  </si>
  <si>
    <t>Guia de Operação Manobras no Sistema de  Resfriamento das UG</t>
  </si>
  <si>
    <t>Maneuvers in the PU Cooling System</t>
  </si>
  <si>
    <t>Guia de Operação Sinalização e Isolamento de área</t>
  </si>
  <si>
    <t>Guide operation Signage and isolation of the work area</t>
  </si>
  <si>
    <t>Guia de Operação - Recomposição pós desligamento geral da Usina ou blecaute.pdf</t>
  </si>
  <si>
    <t>GO-TAQ-330_V.00 - Sinalização e Isolamento de Área.pdf</t>
  </si>
  <si>
    <t>Inversores</t>
  </si>
  <si>
    <t>Inverter</t>
  </si>
  <si>
    <t>Subestação Arinos 34,5-500 Kv</t>
  </si>
  <si>
    <t>Arinos Substation 34.5-500 kV</t>
  </si>
  <si>
    <t>Guia de Operação - Inspeção rotineira</t>
  </si>
  <si>
    <t>Controle de acesso ao Data Center COG e Remota SINOCON</t>
  </si>
  <si>
    <t>Data Center COG and Remote SINOCON Access Control</t>
  </si>
  <si>
    <t>COG Backup Jupiá</t>
  </si>
  <si>
    <t>Troca de turno do COG</t>
  </si>
  <si>
    <t>COG Shift change</t>
  </si>
  <si>
    <t>MO - MANUAIS DE OPERAÇÃO (OPERATION MANUAL)</t>
  </si>
  <si>
    <t>FULL DESCRIPTION</t>
  </si>
  <si>
    <t>Ing</t>
  </si>
  <si>
    <t>MO-JUR-001</t>
  </si>
  <si>
    <t>Manual de Operação da Turbina e Equipamentos Auxiliares</t>
  </si>
  <si>
    <t>MO-JUR-001 - Manual de Operação da Turbina e Equipamentos Auxiliares.pdf</t>
  </si>
  <si>
    <t>MO-JUR-001 - Turbine And Auxiliary Equipment.pdf</t>
  </si>
  <si>
    <t>MO-JUR-002</t>
  </si>
  <si>
    <t>Manual de Operação do Gerador e Equipamentos Auxiliares</t>
  </si>
  <si>
    <t>MO-JUR-002 - Manual de Operação do Gerador e Equipamentos Auxiliares.pdf</t>
  </si>
  <si>
    <t>MO-JUR-002 - Generator And Auxiliary Equipment.pdf</t>
  </si>
  <si>
    <t>MO-JUR-006</t>
  </si>
  <si>
    <t>Manual de Operação do Transformador Elevador</t>
  </si>
  <si>
    <t>MO-JUR-006 - Manual de Operação do Transformador Elevador.pdf</t>
  </si>
  <si>
    <t>MO-JUR-006 - Elevator Transformer.pdf</t>
  </si>
  <si>
    <t>MO-JUR-008</t>
  </si>
  <si>
    <t>Manual de Operação dos Equipamentos de Alta Tensão</t>
  </si>
  <si>
    <t>MO-JUR-008 - Manual de Operação dos Equipamentos de Alta Tensão.pdf</t>
  </si>
  <si>
    <t>MO-JUR-008 - High Voltage Equipment.pdf</t>
  </si>
  <si>
    <t>MO-JUR-014</t>
  </si>
  <si>
    <t>Manual de Operação do Sistema de Comunicação</t>
  </si>
  <si>
    <t>MO-JUR-014 - Manual de Operação do Sistema de Comunicação.pdf</t>
  </si>
  <si>
    <t>MO-JUR-014 - Communication System.pdf</t>
  </si>
  <si>
    <t>MO-JUR-017</t>
  </si>
  <si>
    <t>Manual de Operação do Sistema de Corrente Alternada</t>
  </si>
  <si>
    <t>MO-JUR-017- Manual de Operação do Sistema de Corrente Alternada.pdf</t>
  </si>
  <si>
    <t>MO-JUR-017 - Alternating Current System.pdf</t>
  </si>
  <si>
    <t>MO-JUR-018</t>
  </si>
  <si>
    <t>Manual de Operação do Sistema de Excitação</t>
  </si>
  <si>
    <t>MO-JUR-018 - Manual de Operação do Sistema de Excitação.pdf</t>
  </si>
  <si>
    <t>MO-JUR-018 - Excitation System.pdf</t>
  </si>
  <si>
    <t>MO-JUR-019</t>
  </si>
  <si>
    <t>Manual de Operação do Sistema de Corrente Contínua</t>
  </si>
  <si>
    <t>MO-JUR-019 - Manual de Operação do Sistema de Corrente Contínua.pdf</t>
  </si>
  <si>
    <t>MO-JUR-019 - Direct Current System.pdf</t>
  </si>
  <si>
    <t>MO-JUR-021</t>
  </si>
  <si>
    <t>Manual de Operação do Regulador de Velocidade Eletrônico e Mecânico</t>
  </si>
  <si>
    <t>MO-JUR-021 - Manual de Operação do Regulador de Velocidade Eletrônico e Mecânico.pdf</t>
  </si>
  <si>
    <t>MO-JUR-021 - Electronic Speed Governor.pdf</t>
  </si>
  <si>
    <t>MO-JUR-022</t>
  </si>
  <si>
    <t>Manual de Operação do Compressor de Ar de Serviços Gerais</t>
  </si>
  <si>
    <t>MO-JUR-022 - Manual de Operação do Compressor de Ar de Serviços Gerais.pdf</t>
  </si>
  <si>
    <t>MO-JUR-022 - General Service Air Compressor.pdf</t>
  </si>
  <si>
    <t>MO-JUR-024</t>
  </si>
  <si>
    <t>Manual de Operação do Gerador Auxiliar de Emergência</t>
  </si>
  <si>
    <t>MO-JUR-024 - Manual de Operação do Gerador Auxiliar de Emergência.pdf</t>
  </si>
  <si>
    <t>MO-JUR-024 - Auxiliary Emergency Generator - Gae.pdf</t>
  </si>
  <si>
    <t>MO-JUR-028</t>
  </si>
  <si>
    <t>Manual de Operação do Stop Log. Montante</t>
  </si>
  <si>
    <t>MO-JUR-028 - Manual de Operação do Stop Log. Montante.pdf</t>
  </si>
  <si>
    <t>MO-JUR-028 - Stop Log - Amount.pdf</t>
  </si>
  <si>
    <t>MO-JUR-029</t>
  </si>
  <si>
    <t>Manual de Operação das Grades da Tomada D'água</t>
  </si>
  <si>
    <t>MO-JUR-029 - Manual de Operação das Grades da Tomada D'água.pdf</t>
  </si>
  <si>
    <t>MO-JUR-029 - Water Outlet Grilles.pdf</t>
  </si>
  <si>
    <t>MO-JUR-030.01</t>
  </si>
  <si>
    <t>Manual de Operação do Pórtico de Montante</t>
  </si>
  <si>
    <t>MO-JUR-030.01 - Manual de Operação do Pórtico de Montante.pdf</t>
  </si>
  <si>
    <t>MO-JUR-030.01 - Upstream Gantry.pdf</t>
  </si>
  <si>
    <t>MO-JUR-030.02</t>
  </si>
  <si>
    <t>Manual de Operação do Pórtico Jusante</t>
  </si>
  <si>
    <t>MO-JUR-030.02_V.00 - Manual de Operação do Pórtico Jusante.pdf</t>
  </si>
  <si>
    <t>MO-JUR-030.02 - Downstream Gantry.pdf</t>
  </si>
  <si>
    <t>MO-JUR-030.03</t>
  </si>
  <si>
    <t>Manual de Operação do Pórtico Piratininga</t>
  </si>
  <si>
    <t>MO-JUR-030.03_V.00 - Manual de Operação do Pórtico Piratininga.pdf</t>
  </si>
  <si>
    <t>MO-JUR-030.03 - Piratininga Gantry.pdf</t>
  </si>
  <si>
    <t>MO-JUR-031</t>
  </si>
  <si>
    <t>Manual de Operação da Ponte Principal</t>
  </si>
  <si>
    <t>MO-JUR-031 - Manual de Operação da Ponte Principal.pdf</t>
  </si>
  <si>
    <t>MO-JUR-031 - Main Overhead Crane.pdf</t>
  </si>
  <si>
    <t>MO-JUR-058</t>
  </si>
  <si>
    <t>Manual de Operação do Sistema de Ventilação</t>
  </si>
  <si>
    <t>MO-JUR-058 - Manual de Operação do Sistema de Ventilação.pdf</t>
  </si>
  <si>
    <t>MO-JUR-058 - Ventilation System.pdf</t>
  </si>
  <si>
    <t>MO-JUR-060</t>
  </si>
  <si>
    <t>Manual de Operação do Sistema de Combate a Incêndio</t>
  </si>
  <si>
    <t>MO-JUR-060 - Manual de Operação do Sistema de Combate a Incêndio.pdf</t>
  </si>
  <si>
    <t>MO-JUR-060 - Fire Fighting System.pdf</t>
  </si>
  <si>
    <t>MO-JUR-062</t>
  </si>
  <si>
    <t>MO-JUR-062_V.00 - Manual de Operação da Comporta de Emergência</t>
  </si>
  <si>
    <t>MO-JUR-062 - Manual de Operação da Comporta de Emergência.pdf</t>
  </si>
  <si>
    <t>MO-JUR-062 - Emergency Gate.pdf</t>
  </si>
  <si>
    <t>MO-CHV-001</t>
  </si>
  <si>
    <t>MO-CHV-001 - Manual de Operação da Turbina e Equipamentos Auxiliares.pdf</t>
  </si>
  <si>
    <t>MO-CHV-001 - Turbine And Auxiliary Equipment.pdf</t>
  </si>
  <si>
    <t>MO-CHV-002</t>
  </si>
  <si>
    <t>Generator And Auxiliary Equipment</t>
  </si>
  <si>
    <t>MO-CHV-002 - Generator And Auxiliary Equipment.pdf</t>
  </si>
  <si>
    <t>MO-CHV-006</t>
  </si>
  <si>
    <t>MO-CHV-006 - Manual de Operação do Transformador Elevador.pdf</t>
  </si>
  <si>
    <t>MO-CHV-006 - Elevator Transformer.pdf</t>
  </si>
  <si>
    <t>MO-CHV-008</t>
  </si>
  <si>
    <t>MO-CHV-008 - Manual de Operação dos Equipamentos de Alta Tensão.pdf</t>
  </si>
  <si>
    <t>MO-CHV-008 - High Voltage Equipment.pdf</t>
  </si>
  <si>
    <t>MO-CHV-018</t>
  </si>
  <si>
    <t>MO-CHV-018 - Manual de Operação do Sistema de Excitação.pdf</t>
  </si>
  <si>
    <t>MO-CHV-018 - Excitation System.pdf</t>
  </si>
  <si>
    <t>MO-CHV-019</t>
  </si>
  <si>
    <t>MO-CHV-019 - Manual de Operação do Sistema de Corrente Contínua.pdf</t>
  </si>
  <si>
    <t>MO-CHV-019 - Direct Current System.pdf</t>
  </si>
  <si>
    <t>MO-CHV-022</t>
  </si>
  <si>
    <t>Manual de Operação do Compressor</t>
  </si>
  <si>
    <t>MO-CHV-022 - Manual de Operação do Compressor.pdf</t>
  </si>
  <si>
    <t>MO-CHV-022 - Compressor.pdf</t>
  </si>
  <si>
    <t>MO-CHV-022.01</t>
  </si>
  <si>
    <t>Manual de Operação dos Compressores Auxiliar de Regulação</t>
  </si>
  <si>
    <t>MO-CHV-022.01 - Manual de Operação dos Compressores Auxiliar de Regulação.pdf</t>
  </si>
  <si>
    <t>MO-CHV-022.01 - Auxiliary Control Compressors.pdf</t>
  </si>
  <si>
    <t>MO-CHV-024</t>
  </si>
  <si>
    <t>Manual de Operação do Gerador Auxiliar de Emergência - GAE's</t>
  </si>
  <si>
    <t>MO-PLM-024 - Manual de Operação do Gerador Auxiliar de Emergência - GAE's.pdf</t>
  </si>
  <si>
    <t>MO-CHV-024 - Emergency Auxiliary Generator.pdf</t>
  </si>
  <si>
    <t>MO-CHV-024.01</t>
  </si>
  <si>
    <t>Manual de Operação do Gerador Auxiliar de Emergência - GAE do COG</t>
  </si>
  <si>
    <t>MO-CHV-024.01 - Manual de Operação do Gerador Auxiliar de Emergência - GAE do COG.pdf</t>
  </si>
  <si>
    <t>MO-CHV-024.01 - Cog Emergency Auxiliary Generator.pdf</t>
  </si>
  <si>
    <t>MO-CHV-024.02</t>
  </si>
  <si>
    <t>Manual de Operação do Gerador Auxiliar de Emergência - GAE da TAs 1 e 2</t>
  </si>
  <si>
    <t>MO-CHV-024.02 - Manual de Operação do Gerador Auxiliar de Emergência - GAE da TAs 1 e 2.pdf</t>
  </si>
  <si>
    <t>MO-CHV-024.02 - Emergency Auxiliary Generator.pdf</t>
  </si>
  <si>
    <t>MO-CHV-026</t>
  </si>
  <si>
    <t>Manual de Operação do Sistema de Drenagem e Esgotamento</t>
  </si>
  <si>
    <t>MO-CHV-026 - Manual de Operação do Sistema de Drenagem e Esgotamento.pdf</t>
  </si>
  <si>
    <t>MO-CHV-026 - Drainage And Sewage System.pdf</t>
  </si>
  <si>
    <t>MO-CHV-028</t>
  </si>
  <si>
    <t>Manual de Operação do Stop Log</t>
  </si>
  <si>
    <t>MO-CHV-028 - Manual de Operação do Stop Log.pdf</t>
  </si>
  <si>
    <t>MO-CHV-028 - Stop Log.pdf</t>
  </si>
  <si>
    <t>MO-CHV-029</t>
  </si>
  <si>
    <t>MO-CHV-029 - Manual de Operação das Grades da Tomada D'água.pdf</t>
  </si>
  <si>
    <t>MO-CHV-029 - Water Outlet Grilles.pdf</t>
  </si>
  <si>
    <t>MO-CHV-030.01</t>
  </si>
  <si>
    <t>Manual de Operação Pórtico do Vertedouro</t>
  </si>
  <si>
    <t>MO-CHV-30.01 - Manual de Operação Pórtico do Vertedouro</t>
  </si>
  <si>
    <t>MO-CHV-30.01 - Spillway Gantry</t>
  </si>
  <si>
    <t>MO-CHV-030.02</t>
  </si>
  <si>
    <t>Manual de Operação Pórticos das Tomadas D'Água</t>
  </si>
  <si>
    <t>MO-CHV-30.02 - Manual de Operação Pórticos das Tomadas D'Água</t>
  </si>
  <si>
    <t>MO-CHV-30.02 - Water Outlet Gantries</t>
  </si>
  <si>
    <t>MO-CHV-030.03</t>
  </si>
  <si>
    <t>Manual de Operação Pórtico 200T</t>
  </si>
  <si>
    <t>MO-CHV-30.03 - Manual de Operação Pórtico 200T</t>
  </si>
  <si>
    <t>MO-CHV-30.03 - Gantry Crane 200T</t>
  </si>
  <si>
    <t>MO-CHV-031</t>
  </si>
  <si>
    <t>Manual de Operação da Ponte Rolante</t>
  </si>
  <si>
    <t>MO-CHV-031 - Manual de Operação da Ponte Rolante.pdf</t>
  </si>
  <si>
    <t>MO-CHV-031 - Main Overhead Crane.pdf</t>
  </si>
  <si>
    <t>MO-CHV-032</t>
  </si>
  <si>
    <t>Manual de Operação da Ponte Rolante Auxiliar (VÁLVULA BORBOLETA)</t>
  </si>
  <si>
    <t>MO-CHV-032 - Manual de Operação da Ponte Rolante Auxiliar (VÁLVULA BORBOLETA).pdf</t>
  </si>
  <si>
    <t>MO-CHV-032 - Auxiliary Overhead Crane.pdf</t>
  </si>
  <si>
    <t>MO-CHV-033</t>
  </si>
  <si>
    <t>Manual de Operação da Ponte Rolante Jusante</t>
  </si>
  <si>
    <t>MO-CHV-033 - Manual de Operação da Ponte Rolante Jusante.pdf</t>
  </si>
  <si>
    <t>MO-CHV-033 - Downstream Overhead Crane.pdf</t>
  </si>
  <si>
    <t>MO-CHV-034</t>
  </si>
  <si>
    <t>Manual de Operação do Depósito de Óleo</t>
  </si>
  <si>
    <t>MO-CHV-034 - Manual de Operação do Depósito de Óleo.pdf</t>
  </si>
  <si>
    <t>MO-CHV-034 - Hydraulic Oil Tank.pdf</t>
  </si>
  <si>
    <t>MO-CHV-058</t>
  </si>
  <si>
    <t>MO-CHV-058 - Manual de Operação do Sistema de Ventilação.pdf</t>
  </si>
  <si>
    <t>MO-CHV-058 - Ventilation System.pdf</t>
  </si>
  <si>
    <t>MO-CHV-060</t>
  </si>
  <si>
    <t>MO-CHV-060 - Manual de Operação do Sistema de Combate a Incêndio.pdf</t>
  </si>
  <si>
    <t>MO-CHV-060 - Fire Fighting System.pdf</t>
  </si>
  <si>
    <t>MO-CHV-060.01</t>
  </si>
  <si>
    <t>Manual de Operação do Sistema anti-incendio Sprinklers</t>
  </si>
  <si>
    <t>MO-CHV-060.01 - Manual de Operação do Sistema anti-incendio Sprinklers.pdf</t>
  </si>
  <si>
    <t>MO-CHV-060.01 - Fire Suppression Sprinkler System.pdf</t>
  </si>
  <si>
    <t>MO-CHV-062</t>
  </si>
  <si>
    <t>Manual de Operação da Comporta de Emergência</t>
  </si>
  <si>
    <t>MO-CHV-062 - Manual de Operação da Comporta de Emergência.pdf</t>
  </si>
  <si>
    <t>MO-CHV-062 - Emergency Gate.pdf</t>
  </si>
  <si>
    <t>MO-CHV-063</t>
  </si>
  <si>
    <t>Manual de Operação Características Gerais da Usina</t>
  </si>
  <si>
    <t>MO-CHV-063 - Manual de Operação Características Gerais da Usina.pdf</t>
  </si>
  <si>
    <t>MO-CHV-063 - General Characteristics Of The Plant.pdf</t>
  </si>
  <si>
    <t>MO-CHV-067</t>
  </si>
  <si>
    <t>Manual de Operação -Sistema de Medição de Níveis Montante e Jusante</t>
  </si>
  <si>
    <t>MO-CHV-067 - Manual de Operação -Sistema de Medição de Níveis Montante e Jusante.pdf</t>
  </si>
  <si>
    <t>MO-CHV-067 - Upstream And Downstream Level Measurement System.pdf</t>
  </si>
  <si>
    <t>MO-CHV-081</t>
  </si>
  <si>
    <t>Manual de Operação do Sistema de Iluminação</t>
  </si>
  <si>
    <t>MO-CHV-081 - Manual de Operação do Sistema de Iluminação.pdf</t>
  </si>
  <si>
    <t>MO-CHV-081 - Lighting System.pdf</t>
  </si>
  <si>
    <t>MO-SAG-001</t>
  </si>
  <si>
    <t>Manual de Operação da Turbina e Equipamentos Auxiliares.pdf</t>
  </si>
  <si>
    <t>MO-SAG-001 - Manual de Operação da Turbina e Equipamentos Auxiliares.pdf</t>
  </si>
  <si>
    <t>MO-SAG-001 - Turbine And Auxiliary Equipment.pdf</t>
  </si>
  <si>
    <t>MO-SAG-002</t>
  </si>
  <si>
    <t>Manual de Operação do Gerador e Equipamentos Auxiliares.pdf</t>
  </si>
  <si>
    <t>MO-SAG-002 - Manual de Operação do Gerador e Equipamentos Auxiliares.pdf</t>
  </si>
  <si>
    <t>MO-SAG-002 - Generator And Auxiliary Equipment.pdf</t>
  </si>
  <si>
    <t>MO-SAG-006</t>
  </si>
  <si>
    <t>Manual de Operação do Transformador Elevador.pdf</t>
  </si>
  <si>
    <t>MO-SAG-006 - Manual de Operação do Transformador Elevador.pdf</t>
  </si>
  <si>
    <t>MO-SAG-006 - Elevator Transformer.pdf</t>
  </si>
  <si>
    <t>MO-SAG-008</t>
  </si>
  <si>
    <t>Manual de Operação dos Equipamentos de Alta Tensão.pdf</t>
  </si>
  <si>
    <t>MO-SAG-008 - Manual de Operação dos Equipamentos de Alta Tensão.pdf</t>
  </si>
  <si>
    <t>MO-SAG-008 - High Voltage Equipment.pdf</t>
  </si>
  <si>
    <t>MO-SAG-017</t>
  </si>
  <si>
    <t>Manual de Operação do Sistema de Corrente Alternada.pdf</t>
  </si>
  <si>
    <t>MO-SAG-017 - Manual de Operação do Sistema de Corrente Alternada.pdf</t>
  </si>
  <si>
    <t>MO-SAG-017 - Alternating Current System.pdf</t>
  </si>
  <si>
    <t>MO-SAG-018</t>
  </si>
  <si>
    <t>Manual de Operação do Sistema de Excitação.pdf</t>
  </si>
  <si>
    <t>MO-SAG-018 - Manual de Operação do Sistema de Excitação.pdf</t>
  </si>
  <si>
    <t>MO-SAG-018 - Excitation System.pdf</t>
  </si>
  <si>
    <t>MO-SAG-019</t>
  </si>
  <si>
    <t>Manual de Operação do Sistema de Corrente Contínua.pdf</t>
  </si>
  <si>
    <t>MO-SAG-019 - Manual de Operação do Sistema de Corrente Contínua.pdf</t>
  </si>
  <si>
    <t>MO-SAG-019 - Direct Current System.pdf</t>
  </si>
  <si>
    <t>MO-SAG-021</t>
  </si>
  <si>
    <t>Manual de Operação do Regulador de Velocidade Eletrônico e Mecânico.pdf</t>
  </si>
  <si>
    <t>MO-SAG-021 - Manual de Operação do Regulador de Velocidade Eletrônico e Mecânico.pdf</t>
  </si>
  <si>
    <t>MO-SAG-021 - Electronic And Mechanical Speed Governor.pdf</t>
  </si>
  <si>
    <t>MO-SAG-022</t>
  </si>
  <si>
    <t>Manual de Operação do Compressores.pdf</t>
  </si>
  <si>
    <t>MO-SAG-022 - Manual de Operação do Compressores.pdf</t>
  </si>
  <si>
    <t>MO-SAG-022 - Compressor.pdf</t>
  </si>
  <si>
    <t>MO-SAG-024</t>
  </si>
  <si>
    <t>Manual de Operação do Gerador Auxiliar de Emergência - GAE.pdf</t>
  </si>
  <si>
    <t>MO-SAG-024 - Manual de Operação do Gerador Auxiliar de Emergência - GAE.pdf</t>
  </si>
  <si>
    <t>MO-SAG-024 - Auxiliary Emergency Generator - Gae.pdf</t>
  </si>
  <si>
    <t>MO-SAG-026</t>
  </si>
  <si>
    <t>Manual de Operação do Sistema de Drenagem e Esgotamento.pdf</t>
  </si>
  <si>
    <t>MO-SAG-026 - Manual de Operação do Sistema de Drenagem e Esgotamento.pdf</t>
  </si>
  <si>
    <t>MO-SAG-026 - Drainage And Sewage System.pdf</t>
  </si>
  <si>
    <t>MO-SAG-028</t>
  </si>
  <si>
    <t>Manual de Operação do Stop Log.pdf</t>
  </si>
  <si>
    <t>MO-SAG-028 - Manual de Operação do Stop Log.pdf</t>
  </si>
  <si>
    <t>MO-SAG-028 - Stop Log.pdf</t>
  </si>
  <si>
    <t>MO-SAG-029</t>
  </si>
  <si>
    <t>Manual de Operação das Grades da Tomada D'água.pdf</t>
  </si>
  <si>
    <t>MO-SAG-029 - Manual de Operação das Grades da Tomada D'água.pdf</t>
  </si>
  <si>
    <t>MO-SAG-029 - Water Outlet Grilles.pdf</t>
  </si>
  <si>
    <t>MO-SAG-030</t>
  </si>
  <si>
    <t>Manual de Operação do Pórtico de Montante.pdf</t>
  </si>
  <si>
    <t>MO-SAG-030 - Manual de Operação do Pórtico de Montante.pdf</t>
  </si>
  <si>
    <t>MO-SAG-030 - Upstream Gantry.pdf</t>
  </si>
  <si>
    <t>MO-SAG-030.01</t>
  </si>
  <si>
    <t>Manual de Operação do Pórtico de Jusante.pdf</t>
  </si>
  <si>
    <t>MO-SAG-030.01 - Manual de Operação do Pórtico de Jusante.pdf</t>
  </si>
  <si>
    <t>MO-SAG-030.01 - Downstream Gantry.pdf</t>
  </si>
  <si>
    <t>MO-SAG-030.02</t>
  </si>
  <si>
    <t>Manual de Operação do Pórtico de Vertedouro.pdf</t>
  </si>
  <si>
    <t>MO-SAG-030.02 - Manual de Operação do Pórtico de Vertedouro.pdf</t>
  </si>
  <si>
    <t>MO-SAG-030.02 - Spillway Gantry.pdf</t>
  </si>
  <si>
    <t>MO-SAG-030.03</t>
  </si>
  <si>
    <t>Manual de Operação do Pórtico Limpa-Grades.pdf</t>
  </si>
  <si>
    <t>MO-SAG-030.03 - Manual de Operação do Pórtico Limpa-Grades.pdf</t>
  </si>
  <si>
    <t>MO-SAG-030.03 - Gantry Grate Cleaner.pdf</t>
  </si>
  <si>
    <t>MO-SAG-031</t>
  </si>
  <si>
    <t>Manual de Operação da Ponte Rolante Principal.pdf</t>
  </si>
  <si>
    <t>MO-SAG-031 - Manual de Operação da Ponte Rolante Principal.pdf</t>
  </si>
  <si>
    <t>MO-SAG-031 - Main Overhead Crane.pdf</t>
  </si>
  <si>
    <t>MO-SAG-058</t>
  </si>
  <si>
    <t>Manual de Operação do Sistema de Ventilação.pdf</t>
  </si>
  <si>
    <t>MO-SAG-058 - Manual de Operação do Sistema de Ventilação.pdf</t>
  </si>
  <si>
    <t>MO-SAG-058 - Ventilation System.pdf</t>
  </si>
  <si>
    <t>MO-SAG-060</t>
  </si>
  <si>
    <t>Manual de Operação do Sistema de Combate a Incêndio.pdf</t>
  </si>
  <si>
    <t>MO-SAG-060 - Manual de Operação do Sistema de Combate a Incêndio.pdf</t>
  </si>
  <si>
    <t>MO-SAG-060 - Fire Fighting System.pdf</t>
  </si>
  <si>
    <t>MO-SAG-063</t>
  </si>
  <si>
    <t>Manual de Operação - Características Gerais da Usina.pdf</t>
  </si>
  <si>
    <t>MO-SAG-063 - Manual de Operação - Características Gerais da Usina.pdf</t>
  </si>
  <si>
    <t>MO-SAG-063 - General Characteristics Of The Plant.pdf</t>
  </si>
  <si>
    <t>MO-CN1-001</t>
  </si>
  <si>
    <t>MO-CN1-001 - Manual de Operação da Turbina e Equipamentos Auxiliares.pdf</t>
  </si>
  <si>
    <t>MO-CN1-001 - Turbine And Auxiliary Equipment.pdf</t>
  </si>
  <si>
    <t>MO-CN1-002</t>
  </si>
  <si>
    <t>MManual de Operação do Gerador e Equipamentos Auxiliares</t>
  </si>
  <si>
    <t>MO-CN1-002 - Manual de Operação do Gerador e Equipamentos Auxiliares.pdf</t>
  </si>
  <si>
    <t>MO-CN1-002 - Generator And Auxiliary Equipment.pdf</t>
  </si>
  <si>
    <t>MO-CN1-006</t>
  </si>
  <si>
    <t>MO-CN1-006 - Manual de Operação do Transformador Elevador.pdf</t>
  </si>
  <si>
    <t>MO-CN1-006 - Elevator Transformer.pdf</t>
  </si>
  <si>
    <t>MO-CN1-008</t>
  </si>
  <si>
    <t>MO-CN1-008 - Manual de Operação dos Equipamentos de Alta Tensão.pdf</t>
  </si>
  <si>
    <t>MO-CN1-008 - High Voltage Equipment.pdf</t>
  </si>
  <si>
    <t>MO-CN1-017</t>
  </si>
  <si>
    <t>MO-CN1-017 - Manual de Operação do Sistema de Corrente Alternada.pdf</t>
  </si>
  <si>
    <t>MO-CN1-017 - Alternating Current System.pdf</t>
  </si>
  <si>
    <t>MO-CN1-018</t>
  </si>
  <si>
    <t>MO-CN1-018 - Manual de Operação do Sistema de Excitação.pdf</t>
  </si>
  <si>
    <t>MO-CN1-018 - Excitation System.pdf</t>
  </si>
  <si>
    <t>MO-CN1-019</t>
  </si>
  <si>
    <t>MO-CN1-019 - Manual de Operação do Sistema de Corrente Contínua.pdf</t>
  </si>
  <si>
    <t>MO-CN1-019 - Direct Current System.pdf</t>
  </si>
  <si>
    <t>MO-CN1-021</t>
  </si>
  <si>
    <t>MO-CN1-021 - Manual de Operação do Regulador de Velocidade Eletrônico e Mecânico.pdf</t>
  </si>
  <si>
    <t>MO-CN1-021 - Electronic And Mechanical Speed Governor.pdf</t>
  </si>
  <si>
    <t>MO-CN1-022</t>
  </si>
  <si>
    <t>Manual de Operação do Compressor de Serviços Gerais</t>
  </si>
  <si>
    <t>MO-CN1-022 - Manual de Operação do Compressor de Serviços Gerais.pdf</t>
  </si>
  <si>
    <t>MO-CN1-022 - Compressor.pdf</t>
  </si>
  <si>
    <t>MO-CN1-024</t>
  </si>
  <si>
    <t>Manual de Operação do Gerador Auxiliar de Emergência - GAE</t>
  </si>
  <si>
    <t>MO-CN1-024 - Manual de Operação do Gerador Auxiliar de Emergência - GAE.pdf</t>
  </si>
  <si>
    <t>MO-CN1-024 - Auxiliary Emergency Generator - Gae.pdf</t>
  </si>
  <si>
    <t>MO-CN1-026</t>
  </si>
  <si>
    <t>MO-CN1-026 - Manual de Operação do Sistema de Drenagem e Esgotamento.pdf</t>
  </si>
  <si>
    <t>MO-CN1-026 - Drainage And Sewage System.pdf</t>
  </si>
  <si>
    <t>MO-CN1-028</t>
  </si>
  <si>
    <t>MO-CN1-028 - Manual de Operação do Stop Log.pdf</t>
  </si>
  <si>
    <t>MO-CN1-028 - Stop Log.pdf</t>
  </si>
  <si>
    <t>MO-CN1-029</t>
  </si>
  <si>
    <t>MO-CN1-029 - Manual de Operação das Grades da Tomada D'água.pdf</t>
  </si>
  <si>
    <t>MO-CN1-029 - Water Outlet Grilles.pdf</t>
  </si>
  <si>
    <t>MO-CN1-030</t>
  </si>
  <si>
    <t>MO-CN1-030 - Manual de Operação do Pórtico de Montante.pdf</t>
  </si>
  <si>
    <t>MO-CN1-030 - Upstream Gantry.pdf</t>
  </si>
  <si>
    <t>MO-CN1-031</t>
  </si>
  <si>
    <t>Manual de Operação da Ponte Rolante Principal</t>
  </si>
  <si>
    <t>MO-CN1-031 - Manual de Operação da Ponte Rolante Principal.pdf</t>
  </si>
  <si>
    <t>MO-CN1-031 - Main Overhead Crane.pdf</t>
  </si>
  <si>
    <t>MO-CN1-058</t>
  </si>
  <si>
    <t>MO-CN1-058 - Manual de Operação do Sistema de Ventilação.pdf</t>
  </si>
  <si>
    <t>MO-CN1-058 - Ventilation System.pdf</t>
  </si>
  <si>
    <t>MO-CN1-060</t>
  </si>
  <si>
    <t>MO-CN1-060 - Manual de Operação do Sistema de Combate a Incêndio.pdf</t>
  </si>
  <si>
    <t>MO-CN1-060 - Fire Fighting System.pdf</t>
  </si>
  <si>
    <t>MO-CN1-062</t>
  </si>
  <si>
    <t>MO-CN1-062 - Manual de Operação da Comporta de Emergência.pdf</t>
  </si>
  <si>
    <t>MO-CN1-062 - Emergency Gate.pdf</t>
  </si>
  <si>
    <t>MO-CN1-063</t>
  </si>
  <si>
    <t>Manual de Operação - Características Gerais da Usina</t>
  </si>
  <si>
    <t>MO-CN1-063 - Manual de Operação - Características Gerais da Usina.pdf</t>
  </si>
  <si>
    <t>MO-CN1-063 - General Characteristics Of The Plant.pdf</t>
  </si>
  <si>
    <t>MO-CN2-001</t>
  </si>
  <si>
    <t>MO-CN2-001 - Manual de Operação da Turbina e Equipamentos Auxiliares.pdf</t>
  </si>
  <si>
    <t>MO-CN2-001 - Turbine And Auxiliary Equipment.pdf</t>
  </si>
  <si>
    <t>MO-CN2-002</t>
  </si>
  <si>
    <t>MO-CN2-002 - Manual de Operação do Gerador e Equipamentos Auxiliares.pdf</t>
  </si>
  <si>
    <t>MO-CN2-002 - Generator And Auxiliary Equipment.pdf</t>
  </si>
  <si>
    <t>MO-CN2-006</t>
  </si>
  <si>
    <t>MO-CN2-006 - Manual de Operação do Transformador Elevador.pdf</t>
  </si>
  <si>
    <t>MO-CN2-006 - Elevator Transformer.pdf</t>
  </si>
  <si>
    <t>MO-CN2-008</t>
  </si>
  <si>
    <t>MO-CN2-008 - Manual de Operação dos Equipamentos de Alta Tensão.pdf</t>
  </si>
  <si>
    <t>MO-CN2-008 - High Voltage Equipment.pdf</t>
  </si>
  <si>
    <t>MO-CN2-017</t>
  </si>
  <si>
    <t>MO-CN2-017 - Manual de Operação do Sistema de Corrente Alternada.pdf</t>
  </si>
  <si>
    <t>MO-CN2-017 - Alternating Current System.pdf</t>
  </si>
  <si>
    <t>MO-CN2-018</t>
  </si>
  <si>
    <t>MO-CN2-018 - Manual de Operação do Sistema de Excitação.pdf</t>
  </si>
  <si>
    <t>MO-CN2-018 - Excitation System.pdf</t>
  </si>
  <si>
    <t>MO-CN2-019</t>
  </si>
  <si>
    <t>MO-CN2-019 - Manual de Operação do Sistema de Corrente Contínua.pdf</t>
  </si>
  <si>
    <t>MO-CN2-019 - Direct Current System.pdf</t>
  </si>
  <si>
    <t>MO-CN2-021</t>
  </si>
  <si>
    <t>MO-CN2-021 - Manual de Operação do Regulador de Velocidade Eletrônico e Mecânico.pdf</t>
  </si>
  <si>
    <t>MO-CN2-021 - Electronic And Mechanical Speed Governor.pdf</t>
  </si>
  <si>
    <t>MO-CN2-022</t>
  </si>
  <si>
    <t>Manual de Operação do Compressor de Serviços Gerais.pdf</t>
  </si>
  <si>
    <t>MO-CN2-022 - Manual de Operação do Compressor de Serviços Gerais.pdf</t>
  </si>
  <si>
    <t>MO-CN2-022 - Compressor.pdf</t>
  </si>
  <si>
    <t>MO-CN2-024</t>
  </si>
  <si>
    <t>MO-CN2-024 - Manual de Operação do Gerador Auxiliar de Emergência - GAE.pdf</t>
  </si>
  <si>
    <t>MO-CN2-024 - Auxiliary Emergency Generator - Gae.pdf</t>
  </si>
  <si>
    <t>MO-CN2-026</t>
  </si>
  <si>
    <t>MO-CN2-026 - Manual de Operação do Sistema de Drenagem e Esgotamento.pdf</t>
  </si>
  <si>
    <t>MO-CN2-026 - Drainage And Sewage System.pdf</t>
  </si>
  <si>
    <t>MO-CN2-028</t>
  </si>
  <si>
    <t>MO-CN2-028 - Manual de Operação do Stop Log.pdf</t>
  </si>
  <si>
    <t>MO-CN2-028 - Stop Log.pdf</t>
  </si>
  <si>
    <t>MO-CN2-029</t>
  </si>
  <si>
    <t>MO-CN2-029 - Manual de Operação das Grades da Tomada D'água.pdf</t>
  </si>
  <si>
    <t>MO-CN2-029 - Water Outlet Grilles.pdf</t>
  </si>
  <si>
    <t>MO-CN2-030</t>
  </si>
  <si>
    <t>MO-CN2-030 - Manual de Operação do Pórtico de Montante.pdf</t>
  </si>
  <si>
    <t>MO-CN2-030 - Upstream Gantry.pdf</t>
  </si>
  <si>
    <t>MO-CN2-031</t>
  </si>
  <si>
    <t>MO-CN2-031 - Manual de Operação da Ponte Rolante Principal.pdf</t>
  </si>
  <si>
    <t>MO-CN2-031 - Main Overhead Crane.pdf</t>
  </si>
  <si>
    <t>MO-CN2-058</t>
  </si>
  <si>
    <t>MO-CN2-058 - Manual de Operação do Sistema de Ventilação.pdf</t>
  </si>
  <si>
    <t>MO-CN2-058 - Ventilation System.pdf</t>
  </si>
  <si>
    <t>001</t>
  </si>
  <si>
    <t>MO-CPV-001</t>
  </si>
  <si>
    <t>MO-CPV-001 - Manual de Operação da Turbina e Equipamentos Auxiliares.pdf</t>
  </si>
  <si>
    <t>002</t>
  </si>
  <si>
    <t>MO-CPV-002</t>
  </si>
  <si>
    <t>MO-CPV-002 - Manual de Operação do Gerador e Equipamentos Auxiliares.pdf</t>
  </si>
  <si>
    <t>006</t>
  </si>
  <si>
    <t>MO-CPV-006</t>
  </si>
  <si>
    <t>MO-CPV-006 - Manual de Operação do Transformador Elevador.pdf</t>
  </si>
  <si>
    <t>008</t>
  </si>
  <si>
    <t>MO-CPV-008</t>
  </si>
  <si>
    <t>Manual de Operação de Equipamentos de Alta Tensão.pdf</t>
  </si>
  <si>
    <t>MO-CPV-008 - Manual de Operação de Equipamentos de Alta Tensão.pdf</t>
  </si>
  <si>
    <t>017</t>
  </si>
  <si>
    <t>MO-CPV-017</t>
  </si>
  <si>
    <t>MO-CPV-017 - Manual de Operação do Sistema de Corrente Alternada.pdf</t>
  </si>
  <si>
    <t>018</t>
  </si>
  <si>
    <t>MO-CPV-018</t>
  </si>
  <si>
    <t>MO-CPV-018- Manual de Operação do Sistema de Excitação.pdf</t>
  </si>
  <si>
    <t>019</t>
  </si>
  <si>
    <t>MO-CPV-019</t>
  </si>
  <si>
    <t>MO-CPV-019- Manual de Operação do Sistema de Corrente Contínua.pdf</t>
  </si>
  <si>
    <t>021</t>
  </si>
  <si>
    <t>MO-CPV-021</t>
  </si>
  <si>
    <t>Manual de Operação do Sistema Regulador de Velocidade Eletrônico e Mecânico.pdf</t>
  </si>
  <si>
    <t>MO-CPV-021 Manual de Operação do Sistema Regulador de Velocidade Eletrônico e Mecânico.pdf</t>
  </si>
  <si>
    <t>022</t>
  </si>
  <si>
    <t>MO-CPV-022</t>
  </si>
  <si>
    <t>Manual de Operação dos Compressores.pdf</t>
  </si>
  <si>
    <t>MO-CPV-022 Manual de Operação dos Compressores.pdf</t>
  </si>
  <si>
    <t>024</t>
  </si>
  <si>
    <t>MO-CPV-024</t>
  </si>
  <si>
    <t>MO-CPV-024- Manual de Operação do Gerador Auxiliar de Emergência - GAE.pdf</t>
  </si>
  <si>
    <t>026</t>
  </si>
  <si>
    <t>MO-CPV-026</t>
  </si>
  <si>
    <t>MO-CPV-026- Manual de Operação do Sistema de Drenagem e Esgotamento.pdf</t>
  </si>
  <si>
    <t>028</t>
  </si>
  <si>
    <t>MO-CPV-028</t>
  </si>
  <si>
    <t>MO-CPV-028- Manual de Operação do Stop Log.pdf</t>
  </si>
  <si>
    <t>029</t>
  </si>
  <si>
    <t>MO-CPV-029</t>
  </si>
  <si>
    <t>MO-CPV-029- Manual de Operação das Grades da Tomada D'água.pdf</t>
  </si>
  <si>
    <t>030</t>
  </si>
  <si>
    <t>MO-CPV-030</t>
  </si>
  <si>
    <t>MO-CPV-030- Manual de Operação do Pórtico de Montante.pdf</t>
  </si>
  <si>
    <t>031</t>
  </si>
  <si>
    <t>MO-CPV-031</t>
  </si>
  <si>
    <t>MO-CPV-031- Manual de Operação da Ponte Rolante Principal.pdf</t>
  </si>
  <si>
    <t>061</t>
  </si>
  <si>
    <t>MO-CPV-061</t>
  </si>
  <si>
    <t>Manual de Operação das Comportas de Vertedouro.pdf</t>
  </si>
  <si>
    <t>MO-CPV-061- Manual de Operação das Comportas de Vertedouro.pdf</t>
  </si>
  <si>
    <t>062</t>
  </si>
  <si>
    <t>MO-CPV-062</t>
  </si>
  <si>
    <t>Manual de Operação da Comporta de Emergência.pdf</t>
  </si>
  <si>
    <t>MO-CPV-062- Manual de Operação da Comporta de Emergência.pdf</t>
  </si>
  <si>
    <t>MO-ILS-001</t>
  </si>
  <si>
    <t>Manual de Operação da Turbina Hidráulica e Equipamentos Auxiliares.pdf</t>
  </si>
  <si>
    <t>MO-ILS-001 - Manual de Operação da Turbina Hidráulica e Equipamentos Auxiliares.pdf</t>
  </si>
  <si>
    <t>MO-ILS-002</t>
  </si>
  <si>
    <t>MO-ILS-002 - Manual de Operação do Gerador e Equipamentos Auxiliares.pdf</t>
  </si>
  <si>
    <t>015</t>
  </si>
  <si>
    <t>MO-ILS-015</t>
  </si>
  <si>
    <t>Manual de Operação de Proteção do Transformador-gerador.pdf</t>
  </si>
  <si>
    <t>MO-ILS-015 - Manual de Operação de Proteção do Transformador-gerador.pdf</t>
  </si>
  <si>
    <t>MO-ILS-018</t>
  </si>
  <si>
    <t>MO-ILS-018 - Manual de Operação do Sistema de Excitação.pdf</t>
  </si>
  <si>
    <t>020</t>
  </si>
  <si>
    <t>MO-ILS-020</t>
  </si>
  <si>
    <t>Manual de Operação do Regulador de Velocidade Mecânico.pdf</t>
  </si>
  <si>
    <t>MO-ILS-020 Manual de Operação do Regulador de Velocidade Mecânico.pdf</t>
  </si>
  <si>
    <t>MO-ILS-021</t>
  </si>
  <si>
    <t>MO-ILS-021 - Manual de Operação do Regulador de Velocidade Mecânico.pdf</t>
  </si>
  <si>
    <t>MO-ILS-022</t>
  </si>
  <si>
    <t>Manual de Operação do Sistema de Ar Comprimido.pdf</t>
  </si>
  <si>
    <t>MO-ILS-022 - Manual de Operação do Sistema de Ar Comprimido.pdf</t>
  </si>
  <si>
    <t>023</t>
  </si>
  <si>
    <t>MO-ILS-023</t>
  </si>
  <si>
    <t>Manual de Operação do Sistema de Resfriamento de Água.pdf</t>
  </si>
  <si>
    <t>MO-ILS-023 Manual de Operação do Sistema de Resfriamento de Água.pdf</t>
  </si>
  <si>
    <t>MO-ILS-026</t>
  </si>
  <si>
    <t>MO-ILS-026 Manual de Operação do Sistema de Drenagem e Esgotamento.pdf</t>
  </si>
  <si>
    <t>057</t>
  </si>
  <si>
    <t>MO-ILS-057</t>
  </si>
  <si>
    <t>Manual de Operação da Subestação 440kV da UHE ILS.pdf</t>
  </si>
  <si>
    <t>MO-ILS-057-Manual de Operação da Subestação 440kV da UHE ILS.pdf</t>
  </si>
  <si>
    <t>MO-ILS-062</t>
  </si>
  <si>
    <t>Manual de Operação das Comportas de Emergência.pdf</t>
  </si>
  <si>
    <t>MO-ILS-062 - Manual de Operação das Comportas de Emergência.pdf</t>
  </si>
  <si>
    <t>MO-JUP-001</t>
  </si>
  <si>
    <t>MO-JUP-001 - Manual de Operação da Turbina e Equipamentos Auxiliares.pdf</t>
  </si>
  <si>
    <t>MO-JUP-002</t>
  </si>
  <si>
    <t>MO-JUP-002 - Manual de Operação do Gerador e Equipamentos Auxiliares.pdf</t>
  </si>
  <si>
    <t>MO-JUP-006.1</t>
  </si>
  <si>
    <t>MO-JUP-006.1 - Manual de Operação do Transformador Elevador.pdf</t>
  </si>
  <si>
    <t>MO-JUP-006.2</t>
  </si>
  <si>
    <t>Manual de Operação do Transformador Elevador TR-6.pdf</t>
  </si>
  <si>
    <t>MO-JUP-006.2 - Manual de Operação do Transformador Elevador TR-6.pdf</t>
  </si>
  <si>
    <t>MO-JUP-006.3</t>
  </si>
  <si>
    <t>Manual de Operação do Transformador Elevador TR-2.pdf</t>
  </si>
  <si>
    <t>MO-JUP-006.3 - Manual de Operação do Transformador Elevador TR-2.pdf</t>
  </si>
  <si>
    <t>MO-JUP-006.4</t>
  </si>
  <si>
    <t>Manual de Operação do Transformador Elevador TR-3</t>
  </si>
  <si>
    <t>MO-JUP-006.4 - Manual de Operação do Transformador Elevador TR-3</t>
  </si>
  <si>
    <t>MO-JUP-006.5</t>
  </si>
  <si>
    <t>Manual de Operação do Transformador Elevador TR-4</t>
  </si>
  <si>
    <t>MO-JUP-006.5 - Manual de Operação do Transformador Elevador TR-4</t>
  </si>
  <si>
    <t>MO-JUP-006.6</t>
  </si>
  <si>
    <t>Manual de Operação do Transformador Elevador TR-5</t>
  </si>
  <si>
    <t>MO-JUP-006.6 - Manual de Operação do Transformador Elevador TR-5</t>
  </si>
  <si>
    <t>MO-JUP-006.7</t>
  </si>
  <si>
    <t>Manual de Operação do Transformador Elevador TR-7</t>
  </si>
  <si>
    <t>MO-JUP-006.7 - Manual de Operação do Transformador Elevador TR-7</t>
  </si>
  <si>
    <t>MO-JUP-006.8</t>
  </si>
  <si>
    <t>Manual de Operação do Transformador Elevador TR-8</t>
  </si>
  <si>
    <t>MO-JUP-006.8 - Manual de Operação do Transformador Elevador TR-8</t>
  </si>
  <si>
    <t>MO-JUP-006.9</t>
  </si>
  <si>
    <t>Manual de Operação do Transformador Elevador TR-9</t>
  </si>
  <si>
    <t>MO-JUP-006.9 - Manual de Operação do Transformador Elevador TR-9</t>
  </si>
  <si>
    <t>MO-JUP-006.11</t>
  </si>
  <si>
    <t>Manual de operação do transformador elevador TR-11</t>
  </si>
  <si>
    <t>MO-JUP-006.11 - Manual de Operação do Transformador Elevador TR-11</t>
  </si>
  <si>
    <t>MO-JUP-006.12</t>
  </si>
  <si>
    <t>Manual de operação do transformador elevador TR-12</t>
  </si>
  <si>
    <t>MO-JUP-006.12 - Manual de Operação do Transformador Elevador TR-12</t>
  </si>
  <si>
    <t>MO-JUP-006.13</t>
  </si>
  <si>
    <t>Manual de operação do transformador elevador TR-13</t>
  </si>
  <si>
    <t>MO-JUP-006.13 - Manual de Operação do Transformador Elevador TR-13</t>
  </si>
  <si>
    <t>MO-JUP-006.14</t>
  </si>
  <si>
    <t>Manual de operação do transformador elevador TR-14</t>
  </si>
  <si>
    <t>MO-JUP-006.14 - Manual de Operação do Transformador Elevador TR-14</t>
  </si>
  <si>
    <t>MO-JUP-012</t>
  </si>
  <si>
    <t>Manual de Operação Sistema de Supervisão.pdf</t>
  </si>
  <si>
    <t>MO-JUP-012 - Manual de Operação Sistema de Supervisão.pdf</t>
  </si>
  <si>
    <t>MO-JUP-015</t>
  </si>
  <si>
    <t>Manual de Operação da Proteção do Gerador-Transformador.pdf</t>
  </si>
  <si>
    <t>MO-JUP-015 - Manual de Operação da Proteção do Gerador-Transformador.pdf</t>
  </si>
  <si>
    <t>MO-JUP-017</t>
  </si>
  <si>
    <t>Manual de Operação do Sistema de Alimentação de Energia Auxiliar CA.pdf</t>
  </si>
  <si>
    <t>MO-JUP-017 – Manual de Operação do Sistema de Alimentação de Energia Auxiliar CA.pdf</t>
  </si>
  <si>
    <t>MO-JUP-018</t>
  </si>
  <si>
    <t>MO-JUP-018 - Manual de Operação do Sistema de Excitação.pdf</t>
  </si>
  <si>
    <t>MO-JUP-019</t>
  </si>
  <si>
    <t>Manual de Operação do sistema de Corrente Contínua.pdf</t>
  </si>
  <si>
    <t>MO-JUP-019 Manual de Operação do sistema de Corrente Contínua.pdf</t>
  </si>
  <si>
    <t>MO-JUP-021</t>
  </si>
  <si>
    <t>Manual de Operação do Regulador de Velocidade.pdf</t>
  </si>
  <si>
    <t>MO-JUP-021 - Manual de Operação do Regulador de Velocidade.pdf</t>
  </si>
  <si>
    <t>MO-JUP-022</t>
  </si>
  <si>
    <t>MO-JUP-022 - Manual de Operação do Sistema de Ar Comprimido.pdf</t>
  </si>
  <si>
    <t>MO-JUP-023</t>
  </si>
  <si>
    <t>Manual de Operação do Sistema de Água de Resfriamento.pdf</t>
  </si>
  <si>
    <t>MO-JUP-023 - Manual de Operação do Sistema de Água de Resfriamento.pdf</t>
  </si>
  <si>
    <t>MO-JUP-026</t>
  </si>
  <si>
    <t>Manual de operação do sistema de drenagem e esgotamento.pdf</t>
  </si>
  <si>
    <t>MO-JUP-026 - Manual de operação do sistema de drenagem e esgotamento.pdf</t>
  </si>
  <si>
    <t>MO-JUP-026.1</t>
  </si>
  <si>
    <t>Manual de Operação dos Poços de Drenagem.pdf</t>
  </si>
  <si>
    <t>MO-JUP-026.1 - Manual de Operação dos Poços de Drenagem.pdf</t>
  </si>
  <si>
    <t>MO-JUP-057</t>
  </si>
  <si>
    <t>Manual de Operação de Transmissão e Distribuição.pdf</t>
  </si>
  <si>
    <t>MO-JUP-057 - Manual de Operação de Transmissão e Distribuição.pdf</t>
  </si>
  <si>
    <t>MO-JUP-062</t>
  </si>
  <si>
    <t>Manual de operação das comportas de emergência.pdf</t>
  </si>
  <si>
    <t>MO-JUP-062 - Manual de operação das comportas de emergência.pdf</t>
  </si>
  <si>
    <t>MO-PLM-001</t>
  </si>
  <si>
    <t>MO-PLM-001 - Manual de Operação da Turbina e Equipamentos Auxiliares.pdf</t>
  </si>
  <si>
    <t>MO-PLM-001 - Turbine And Auxiliary Equipment.pdf</t>
  </si>
  <si>
    <t>MO-PLM-002</t>
  </si>
  <si>
    <t>MO-PLM-002 - Generator And Auxiliary Equipment.pdf</t>
  </si>
  <si>
    <t>MO-PLM-006</t>
  </si>
  <si>
    <t>MO-PLM-006 - Manual de Operação do Transformador Elevador.pdf</t>
  </si>
  <si>
    <t>MO-PLM-006 - Elevator Transformer.pdf</t>
  </si>
  <si>
    <t>MO-PLM-007</t>
  </si>
  <si>
    <t>Manual de Operação do Transformador a Seco</t>
  </si>
  <si>
    <t>MO-PLM-007 - Manual de Operação do Transformador a Seco.pdf</t>
  </si>
  <si>
    <t>MO-PLM-007 - Dry Transformer.pdf</t>
  </si>
  <si>
    <t>MO-PLM-008</t>
  </si>
  <si>
    <t>MO-PLM-008 - Manual de Operação dos Equipamentos de Alta Tensão.pdf</t>
  </si>
  <si>
    <t>MO-PLM-008 - High Voltage Equipment.pdf</t>
  </si>
  <si>
    <t>MO-PLM-014</t>
  </si>
  <si>
    <t>MO-PLM-014 - Manual de Operação do Sistema de Comunicação.pdf</t>
  </si>
  <si>
    <t>MO-PLM-014 - Communication System.pdf</t>
  </si>
  <si>
    <t>MO-PLM-017</t>
  </si>
  <si>
    <t>MO-PLM-017 - Manual de Operação do Sistema de Corrente Alternada.pdf</t>
  </si>
  <si>
    <t>MO-PLM-017 - Alternating Current System.pdf</t>
  </si>
  <si>
    <t>MO-PLM-018</t>
  </si>
  <si>
    <t>MO-PLM-018 - Manual de Operação do Sistema de Excitação.pdf</t>
  </si>
  <si>
    <t>MO-PLM-018 - Excitation System.pdf</t>
  </si>
  <si>
    <t>MO-PLM-019</t>
  </si>
  <si>
    <t>MO-PLM-019 - Manual de Operação do Sistema de Corrente Contínua.pdf</t>
  </si>
  <si>
    <t>MO-PLM-019 - Direct Current System.pdf</t>
  </si>
  <si>
    <t>MO-PLM-021</t>
  </si>
  <si>
    <t>MO-PLM-021 - Manual de Operação do Regulador de Velocidade Eletrônico e Mecânico.pdf</t>
  </si>
  <si>
    <t>MO-PLM-021 - Electronic And Mechanical Speed Governor.pdf</t>
  </si>
  <si>
    <t>MO-PLM-022</t>
  </si>
  <si>
    <t>MO-PLM-022 - Manual de Operação do Compressor.pdf</t>
  </si>
  <si>
    <t>MO-PLM-022 - Compressor.pdf</t>
  </si>
  <si>
    <t>MO-PLM-023</t>
  </si>
  <si>
    <t>Manual de Operação do Sistema de Resfriamento de Água</t>
  </si>
  <si>
    <t>MO-PLM-023 - Manual de Operação do Sistema de Resfriamento de Água.pdf</t>
  </si>
  <si>
    <t>MO-PLM-023 - Water Cooling System.pdf</t>
  </si>
  <si>
    <t>MO-PLM-024</t>
  </si>
  <si>
    <t>MO-PLM-024 - Auxiliary Emergency Generator – Gae'S.pdf</t>
  </si>
  <si>
    <t>MO-PLM-026</t>
  </si>
  <si>
    <t>MO-PLM-026 - Manual de Operação do Sistema de Drenagem e Esgotamento.pdf</t>
  </si>
  <si>
    <t>MO-PLM-026 - Drainage And Sewage System.pdf</t>
  </si>
  <si>
    <t>MO-PLM-027</t>
  </si>
  <si>
    <t>Manual de Operação do Sistema de Separação de Óleo</t>
  </si>
  <si>
    <t>MO-PLM-027 - Manual de Operação do Sistema de Separação de Óleo.pdf</t>
  </si>
  <si>
    <t>MO-PLM-027 - Oil Separation System.pdf</t>
  </si>
  <si>
    <t>MO-PLM-028</t>
  </si>
  <si>
    <t>MO-PLM-028 - Manual de Operação do Stop Log.pdf</t>
  </si>
  <si>
    <t>MO-PLM-028 - Stop Log.pdf</t>
  </si>
  <si>
    <t>MO-PLM-029</t>
  </si>
  <si>
    <t>MO-PLM-029 - Manual de Operação das Grades da Tomada D'água.pdf</t>
  </si>
  <si>
    <t>MO-PLM-029 - Water Outlet Grilles.pdf</t>
  </si>
  <si>
    <t>MO-PLM-030</t>
  </si>
  <si>
    <t>MO-PLM-030 - Manual de Operação do Pórtico de Montante.pdf</t>
  </si>
  <si>
    <t>MO-PLM-030 - Upstream Gantry.pdf</t>
  </si>
  <si>
    <t>MO-PLM-031</t>
  </si>
  <si>
    <t>MO-PLM-031 - Manual de Operação da Ponte Rolante.pdf</t>
  </si>
  <si>
    <t>MO-PLM-031 - Overhead Crane.pdf</t>
  </si>
  <si>
    <t>MO-PLM-058</t>
  </si>
  <si>
    <t>MO-PLM-058 - Manual de Operação do Sistema de Ventilação.pdf</t>
  </si>
  <si>
    <t>MO-PLM-058 - Ventilation System.pdf</t>
  </si>
  <si>
    <t>MO-PLM-060</t>
  </si>
  <si>
    <t>MO-PLM-060 - Manual de Operação do Sistema de Combate a Incêndio.pdf</t>
  </si>
  <si>
    <t>MO-PLM-060 - Fire Fighting System.pdf</t>
  </si>
  <si>
    <t>MO-PLM-062</t>
  </si>
  <si>
    <t>MO-PLM-062 - Manual de Operação da Comporta de Emergência.pdf</t>
  </si>
  <si>
    <t>MO-PLM-062 - Emergency Gate.pdf</t>
  </si>
  <si>
    <t>MO-PLM-063</t>
  </si>
  <si>
    <t>MO-PLM-063 - Manual de Operação Características Gerais da Usina.pdf</t>
  </si>
  <si>
    <t>MO-PLM-063 - General Characteristics Of The Plant.pdf</t>
  </si>
  <si>
    <t>MO-PLM-067</t>
  </si>
  <si>
    <t>MO-PLM-067 - Manual de Operação -Sistema de Medição de Níveis Montante e Jusante.pdf</t>
  </si>
  <si>
    <t>MO-PLM-067 - Upstream And Downstream Level Measurement System.pdf</t>
  </si>
  <si>
    <t>MO-PLM-081</t>
  </si>
  <si>
    <t>MO-PLM-081 - Manual de Operação do Sistema de Iluminação.pdf</t>
  </si>
  <si>
    <t>MO-PLM-081 - Lighting System.pdf</t>
  </si>
  <si>
    <t>MO-RET-001</t>
  </si>
  <si>
    <t>MO-RET-001 - Manual de Operação da Turbina e Equipamentos Auxiliares.pdf</t>
  </si>
  <si>
    <t>MO-RET-001 - Turbine And Auxiliary Equipment.pdf</t>
  </si>
  <si>
    <t>MO-RET-002</t>
  </si>
  <si>
    <t>MO-RET-002 - Generator And Auxiliary Equipment.pdf</t>
  </si>
  <si>
    <t>MO-RET-006</t>
  </si>
  <si>
    <t>MO-RET-006 - Manual de Operação do Transformador Elevador.pdf</t>
  </si>
  <si>
    <t>MO-RET-006 - Elevator Transformer.pdf</t>
  </si>
  <si>
    <t>MO-RET-007</t>
  </si>
  <si>
    <t>MO-RET-007 - Manual de Operação do Transformador a Seco.pdf</t>
  </si>
  <si>
    <t>MO-RET-007 - Dry Transformer.pdf</t>
  </si>
  <si>
    <t>MO-RET-008</t>
  </si>
  <si>
    <t>MO-RET-008 - Manual de Operação dos Equipamentos de Alta Tensão.pdf</t>
  </si>
  <si>
    <t>MO-RET-008 - High Voltage Equipment.pdf</t>
  </si>
  <si>
    <t>MO-RET-014</t>
  </si>
  <si>
    <t>MO-RET-014 - Manual de Operação do Sistema de Comunicação.pdf</t>
  </si>
  <si>
    <t>MO-RET-014 - Communication System.pdf</t>
  </si>
  <si>
    <t>MO-RET-017</t>
  </si>
  <si>
    <t>MO-RET-017 - Manual de Operação do Sistema de Corrente Alternada.pdf</t>
  </si>
  <si>
    <t>MO-RET-017 - Alternating Current System.pdf</t>
  </si>
  <si>
    <t>MO-RET-018</t>
  </si>
  <si>
    <t>MO-RET-018 - Manual de Operação do Sistema de Excitação.pdf</t>
  </si>
  <si>
    <t>MO-RET-018 - Excitation System.pdf</t>
  </si>
  <si>
    <t>MO-RET-019</t>
  </si>
  <si>
    <t>MO-RET-019 - Manual de Operação do Sistema de Corrente Contínua.pdf</t>
  </si>
  <si>
    <t>MO-RET-019 - Direct Current System.pdf</t>
  </si>
  <si>
    <t>MO-RET-021</t>
  </si>
  <si>
    <t>MO-RET-021 - Manual de Operação do Regulador de Velocidade Eletrônico e Mecânico.pdf</t>
  </si>
  <si>
    <t>MO-RET-021 - Electronic And Mechanical Speed Governor.pdf</t>
  </si>
  <si>
    <t>MO-RET-022</t>
  </si>
  <si>
    <t>MO-RET-022 - Manual de Operação do Compressor.pdf</t>
  </si>
  <si>
    <t>MO-RET-022 - Compressor.pdf</t>
  </si>
  <si>
    <t>MO-RET-023</t>
  </si>
  <si>
    <t>MO-RET-023 - Manual de Operação do Sistema de Resfriamento de Água.pdf</t>
  </si>
  <si>
    <t>MO-RET-023 - Water Cooling System.pdf</t>
  </si>
  <si>
    <t>MO-RET-024</t>
  </si>
  <si>
    <t>MO-RET-024 - Manual de Operação do Gerador Auxiliar de Emergência - GAE's.pdf</t>
  </si>
  <si>
    <t>MO-RET-024 - Auxiliary Emergency Generator – Gae'S.pdf</t>
  </si>
  <si>
    <t>MO-RET-026</t>
  </si>
  <si>
    <t>MO-RET-026 - Manual de Operação do Sistema de Drenagem e Esgotamento.pdf</t>
  </si>
  <si>
    <t>MO-RET-026 - Drainage And Sewage System.pdf</t>
  </si>
  <si>
    <t>MO-RET027</t>
  </si>
  <si>
    <t>MO-RET-027 - Manual de Operação do Sistema de Separação de Óleo.pdf</t>
  </si>
  <si>
    <t>MO-RET-027 - Oil Separation System.pdf</t>
  </si>
  <si>
    <t>MO-RET-028</t>
  </si>
  <si>
    <t>MO-RET-028 - Manual de Operação do Stop Log.pdf</t>
  </si>
  <si>
    <t>MO-RET-028 - Stop Log.pdf</t>
  </si>
  <si>
    <t>MO-RET-029</t>
  </si>
  <si>
    <t>MO-RET-029 - Manual de Operação das Grades da Tomada D'água.pdf</t>
  </si>
  <si>
    <t>MO-RET-029 - Water Outlet Grilles.pdf</t>
  </si>
  <si>
    <t>MO-RET-030</t>
  </si>
  <si>
    <t>MO-RET-030 - Manual de Operação do Pórtico de Montante.pdf</t>
  </si>
  <si>
    <t>MO-RET-030 - Upstream Gantry.pdf</t>
  </si>
  <si>
    <t>MO-RET-031</t>
  </si>
  <si>
    <t>MO-RET-031 - Manual de Operação da Ponte Rolante.pdf</t>
  </si>
  <si>
    <t>MO-RET-031 - Overhead Crane.pdf</t>
  </si>
  <si>
    <t>MO-RET-058</t>
  </si>
  <si>
    <t>MO-RET-058 - Manual de Operação do Sistema de Ventilação.pdf</t>
  </si>
  <si>
    <t>MO-RET-058 - Ventilation System.pdf</t>
  </si>
  <si>
    <t>MO-RET-060</t>
  </si>
  <si>
    <t>MO-RET-060 - Manual de Operação do Sistema de Combate a Incêndio.pdf</t>
  </si>
  <si>
    <t>MO-RET-060 - Fire Fighting System.pdf</t>
  </si>
  <si>
    <t>MO-RET-062</t>
  </si>
  <si>
    <t>MO-RET-062 - Manual de Operação da Comporta de Emergência.pdf</t>
  </si>
  <si>
    <t>MO-RET-062 - Emergency Gate.pdf</t>
  </si>
  <si>
    <t>MO-RET-063</t>
  </si>
  <si>
    <t>MO-RET-063 - Manual de Operação Características Gerais da Usina.pdf</t>
  </si>
  <si>
    <t>MO-RET-063 - General Characteristics Of The Plant.pdf</t>
  </si>
  <si>
    <t>MO-RET-067</t>
  </si>
  <si>
    <t>MO-RET-067 - Manual de Operação -Sistema de Medição de Níveis Montante e Jusante.pdf</t>
  </si>
  <si>
    <t>MO-RET-067 - Upstream And Downstream Level Measurement System.pdf</t>
  </si>
  <si>
    <t>MO-RET-081</t>
  </si>
  <si>
    <t>MO-RET-081 - Manual de Operação do Sistema de Iluminação.pdf</t>
  </si>
  <si>
    <t>MO-RET-081 - Lighting System.pdf</t>
  </si>
  <si>
    <t>MO-ROS-001</t>
  </si>
  <si>
    <t>MO-ROS-001 - Manual de Operação da Turbina e Equipamentos Auxiliares.pdf</t>
  </si>
  <si>
    <t>MO-ROS-002</t>
  </si>
  <si>
    <t>MO-ROS-002 - Manual de Operação do Gerador e Equipamentos Auxiliares.pdf</t>
  </si>
  <si>
    <t>MO-ROS-006</t>
  </si>
  <si>
    <t>MO-ROS-006 - Manual de Operação do Transformador Elevador.pdf</t>
  </si>
  <si>
    <t>MO-ROS-014</t>
  </si>
  <si>
    <t>Manual de Operação do Sistema de Comunicação.pdf</t>
  </si>
  <si>
    <t>MO-ROS-014 - Manual de Operação do Sistema de Comunicação.pdf</t>
  </si>
  <si>
    <t>MO-ROS-017</t>
  </si>
  <si>
    <t>MO-ROS-017 - Manual de Operação do Sistema de Corrente Alternada.pdf</t>
  </si>
  <si>
    <t>MO-ROS-018</t>
  </si>
  <si>
    <t>MO-ROS-018 - Manual de Operação do Sistema de Excitação.pdf</t>
  </si>
  <si>
    <t>MO-ROS-019</t>
  </si>
  <si>
    <t>MO-ROS-019 - Manual de Operação do Sistema de Corrente Contínua.pdf</t>
  </si>
  <si>
    <t>MO-ROS-021</t>
  </si>
  <si>
    <t>MO-ROS-021 - Manual de Operação do Regulador de Velocidade Eletrônico e Mecânico.pdf</t>
  </si>
  <si>
    <t>MO-ROS-022</t>
  </si>
  <si>
    <t>Manual de Operação do Compressor.pdf</t>
  </si>
  <si>
    <t>MO-ROS-022 - Manual de Operação do Compressor.pdf</t>
  </si>
  <si>
    <t>MO-ROS-024</t>
  </si>
  <si>
    <t>Manual de Operação do Grupo Auxiliar de Emergência - GAE.pdf</t>
  </si>
  <si>
    <t>MO-ROS-024 - Manual de Operação do Grupo Auxiliar de Emergência - GAE.pdf</t>
  </si>
  <si>
    <t>MO-ROS-026</t>
  </si>
  <si>
    <t>MO-ROS-026 - Manual de Operação do Sistema de Drenagem e Esgotamento.pdf</t>
  </si>
  <si>
    <t>MO-ROS-028</t>
  </si>
  <si>
    <t>MO-ROS-028 - Manual de Operação do Stop Log.pdf</t>
  </si>
  <si>
    <t>MO-ROS-029</t>
  </si>
  <si>
    <t>Manual de Operação da Grade da Tomada D'água.pdf</t>
  </si>
  <si>
    <t>MO-ROS-029 - Manual de Operação da Grade da Tomada D'água.pdf</t>
  </si>
  <si>
    <t>MO-ROS-030</t>
  </si>
  <si>
    <t>Manual de Operação do Pórtico de Montante e Jusante.pdf</t>
  </si>
  <si>
    <t>MO-ROS-030 - Manual de Operação do Pórtico de Montante e Jusante.pdf</t>
  </si>
  <si>
    <t>MO-ROS-031</t>
  </si>
  <si>
    <t>MO-ROS-031 - Manual de Operação da Ponte Rolante Principal.pdf</t>
  </si>
  <si>
    <t>MO-ROS-032</t>
  </si>
  <si>
    <t>Manual de Operação da Ponte Rolante Auxiliar.pdf</t>
  </si>
  <si>
    <t>MO-ROS-032 - Manual de Operação da Ponte Rolante Auxiliar.pdf</t>
  </si>
  <si>
    <t>MO-ROS-058</t>
  </si>
  <si>
    <t>MO-ROS-058 - Manual de Operação do Sistema de Ventilação.pdf</t>
  </si>
  <si>
    <t>MO-ROS-060</t>
  </si>
  <si>
    <t>MO-ROS-060 - Manual de Operação do Sistema de Combate a Incêndio</t>
  </si>
  <si>
    <t>MO-ROS-061</t>
  </si>
  <si>
    <t>Manual de Operação das Comportas do Vertedouro.pdf</t>
  </si>
  <si>
    <t>MO-ROS-061 - Manual de Operação das Comportas do Vertedouro.pdf</t>
  </si>
  <si>
    <t>MO-ROS-062</t>
  </si>
  <si>
    <t>MO-ROS-062 - Manual de Operação da Comporta de Emergência.pdf</t>
  </si>
  <si>
    <t>MO-STO-006</t>
  </si>
  <si>
    <t>Manual de operação do Transformador Elevador</t>
  </si>
  <si>
    <t>MO-STO-006_V.00 - Manual de operação do Transformador Elevador</t>
  </si>
  <si>
    <t>MO-STO-006_V.00 - Operation Manual of Step-up Transformer</t>
  </si>
  <si>
    <t>MO-STO-013</t>
  </si>
  <si>
    <t>Manual de Operação do Sistema Digital de Supervisão e Comando - SDSC</t>
  </si>
  <si>
    <t>MO-STO-013_V.00 - Manual de Operação do Sistema Digital de Supervisão e Comando - SDSC</t>
  </si>
  <si>
    <t>MO-STO-013_V.00 - Operation Manual of Digital Supervision and Command System - SDSC</t>
  </si>
  <si>
    <t>MO-STO-015</t>
  </si>
  <si>
    <t>Manual de Operação do Sistema de Proteção das Unidades Geradoras</t>
  </si>
  <si>
    <t>MO-STO-015_V.00 - Manual de Operação do Sistema de Proteção das Unidades Geradoras</t>
  </si>
  <si>
    <t>MO-STO-015_V.00 - Operation Manual of the Protection System of the PU</t>
  </si>
  <si>
    <t>MO-STO-017</t>
  </si>
  <si>
    <t>MO-STO-017_V.00 - Manual de Operação do Sistema de Corrente Alternada</t>
  </si>
  <si>
    <t>MO-STO-017_V.00 - Operation  Manual of AC Auxiliary Services</t>
  </si>
  <si>
    <t>MO-STO-018</t>
  </si>
  <si>
    <t>MO-STO-018_V.00 - Manual de Operação do Sistema de Excitação</t>
  </si>
  <si>
    <t>MO-STO-018_V.00 - Operation  Manual Excitation System</t>
  </si>
  <si>
    <t>MO-STO-024</t>
  </si>
  <si>
    <t>MO-STO-024_V.00 - Manual de Operação do Gerador Auxiliar de Emergência - GAE</t>
  </si>
  <si>
    <t>MO-STO-024_V.00 - Emergency Auxiliary Generator Operating Manual – GAE</t>
  </si>
  <si>
    <t>MO-STO-026</t>
  </si>
  <si>
    <t>MO-STO-026_V.00 - Manual de Operação do Sistema de Drenagem e Esgotamento</t>
  </si>
  <si>
    <t>MO-STO-026_V.00 - Operation  Manual Drainage and Saewage System</t>
  </si>
  <si>
    <t>MO-STO-028</t>
  </si>
  <si>
    <t>MO-STO-028_V.00 - Manual de Operação do Stop Log</t>
  </si>
  <si>
    <t>MO-STO-028_V.00 - Operation Manual of Stop Log</t>
  </si>
  <si>
    <t>056</t>
  </si>
  <si>
    <t>MO-STO-056</t>
  </si>
  <si>
    <t>Manual de Operação da Proteção de Barra</t>
  </si>
  <si>
    <t>MO-STO-056_V.00 - Manual de Operação da Proteção de Barra</t>
  </si>
  <si>
    <t>MO-STO-056_V.00 - Operation Manual Busbar Protection</t>
  </si>
  <si>
    <t>058</t>
  </si>
  <si>
    <t>MO-STO-058</t>
  </si>
  <si>
    <t>MO-STO-058 _V.00 - Manual de Operação do Sistema de Ventilação</t>
  </si>
  <si>
    <t>Ventilation System Operation Manual</t>
  </si>
  <si>
    <t>MO-TAQ-001</t>
  </si>
  <si>
    <t>MO-TAQ-001 - Manual de Operação da Turbina e Equipamentos Auxiliares.pdf</t>
  </si>
  <si>
    <t>MO-TAQ-002</t>
  </si>
  <si>
    <t>MO-TAQ-002 - Manual de Operação do Gerador e Equipamentos Auxiliares.pdf</t>
  </si>
  <si>
    <t>MO-TAQ-006</t>
  </si>
  <si>
    <t>MO-TAQ-006 - Manual de Operação do Transformador Elevador.pdf</t>
  </si>
  <si>
    <t>MO-TAQ-008</t>
  </si>
  <si>
    <t>MO-TAQ-008 - Manual de Operação dos Equipamentos de Alta Tensão.pdf</t>
  </si>
  <si>
    <t>MO-TAQ-014</t>
  </si>
  <si>
    <t>MO-TAQ-014 - Manual de Operação do Sistema de Comunicação.pdf</t>
  </si>
  <si>
    <t>MO-TAQ-017</t>
  </si>
  <si>
    <t>MO-TAQ-017- Manual de Operação do Sistema de Corrente Alternada.pdf</t>
  </si>
  <si>
    <t>MO-TAQ-018</t>
  </si>
  <si>
    <t>MO-TAQ-018 - Manual de Operação do Sistema de Excitação.pdf</t>
  </si>
  <si>
    <t>MO-TAQ-019</t>
  </si>
  <si>
    <t>MO-TAQ-019 - Manual de Operação do Sistema de Corrente Contínua.pdf</t>
  </si>
  <si>
    <t>MO-TAQ-021</t>
  </si>
  <si>
    <t>MO-TAQ-021 - Manual de Operação do Regulador de Velocidade Eletrônico e Mecânico.pdf</t>
  </si>
  <si>
    <t>MO-TAQ-022</t>
  </si>
  <si>
    <t>MO-TAQ-022 - Manual de Operação do Compressor.pdf</t>
  </si>
  <si>
    <t>MO-TAQ-024</t>
  </si>
  <si>
    <t>MO-TAQ-024 - Manual de Operação do Gerador Auxiliar de Emergência - GAE.pdf</t>
  </si>
  <si>
    <t>MO-TAQ-026</t>
  </si>
  <si>
    <t>MO-TAQ-026 - Manual de Operação do Sistema de Drenagem e Esgotamento.pdf</t>
  </si>
  <si>
    <t>MO-TAQ-028</t>
  </si>
  <si>
    <t>MO-TAQ-028 - Manual de Operação do Stop Log.pdf</t>
  </si>
  <si>
    <t>MO-TAQ-028.01</t>
  </si>
  <si>
    <t>Manual de Operação do Stop Log. Montante.pdf</t>
  </si>
  <si>
    <t>MO-TAQ-028.01 - Manual de Operação do Stop Log. Montante.pdf</t>
  </si>
  <si>
    <t>MO-TAQ-029</t>
  </si>
  <si>
    <t>MO-TAQ-029 - Manual de Operação das Grades da Tomada D'água.pdf</t>
  </si>
  <si>
    <t>MO-TAQ-030</t>
  </si>
  <si>
    <t>MO-TAQ-030 - Manual de Operação do Pórtico de Montante.pdf</t>
  </si>
  <si>
    <t>MO-TAQ-031</t>
  </si>
  <si>
    <t>MO-TAQ-031 - Manual de Operação da Ponte Rolante Principal.pdf</t>
  </si>
  <si>
    <t>032</t>
  </si>
  <si>
    <t>MO-TAQ-032</t>
  </si>
  <si>
    <t>MO-TAQ-032 - Manual de Operação da Ponte Rolante Auxiliar.pdf</t>
  </si>
  <si>
    <t>MO-TAQ-058</t>
  </si>
  <si>
    <t>MO-TAQ-058 - Manual de Operação do Sistema de Ventilação.pdf</t>
  </si>
  <si>
    <t>MO-TAQ-060</t>
  </si>
  <si>
    <t>MO-TAQ-060 - Manual de Operação do Sistema de Combate a Incêndio</t>
  </si>
  <si>
    <t>MO-TAQ-061</t>
  </si>
  <si>
    <t>Manual de Operação da Comporta de Vertedouro.pdf</t>
  </si>
  <si>
    <t>MO-TAQ-061 - Manual de Operação da Comporta de Vertedouro.pdf</t>
  </si>
  <si>
    <t>MO-TAQ-062</t>
  </si>
  <si>
    <t>MO-TAQ-062 - Manual de Operação da Comporta de Emergência.pdf</t>
  </si>
  <si>
    <t xml:space="preserve">NOMEAÇÃO </t>
  </si>
  <si>
    <t>Nº</t>
  </si>
  <si>
    <t>CATEGORIA</t>
  </si>
  <si>
    <t>Atividades antes e depois da MPP</t>
  </si>
  <si>
    <t>Activities before and after MPPs</t>
  </si>
  <si>
    <t xml:space="preserve">Turbine and its  Auxiliary Equipment </t>
  </si>
  <si>
    <t xml:space="preserve">Generator Mechanical Part </t>
  </si>
  <si>
    <t xml:space="preserve">Generator Electric Parts </t>
  </si>
  <si>
    <t xml:space="preserve">Generating Unit Auxiliary Control System </t>
  </si>
  <si>
    <t xml:space="preserve">Generator Output Busbar and Its Accessories </t>
  </si>
  <si>
    <t xml:space="preserve">Step-up Transformer </t>
  </si>
  <si>
    <t xml:space="preserve">Dry-type Transformer  </t>
  </si>
  <si>
    <t xml:space="preserve">High Voltage Equipment </t>
  </si>
  <si>
    <t xml:space="preserve">Medium Voltage Switch Cabinet </t>
  </si>
  <si>
    <t xml:space="preserve">Low Voltage Switch Cabinet </t>
  </si>
  <si>
    <t xml:space="preserve">Power Cable Up to 35kV </t>
  </si>
  <si>
    <t>SCADA computer</t>
  </si>
  <si>
    <t xml:space="preserve">Local Control Unit </t>
  </si>
  <si>
    <t>Sistema de Telecomunicação</t>
  </si>
  <si>
    <t>Telecommunication system</t>
  </si>
  <si>
    <t xml:space="preserve">Generation Unit Protection </t>
  </si>
  <si>
    <t>Proteção disjuntores de alta tensão</t>
  </si>
  <si>
    <t>High Voltage Circuit Breaker protection</t>
  </si>
  <si>
    <t xml:space="preserve">Auxiliary Power System protection </t>
  </si>
  <si>
    <t xml:space="preserve">Excitation System </t>
  </si>
  <si>
    <t xml:space="preserve">Direct Current System </t>
  </si>
  <si>
    <t>Speed Governor System  – Mechanical Part</t>
  </si>
  <si>
    <t>Speed Governor System  - Electrical Part</t>
  </si>
  <si>
    <t>Compressed air system</t>
  </si>
  <si>
    <t xml:space="preserve">Cooling Water System  </t>
  </si>
  <si>
    <t>Gerador Diesel</t>
  </si>
  <si>
    <t xml:space="preserve">Diesel Generator </t>
  </si>
  <si>
    <t xml:space="preserve">Billing Measurement System </t>
  </si>
  <si>
    <t xml:space="preserve">Drainage and Dewatering System </t>
  </si>
  <si>
    <t>Oil-water separator</t>
  </si>
  <si>
    <t>Stoplog</t>
  </si>
  <si>
    <t>Trash Rack</t>
  </si>
  <si>
    <t>Upstream Gantry Crane</t>
  </si>
  <si>
    <t xml:space="preserve">Main Bridge Crane </t>
  </si>
  <si>
    <t>Auxiliary Bridge Crane</t>
  </si>
  <si>
    <t xml:space="preserve">Elevator </t>
  </si>
  <si>
    <t>Estrutura  armazenamento óleo</t>
  </si>
  <si>
    <t>Oil Storage Structure</t>
  </si>
  <si>
    <t xml:space="preserve">Conduto forçado </t>
  </si>
  <si>
    <t>Penstock</t>
  </si>
  <si>
    <t>Padrões Técnicos</t>
  </si>
  <si>
    <t>Technical standard</t>
  </si>
  <si>
    <t>Lighting and electrical socket system</t>
  </si>
  <si>
    <t>Lightning Protection system</t>
  </si>
  <si>
    <t>Cabo de alimentação de 138kV</t>
  </si>
  <si>
    <t xml:space="preserve">138kV Power Cable </t>
  </si>
  <si>
    <t xml:space="preserve">35kV and below oil-immersed transformers </t>
  </si>
  <si>
    <t>Reator imerso a óleo</t>
  </si>
  <si>
    <t xml:space="preserve">Oil-immersed Reactor </t>
  </si>
  <si>
    <t>Linha de transmissão aérea</t>
  </si>
  <si>
    <t xml:space="preserve">Overhead Transmission Line  </t>
  </si>
  <si>
    <t xml:space="preserve">Fault Recording Device </t>
  </si>
  <si>
    <t>Proteção da Barra de Alta Tensão</t>
  </si>
  <si>
    <t xml:space="preserve">High Voltage Busbar Protection </t>
  </si>
  <si>
    <t>Proteção de Linha de Transmissão</t>
  </si>
  <si>
    <t xml:space="preserve">transmission line protection </t>
  </si>
  <si>
    <t xml:space="preserve">Ventilation System </t>
  </si>
  <si>
    <t>Sistema CFTV</t>
  </si>
  <si>
    <t xml:space="preserve">CCTV System </t>
  </si>
  <si>
    <t xml:space="preserve">Firefighting System </t>
  </si>
  <si>
    <t>Spillway Gate</t>
  </si>
  <si>
    <t xml:space="preserve">Emergency Gate </t>
  </si>
  <si>
    <t>Downstream gantry crane</t>
  </si>
  <si>
    <t>Válvula Borboleta</t>
  </si>
  <si>
    <t xml:space="preserve">Butterfly Valve </t>
  </si>
  <si>
    <t>Comporta Emergência - Un.Hidraulica</t>
  </si>
  <si>
    <t>Hydraulic Hoist - Emergency gate</t>
  </si>
  <si>
    <t>Comporta Vertedouro - Um. Hidraulica</t>
  </si>
  <si>
    <t>Hydraulic Hoist Spillway gate</t>
  </si>
  <si>
    <t>Guincho</t>
  </si>
  <si>
    <t xml:space="preserve">Winch </t>
  </si>
  <si>
    <t>Sistema Corrente</t>
  </si>
  <si>
    <t xml:space="preserve">Chain System </t>
  </si>
  <si>
    <t>Limpa Grades</t>
  </si>
  <si>
    <t xml:space="preserve">Trash racker Machine </t>
  </si>
  <si>
    <t>Sistema Manutenção Preditiva</t>
  </si>
  <si>
    <t>Predictive Maintenance System</t>
  </si>
  <si>
    <t xml:space="preserve">Barco/Rebocador </t>
  </si>
  <si>
    <t xml:space="preserve">Boat/tugboat </t>
  </si>
  <si>
    <t>Sistema de iluminação</t>
  </si>
  <si>
    <t>Lightining system</t>
  </si>
  <si>
    <t>Mexilhão Dourado</t>
  </si>
  <si>
    <t>Golden Mussel</t>
  </si>
  <si>
    <t>Drinking water system</t>
  </si>
  <si>
    <t>Tratamento de esgoto</t>
  </si>
  <si>
    <t>Sewage treatment</t>
  </si>
  <si>
    <t>Eclusa</t>
  </si>
  <si>
    <t xml:space="preserve"> Ship lock</t>
  </si>
  <si>
    <t>Tablet chlorine system</t>
  </si>
  <si>
    <t xml:space="preserve">Dispositivo de Içamento </t>
  </si>
  <si>
    <t>Lifting Device</t>
  </si>
  <si>
    <t xml:space="preserve">Sistema de Medições Hidraulicas </t>
  </si>
  <si>
    <t>Hydraulic Measurement System</t>
  </si>
  <si>
    <t>Painel Fotovoltáico</t>
  </si>
  <si>
    <t>Photovoltaic panels</t>
  </si>
  <si>
    <t>Tracker</t>
  </si>
  <si>
    <t>Inversor</t>
  </si>
  <si>
    <t>Estação de Transformação</t>
  </si>
  <si>
    <t>Transformer station</t>
  </si>
  <si>
    <t>Proteção Elétrica</t>
  </si>
  <si>
    <t>Electrical Protection</t>
  </si>
  <si>
    <t xml:space="preserve"> Diesel Generator </t>
  </si>
  <si>
    <t>Sistema de iluminação e pontos de tomada</t>
  </si>
  <si>
    <t>Lighting system and socket points</t>
  </si>
  <si>
    <t>Sistema de Proteção Contra Descargas Atmosféricas (SPDA)</t>
  </si>
  <si>
    <t>Protection system against atmospheric discharges</t>
  </si>
  <si>
    <t>Sistema_CFTV</t>
  </si>
  <si>
    <t>Pás</t>
  </si>
  <si>
    <t>Blades</t>
  </si>
  <si>
    <t>Gerador - Parte Elétrica</t>
  </si>
  <si>
    <t>Generator - Electrical parts</t>
  </si>
  <si>
    <t>Sistema separador de agua-óleo</t>
  </si>
  <si>
    <t>Oil-water Separator</t>
  </si>
  <si>
    <t>Torre do Aerogerador</t>
  </si>
  <si>
    <t>WTG Tower</t>
  </si>
  <si>
    <t>Nacelle</t>
  </si>
  <si>
    <t>Multiplicador de velocidade</t>
  </si>
  <si>
    <t>Gearbox</t>
  </si>
  <si>
    <t>Sistema posicionamento Pás</t>
  </si>
  <si>
    <t>Blade pitch system</t>
  </si>
  <si>
    <t>Sistema posicionamento Nacelle</t>
  </si>
  <si>
    <t>Yaw system</t>
  </si>
  <si>
    <t xml:space="preserve">CONTROLE DE MANUAIS </t>
  </si>
  <si>
    <t>NUMERO</t>
  </si>
  <si>
    <t>STATUS</t>
  </si>
  <si>
    <t xml:space="preserve">ARQUIVO </t>
  </si>
  <si>
    <t xml:space="preserve">Manual de Operação </t>
  </si>
  <si>
    <t>MO-CHV-010</t>
  </si>
  <si>
    <t>Relação de Alarmes e Providências</t>
  </si>
  <si>
    <t>MO-CHV-020</t>
  </si>
  <si>
    <t>Manual de Partida e Parada UG1</t>
  </si>
  <si>
    <t>Manual de Partida e Parada UG2</t>
  </si>
  <si>
    <t>Manual de Partida e Parada UG3</t>
  </si>
  <si>
    <t>Manual de Partida e Parada UG4</t>
  </si>
  <si>
    <t>MO-CHV-030</t>
  </si>
  <si>
    <t>Manual de Operação GAE</t>
  </si>
  <si>
    <t>MO-CHV-040</t>
  </si>
  <si>
    <t>Manual de Manobras nos Sistemas Hidráulicos</t>
  </si>
  <si>
    <t>MO-CNOI-001</t>
  </si>
  <si>
    <t>CNO I</t>
  </si>
  <si>
    <t>MO-CNOI-010</t>
  </si>
  <si>
    <t>MO-CNOI-020</t>
  </si>
  <si>
    <t xml:space="preserve">Manual de Partida e Parada </t>
  </si>
  <si>
    <t>MO-CNOII-001</t>
  </si>
  <si>
    <t>CNO II</t>
  </si>
  <si>
    <t>MO-CNOII-010</t>
  </si>
  <si>
    <t>MO-CNOII-020</t>
  </si>
  <si>
    <t>MO-CPV-010</t>
  </si>
  <si>
    <t xml:space="preserve">Em Revisão </t>
  </si>
  <si>
    <t>MO-CPV-020</t>
  </si>
  <si>
    <t>MO-CPV-050</t>
  </si>
  <si>
    <t>Manual Transformadores Volume 1</t>
  </si>
  <si>
    <t>Manual Transformadores Volume 2</t>
  </si>
  <si>
    <t>Manual Transformadores Volume 3</t>
  </si>
  <si>
    <t>MO-CPV-080</t>
  </si>
  <si>
    <t>Procedimento para Isolar tubulações agua resfriamento</t>
  </si>
  <si>
    <t>MO-CPV-100</t>
  </si>
  <si>
    <t>Procedimento Op. fechamento seccionadoras</t>
  </si>
  <si>
    <t>MO-CTG-080</t>
  </si>
  <si>
    <t>ENG</t>
  </si>
  <si>
    <t>Anexo II - Uso do coletor de dados</t>
  </si>
  <si>
    <t>Anexo I - Manual Pratico Sistema MDM</t>
  </si>
  <si>
    <t>Manual de Uso Sistema MDM</t>
  </si>
  <si>
    <t>MO-JUR-010</t>
  </si>
  <si>
    <t xml:space="preserve">Relação de Alarmes e Providências </t>
  </si>
  <si>
    <t>MO-JUR-020</t>
  </si>
  <si>
    <t>MO-JUR-030</t>
  </si>
  <si>
    <t>MO-JUR-040</t>
  </si>
  <si>
    <t>MO-JUR-080</t>
  </si>
  <si>
    <t>MO-JUR-100</t>
  </si>
  <si>
    <t>MO-PLM-010</t>
  </si>
  <si>
    <t>MO-PLM-020</t>
  </si>
  <si>
    <t xml:space="preserve">Manual de Parada </t>
  </si>
  <si>
    <t>Manual de Partida</t>
  </si>
  <si>
    <t>MO-PLM-040</t>
  </si>
  <si>
    <t>MO-RET-010</t>
  </si>
  <si>
    <t>MO-RET-020</t>
  </si>
  <si>
    <t>MO-RET-040</t>
  </si>
  <si>
    <t>MO-ROS-010</t>
  </si>
  <si>
    <t>MO-ROS-020</t>
  </si>
  <si>
    <t xml:space="preserve">MO-ROS-060  </t>
  </si>
  <si>
    <t>Manual de Manobras nos Sistemas Hidraulicos RV</t>
  </si>
  <si>
    <t>MO-SAG-020</t>
  </si>
  <si>
    <t>MO-CNOI-080</t>
  </si>
  <si>
    <t>MO-CNOII-080</t>
  </si>
  <si>
    <t>MO-SAG-080</t>
  </si>
  <si>
    <t>MO-TAQ-020</t>
  </si>
  <si>
    <t>MO-TAQ-080</t>
  </si>
  <si>
    <t>MO-TAQ-100</t>
  </si>
  <si>
    <t>MO-XXX-080</t>
  </si>
  <si>
    <t>XXX</t>
  </si>
  <si>
    <t>Desenvolvimento</t>
  </si>
  <si>
    <t>MO-XXX-090</t>
  </si>
  <si>
    <t>Procedimento de Black Start</t>
  </si>
  <si>
    <t>MO-XXX-100</t>
  </si>
  <si>
    <t>MO-PLM-080</t>
  </si>
  <si>
    <t>MO-PLM-100</t>
  </si>
  <si>
    <t>MO-RET-080</t>
  </si>
  <si>
    <t>MO-RET-100</t>
  </si>
  <si>
    <t xml:space="preserve">Legenda - Falta para vencer </t>
  </si>
  <si>
    <t>3 anos</t>
  </si>
  <si>
    <t>tempo</t>
  </si>
  <si>
    <t>status</t>
  </si>
  <si>
    <t>1 Ano</t>
  </si>
  <si>
    <t>Comunicado</t>
  </si>
  <si>
    <t>6 meses</t>
  </si>
  <si>
    <t xml:space="preserve">Aviso </t>
  </si>
  <si>
    <t>3 meses</t>
  </si>
  <si>
    <t>MM-ILS-006.16</t>
  </si>
  <si>
    <t>Movimentação dos Transformadores elevadores WEG 
UHE Ilha Solteira</t>
  </si>
  <si>
    <t>MM-ILS-008.20</t>
  </si>
  <si>
    <t>Retirada do bloco de acionamento do disjuntor 3AP2 FI- 550kV </t>
  </si>
  <si>
    <t xml:space="preserve">DESENVOLVIMENTO </t>
  </si>
  <si>
    <t>MM-GAR-006.06</t>
  </si>
  <si>
    <t>MM-GAR-006.07</t>
  </si>
  <si>
    <t>Manutenção Preventiva nos Transformadores Elevadores MPP0</t>
  </si>
  <si>
    <t>Manutenção Preventiva nos Transformadores Elevadores MPP1</t>
  </si>
  <si>
    <t xml:space="preserve">Manutenção Ar Condicionado </t>
  </si>
  <si>
    <t>GM-COG-89_Manutenção Ar Condicionado</t>
  </si>
  <si>
    <t>MM-COG-089.00</t>
  </si>
  <si>
    <t>MM-STO-008.02</t>
  </si>
  <si>
    <t>Ensaio de Termovisão em Equipamentos de Alta e Baixa Tensão</t>
  </si>
  <si>
    <t>MM-CPV-006.02</t>
  </si>
  <si>
    <t>Manutenção Preventiva Periódica Tipo 2 em Transformadores Elevadores</t>
  </si>
  <si>
    <t>MM-ILS-025.01</t>
  </si>
  <si>
    <t>Alteração no sistema de medição de corrente dos medidores de energia do SMF (3 para 2 TCs)</t>
  </si>
  <si>
    <t>IM-ENG-404</t>
  </si>
  <si>
    <t>Nomenclatura Padrão para Turbinas Hidráulicas</t>
  </si>
  <si>
    <t>Standard Nomenclature of Hydraulic Turbine</t>
  </si>
  <si>
    <t xml:space="preserve">Manutenção Complementar Preventiva Tipo 0 </t>
  </si>
  <si>
    <t>MM-CPV-033.01</t>
  </si>
  <si>
    <t>MM-CPV-033.02</t>
  </si>
  <si>
    <t>Manutenção Complementar Preventiva Tipo 1</t>
  </si>
  <si>
    <t>Manutenção Complementar Preventiva Tipo 2</t>
  </si>
  <si>
    <t>IM-ENG-405</t>
  </si>
  <si>
    <t>Inspeção de Cavitação do Rotor da Turbina por ROV</t>
  </si>
  <si>
    <t>MM-ILS-003.13</t>
  </si>
  <si>
    <t>Ensaios em Geradores com os Equipamentos Megger S1-1568, Megger DLRO-200 e Baker AWAIV-12</t>
  </si>
  <si>
    <t>Control and Dispatch of Power Generation</t>
  </si>
  <si>
    <t>MM-JUP-029.01</t>
  </si>
  <si>
    <t>Inspeção embarcada com sonar nas Unidades Geradoras Principais</t>
  </si>
  <si>
    <t>Manutenção Corretiva na Iluminação Poste da Barragem de Terra</t>
  </si>
  <si>
    <t>Manutenção Corretiva na Iluminação Poste do Estacionamento</t>
  </si>
  <si>
    <t>Manutenção Corretiva na Iluminação Galeria dos Filtros</t>
  </si>
  <si>
    <t>Manutenção Corretiva na Iluminação Piso dos Transformadores</t>
  </si>
  <si>
    <t>Manutenção Corretiva na Iluminação Poste da Barragem de Concreto</t>
  </si>
  <si>
    <t>Manutenção Corretiva na Iluminação Tomada D'Água</t>
  </si>
  <si>
    <t>Manutenção Corretiva na Iluminação Torre Hall de Entrada</t>
  </si>
  <si>
    <t>Manutenção Corretiva na Iluminação Túnel</t>
  </si>
  <si>
    <t>MM-JUP-040.01</t>
  </si>
  <si>
    <t>MM-JUP-040.02</t>
  </si>
  <si>
    <t>MM-JUP-040.03</t>
  </si>
  <si>
    <t>MM-JUP-040.04</t>
  </si>
  <si>
    <t>MM-JUP-040.05</t>
  </si>
  <si>
    <t>MM-JUP-040.06</t>
  </si>
  <si>
    <t>MM-JUP-040.07</t>
  </si>
  <si>
    <t>MM-JUP-040.08</t>
  </si>
  <si>
    <t>Manutenção Complementar Preventiva Tipo 1 no Sistema de Corrente Contínua</t>
  </si>
  <si>
    <t>Manutenção Complementar Preventiva Tipo 2 no Sistema de Corrente Contínua</t>
  </si>
  <si>
    <t>MM-CN1-026.00</t>
  </si>
  <si>
    <t>MM-CN1-026.01</t>
  </si>
  <si>
    <t>Manutenção preventiva em sistemas de drenagem e esgoto – MCP0</t>
  </si>
  <si>
    <t>Manutenção preventiva em sistemas de drenagem e esgoto – MCP1</t>
  </si>
  <si>
    <t>MM-STO-018.00</t>
  </si>
  <si>
    <t xml:space="preserve">Substituição do PLC </t>
  </si>
  <si>
    <t>IM-ENG-264</t>
  </si>
  <si>
    <t>Instrução Desativação/Remoção de Painéis Elétricos</t>
  </si>
  <si>
    <t>MM-JUP-000.01</t>
  </si>
  <si>
    <t>MM-JUP-000.02</t>
  </si>
  <si>
    <t>Fechamento e Esgotamento da Unidade Geradora Durante MPP</t>
  </si>
  <si>
    <t>Enchimento da Unidade Geradora Durante MPP</t>
  </si>
  <si>
    <t xml:space="preserve">publicado </t>
  </si>
  <si>
    <t>Manual de Manutenção de MCP0 do pórtico de 45 ton</t>
  </si>
  <si>
    <t>Manual de Manutenção de MCP1 do pórtico de 45 ton</t>
  </si>
  <si>
    <t>MM-ILS-030.00</t>
  </si>
  <si>
    <t>MM-ILS-030.01</t>
  </si>
  <si>
    <t>MM-ILS-001.13</t>
  </si>
  <si>
    <t>Inspeção Trimestral das Válvulas By-Pass da Comporta e Escotilhas da Caixa Espiral</t>
  </si>
  <si>
    <t>MM-ILS-001.14</t>
  </si>
  <si>
    <t>Manual de Inspeção na Vedação do Eixo e Buchas Intermediarias</t>
  </si>
  <si>
    <t>MM-ILS-001.15</t>
  </si>
  <si>
    <t>Manual de Montagem_Desmontagem do Servo Motor - Distribuidor</t>
  </si>
  <si>
    <t>MM-ILS-062.01</t>
  </si>
  <si>
    <t>Manual de Montagem_Desmontagem do Servo Motor - Comporta de Emergência</t>
  </si>
  <si>
    <t>MM-ILS-022.03</t>
  </si>
  <si>
    <t>MM-ILS-022.04</t>
  </si>
  <si>
    <t>MM-ILS-022.05</t>
  </si>
  <si>
    <t>MM-ILS-022.06</t>
  </si>
  <si>
    <t>Manual de Manutenção Inspeção de NR 13 Vaso Pressão Sistema de Ar de Serviço Gerais</t>
  </si>
  <si>
    <t>Manual de Manutenção Inspeção de NR 13 Vaso Pressão Sistema de Frenagem</t>
  </si>
  <si>
    <t>Manual de Manutenção Inspeção de NR 13 Vaso Pressão Sistema de Rebaixamento</t>
  </si>
  <si>
    <t xml:space="preserve"> Manual de Manutenção Inspeção de NR 13 Vaso Pressão Sistema de Regulação</t>
  </si>
  <si>
    <t>MM-ILS-062.02</t>
  </si>
  <si>
    <t>Manual de Manutenção (MPP0) nas Comportas de Emergência</t>
  </si>
  <si>
    <t>MM-ILS-062.03</t>
  </si>
  <si>
    <t>Manual de Manutenção (MPP1) nas Comportas de Emergência</t>
  </si>
  <si>
    <t>MM-ILS-024.04</t>
  </si>
  <si>
    <t>Manual de Manutenção Trimestral GAE COG</t>
  </si>
  <si>
    <t>Grupo Geradores Diesel Semestral</t>
  </si>
  <si>
    <t>Grupos Geradores Diesel Mensal</t>
  </si>
  <si>
    <t>MM-ILS-024.05</t>
  </si>
  <si>
    <t>Manual de Manutenção Anual GAE COG</t>
  </si>
  <si>
    <t>MM-ILS-001.16</t>
  </si>
  <si>
    <t>Manual de Manutenção e Operação da Separadora Centrifuga ALFA LAVAL</t>
  </si>
  <si>
    <t>MM-ILS-001.17</t>
  </si>
  <si>
    <t>MM-ILS-001.18</t>
  </si>
  <si>
    <t>Manual de Manutenção e Operação da termovácuo PURILUB</t>
  </si>
  <si>
    <t>Manual de Manutenção e Operação da termovácuo FAM 45</t>
  </si>
  <si>
    <t>MM-ILS-022.07</t>
  </si>
  <si>
    <t>MM-ILS-022.08</t>
  </si>
  <si>
    <t>MM-ILS-022.09</t>
  </si>
  <si>
    <t>Manutenção Quadrimestral Compressor Atlas Copco-GA</t>
  </si>
  <si>
    <t>Manutenção Quadrimestral Compressor Kaeser</t>
  </si>
  <si>
    <t>Manutenção Anual Compressor Atlas Copco - GA</t>
  </si>
  <si>
    <t>MM-ILS-022.10</t>
  </si>
  <si>
    <t>Manutenção Anual Compressor Kaeser</t>
  </si>
  <si>
    <t>MM-ILS-022.11</t>
  </si>
  <si>
    <t>MM-ILS-022.12</t>
  </si>
  <si>
    <t>Manutenção Compressor do sistema de rebaixamento - CPSRs (Atlas)</t>
  </si>
  <si>
    <t>Manutenção dos Compressores Sistema de Rebaixamento - CPSRs (Chicago)</t>
  </si>
  <si>
    <t>MM-ILS-060.04</t>
  </si>
  <si>
    <t>Manutenção Sistema Anti-incêndio (Hidrantes)</t>
  </si>
  <si>
    <t>MM-ILS-001.19</t>
  </si>
  <si>
    <t>MM-ILS-001.20</t>
  </si>
  <si>
    <t>Manual de Instalação-Retirada Stop-log Jusante</t>
  </si>
  <si>
    <t>Manual de Instalação-Retirada Stop-Log Montante</t>
  </si>
  <si>
    <t>MM-ILS-061.02</t>
  </si>
  <si>
    <t>Manual Inspeção e Instalação Stop Log Flutuante</t>
  </si>
  <si>
    <t>MM-JUP-001.00</t>
  </si>
  <si>
    <t>MM-ILS-024.06</t>
  </si>
  <si>
    <t>manutenção complementar preventiva em grupo de geradores a diesel</t>
  </si>
  <si>
    <t>MM-ILS-003.14</t>
  </si>
  <si>
    <t>Manutenção e Inspeção em Geradores</t>
  </si>
  <si>
    <t>MM-SAG-026.08</t>
  </si>
  <si>
    <t>Esvaziamento e Enchimento das UG's</t>
  </si>
  <si>
    <t>MM-CPV-004.01</t>
  </si>
  <si>
    <t>MM-CPV-004.02</t>
  </si>
  <si>
    <t>MM-CPV-004.03</t>
  </si>
  <si>
    <t>MM-CPV-004.04</t>
  </si>
  <si>
    <t>MM-CPV-004.05</t>
  </si>
  <si>
    <t>MM-CPV-004.06</t>
  </si>
  <si>
    <t>MM-CPV-004.07</t>
  </si>
  <si>
    <t>MM-CPV-004.08</t>
  </si>
  <si>
    <t>MM-CPV-004.09</t>
  </si>
  <si>
    <t>MPP2 Centro de Comando de Motores - CCM</t>
  </si>
  <si>
    <t>MPP2 Paineis QCL X.1</t>
  </si>
  <si>
    <t>MPP2 Paineis QCL X.2</t>
  </si>
  <si>
    <t>MPP2 Paineis QCL X.3</t>
  </si>
  <si>
    <t>MPP2 Paineis QCL X.4</t>
  </si>
  <si>
    <t>MPP2 Paineis PCAI</t>
  </si>
  <si>
    <t>MPP2 Paineis de Sensores de Vazamento - Trocadores de Calor</t>
  </si>
  <si>
    <t>MPP2 Paineis de Terminais dos Pinos de Ruptura</t>
  </si>
  <si>
    <t>MM-ROS-003.03</t>
  </si>
  <si>
    <t>MPP0 Gerador partes elétricas com APR</t>
  </si>
  <si>
    <t>MM-ROS-003.04</t>
  </si>
  <si>
    <t>MM-ROS-003.05</t>
  </si>
  <si>
    <t>MPP1 Gerador partes elétricas com APR</t>
  </si>
  <si>
    <t>MPP2 Gerador partes elétricas APR</t>
  </si>
  <si>
    <t>MM-ROS-003.06</t>
  </si>
  <si>
    <t>MM-ROS-005.01</t>
  </si>
  <si>
    <t>MM-ROS-005.00</t>
  </si>
  <si>
    <t>Barramento de saída do gerador e seus acessórios</t>
  </si>
  <si>
    <t>MM-ROS-005.02</t>
  </si>
  <si>
    <t>MM-ROS-011.01</t>
  </si>
  <si>
    <t>Manutenção Complementar Preventiva Tipo 1 Cabos de Potência</t>
  </si>
  <si>
    <t>MM-ROS-012.00</t>
  </si>
  <si>
    <t>Manutenção Complementar Preventiva Tipo 0 Estação de Operação</t>
  </si>
  <si>
    <t>MM-ROS-012.01</t>
  </si>
  <si>
    <t>Manutenção Preventiva Periodica Tipo 1 em Estação de Operação</t>
  </si>
  <si>
    <t>MM-ROS-013.00</t>
  </si>
  <si>
    <t>Manutenção Complementar Preventiva Tipo 0 Unidade de Aquisição e Controle (UAC)</t>
  </si>
  <si>
    <t>MM-ROS-018.00</t>
  </si>
  <si>
    <t>Manutenção Complementar Preventiva Tipo 0 Sistema de Excitação</t>
  </si>
  <si>
    <t>MM-ROS-018.01</t>
  </si>
  <si>
    <t>MPP1 Sistema de Excitação</t>
  </si>
  <si>
    <t>MM-ROS-021.00</t>
  </si>
  <si>
    <t>MM-ROS-021.01</t>
  </si>
  <si>
    <t>MPP0  Regulador de Velocidade - Parte elétrica</t>
  </si>
  <si>
    <t>MPP1  Regulador de Velocidade - Parte elétrica</t>
  </si>
  <si>
    <t>MM-ILS-009.05</t>
  </si>
  <si>
    <t>Instalação do relé de proteção ABB Relé RET-615 no Quadro QD</t>
  </si>
  <si>
    <t>MM-COG-012.01</t>
  </si>
  <si>
    <t>Manual de Manutenção SCADA H900</t>
  </si>
  <si>
    <t>MM-TAQ-011.00</t>
  </si>
  <si>
    <t>Manual de manutenção para Cabos de Potência até 35kV UHE Taquaruçu – MCP1</t>
  </si>
  <si>
    <t>MM-TAQ-011.01</t>
  </si>
  <si>
    <t>Manual de manutenção para Sistema de Proteção UHE Taquaruçu - MPPG</t>
  </si>
  <si>
    <t>MM-TAQ-015.01</t>
  </si>
  <si>
    <t>MM-TAQ-015.02</t>
  </si>
  <si>
    <t>MM-TAQ-015.03</t>
  </si>
  <si>
    <t>MM-TAQ-015.04</t>
  </si>
  <si>
    <t>Manual de manutenção para Sistema de Proteção UHE Taquaruçu – MPP0</t>
  </si>
  <si>
    <t>Manual de manutenção para Sistema de Proteção UHE Taquaruçu – MPP1</t>
  </si>
  <si>
    <t>MM-TAQ-019.00</t>
  </si>
  <si>
    <t>MM-TAQ-019.01</t>
  </si>
  <si>
    <t>MM-TAQ-019.02</t>
  </si>
  <si>
    <t>Manual de manutenção para Sistema de Corrente Contínua da UHE Taquaruçu – MCP2</t>
  </si>
  <si>
    <t>Manual de manutenção para Sistema de Corrente Contínua da UHE Taquaruçu – MCP1</t>
  </si>
  <si>
    <t>Manual de manutenção para Sistema de Corrente Contínua da UHE Taquaruçu – MCP0</t>
  </si>
  <si>
    <t>MM-CPV-006.03</t>
  </si>
  <si>
    <t>MPP2 Paineis de Terminal dos Freios +1MKA50 e MF</t>
  </si>
  <si>
    <t>Inspeção Periodica Gerador - Partes elétricas Substitui a anterior 087 Com APR</t>
  </si>
  <si>
    <t>Manual de manutenção para Sistema de Proteção UHE Taquaruçu - MPP2</t>
  </si>
  <si>
    <t>MPP1 em Transformadores Elevadores</t>
  </si>
  <si>
    <t>Turbina e seus equipamentos auxiliares das Unidades Geradoras</t>
  </si>
  <si>
    <t>MM-JUP-013.04</t>
  </si>
  <si>
    <t>MM-JUP-013.05</t>
  </si>
  <si>
    <t>MPP0_Unidade de Aquisição e Controle UG02-06</t>
  </si>
  <si>
    <t>MPP0_Unidade de Aquisição e Controle UGs Moderniza</t>
  </si>
  <si>
    <t>MM-JUP-017.02</t>
  </si>
  <si>
    <t>Ensaios do Sistema de Proteção do Serviço Auxiliar</t>
  </si>
  <si>
    <t xml:space="preserve"> Instructions for ROV cavitaton inspection of turbine runner</t>
  </si>
  <si>
    <t>MM-UHE-025.01</t>
  </si>
  <si>
    <t>MM-UHE-025.00</t>
  </si>
  <si>
    <t>Calibração dos medidores de energia do SMF utilizando o padrão de calibração PRS1-3</t>
  </si>
  <si>
    <t>Calibração dos medidores de energia do SMF utilizando o padrão de calibração PRS600-3_PRS400-3</t>
  </si>
  <si>
    <t>Gestão de Informativos OSCIP/ANEEL</t>
  </si>
  <si>
    <t>IM-ENG-406</t>
  </si>
  <si>
    <t>Management of OSCIP/ANEEL Information</t>
  </si>
  <si>
    <t xml:space="preserve">Data Vencimento </t>
  </si>
  <si>
    <t xml:space="preserve"> </t>
  </si>
  <si>
    <t>Data Publicação</t>
  </si>
  <si>
    <t xml:space="preserve">Area </t>
  </si>
  <si>
    <t>ÁREA</t>
  </si>
  <si>
    <t xml:space="preserve">ENGENHARIA CONFIABILIDADE E PERFORMANCE </t>
  </si>
  <si>
    <t xml:space="preserve">ENGENHARIA ELÉTRICA </t>
  </si>
  <si>
    <t xml:space="preserve">ENGENHARIA MECÂNICA </t>
  </si>
  <si>
    <t>Area</t>
  </si>
  <si>
    <t>Reposição de óleo lubrificante nos mancais guia inferior das Unidades geradoras principais.</t>
  </si>
  <si>
    <t>MM-JUP-001.01</t>
  </si>
  <si>
    <t>Manual para Limpeza dos Trocadores de Calor dos Mancais Combinado.</t>
  </si>
  <si>
    <t>MM-JUP-001.02</t>
  </si>
  <si>
    <t>MM-JUP-065.00</t>
  </si>
  <si>
    <t>Reposição de óleo lubrificante nas comportas de emergência das Unidades geradoras principais.</t>
  </si>
  <si>
    <t>MM-JUP-001.03</t>
  </si>
  <si>
    <t>Realizar retorno do óleo para o mancal combinado com as tubulações da PVQs.</t>
  </si>
  <si>
    <t>MM-JUP-034.00</t>
  </si>
  <si>
    <t>Manual de operação da unidade de filtragem Purilib.</t>
  </si>
  <si>
    <t>Manual de operação da unidade de filtragem e termovácuo FAM-45.</t>
  </si>
  <si>
    <t>Manual de operação da unidade de filtragem centrifuga.</t>
  </si>
  <si>
    <t>MM-JUP-034.01</t>
  </si>
  <si>
    <t>MM-JUP-034.02</t>
  </si>
  <si>
    <t>GM-CN1-56_Proteção de Barras</t>
  </si>
  <si>
    <t xml:space="preserve">ENGENHARIA </t>
  </si>
  <si>
    <t xml:space="preserve">Engenharia CAPEX </t>
  </si>
  <si>
    <t xml:space="preserve">Engenharia Eletromecânica </t>
  </si>
  <si>
    <t>GM-CHV-02_Gerador e Equipamentos Auxiliares - Parte Mecânica</t>
  </si>
  <si>
    <r>
      <rPr>
        <sz val="11"/>
        <color rgb="FF000000"/>
        <rFont val="Calibri"/>
        <family val="2"/>
        <scheme val="minor"/>
      </rPr>
      <t>GM-SAG-27_</t>
    </r>
    <r>
      <rPr>
        <sz val="11"/>
        <color rgb="FFFF0000"/>
        <rFont val="Calibri"/>
        <family val="2"/>
        <scheme val="minor"/>
      </rPr>
      <t>Sistema separador de óleo</t>
    </r>
  </si>
  <si>
    <r>
      <rPr>
        <sz val="11"/>
        <color rgb="FF000000"/>
        <rFont val="Calibri"/>
        <family val="2"/>
        <scheme val="minor"/>
      </rPr>
      <t>GM-CN1-24_</t>
    </r>
    <r>
      <rPr>
        <sz val="11"/>
        <color rgb="FFFF0000"/>
        <rFont val="Calibri"/>
        <family val="2"/>
        <scheme val="minor"/>
      </rPr>
      <t>Gerador Diesel</t>
    </r>
  </si>
  <si>
    <r>
      <rPr>
        <sz val="11"/>
        <color rgb="FF000000"/>
        <rFont val="Calibri"/>
        <family val="2"/>
        <scheme val="minor"/>
      </rPr>
      <t>GM-CN1-24_</t>
    </r>
    <r>
      <rPr>
        <sz val="11"/>
        <color rgb="FFFF0000"/>
        <rFont val="Calibri"/>
        <family val="2"/>
        <scheme val="minor"/>
      </rPr>
      <t>Diesel Generator</t>
    </r>
  </si>
  <si>
    <t>ENGENHARIA MECÂNICA</t>
  </si>
  <si>
    <t>RENOVÁVEIS</t>
  </si>
  <si>
    <t>Air Conditioning Maintenance</t>
  </si>
  <si>
    <t xml:space="preserve">Dias que falta para vencer </t>
  </si>
  <si>
    <t>c</t>
  </si>
  <si>
    <t>Segurança</t>
  </si>
  <si>
    <t>PRD-SST-004</t>
  </si>
  <si>
    <t>Gestão Equipamento e Ferramentas de Segurança</t>
  </si>
  <si>
    <t>Equipment Safety and Safety Tools Management</t>
  </si>
  <si>
    <t xml:space="preserve">PRD-SST-005 </t>
  </si>
  <si>
    <t>Expenses Management Code HSE</t>
  </si>
  <si>
    <t>Cód de Gerenciamento de Despesas de Saúde e Segurança</t>
  </si>
  <si>
    <t>IM-ENG-407</t>
  </si>
  <si>
    <t>Diretrizes para Inspeções com Drones</t>
  </si>
  <si>
    <t>Guidelines for Conducting Drone Inspections</t>
  </si>
  <si>
    <t>Visual Corona Testing on Stator Windings</t>
  </si>
  <si>
    <t>Power Factor Test in Hydro Generators</t>
  </si>
  <si>
    <t>Instruction for Electrical Panel Decommissioning and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</si>
</sst>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[$-416]mmm\ yyyy;@"/>
    <numFmt numFmtId="165" formatCode="00"/>
    <numFmt numFmtId="166" formatCode="00.0"/>
    <numFmt numFmtId="167" formatCode="000"/>
  </numFmts>
  <fonts count="4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TG Sans Bold"/>
      <family val="3"/>
    </font>
    <font>
      <sz val="11"/>
      <color theme="1"/>
      <name val="CTG Sans Bold"/>
      <family val="3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9"/>
      <color theme="1"/>
      <name val="CTG Sans Bold"/>
      <family val="3"/>
    </font>
    <font>
      <b/>
      <sz val="11"/>
      <color theme="3"/>
      <name val="Calibri"/>
      <family val="2"/>
      <scheme val="minor"/>
    </font>
    <font>
      <sz val="18"/>
      <color rgb="FF002060"/>
      <name val="CTG Sans Bold"/>
      <family val="3"/>
    </font>
    <font>
      <b/>
      <sz val="10"/>
      <color theme="3"/>
      <name val="Calibri"/>
      <family val="2"/>
    </font>
    <font>
      <b/>
      <sz val="12"/>
      <color theme="3"/>
      <name val="Calibri"/>
      <family val="2"/>
      <scheme val="minor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sz val="11"/>
      <color rgb="FF7030A0"/>
      <name val="Arial"/>
      <family val="2"/>
    </font>
    <font>
      <sz val="9"/>
      <color indexed="81"/>
      <name val="Segoe UI"/>
      <family val="2"/>
    </font>
    <font>
      <sz val="11"/>
      <color rgb="FF000000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TG Sans Bold"/>
      <family val="3"/>
    </font>
    <font>
      <sz val="1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25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7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7" fillId="5" borderId="1" xfId="0" applyFont="1" applyFill="1" applyBorder="1" applyAlignment="1">
      <alignment horizontal="center" vertical="center" wrapText="1"/>
    </xf>
    <xf numFmtId="0" fontId="0" fillId="5" borderId="0" xfId="0" applyFill="1"/>
    <xf numFmtId="164" fontId="1" fillId="6" borderId="1" xfId="0" applyNumberFormat="1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14" fillId="8" borderId="11" xfId="0" applyFont="1" applyFill="1" applyBorder="1" applyAlignment="1">
      <alignment vertical="center" wrapText="1"/>
    </xf>
    <xf numFmtId="0" fontId="14" fillId="8" borderId="2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14" fillId="8" borderId="0" xfId="0" applyFont="1" applyFill="1"/>
    <xf numFmtId="0" fontId="14" fillId="6" borderId="11" xfId="0" applyFont="1" applyFill="1" applyBorder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0" fontId="14" fillId="8" borderId="2" xfId="0" applyFont="1" applyFill="1" applyBorder="1"/>
    <xf numFmtId="0" fontId="14" fillId="8" borderId="13" xfId="0" applyFont="1" applyFill="1" applyBorder="1" applyAlignment="1">
      <alignment horizontal="center"/>
    </xf>
    <xf numFmtId="0" fontId="14" fillId="8" borderId="12" xfId="0" applyFont="1" applyFill="1" applyBorder="1" applyAlignment="1">
      <alignment horizontal="center"/>
    </xf>
    <xf numFmtId="0" fontId="14" fillId="8" borderId="12" xfId="0" applyFont="1" applyFill="1" applyBorder="1"/>
    <xf numFmtId="0" fontId="14" fillId="8" borderId="1" xfId="0" applyFont="1" applyFill="1" applyBorder="1" applyAlignment="1">
      <alignment horizontal="center" vertical="center" wrapText="1"/>
    </xf>
    <xf numFmtId="0" fontId="14" fillId="8" borderId="17" xfId="0" applyFont="1" applyFill="1" applyBorder="1"/>
    <xf numFmtId="0" fontId="17" fillId="0" borderId="1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165" fontId="18" fillId="0" borderId="1" xfId="0" applyNumberFormat="1" applyFont="1" applyBorder="1" applyAlignment="1" applyProtection="1">
      <alignment horizontal="center" vertical="center" wrapText="1"/>
      <protection locked="0"/>
    </xf>
    <xf numFmtId="165" fontId="18" fillId="0" borderId="1" xfId="0" applyNumberFormat="1" applyFont="1" applyBorder="1" applyAlignment="1" applyProtection="1">
      <alignment horizontal="left" vertical="center" wrapText="1"/>
      <protection locked="0"/>
    </xf>
    <xf numFmtId="0" fontId="18" fillId="0" borderId="1" xfId="0" applyFont="1" applyBorder="1" applyAlignment="1">
      <alignment horizontal="left" vertical="center" wrapText="1"/>
    </xf>
    <xf numFmtId="0" fontId="17" fillId="0" borderId="1" xfId="0" applyFont="1" applyBorder="1" applyAlignment="1" applyProtection="1">
      <alignment horizontal="left" vertical="center" wrapText="1"/>
      <protection locked="0"/>
    </xf>
    <xf numFmtId="166" fontId="18" fillId="0" borderId="1" xfId="0" applyNumberFormat="1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left" vertical="center" wrapText="1"/>
      <protection locked="0"/>
    </xf>
    <xf numFmtId="165" fontId="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left" vertical="center" wrapText="1"/>
    </xf>
    <xf numFmtId="0" fontId="16" fillId="8" borderId="1" xfId="0" applyFont="1" applyFill="1" applyBorder="1" applyAlignment="1" applyProtection="1">
      <alignment horizontal="center" vertical="center" wrapText="1"/>
      <protection locked="0"/>
    </xf>
    <xf numFmtId="1" fontId="16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6" borderId="17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4" fillId="8" borderId="1" xfId="0" applyFont="1" applyFill="1" applyBorder="1" applyAlignment="1">
      <alignment horizontal="center"/>
    </xf>
    <xf numFmtId="0" fontId="14" fillId="8" borderId="1" xfId="0" applyFont="1" applyFill="1" applyBorder="1"/>
    <xf numFmtId="0" fontId="0" fillId="0" borderId="18" xfId="0" applyBorder="1"/>
    <xf numFmtId="0" fontId="10" fillId="0" borderId="26" xfId="0" applyFont="1" applyBorder="1" applyAlignment="1">
      <alignment horizontal="center"/>
    </xf>
    <xf numFmtId="0" fontId="19" fillId="0" borderId="28" xfId="0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13" fillId="9" borderId="18" xfId="0" applyFont="1" applyFill="1" applyBorder="1" applyAlignment="1">
      <alignment vertical="center" wrapText="1"/>
    </xf>
    <xf numFmtId="0" fontId="13" fillId="9" borderId="19" xfId="0" applyFont="1" applyFill="1" applyBorder="1" applyAlignment="1">
      <alignment vertical="center" wrapText="1"/>
    </xf>
    <xf numFmtId="0" fontId="13" fillId="9" borderId="22" xfId="0" applyFont="1" applyFill="1" applyBorder="1" applyAlignment="1">
      <alignment vertical="center" wrapText="1"/>
    </xf>
    <xf numFmtId="0" fontId="13" fillId="9" borderId="21" xfId="0" applyFont="1" applyFill="1" applyBorder="1" applyAlignment="1">
      <alignment vertical="center" wrapText="1"/>
    </xf>
    <xf numFmtId="0" fontId="10" fillId="9" borderId="27" xfId="0" applyFont="1" applyFill="1" applyBorder="1" applyAlignment="1">
      <alignment horizontal="center"/>
    </xf>
    <xf numFmtId="0" fontId="15" fillId="9" borderId="29" xfId="0" applyFont="1" applyFill="1" applyBorder="1" applyAlignment="1">
      <alignment horizontal="center" vertical="center"/>
    </xf>
    <xf numFmtId="165" fontId="18" fillId="0" borderId="0" xfId="0" applyNumberFormat="1" applyFont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9" borderId="24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left" vertical="center" wrapText="1"/>
    </xf>
    <xf numFmtId="0" fontId="24" fillId="9" borderId="32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9" borderId="32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horizontal="left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14" fillId="10" borderId="17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/>
    <xf numFmtId="0" fontId="14" fillId="8" borderId="7" xfId="0" applyFont="1" applyFill="1" applyBorder="1"/>
    <xf numFmtId="0" fontId="14" fillId="8" borderId="10" xfId="0" applyFont="1" applyFill="1" applyBorder="1" applyAlignment="1">
      <alignment horizontal="center"/>
    </xf>
    <xf numFmtId="0" fontId="14" fillId="8" borderId="26" xfId="0" applyFont="1" applyFill="1" applyBorder="1"/>
    <xf numFmtId="0" fontId="14" fillId="8" borderId="7" xfId="0" applyFont="1" applyFill="1" applyBorder="1" applyAlignment="1">
      <alignment horizontal="center"/>
    </xf>
    <xf numFmtId="0" fontId="14" fillId="8" borderId="11" xfId="0" applyFont="1" applyFill="1" applyBorder="1" applyAlignment="1">
      <alignment horizontal="center" vertical="center" wrapText="1"/>
    </xf>
    <xf numFmtId="0" fontId="0" fillId="12" borderId="1" xfId="0" applyFill="1" applyBorder="1"/>
    <xf numFmtId="164" fontId="1" fillId="12" borderId="1" xfId="0" applyNumberFormat="1" applyFont="1" applyFill="1" applyBorder="1" applyAlignment="1">
      <alignment horizontal="center" vertical="center" wrapText="1"/>
    </xf>
    <xf numFmtId="17" fontId="1" fillId="12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/>
    <xf numFmtId="164" fontId="25" fillId="2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/>
    </xf>
    <xf numFmtId="165" fontId="18" fillId="0" borderId="1" xfId="0" applyNumberFormat="1" applyFont="1" applyBorder="1" applyAlignment="1" applyProtection="1">
      <alignment vertical="center" wrapText="1"/>
      <protection locked="0"/>
    </xf>
    <xf numFmtId="0" fontId="9" fillId="0" borderId="1" xfId="0" applyFont="1" applyBorder="1" applyAlignment="1">
      <alignment horizontal="left"/>
    </xf>
    <xf numFmtId="0" fontId="13" fillId="9" borderId="1" xfId="0" applyFont="1" applyFill="1" applyBorder="1" applyAlignment="1">
      <alignment vertical="center"/>
    </xf>
    <xf numFmtId="0" fontId="0" fillId="10" borderId="1" xfId="0" applyFill="1" applyBorder="1"/>
    <xf numFmtId="0" fontId="0" fillId="16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6" borderId="1" xfId="0" applyFill="1" applyBorder="1"/>
    <xf numFmtId="0" fontId="26" fillId="0" borderId="1" xfId="0" applyFont="1" applyBorder="1" applyAlignment="1">
      <alignment horizontal="center" vertical="center" wrapText="1"/>
    </xf>
    <xf numFmtId="0" fontId="14" fillId="6" borderId="40" xfId="0" applyFont="1" applyFill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left" vertical="center" wrapText="1"/>
    </xf>
    <xf numFmtId="165" fontId="27" fillId="0" borderId="1" xfId="0" quotePrefix="1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65" fontId="0" fillId="0" borderId="10" xfId="1" applyNumberFormat="1" applyFont="1" applyBorder="1" applyAlignment="1">
      <alignment horizontal="center"/>
    </xf>
    <xf numFmtId="0" fontId="0" fillId="0" borderId="10" xfId="0" applyBorder="1" applyAlignment="1">
      <alignment vertical="center" wrapText="1"/>
    </xf>
    <xf numFmtId="14" fontId="0" fillId="0" borderId="10" xfId="0" applyNumberFormat="1" applyBorder="1" applyAlignment="1">
      <alignment horizontal="center"/>
    </xf>
    <xf numFmtId="164" fontId="1" fillId="12" borderId="10" xfId="0" applyNumberFormat="1" applyFont="1" applyFill="1" applyBorder="1" applyAlignment="1">
      <alignment horizontal="center" vertical="center" wrapText="1"/>
    </xf>
    <xf numFmtId="0" fontId="0" fillId="11" borderId="10" xfId="0" applyFill="1" applyBorder="1"/>
    <xf numFmtId="165" fontId="0" fillId="0" borderId="1" xfId="1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165" fontId="9" fillId="0" borderId="1" xfId="1" applyNumberFormat="1" applyFont="1" applyBorder="1" applyAlignment="1">
      <alignment horizontal="center"/>
    </xf>
    <xf numFmtId="0" fontId="0" fillId="0" borderId="10" xfId="0" applyBorder="1"/>
    <xf numFmtId="164" fontId="9" fillId="3" borderId="10" xfId="0" applyNumberFormat="1" applyFont="1" applyFill="1" applyBorder="1" applyAlignment="1">
      <alignment horizontal="center" vertical="center" wrapText="1"/>
    </xf>
    <xf numFmtId="0" fontId="17" fillId="0" borderId="10" xfId="0" applyFont="1" applyBorder="1" applyAlignment="1" applyProtection="1">
      <alignment horizontal="left" vertical="center" wrapText="1"/>
      <protection locked="0"/>
    </xf>
    <xf numFmtId="0" fontId="29" fillId="0" borderId="1" xfId="0" applyFont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165" fontId="18" fillId="0" borderId="10" xfId="0" applyNumberFormat="1" applyFont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>
      <alignment horizontal="left" vertical="center" wrapText="1"/>
    </xf>
    <xf numFmtId="165" fontId="18" fillId="0" borderId="13" xfId="0" applyNumberFormat="1" applyFont="1" applyBorder="1" applyAlignment="1" applyProtection="1">
      <alignment horizontal="left" vertical="center" wrapText="1"/>
      <protection locked="0"/>
    </xf>
    <xf numFmtId="0" fontId="18" fillId="0" borderId="17" xfId="0" applyFont="1" applyBorder="1" applyAlignment="1" applyProtection="1">
      <alignment horizontal="left" vertical="center" wrapText="1"/>
      <protection locked="0"/>
    </xf>
    <xf numFmtId="0" fontId="0" fillId="0" borderId="40" xfId="0" applyBorder="1"/>
    <xf numFmtId="164" fontId="1" fillId="3" borderId="10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0" fillId="11" borderId="17" xfId="0" applyFill="1" applyBorder="1"/>
    <xf numFmtId="0" fontId="0" fillId="12" borderId="0" xfId="0" applyFill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65" fontId="18" fillId="0" borderId="10" xfId="0" applyNumberFormat="1" applyFont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center" vertical="center" wrapText="1"/>
      <protection locked="0"/>
    </xf>
    <xf numFmtId="0" fontId="14" fillId="10" borderId="2" xfId="0" applyFont="1" applyFill="1" applyBorder="1" applyAlignment="1">
      <alignment horizontal="center" vertical="center" wrapText="1"/>
    </xf>
    <xf numFmtId="0" fontId="14" fillId="8" borderId="17" xfId="0" applyFont="1" applyFill="1" applyBorder="1" applyAlignment="1">
      <alignment horizontal="center" vertical="center" wrapText="1"/>
    </xf>
    <xf numFmtId="167" fontId="18" fillId="0" borderId="1" xfId="0" applyNumberFormat="1" applyFont="1" applyBorder="1" applyAlignment="1" applyProtection="1">
      <alignment horizontal="center" vertical="center" wrapText="1"/>
      <protection locked="0"/>
    </xf>
    <xf numFmtId="165" fontId="31" fillId="0" borderId="1" xfId="0" applyNumberFormat="1" applyFont="1" applyBorder="1" applyAlignment="1" applyProtection="1">
      <alignment horizontal="left" vertical="center" wrapText="1"/>
      <protection locked="0"/>
    </xf>
    <xf numFmtId="164" fontId="30" fillId="2" borderId="1" xfId="0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 applyProtection="1">
      <alignment horizontal="center" vertical="center" wrapText="1"/>
      <protection locked="0"/>
    </xf>
    <xf numFmtId="14" fontId="0" fillId="0" borderId="0" xfId="0" applyNumberFormat="1" applyAlignment="1">
      <alignment horizontal="center"/>
    </xf>
    <xf numFmtId="14" fontId="16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17" borderId="1" xfId="0" applyFill="1" applyBorder="1" applyAlignment="1">
      <alignment horizontal="center" vertical="center"/>
    </xf>
    <xf numFmtId="164" fontId="32" fillId="18" borderId="1" xfId="0" applyNumberFormat="1" applyFont="1" applyFill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wrapText="1"/>
    </xf>
    <xf numFmtId="0" fontId="14" fillId="8" borderId="1" xfId="0" applyFont="1" applyFill="1" applyBorder="1" applyAlignment="1">
      <alignment horizontal="center" wrapText="1"/>
    </xf>
    <xf numFmtId="14" fontId="18" fillId="0" borderId="1" xfId="0" applyNumberFormat="1" applyFont="1" applyBorder="1" applyAlignment="1">
      <alignment horizontal="left" vertical="center" wrapText="1"/>
    </xf>
    <xf numFmtId="0" fontId="16" fillId="8" borderId="11" xfId="0" applyFont="1" applyFill="1" applyBorder="1" applyAlignment="1" applyProtection="1">
      <alignment horizontal="center" vertical="center" wrapText="1"/>
      <protection locked="0"/>
    </xf>
    <xf numFmtId="165" fontId="18" fillId="0" borderId="40" xfId="0" applyNumberFormat="1" applyFont="1" applyBorder="1" applyAlignment="1" applyProtection="1">
      <alignment horizontal="center" vertical="center" wrapText="1"/>
      <protection locked="0"/>
    </xf>
    <xf numFmtId="165" fontId="18" fillId="0" borderId="40" xfId="0" applyNumberFormat="1" applyFont="1" applyBorder="1" applyAlignment="1" applyProtection="1">
      <alignment horizontal="left" vertical="center" wrapText="1"/>
      <protection locked="0"/>
    </xf>
    <xf numFmtId="164" fontId="1" fillId="3" borderId="40" xfId="0" applyNumberFormat="1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166" fontId="18" fillId="0" borderId="1" xfId="0" applyNumberFormat="1" applyFont="1" applyBorder="1" applyAlignment="1" applyProtection="1">
      <alignment horizontal="left" vertical="center" wrapText="1"/>
      <protection locked="0"/>
    </xf>
    <xf numFmtId="165" fontId="33" fillId="0" borderId="1" xfId="0" applyNumberFormat="1" applyFont="1" applyBorder="1" applyAlignment="1" applyProtection="1">
      <alignment horizontal="center" vertical="center" wrapText="1"/>
      <protection locked="0"/>
    </xf>
    <xf numFmtId="165" fontId="33" fillId="0" borderId="1" xfId="0" applyNumberFormat="1" applyFont="1" applyBorder="1" applyAlignment="1" applyProtection="1">
      <alignment horizontal="left" vertical="center" wrapText="1"/>
      <protection locked="0"/>
    </xf>
    <xf numFmtId="0" fontId="34" fillId="0" borderId="1" xfId="0" applyFont="1" applyBorder="1" applyAlignment="1">
      <alignment horizontal="left" vertical="center" wrapText="1"/>
    </xf>
    <xf numFmtId="164" fontId="35" fillId="2" borderId="1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9" borderId="32" xfId="0" applyFont="1" applyFill="1" applyBorder="1" applyAlignment="1">
      <alignment horizontal="center" vertical="center"/>
    </xf>
    <xf numFmtId="164" fontId="1" fillId="19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38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vertical="center" wrapText="1"/>
    </xf>
    <xf numFmtId="0" fontId="38" fillId="0" borderId="1" xfId="0" applyFont="1" applyBorder="1"/>
    <xf numFmtId="14" fontId="31" fillId="0" borderId="1" xfId="0" applyNumberFormat="1" applyFont="1" applyBorder="1" applyAlignment="1" applyProtection="1">
      <alignment horizontal="center" vertical="center" wrapText="1"/>
      <protection locked="0"/>
    </xf>
    <xf numFmtId="14" fontId="31" fillId="0" borderId="17" xfId="0" applyNumberFormat="1" applyFont="1" applyBorder="1" applyAlignment="1" applyProtection="1">
      <alignment horizontal="center" vertical="center" wrapText="1"/>
      <protection locked="0"/>
    </xf>
    <xf numFmtId="0" fontId="0" fillId="2" borderId="0" xfId="0" applyFill="1"/>
    <xf numFmtId="14" fontId="39" fillId="0" borderId="0" xfId="0" applyNumberFormat="1" applyFont="1"/>
    <xf numFmtId="0" fontId="0" fillId="12" borderId="13" xfId="0" applyFill="1" applyBorder="1"/>
    <xf numFmtId="0" fontId="14" fillId="8" borderId="42" xfId="0" applyFont="1" applyFill="1" applyBorder="1" applyAlignment="1">
      <alignment horizontal="center" vertical="center" wrapText="1"/>
    </xf>
    <xf numFmtId="14" fontId="40" fillId="8" borderId="41" xfId="0" applyNumberFormat="1" applyFont="1" applyFill="1" applyBorder="1" applyAlignment="1">
      <alignment vertical="center" wrapText="1"/>
    </xf>
    <xf numFmtId="164" fontId="41" fillId="12" borderId="1" xfId="0" applyNumberFormat="1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14" fontId="0" fillId="0" borderId="40" xfId="0" applyNumberFormat="1" applyBorder="1" applyAlignment="1">
      <alignment horizontal="center"/>
    </xf>
    <xf numFmtId="164" fontId="1" fillId="12" borderId="40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wrapText="1"/>
    </xf>
    <xf numFmtId="0" fontId="10" fillId="0" borderId="34" xfId="0" applyFont="1" applyBorder="1" applyAlignment="1">
      <alignment horizontal="center" wrapText="1"/>
    </xf>
    <xf numFmtId="0" fontId="10" fillId="0" borderId="35" xfId="0" applyFont="1" applyBorder="1" applyAlignment="1">
      <alignment horizontal="center" wrapText="1"/>
    </xf>
    <xf numFmtId="0" fontId="15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20" fillId="9" borderId="19" xfId="0" applyFont="1" applyFill="1" applyBorder="1" applyAlignment="1">
      <alignment horizontal="center" vertical="center" wrapText="1"/>
    </xf>
    <xf numFmtId="0" fontId="20" fillId="9" borderId="23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22" fillId="9" borderId="14" xfId="0" applyFont="1" applyFill="1" applyBorder="1" applyAlignment="1">
      <alignment horizontal="center" vertical="center" wrapText="1"/>
    </xf>
    <xf numFmtId="0" fontId="22" fillId="9" borderId="16" xfId="0" applyFont="1" applyFill="1" applyBorder="1" applyAlignment="1">
      <alignment horizontal="center" vertical="center" wrapText="1"/>
    </xf>
    <xf numFmtId="0" fontId="22" fillId="9" borderId="15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14" fontId="13" fillId="9" borderId="19" xfId="0" applyNumberFormat="1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/>
    </xf>
    <xf numFmtId="0" fontId="13" fillId="9" borderId="20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14" fontId="13" fillId="9" borderId="0" xfId="0" applyNumberFormat="1" applyFont="1" applyFill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/>
    </xf>
    <xf numFmtId="14" fontId="13" fillId="9" borderId="22" xfId="0" applyNumberFormat="1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9" borderId="2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6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</dxfs>
  <tableStyles count="1" defaultTableStyle="TableStyleMedium2" defaultPivotStyle="PivotStyleLight16">
    <tableStyle name="Invisible" pivot="0" table="0" count="0" xr9:uid="{1AF9E941-9600-41B1-B034-651329448C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682998</xdr:colOff>
      <xdr:row>0</xdr:row>
      <xdr:rowOff>74142</xdr:rowOff>
    </xdr:from>
    <xdr:to>
      <xdr:col>2</xdr:col>
      <xdr:colOff>519607</xdr:colOff>
      <xdr:row>3</xdr:row>
      <xdr:rowOff>51918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859DB2-9C4B-4F42-9B8D-6499FE9F8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469" y="74142"/>
          <a:ext cx="1524962" cy="5007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682998</xdr:colOff>
      <xdr:row>0</xdr:row>
      <xdr:rowOff>74142</xdr:rowOff>
    </xdr:from>
    <xdr:to>
      <xdr:col>2</xdr:col>
      <xdr:colOff>522782</xdr:colOff>
      <xdr:row>4</xdr:row>
      <xdr:rowOff>2176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0AE1D1-129D-4E85-96BA-63EF27816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998" y="74142"/>
          <a:ext cx="1452684" cy="4953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91889</xdr:colOff>
      <xdr:row>0</xdr:row>
      <xdr:rowOff>0</xdr:rowOff>
    </xdr:from>
    <xdr:to>
      <xdr:col>1</xdr:col>
      <xdr:colOff>580867</xdr:colOff>
      <xdr:row>0</xdr:row>
      <xdr:rowOff>507440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453359-F44A-4FC9-B3E1-362952BA4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7678" cy="5106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88900</xdr:rowOff>
    </xdr:from>
    <xdr:to>
      <xdr:col>1</xdr:col>
      <xdr:colOff>1658312</xdr:colOff>
      <xdr:row>1</xdr:row>
      <xdr:rowOff>494506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622FA7-1037-4C6E-B2B2-B1DFB952C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88900"/>
          <a:ext cx="1524962" cy="498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104589</xdr:colOff>
      <xdr:row>0</xdr:row>
      <xdr:rowOff>89647</xdr:rowOff>
    </xdr:from>
    <xdr:to>
      <xdr:col>4</xdr:col>
      <xdr:colOff>3018</xdr:colOff>
      <xdr:row>1</xdr:row>
      <xdr:rowOff>483507</xdr:rowOff>
    </xdr:to>
    <xdr:pic>
      <xdr:nvPicPr>
        <xdr:cNvPr id="7" name="Imagem 1">
          <a:extLst>
            <a:ext uri="{FF2B5EF4-FFF2-40B4-BE49-F238E27FC236}">
              <a16:creationId xmlns:a16="http://schemas.microsoft.com/office/drawing/2014/main" id="{D9929737-C3FE-493D-95B4-2A5B7BF6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648" y="89647"/>
          <a:ext cx="1524962" cy="498475"/>
        </a:xfrm>
        <a:prstGeom prst="rect">
          <a:avLst/>
        </a:prstGeom>
      </xdr:spPr>
    </xdr:pic>
    <xdr:clientData/>
  </xdr:twoCellAnchor>
  <xdr:twoCellAnchor editAs="oneCell">
    <xdr:from>
      <xdr:col>9</xdr:col>
      <xdr:colOff>36792</xdr:colOff>
      <xdr:row>1</xdr:row>
      <xdr:rowOff>89674</xdr:rowOff>
    </xdr:from>
    <xdr:to>
      <xdr:col>10</xdr:col>
      <xdr:colOff>981262</xdr:colOff>
      <xdr:row>1</xdr:row>
      <xdr:rowOff>999929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12B35D6-4AE8-BB70-6E99-FE29485C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6939" y="190527"/>
          <a:ext cx="1924238" cy="9102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360911</xdr:colOff>
      <xdr:row>0</xdr:row>
      <xdr:rowOff>295891</xdr:rowOff>
    </xdr:from>
    <xdr:to>
      <xdr:col>4</xdr:col>
      <xdr:colOff>151906</xdr:colOff>
      <xdr:row>3</xdr:row>
      <xdr:rowOff>143243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84480150-B64E-4F6D-ABBF-AA39C7B9B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361" y="295891"/>
          <a:ext cx="1267369" cy="5158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88900</xdr:rowOff>
    </xdr:from>
    <xdr:to>
      <xdr:col>1</xdr:col>
      <xdr:colOff>1658312</xdr:colOff>
      <xdr:row>2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D8782D-9E80-4297-9FED-4A7015C20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88900"/>
          <a:ext cx="1524962" cy="5048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104589</xdr:colOff>
      <xdr:row>0</xdr:row>
      <xdr:rowOff>89647</xdr:rowOff>
    </xdr:from>
    <xdr:to>
      <xdr:col>3</xdr:col>
      <xdr:colOff>371317</xdr:colOff>
      <xdr:row>2</xdr:row>
      <xdr:rowOff>16062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0EF501-0600-4694-A7B9-77E8B9292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539" y="89647"/>
          <a:ext cx="1520853" cy="4883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1</xdr:row>
      <xdr:rowOff>19050</xdr:rowOff>
    </xdr:from>
    <xdr:to>
      <xdr:col>3</xdr:col>
      <xdr:colOff>540107</xdr:colOff>
      <xdr:row>3</xdr:row>
      <xdr:rowOff>164759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B5DFE9-24A8-4539-8BF3-68209EDB8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39700"/>
          <a:ext cx="1514832" cy="51083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860425</xdr:colOff>
      <xdr:row>0</xdr:row>
      <xdr:rowOff>87313</xdr:rowOff>
    </xdr:from>
    <xdr:to>
      <xdr:col>2</xdr:col>
      <xdr:colOff>1511795</xdr:colOff>
      <xdr:row>2</xdr:row>
      <xdr:rowOff>12115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7B701FF-4B3E-4099-AE55-F75031D4A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87313"/>
          <a:ext cx="1510070" cy="50765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860425</xdr:colOff>
      <xdr:row>0</xdr:row>
      <xdr:rowOff>87313</xdr:rowOff>
    </xdr:from>
    <xdr:to>
      <xdr:col>2</xdr:col>
      <xdr:colOff>908407</xdr:colOff>
      <xdr:row>2</xdr:row>
      <xdr:rowOff>8305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214512-31B1-49B5-A52A-E8140C59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105" y="87313"/>
          <a:ext cx="1483082" cy="5115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860425</xdr:colOff>
      <xdr:row>0</xdr:row>
      <xdr:rowOff>87313</xdr:rowOff>
    </xdr:from>
    <xdr:to>
      <xdr:col>2</xdr:col>
      <xdr:colOff>908407</xdr:colOff>
      <xdr:row>2</xdr:row>
      <xdr:rowOff>8305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4536D1-6616-4567-9D4F-19C82B71A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105" y="87313"/>
          <a:ext cx="1483082" cy="51154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1</xdr:col>
      <xdr:colOff>254962</xdr:colOff>
      <xdr:row>2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050FEC-7588-42CB-93CB-2EF16350B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114300"/>
          <a:ext cx="1461462" cy="4857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171174</xdr:colOff>
      <xdr:row>0</xdr:row>
      <xdr:rowOff>56517</xdr:rowOff>
    </xdr:from>
    <xdr:to>
      <xdr:col>1</xdr:col>
      <xdr:colOff>476002</xdr:colOff>
      <xdr:row>0</xdr:row>
      <xdr:rowOff>569755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FDAC89-3ABA-40D1-8F4F-9B2AF1854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174" y="56517"/>
          <a:ext cx="1519611" cy="513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berto Cabral Lara" id="{A7019F27-511E-45C2-BAB3-690872172607}" userId="S::RMLARA@ctgpar.ctgbr.com.br::4b5e7276-5ce3-472d-837d-aef2ea010484" providerId="AD"/>
  <person displayName="Roberto Cabral Lara" id="{826992D0-CBFC-4E6E-AE8E-BCB9A60AD63C}" userId="S::RMLara@ctgpar.ctgbr.com.br::4b5e7276-5ce3-472d-837d-aef2ea01048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6-03-13T18:35:02.84" personId="{826992D0-CBFC-4E6E-AE8E-BCB9A60AD63C}" id="{9E56265E-66D4-4BF0-BC50-BB1A0AAB6587}">
    <text>03/10/2023</text>
  </threadedComment>
  <threadedComment ref="G13" dT="2026-03-13T18:35:22.46" personId="{826992D0-CBFC-4E6E-AE8E-BCB9A60AD63C}" id="{F352EFDD-9D54-4E27-AFCD-2D147BBDBF34}">
    <text>03/10/2023</text>
  </threadedComment>
  <threadedComment ref="G14" dT="2026-03-13T18:36:17.10" personId="{826992D0-CBFC-4E6E-AE8E-BCB9A60AD63C}" id="{07CB81F0-B3FA-429F-9522-F55DCEB77600}">
    <text>03/10/2023</text>
  </threadedComment>
  <threadedComment ref="G22" dT="2026-03-17T16:52:15.05" personId="{826992D0-CBFC-4E6E-AE8E-BCB9A60AD63C}" id="{9657264A-5AC2-4E8F-814A-9F95939ED84D}">
    <text>Nova ver. Enviado para o SGI 29-01-2025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" dT="2025-10-27T17:32:08.55" personId="{A7019F27-511E-45C2-BAB3-690872172607}" id="{2040E087-4FCC-4387-B658-9BE198331C41}">
    <text xml:space="preserve">Substituir o nome de acordo com a nova IM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225" dT="2025-06-30T19:42:10.19" personId="{A7019F27-511E-45C2-BAB3-690872172607}" id="{1E5D22D8-3249-45D8-83B3-6B2C0C4E90AD}">
    <text>Publicado no Sharepoint pasta da elétrica</text>
  </threadedComment>
  <threadedComment ref="K226" dT="2025-06-30T19:42:10.19" personId="{A7019F27-511E-45C2-BAB3-690872172607}" id="{099552C5-558A-4C74-AE02-727786166AD2}">
    <text>Publicado no Sharepoint pasta da elétrica</text>
  </threadedComment>
  <threadedComment ref="F348" dT="2025-05-09T18:38:49.05" personId="{A7019F27-511E-45C2-BAB3-690872172607}" id="{D9A156F1-C3D0-492C-9011-BA70A386FE6B}">
    <text xml:space="preserve">Antigo 10.00 e tbm estamos separando em 3 mpp0 1 e 2 
</text>
  </threadedComment>
  <threadedComment ref="F349" dT="2025-05-09T18:38:49.05" personId="{A7019F27-511E-45C2-BAB3-690872172607}" id="{E9A1BBF2-8E40-4DB6-A318-B534FE7EFC60}">
    <text xml:space="preserve">Antigo 10.00 e tbm estamos separando em 3 mpp0 1 e 2 
</text>
  </threadedComment>
  <threadedComment ref="F350" dT="2025-05-09T18:38:49.05" personId="{A7019F27-511E-45C2-BAB3-690872172607}" id="{1B7C26F0-CAC7-41CA-B615-3CB05A21A151}">
    <text xml:space="preserve">Antigo 10.00 e tbm estamos separando em 3 mpp0 1 e 2 
</text>
  </threadedComment>
  <threadedComment ref="F351" dT="2025-05-09T18:40:35.73" personId="{A7019F27-511E-45C2-BAB3-690872172607}" id="{BAD2F90B-2842-4077-A663-BD22DD887276}">
    <text>Antigo 10.06</text>
  </threadedComment>
  <threadedComment ref="F352" dT="2025-05-09T18:42:19.83" personId="{A7019F27-511E-45C2-BAB3-690872172607}" id="{DE9A557A-2730-4455-9331-0939951F6215}">
    <text>Antigo 10.5</text>
  </threadedComment>
  <threadedComment ref="G411" dT="2025-02-13T12:58:53.73" personId="{A7019F27-511E-45C2-BAB3-690872172607}" id="{0C4FD4CA-00CC-44E8-9ABC-D4CC52F5D93E}">
    <text>Será alterado para bimestral</text>
  </threadedComment>
  <threadedComment ref="G423" dT="2025-02-13T12:54:45.72" personId="{A7019F27-511E-45C2-BAB3-690872172607}" id="{B18CB5AB-866D-4C3C-9FC9-099D2B3D3468}">
    <text xml:space="preserve">Será alterado para trimestral </text>
  </threadedComment>
  <threadedComment ref="F474" dT="2025-04-14T16:27:20.51" personId="{A7019F27-511E-45C2-BAB3-690872172607}" id="{5845D603-157C-4AB7-8BCB-181D9FF9FECD}">
    <text xml:space="preserve">Alterado de 01.11 </text>
  </threadedComment>
  <threadedComment ref="F504" dT="2025-04-14T16:29:34.80" personId="{A7019F27-511E-45C2-BAB3-690872172607}" id="{2E18937B-3D45-417C-BB55-7C425035E40D}">
    <text>Alterado de 003.05 para 021</text>
  </threadedComment>
  <threadedComment ref="M666" dT="2026-03-16T17:27:40.73" personId="{826992D0-CBFC-4E6E-AE8E-BCB9A60AD63C}" id="{96428BD8-640C-49FA-83DC-8237B8144CA2}">
    <text>Fidel, solicitou numeração, MM esta sendo revisado 16-03-2026.</text>
  </threadedComment>
  <threadedComment ref="M740" dT="2026-03-16T17:30:57.07" personId="{826992D0-CBFC-4E6E-AE8E-BCB9A60AD63C}" id="{C0958EA6-8B2A-4AD6-B8B7-A6F39C616B77}">
    <text>Fidel 16/03/2026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cweibr011.sharepoint.com/sites/HubGestaoAtivosEngenharia/ENGENHARIA_ELETROMECANICA/C:/Users/RMLARA/Downloads/OneDrive_1_26-12-2023/GM%20MECANICA/PR-GAR-86.1-001%20-%20Itens%20de%20manuten%25C3%25A7%25C3%25A3o%20-%20Sistema%20dosagem%20dicloro%20-%20Check-list_PCH.xlsx" TargetMode="External"/><Relationship Id="rId13" Type="http://schemas.openxmlformats.org/officeDocument/2006/relationships/hyperlink" Target="https://cweibr011.sharepoint.com/sites/HubGestaoAtivosEngenharia/ENGENHARIA_ELETROMECANICA/C:/Users/RMLARA/Downloads/OneDrive_1_26-12-2023/GM%20MECANICA/PR-ROS-86-001%20-%20Itens%20de%20manuten%25C3%25A7%25C3%25A3o%20-%20Sistema%20dosagem%20dicloro%20-%20Check-list.xlsx" TargetMode="External"/><Relationship Id="rId3" Type="http://schemas.openxmlformats.org/officeDocument/2006/relationships/hyperlink" Target="https://cweibr011.sharepoint.com/sites/HubGestaoAtivosEngenharia/ENGENHARIA_ELETROMECANICA/C:/Users/RMLARA/Downloads/OneDrive_1_26-12-2023/GM%20MECANICA/PR-CN2-86-001%20-%20Itens%20de%20manuten%25C3%25A7%25C3%25A3o%20-%20Sistema%20dosagem%20dicloro%20-%20Check-list.xlsx" TargetMode="External"/><Relationship Id="rId7" Type="http://schemas.openxmlformats.org/officeDocument/2006/relationships/hyperlink" Target="https://cweibr011.sharepoint.com/sites/HubGestaoAtivosEngenharia/ENGENHARIA_ELETROMECANICA/C:/Users/RMLARA/Downloads/OneDrive_1_26-12-2023/GM%20MECANICA/PR-GAR-86-001%20-%20Itens%20de%20manuten%25C3%25A7%25C3%25A3o%20-%20Sistema%20dosagem%20dicloro%20-%20Check-list_Usina.xlsx" TargetMode="External"/><Relationship Id="rId12" Type="http://schemas.openxmlformats.org/officeDocument/2006/relationships/hyperlink" Target="https://cweibr011.sharepoint.com/sites/HubGestaoAtivosEngenharia/ENGENHARIA_ELETROMECANICA/C:/Users/RMLARA/Downloads/OneDrive_1_26-12-2023/GM%20MECANICA/PR-JUR-35-001%20-%20Inspe%25C3%25A7%25C3%25A3o%20no%20conduto%20for%25C3%25A7ado.xlsx" TargetMode="External"/><Relationship Id="rId17" Type="http://schemas.openxmlformats.org/officeDocument/2006/relationships/drawing" Target="../drawings/drawing14.xml"/><Relationship Id="rId2" Type="http://schemas.openxmlformats.org/officeDocument/2006/relationships/hyperlink" Target="https://cweibr011.sharepoint.com/sites/HubGestaoAtivosEngenharia/ENGENHARIA_ELETROMECANICA/C:/Users/RMLARA/Downloads/OneDrive_1_26-12-2023/GM%20MECANICA/PR-CN1-86-001%20-%20Itens%20de%20manuten%25C3%25A7%25C3%25A3o%20-%20Sistema%20dosagem%20dicloro%20-%20Check-list.xlsx" TargetMode="External"/><Relationship Id="rId16" Type="http://schemas.openxmlformats.org/officeDocument/2006/relationships/customProperty" Target="../customProperty15.bin"/><Relationship Id="rId1" Type="http://schemas.openxmlformats.org/officeDocument/2006/relationships/hyperlink" Target="https://cweibr011.sharepoint.com/sites/HubGestaoAtivosEngenharia/ENGENHARIA_ELETROMECANICA/C:/Users/RMLARA/Downloads/OneDrive_1_26-12-2023/GM%20MECANICA/PR-CHV-35-001%20-%20Inspe%25C3%25A7%25C3%25A3o%20no%20conduto%20for%25C3%25A7ado.xlsx" TargetMode="External"/><Relationship Id="rId6" Type="http://schemas.openxmlformats.org/officeDocument/2006/relationships/hyperlink" Target="https://cweibr011.sharepoint.com/sites/HubGestaoAtivosEngenharia/ENGENHARIA_ELETROMECANICA/C:/Users/RMLARA/Downloads/OneDrive_1_26-12-2023/GM%20MECANICA/PR-GAR-35.1-001%20-%20Inspe%25C3%25A7%25C3%25A3o%20no%20conduto%20for%25C3%25A7ado.xlsx" TargetMode="External"/><Relationship Id="rId11" Type="http://schemas.openxmlformats.org/officeDocument/2006/relationships/hyperlink" Target="https://cweibr011.sharepoint.com/sites/HubGestaoAtivosEngenharia/ENGENHARIA_ELETROMECANICA/C:/Users/RMLARA/Downloads/OneDrive_1_26-12-2023/GM%20MECANICA/PR-JUP-86-001%20-%20Itens%20de%20manuten%25C3%25A7%25C3%25A3o%20-%20Sistema%20dosagem%20dicloro%20-%20Check-list.xlsx" TargetMode="External"/><Relationship Id="rId5" Type="http://schemas.openxmlformats.org/officeDocument/2006/relationships/hyperlink" Target="https://cweibr011.sharepoint.com/sites/HubGestaoAtivosEngenharia/ENGENHARIA_ELETROMECANICA/C:/Users/RMLARA/Downloads/OneDrive_1_26-12-2023/GM%20MECANICA/PR-GAR-35-001%20-%20Inspe%25C3%25A7%25C3%25A3o%20no%20conduto%20for%25C3%25A7ado.xlsx" TargetMode="External"/><Relationship Id="rId15" Type="http://schemas.openxmlformats.org/officeDocument/2006/relationships/hyperlink" Target="https://cweibr011.sharepoint.com/sites/HubGestaoAtivosEngenharia/ENGENHARIA_ELETROMECANICA/C:/Users/RMLARA/Downloads/OneDrive_1_26-12-2023/GM%20MECANICA/PR-TAQ-86-001%20-%20Itens%20de%20manuten%25C3%25A7%25C3%25A3o%20-%20Sistema%20dosagem%20dicloro%20-%20Check-list.xlsx" TargetMode="External"/><Relationship Id="rId10" Type="http://schemas.openxmlformats.org/officeDocument/2006/relationships/hyperlink" Target="https://cweibr011.sharepoint.com/sites/HubGestaoAtivosEngenharia/ENGENHARIA_ELETROMECANICA/C:/Users/RMLARA/Downloads/OneDrive_1_26-12-2023/GM%20MECANICA/PR-JUP-35-001%20-%20Inspe%25C3%25A7%25C3%25A3o%20no%20conduto%20for%25C3%25A7ado.xlsx" TargetMode="External"/><Relationship Id="rId4" Type="http://schemas.openxmlformats.org/officeDocument/2006/relationships/hyperlink" Target="https://cweibr011.sharepoint.com/sites/HubGestaoAtivosEngenharia/ENGENHARIA_ELETROMECANICA/C:/Users/RMLARA/Downloads/OneDrive_1_26-12-2023/GM%20MECANICA/PR-CPV-35-001%20-%20Inspe%25C3%25A7%25C3%25A3o%20no%20conduto%20for%25C3%25A7ado.xlsx" TargetMode="External"/><Relationship Id="rId9" Type="http://schemas.openxmlformats.org/officeDocument/2006/relationships/hyperlink" Target="https://cweibr011.sharepoint.com/sites/HubGestaoAtivosEngenharia/ENGENHARIA_ELETROMECANICA/C:/Users/RMLARA/Downloads/OneDrive_1_26-12-2023/GM%20MECANICA/PR-ILS-35-001%20-%20Inspe%25C3%25A7%25C3%25A3o%20no%20conduto%20for%25C3%25A7ado.xlsx" TargetMode="External"/><Relationship Id="rId14" Type="http://schemas.openxmlformats.org/officeDocument/2006/relationships/hyperlink" Target="https://cweibr011.sharepoint.com/sites/HubGestaoAtivosEngenharia/ENGENHARIA_ELETROMECANICA/C:/Users/RMLARA/Downloads/OneDrive_1_26-12-2023/GM%20MECANICA/PR-STO-35-001%20-%20Inspe%25C3%25A7%25C3%25A3o%20no%20conduto%20for%25C3%25A7ad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F276-449E-4190-A54B-D15AA8F26D55}">
  <sheetPr codeName="Planilha1"/>
  <dimension ref="A1:R40"/>
  <sheetViews>
    <sheetView showGridLines="0" zoomScale="90" zoomScaleNormal="90" workbookViewId="0">
      <selection activeCell="P3" sqref="P3:Q3"/>
    </sheetView>
  </sheetViews>
  <sheetFormatPr defaultColWidth="0" defaultRowHeight="14.5" x14ac:dyDescent="0.35"/>
  <cols>
    <col min="1" max="1" width="1.81640625" customWidth="1"/>
    <col min="2" max="2" width="24.1796875" customWidth="1"/>
    <col min="3" max="15" width="8.54296875" customWidth="1"/>
    <col min="16" max="16" width="10.81640625" customWidth="1"/>
    <col min="17" max="17" width="8.81640625" customWidth="1"/>
    <col min="18" max="18" width="2.453125" customWidth="1"/>
    <col min="19" max="16384" width="8.81640625" hidden="1"/>
  </cols>
  <sheetData>
    <row r="1" spans="2:17" ht="6.65" customHeight="1" thickBot="1" x14ac:dyDescent="0.4"/>
    <row r="2" spans="2:17" ht="10.5" customHeight="1" thickBot="1" x14ac:dyDescent="0.4">
      <c r="B2" s="74"/>
      <c r="C2" s="75"/>
      <c r="D2" s="226" t="s">
        <v>0</v>
      </c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8" t="s">
        <v>1</v>
      </c>
      <c r="Q2" s="229"/>
    </row>
    <row r="3" spans="2:17" ht="24" customHeight="1" thickBot="1" x14ac:dyDescent="0.4">
      <c r="B3" s="77"/>
      <c r="C3" s="76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1">
        <f>SUM(Q7,Q8,Q17,Q18,Q27,Q32,Q40,Q36,Q23,Q22,Q12,Q13)</f>
        <v>6616</v>
      </c>
      <c r="Q3" s="232"/>
    </row>
    <row r="4" spans="2:17" ht="5.15" customHeight="1" thickBot="1" x14ac:dyDescent="0.4"/>
    <row r="5" spans="2:17" ht="16" customHeight="1" thickBot="1" x14ac:dyDescent="0.4">
      <c r="C5" s="207" t="s">
        <v>2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9"/>
    </row>
    <row r="6" spans="2:17" x14ac:dyDescent="0.35">
      <c r="B6" s="70"/>
      <c r="C6" s="218" t="s">
        <v>3</v>
      </c>
      <c r="D6" s="214"/>
      <c r="E6" s="214"/>
      <c r="F6" s="214"/>
      <c r="G6" s="215"/>
      <c r="H6" s="218" t="s">
        <v>4</v>
      </c>
      <c r="I6" s="214"/>
      <c r="J6" s="214"/>
      <c r="K6" s="214"/>
      <c r="L6" s="213" t="s">
        <v>5</v>
      </c>
      <c r="M6" s="214"/>
      <c r="N6" s="214"/>
      <c r="O6" s="214"/>
      <c r="P6" s="215"/>
      <c r="Q6" s="78" t="s">
        <v>6</v>
      </c>
    </row>
    <row r="7" spans="2:17" ht="21" customHeight="1" x14ac:dyDescent="0.35">
      <c r="B7" s="72" t="s">
        <v>7</v>
      </c>
      <c r="C7" s="221">
        <f>COUNTIFS(IM!G5:G161,"x",IM!B5:B161,"Instruções Manutenção Elétrica")</f>
        <v>29</v>
      </c>
      <c r="D7" s="222"/>
      <c r="E7" s="222"/>
      <c r="F7" s="222"/>
      <c r="G7" s="223"/>
      <c r="H7" s="221">
        <f>COUNTIFS(IM!G5:G161,"x",IM!B5:B161,"Instruções Manutenção Mecânica")</f>
        <v>29</v>
      </c>
      <c r="I7" s="222"/>
      <c r="J7" s="222"/>
      <c r="K7" s="222"/>
      <c r="L7" s="221">
        <f>COUNTIFS(IM!G5:G161,"x",IM!B5:B161,"Instruções Manutenção Normativas e Gerenciais")</f>
        <v>32</v>
      </c>
      <c r="M7" s="222"/>
      <c r="N7" s="222"/>
      <c r="O7" s="222"/>
      <c r="P7" s="223"/>
      <c r="Q7" s="79">
        <f>SUM(C7:P7)</f>
        <v>90</v>
      </c>
    </row>
    <row r="8" spans="2:17" ht="21" customHeight="1" thickBot="1" x14ac:dyDescent="0.4">
      <c r="B8" s="90" t="s">
        <v>8</v>
      </c>
      <c r="C8" s="216">
        <f>COUNTIFS(IM!H5:H161,"x",IM!B5:B161,"Instruções Manutenção Elétrica")</f>
        <v>12</v>
      </c>
      <c r="D8" s="217"/>
      <c r="E8" s="217"/>
      <c r="F8" s="217"/>
      <c r="G8" s="224"/>
      <c r="H8" s="216">
        <f>COUNTIFS(IM!H5:H161,"x",IM!B5:B161,"Instruções Manutenção Mecânica")</f>
        <v>8</v>
      </c>
      <c r="I8" s="217"/>
      <c r="J8" s="217"/>
      <c r="K8" s="217"/>
      <c r="L8" s="216">
        <f>COUNTIFS(IM!H5:H161,"x",IM!B5:B161,"Instruções Manutenção Normativas e Gerenciais")</f>
        <v>20</v>
      </c>
      <c r="M8" s="217"/>
      <c r="N8" s="217"/>
      <c r="O8" s="217"/>
      <c r="P8" s="224"/>
      <c r="Q8" s="91">
        <f>SUM(C8:P8)</f>
        <v>40</v>
      </c>
    </row>
    <row r="9" spans="2:17" ht="6" customHeight="1" thickBot="1" x14ac:dyDescent="0.4"/>
    <row r="10" spans="2:17" ht="16" customHeight="1" thickBot="1" x14ac:dyDescent="0.4">
      <c r="C10" s="207" t="s">
        <v>9</v>
      </c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9"/>
    </row>
    <row r="11" spans="2:17" ht="14.5" customHeight="1" x14ac:dyDescent="0.35">
      <c r="B11" s="70"/>
      <c r="C11" s="218" t="s">
        <v>10</v>
      </c>
      <c r="D11" s="219"/>
      <c r="E11" s="219"/>
      <c r="F11" s="219"/>
      <c r="G11" s="219"/>
      <c r="H11" s="219"/>
      <c r="I11" s="220"/>
      <c r="J11" s="218" t="s">
        <v>11</v>
      </c>
      <c r="K11" s="219"/>
      <c r="L11" s="219"/>
      <c r="M11" s="219"/>
      <c r="N11" s="219"/>
      <c r="O11" s="219"/>
      <c r="P11" s="220"/>
      <c r="Q11" s="78" t="s">
        <v>6</v>
      </c>
    </row>
    <row r="12" spans="2:17" ht="21" customHeight="1" x14ac:dyDescent="0.35">
      <c r="B12" s="72" t="s">
        <v>7</v>
      </c>
      <c r="C12" s="221">
        <f>COUNTIFS(IO!F5:F276,"X",IO!B5:B276,"Instruções de operação local")</f>
        <v>8</v>
      </c>
      <c r="D12" s="222"/>
      <c r="E12" s="222"/>
      <c r="F12" s="222"/>
      <c r="G12" s="222"/>
      <c r="H12" s="222"/>
      <c r="I12" s="223"/>
      <c r="J12" s="221">
        <f>COUNTIFS(IO!F5:F276,"X",IO!B5:B276,"Instruções de operação sistêmica")</f>
        <v>76</v>
      </c>
      <c r="K12" s="222"/>
      <c r="L12" s="222"/>
      <c r="M12" s="222"/>
      <c r="N12" s="222"/>
      <c r="O12" s="222"/>
      <c r="P12" s="223"/>
      <c r="Q12" s="79">
        <f>SUM(C12:P12)</f>
        <v>84</v>
      </c>
    </row>
    <row r="13" spans="2:17" ht="21" customHeight="1" thickBot="1" x14ac:dyDescent="0.4">
      <c r="B13" s="90" t="s">
        <v>8</v>
      </c>
      <c r="C13" s="216">
        <f>COUNTIFS(IO!G5:G276,"X",IO!B5:B276,"Instruções de operação local")</f>
        <v>6</v>
      </c>
      <c r="D13" s="217"/>
      <c r="E13" s="217"/>
      <c r="F13" s="217"/>
      <c r="G13" s="217"/>
      <c r="H13" s="217"/>
      <c r="I13" s="224"/>
      <c r="J13" s="216">
        <f>COUNTIFS(IO!G5:G276,"X",IO!B5:B276,"Instruções de operação sistêmica")</f>
        <v>63</v>
      </c>
      <c r="K13" s="217"/>
      <c r="L13" s="217"/>
      <c r="M13" s="217"/>
      <c r="N13" s="217"/>
      <c r="O13" s="217"/>
      <c r="P13" s="224"/>
      <c r="Q13" s="91">
        <f>SUM(C13:P13)</f>
        <v>69</v>
      </c>
    </row>
    <row r="14" spans="2:17" ht="6" customHeight="1" thickBot="1" x14ac:dyDescent="0.4">
      <c r="B14" s="85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7"/>
    </row>
    <row r="15" spans="2:17" ht="16" thickBot="1" x14ac:dyDescent="0.4">
      <c r="C15" s="225" t="s">
        <v>12</v>
      </c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7"/>
    </row>
    <row r="16" spans="2:17" x14ac:dyDescent="0.35">
      <c r="B16" s="70"/>
      <c r="C16" s="71" t="s">
        <v>13</v>
      </c>
      <c r="D16" s="71" t="s">
        <v>14</v>
      </c>
      <c r="E16" s="71" t="s">
        <v>15</v>
      </c>
      <c r="F16" s="71" t="s">
        <v>16</v>
      </c>
      <c r="G16" s="71" t="s">
        <v>17</v>
      </c>
      <c r="H16" s="71" t="s">
        <v>18</v>
      </c>
      <c r="I16" s="71" t="s">
        <v>19</v>
      </c>
      <c r="J16" s="71" t="s">
        <v>20</v>
      </c>
      <c r="K16" s="71" t="s">
        <v>21</v>
      </c>
      <c r="L16" s="71" t="s">
        <v>22</v>
      </c>
      <c r="M16" s="71" t="s">
        <v>23</v>
      </c>
      <c r="N16" s="71" t="s">
        <v>24</v>
      </c>
      <c r="O16" s="71" t="s">
        <v>25</v>
      </c>
      <c r="P16" s="71" t="s">
        <v>26</v>
      </c>
      <c r="Q16" s="78" t="s">
        <v>6</v>
      </c>
    </row>
    <row r="17" spans="2:17" ht="21" customHeight="1" x14ac:dyDescent="0.35">
      <c r="B17" s="72" t="s">
        <v>27</v>
      </c>
      <c r="C17" s="81">
        <f>COUNTIFS(GM!$H$5:$H$1014,"X",GM!$C$5:$C$1014,"JUR")</f>
        <v>50</v>
      </c>
      <c r="D17" s="81">
        <f>COUNTIFS(GM!$H$5:$H$1014,"X",GM!$C$5:$C$1014,"chv")</f>
        <v>49</v>
      </c>
      <c r="E17" s="81">
        <f>COUNTIFS(GM!$H$5:$H$1014,"X",GM!$C$5:$C$1014,"sag")</f>
        <v>45</v>
      </c>
      <c r="F17" s="81">
        <f>COUNTIFS(GM!$H$5:$H$1014,"X",GM!$C$5:$C$1014,"cn1")</f>
        <v>49</v>
      </c>
      <c r="G17" s="81">
        <f>COUNTIFS(GM!$H$5:$H$1014,"X",GM!$C$5:$C$1014,"cn2")</f>
        <v>49</v>
      </c>
      <c r="H17" s="81">
        <f>COUNTIFS(GM!$H$5:$H$1014,"X",GM!$C$5:$C$1014,"cpv")</f>
        <v>48</v>
      </c>
      <c r="I17" s="81">
        <f>COUNTIFS(GM!$H$5:$H$1014,"X",GM!$C$5:$C$1014,"taq")</f>
        <v>48</v>
      </c>
      <c r="J17" s="81">
        <f>COUNTIFS(GM!$H$5:$H$1014,"X",GM!$C$5:$C$1014,"ROS")</f>
        <v>49</v>
      </c>
      <c r="K17" s="81">
        <f>COUNTIFS(GM!$H$5:$H$1014,"X",GM!$C$5:$C$1014,"PLM")</f>
        <v>41</v>
      </c>
      <c r="L17" s="81">
        <f>COUNTIFS(GM!$H$5:$H$1014,"X",GM!$C$5:$C$1014,"RET")</f>
        <v>41</v>
      </c>
      <c r="M17" s="81">
        <f>COUNTIFS(GM!$H$5:$H$1014,"X",GM!$C$5:$C$1014,"ILS")</f>
        <v>62</v>
      </c>
      <c r="N17" s="81">
        <f>COUNTIFS(GM!$H$5:$H$1014,"X",GM!$C$5:$C$1014,"JUP")</f>
        <v>64</v>
      </c>
      <c r="O17" s="81">
        <f>COUNTIFS(GM!$H$5:$H$1014,"X",GM!$C$5:$C$1014,"STO")</f>
        <v>48</v>
      </c>
      <c r="P17" s="81">
        <f>COUNTIFS(GM!$H$5:$H$1014,"X",GM!$C$5:$C$1014,"GAR")</f>
        <v>58</v>
      </c>
      <c r="Q17" s="82">
        <f>SUM(C17:P17)</f>
        <v>701</v>
      </c>
    </row>
    <row r="18" spans="2:17" ht="21" customHeight="1" thickBot="1" x14ac:dyDescent="0.4">
      <c r="B18" s="90" t="s">
        <v>28</v>
      </c>
      <c r="C18" s="92">
        <f>COUNTIFS(GM!$I$5:$I$1014,"X",GM!$C$5:$C$1014,"JUR")</f>
        <v>47</v>
      </c>
      <c r="D18" s="92">
        <f>COUNTIFS(GM!$I$5:$I$1014,"X",GM!$C$5:$C$1014,"CHV")</f>
        <v>46</v>
      </c>
      <c r="E18" s="92">
        <f>COUNTIFS(GM!$I$5:$I$1014,"X",GM!$C$5:$C$1014,"SAG")</f>
        <v>42</v>
      </c>
      <c r="F18" s="92">
        <f>COUNTIFS(GM!$I$5:$I$1014,"X",GM!$C$5:$C$1014,"CN1")</f>
        <v>45</v>
      </c>
      <c r="G18" s="92">
        <f>COUNTIFS(GM!$I$5:$I$1014,"X",GM!$C$5:$C$1014,"CN2")</f>
        <v>45</v>
      </c>
      <c r="H18" s="92">
        <f>COUNTIFS(GM!$I$5:$I$1014,"X",GM!$C$5:$C$1014,"CPV")</f>
        <v>44</v>
      </c>
      <c r="I18" s="92">
        <f>COUNTIFS(GM!$I$5:$I$1014,"X",GM!$C$5:$C$1014,"TAQ")</f>
        <v>44</v>
      </c>
      <c r="J18" s="92">
        <f>COUNTIFS(GM!$I$5:$I$1014,"X",GM!$C$5:$C$1014,"ROS")</f>
        <v>45</v>
      </c>
      <c r="K18" s="92">
        <f>COUNTIFS(GM!$I$5:$I$1014,"X",GM!$C$5:$C$1014,"PLM")</f>
        <v>38</v>
      </c>
      <c r="L18" s="92">
        <f>COUNTIFS(GM!$I$5:$I$1014,"X",GM!$C$5:$C$1014,"RET")</f>
        <v>38</v>
      </c>
      <c r="M18" s="92">
        <f>COUNTIFS(GM!$I$5:$I$1014,"X",GM!$C$5:$C$1014,"ILS")</f>
        <v>58</v>
      </c>
      <c r="N18" s="92">
        <f>COUNTIFS(GM!$I$5:$I$1014,"X",GM!$C$5:$C$1014,"JUP")</f>
        <v>60</v>
      </c>
      <c r="O18" s="92">
        <f>COUNTIFS(GM!$I$5:$I$1014,"X",GM!$C$5:$C$1014,"STO")</f>
        <v>44</v>
      </c>
      <c r="P18" s="92">
        <f>COUNTIFS(GM!$I$5:$I$1014,"X",GM!$C$5:$C$1014,"GAR")</f>
        <v>52</v>
      </c>
      <c r="Q18" s="93">
        <f>SUM(C18:P18)</f>
        <v>648</v>
      </c>
    </row>
    <row r="19" spans="2:17" ht="7" customHeight="1" thickBot="1" x14ac:dyDescent="0.4"/>
    <row r="20" spans="2:17" ht="16" customHeight="1" thickBot="1" x14ac:dyDescent="0.4">
      <c r="C20" s="225" t="s">
        <v>29</v>
      </c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7"/>
    </row>
    <row r="21" spans="2:17" ht="14.5" customHeight="1" x14ac:dyDescent="0.35">
      <c r="B21" s="70"/>
      <c r="C21" s="71" t="s">
        <v>13</v>
      </c>
      <c r="D21" s="71" t="s">
        <v>14</v>
      </c>
      <c r="E21" s="71" t="s">
        <v>15</v>
      </c>
      <c r="F21" s="71" t="s">
        <v>16</v>
      </c>
      <c r="G21" s="71" t="s">
        <v>17</v>
      </c>
      <c r="H21" s="71" t="s">
        <v>18</v>
      </c>
      <c r="I21" s="71" t="s">
        <v>19</v>
      </c>
      <c r="J21" s="71" t="s">
        <v>20</v>
      </c>
      <c r="K21" s="71" t="s">
        <v>21</v>
      </c>
      <c r="L21" s="71" t="s">
        <v>22</v>
      </c>
      <c r="M21" s="71" t="s">
        <v>23</v>
      </c>
      <c r="N21" s="71" t="s">
        <v>24</v>
      </c>
      <c r="O21" s="71" t="s">
        <v>25</v>
      </c>
      <c r="P21" s="71" t="s">
        <v>26</v>
      </c>
      <c r="Q21" s="78" t="s">
        <v>6</v>
      </c>
    </row>
    <row r="22" spans="2:17" ht="21" customHeight="1" x14ac:dyDescent="0.35">
      <c r="B22" s="72" t="s">
        <v>27</v>
      </c>
      <c r="C22" s="81">
        <f>COUNTIFS(GO!G16:G457,"X",GO!C16:C457,"JUR")</f>
        <v>0</v>
      </c>
      <c r="D22" s="81">
        <f>COUNTIFS(GO!G16:G457,"X",GO!C16:C457,"CHV")</f>
        <v>5</v>
      </c>
      <c r="E22" s="81">
        <f>COUNTIFS(GO!G16:G457,"X",GO!C16:C457,"SAG")</f>
        <v>8</v>
      </c>
      <c r="F22" s="81">
        <f>COUNTIFS(GO!G16:G457,"X",GO!C16:C457,"CN1")</f>
        <v>7</v>
      </c>
      <c r="G22" s="81">
        <f>COUNTIFS(GO!G16:G457,"X",GO!C16:C457,"CN2")</f>
        <v>7</v>
      </c>
      <c r="H22" s="81">
        <f>COUNTIFS(GO!G16:G457,"X",GO!C16:C457,"CPV")</f>
        <v>8</v>
      </c>
      <c r="I22" s="81">
        <f>COUNTIFS(GO!G16:G457,"X",GO!C16:C457,"TAQ")</f>
        <v>8</v>
      </c>
      <c r="J22" s="81">
        <f>COUNTIFS(GO!G16:G457,"X",GO!C16:C457,"ROS")</f>
        <v>9</v>
      </c>
      <c r="K22" s="81">
        <f>COUNTIFS(GO!G16:G457,"X",GO!C16:C457,"PLM")</f>
        <v>8</v>
      </c>
      <c r="L22" s="81">
        <f>COUNTIFS(GO!G16:G457,"X",GO!C16:C457,"RET")</f>
        <v>8</v>
      </c>
      <c r="M22" s="81">
        <f>COUNTIFS(GO!G16:G457,"X",GO!C16:C457,"ILS")</f>
        <v>73</v>
      </c>
      <c r="N22" s="81">
        <f>COUNTIFS(GO!G16:G457,"X",GO!C16:C457,"JUP")</f>
        <v>41</v>
      </c>
      <c r="O22" s="81">
        <f>COUNTIFS(GO!G16:G457,"X",GO!C16:C457,"STO")</f>
        <v>9</v>
      </c>
      <c r="P22" s="81">
        <f>COUNTIFS(GO!G16:G457,"X",GO!C16:C457,"GAR")</f>
        <v>4</v>
      </c>
      <c r="Q22" s="82">
        <f>SUM(C22:P22)</f>
        <v>195</v>
      </c>
    </row>
    <row r="23" spans="2:17" ht="21" customHeight="1" thickBot="1" x14ac:dyDescent="0.4">
      <c r="B23" s="90" t="s">
        <v>28</v>
      </c>
      <c r="C23" s="92">
        <f>COUNTIFS(GO!H16:H457,"X",GO!C16:C457,"JUR")</f>
        <v>0</v>
      </c>
      <c r="D23" s="92">
        <f>COUNTIFS(GO!H16:H457,"X",GO!C16:C457,"CHV")</f>
        <v>2</v>
      </c>
      <c r="E23" s="92">
        <f>COUNTIFS(GO!H16:H457,"X",GO!C16:C457,"SAG")</f>
        <v>4</v>
      </c>
      <c r="F23" s="92">
        <f>COUNTIFS(GO!H16:H457,"X",GO!C16:C457,"CN1")</f>
        <v>4</v>
      </c>
      <c r="G23" s="92">
        <f>COUNTIFS(GO!H16:H457,"X",GO!C16:C457,"CN2")</f>
        <v>4</v>
      </c>
      <c r="H23" s="92">
        <f>COUNTIFS(GO!H16:H457,"X",GO!C16:C457,"CPV")</f>
        <v>3</v>
      </c>
      <c r="I23" s="92">
        <f>COUNTIFS(GO!H16:H457,"X",GO!C16:C457,"TAQ")</f>
        <v>3</v>
      </c>
      <c r="J23" s="92">
        <f>COUNTIFS(GO!H16:H457,"X",GO!C16:C457,"ROS")</f>
        <v>4</v>
      </c>
      <c r="K23" s="92">
        <f>COUNTIFS(GO!H16:H457,"X",GO!C16:C457,"PLM")</f>
        <v>4</v>
      </c>
      <c r="L23" s="92">
        <f>COUNTIFS(GO!H16:H457,"X",GO!C16:C457,"RET")</f>
        <v>4</v>
      </c>
      <c r="M23" s="92">
        <f>COUNTIFS(GO!H16:H457,"X",GO!C16:C457,"ILS")</f>
        <v>22</v>
      </c>
      <c r="N23" s="92">
        <f>COUNTIFS(GO!H16:H457,"X",GO!C16:C457,"JUP")</f>
        <v>3</v>
      </c>
      <c r="O23" s="92">
        <f>COUNTIFS(GO!H16:H457,"X",GO!C16:C457,"STO")</f>
        <v>9</v>
      </c>
      <c r="P23" s="92">
        <f>COUNTIFS(GO!H16:H457,"X",GO!C16:C457,"GAR")</f>
        <v>4</v>
      </c>
      <c r="Q23" s="93">
        <f>SUM(C23:P23)</f>
        <v>70</v>
      </c>
    </row>
    <row r="24" spans="2:17" ht="8.5" customHeight="1" thickBot="1" x14ac:dyDescent="0.4">
      <c r="B24" s="85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9"/>
    </row>
    <row r="25" spans="2:17" ht="16" thickBot="1" x14ac:dyDescent="0.4">
      <c r="C25" s="225" t="s">
        <v>30</v>
      </c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7"/>
    </row>
    <row r="26" spans="2:17" x14ac:dyDescent="0.35">
      <c r="B26" s="70"/>
      <c r="C26" s="71" t="s">
        <v>13</v>
      </c>
      <c r="D26" s="71" t="s">
        <v>14</v>
      </c>
      <c r="E26" s="71" t="s">
        <v>15</v>
      </c>
      <c r="F26" s="71" t="s">
        <v>16</v>
      </c>
      <c r="G26" s="71" t="s">
        <v>17</v>
      </c>
      <c r="H26" s="71" t="s">
        <v>18</v>
      </c>
      <c r="I26" s="71" t="s">
        <v>19</v>
      </c>
      <c r="J26" s="71" t="s">
        <v>20</v>
      </c>
      <c r="K26" s="71" t="s">
        <v>21</v>
      </c>
      <c r="L26" s="71" t="s">
        <v>22</v>
      </c>
      <c r="M26" s="71" t="s">
        <v>23</v>
      </c>
      <c r="N26" s="71" t="s">
        <v>24</v>
      </c>
      <c r="O26" s="71" t="s">
        <v>25</v>
      </c>
      <c r="P26" s="71" t="s">
        <v>26</v>
      </c>
      <c r="Q26" s="78" t="s">
        <v>6</v>
      </c>
    </row>
    <row r="27" spans="2:17" ht="21" customHeight="1" x14ac:dyDescent="0.35">
      <c r="B27" s="95" t="s">
        <v>31</v>
      </c>
      <c r="C27" s="81">
        <f>COUNTIFS(PR!F5:F4771,"x",PR!A5:A4771,"JUR")</f>
        <v>298</v>
      </c>
      <c r="D27" s="81">
        <f>COUNTIFS(PR!F5:F4771,"x",PR!A5:A4771,"CHV")</f>
        <v>290</v>
      </c>
      <c r="E27" s="81">
        <f>COUNTIFS(PR!F5:F4771,"x",PR!A5:A4771,"SAG")</f>
        <v>281</v>
      </c>
      <c r="F27" s="81">
        <f>COUNTIFS(PR!F5:F4771,"x",PR!A5:A4771,"CN1")</f>
        <v>296</v>
      </c>
      <c r="G27" s="81">
        <f>COUNTIFS(PR!F5:F4771,"x",PR!A5:A4771,"CN2")</f>
        <v>293</v>
      </c>
      <c r="H27" s="81">
        <f>COUNTIFS(PR!F5:F4771,"x",PR!A5:A4771,"CPV")</f>
        <v>286</v>
      </c>
      <c r="I27" s="81">
        <f>COUNTIFS(PR!F5:F4771,"x",PR!A5:A4771,"TAQ")</f>
        <v>311</v>
      </c>
      <c r="J27" s="81">
        <f>COUNTIFS(PR!F5:F4771,"x",PR!A5:A4771,"ROS")</f>
        <v>308</v>
      </c>
      <c r="K27" s="81">
        <f>COUNTIFS(PR!F5:F4771,"x",PR!A5:A4771,"PLM")</f>
        <v>252</v>
      </c>
      <c r="L27" s="81">
        <f>COUNTIFS(PR!F5:F4771,"x",PR!A5:A4771,"RET")</f>
        <v>252</v>
      </c>
      <c r="M27" s="81">
        <f>COUNTIFS(PR!F5:F4771,"x",PR!A5:A4771,"ILS")</f>
        <v>315</v>
      </c>
      <c r="N27" s="81">
        <f>COUNTIFS(PR!F5:F4771,"x",PR!A5:A4771,"JUP")</f>
        <v>324</v>
      </c>
      <c r="O27" s="81">
        <f>COUNTIFS(PR!F5:F4771,"x",PR!A5:A4771,"STO")</f>
        <v>273</v>
      </c>
      <c r="P27" s="81">
        <f>COUNTIFS(PR!F5:F4771,"x",PR!A5:A4771,"GAR")</f>
        <v>306</v>
      </c>
      <c r="Q27" s="82">
        <f>SUM(C27:P27)</f>
        <v>4085</v>
      </c>
    </row>
    <row r="28" spans="2:17" ht="21" customHeight="1" thickBot="1" x14ac:dyDescent="0.4">
      <c r="B28" s="90" t="s">
        <v>32</v>
      </c>
      <c r="C28" s="83">
        <f>COUNTIFS(PR!G5:G4771,"x",PR!A5:A4771,"JUR")</f>
        <v>8</v>
      </c>
      <c r="D28" s="83">
        <f>COUNTIFS(PR!G5:G4771,"x",PR!A5:A4771,"CHV")</f>
        <v>8</v>
      </c>
      <c r="E28" s="83">
        <f>COUNTIFS(PR!G5:G4771,"x",PR!A5:A4771,"SAG")</f>
        <v>7</v>
      </c>
      <c r="F28" s="83">
        <f>COUNTIFS(PR!G5:G4771,"x",PR!A5:A4771,"CN1")</f>
        <v>8</v>
      </c>
      <c r="G28" s="83">
        <f>COUNTIFS(PR!G5:G4771,"x",PR!A5:A4771,"CN2")</f>
        <v>8</v>
      </c>
      <c r="H28" s="83">
        <f>COUNTIFS(PR!G5:G4771,"x",PR!A5:A4771,"CPV")</f>
        <v>8</v>
      </c>
      <c r="I28" s="83">
        <f>COUNTIFS(PR!G5:G4771,"x",PR!A5:A4771,"TAQ")</f>
        <v>8</v>
      </c>
      <c r="J28" s="83">
        <f>COUNTIFS(PR!G5:G4771,"x",PR!A5:A4771,"ROS")</f>
        <v>8</v>
      </c>
      <c r="K28" s="83">
        <f>COUNTIFS(PR!G5:G4771,"x",PR!A5:A4771,"PLM")</f>
        <v>8</v>
      </c>
      <c r="L28" s="83">
        <f>COUNTIFS(PR!G5:G4771,"x",PR!A5:A4771,"RET")</f>
        <v>8</v>
      </c>
      <c r="M28" s="83">
        <f>COUNTIFS(PR!G5:G4771,"x",PR!A5:A4771,"ILS")</f>
        <v>10</v>
      </c>
      <c r="N28" s="83">
        <f>COUNTIFS(PR!G5:G4771,"x",PR!A5:A4771,"JUP")</f>
        <v>8</v>
      </c>
      <c r="O28" s="83">
        <f>COUNTIFS(PR!G5:G4771,"x",PR!A5:A4771,"STO")</f>
        <v>8</v>
      </c>
      <c r="P28" s="83">
        <f>COUNTIFS(PR!G5:G4771,"x",PR!A5:A4771,"GAR")</f>
        <v>8</v>
      </c>
      <c r="Q28" s="82">
        <f>SUM(C28:P28)</f>
        <v>113</v>
      </c>
    </row>
    <row r="29" spans="2:17" ht="5.5" customHeight="1" thickBot="1" x14ac:dyDescent="0.4"/>
    <row r="30" spans="2:17" ht="16" thickBot="1" x14ac:dyDescent="0.4">
      <c r="C30" s="225" t="s">
        <v>33</v>
      </c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7"/>
    </row>
    <row r="31" spans="2:17" x14ac:dyDescent="0.35">
      <c r="B31" s="70"/>
      <c r="C31" s="71" t="s">
        <v>13</v>
      </c>
      <c r="D31" s="71" t="s">
        <v>14</v>
      </c>
      <c r="E31" s="71" t="s">
        <v>15</v>
      </c>
      <c r="F31" s="71" t="s">
        <v>16</v>
      </c>
      <c r="G31" s="71" t="s">
        <v>17</v>
      </c>
      <c r="H31" s="71" t="s">
        <v>18</v>
      </c>
      <c r="I31" s="71" t="s">
        <v>19</v>
      </c>
      <c r="J31" s="71" t="s">
        <v>20</v>
      </c>
      <c r="K31" s="71" t="s">
        <v>21</v>
      </c>
      <c r="L31" s="71" t="s">
        <v>22</v>
      </c>
      <c r="M31" s="71" t="s">
        <v>23</v>
      </c>
      <c r="N31" s="71" t="s">
        <v>24</v>
      </c>
      <c r="O31" s="71" t="s">
        <v>25</v>
      </c>
      <c r="P31" s="71" t="s">
        <v>26</v>
      </c>
      <c r="Q31" s="78" t="s">
        <v>6</v>
      </c>
    </row>
    <row r="32" spans="2:17" ht="21" customHeight="1" thickBot="1" x14ac:dyDescent="0.4">
      <c r="B32" s="73" t="s">
        <v>34</v>
      </c>
      <c r="C32" s="83">
        <f>COUNTIFS(MM!M7:M642,"Publicado",MM!C7:C642,"JUR")</f>
        <v>21</v>
      </c>
      <c r="D32" s="83">
        <f>COUNTIFS(MM!M7:M642,"Publicado",MM!C7:C642,"CHV")</f>
        <v>19</v>
      </c>
      <c r="E32" s="83">
        <f>COUNTIFS(MM!M7:M642,"Publicado",MM!C7:C642,"SAG")</f>
        <v>25</v>
      </c>
      <c r="F32" s="83">
        <f>COUNTIFS(MM!M7:M642,"Publicado",MM!C7:C642,"CN1")</f>
        <v>30</v>
      </c>
      <c r="G32" s="83">
        <f>COUNTIFS(MM!M7:M642,"Publicado",MM!C7:C642,"CN2")</f>
        <v>33</v>
      </c>
      <c r="H32" s="83">
        <f>COUNTIFS(MM!M7:M642,"Publicado",MM!C7:C642,"CPV")</f>
        <v>31</v>
      </c>
      <c r="I32" s="83">
        <f>COUNTIFS(MM!M7:M642,"Publicado",MM!C7:C642,"TAQ")</f>
        <v>20</v>
      </c>
      <c r="J32" s="83">
        <f>COUNTIFS(MM!M7:M642,"Publicado",MM!C7:C642,"ROS")</f>
        <v>28</v>
      </c>
      <c r="K32" s="83">
        <f>COUNTIFS(MM!M7:M642,"Publicado",MM!C7:C642,"PLM")</f>
        <v>16</v>
      </c>
      <c r="L32" s="83">
        <f>COUNTIFS(MM!M7:M642,"Publicado",MM!C7:C642,"RET")</f>
        <v>15</v>
      </c>
      <c r="M32" s="83">
        <f>COUNTIFS(MM!M7:M642,"Publicado",MM!C7:C642,"ILS")</f>
        <v>119</v>
      </c>
      <c r="N32" s="83">
        <f>COUNTIFS(MM!M7:M642,"Publicado",MM!C7:C642,"JUP")</f>
        <v>43</v>
      </c>
      <c r="O32" s="83">
        <f>COUNTIFS(MM!M7:M642,"Publicado",MM!C7:C642,"STO")</f>
        <v>4</v>
      </c>
      <c r="P32" s="83">
        <f>COUNTIFS(MM!M7:M642,"Publicado",MM!C7:C642,"GAR")</f>
        <v>38</v>
      </c>
      <c r="Q32" s="84">
        <f>SUM(C32:P32)</f>
        <v>442</v>
      </c>
    </row>
    <row r="33" spans="2:17" ht="5.15" customHeight="1" thickBot="1" x14ac:dyDescent="0.4"/>
    <row r="34" spans="2:17" ht="16" customHeight="1" thickBot="1" x14ac:dyDescent="0.4">
      <c r="C34" s="225" t="s">
        <v>35</v>
      </c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7"/>
    </row>
    <row r="35" spans="2:17" ht="14.5" customHeight="1" x14ac:dyDescent="0.35">
      <c r="B35" s="70"/>
      <c r="C35" s="71" t="s">
        <v>13</v>
      </c>
      <c r="D35" s="71" t="s">
        <v>14</v>
      </c>
      <c r="E35" s="71" t="s">
        <v>15</v>
      </c>
      <c r="F35" s="71" t="s">
        <v>16</v>
      </c>
      <c r="G35" s="71" t="s">
        <v>17</v>
      </c>
      <c r="H35" s="71" t="s">
        <v>18</v>
      </c>
      <c r="I35" s="71" t="s">
        <v>19</v>
      </c>
      <c r="J35" s="71" t="s">
        <v>20</v>
      </c>
      <c r="K35" s="71" t="s">
        <v>21</v>
      </c>
      <c r="L35" s="71" t="s">
        <v>22</v>
      </c>
      <c r="M35" s="71" t="s">
        <v>23</v>
      </c>
      <c r="N35" s="71" t="s">
        <v>24</v>
      </c>
      <c r="O35" s="71" t="s">
        <v>25</v>
      </c>
      <c r="P35" s="71" t="s">
        <v>26</v>
      </c>
      <c r="Q35" s="78" t="s">
        <v>6</v>
      </c>
    </row>
    <row r="36" spans="2:17" ht="21" customHeight="1" thickBot="1" x14ac:dyDescent="0.4">
      <c r="B36" s="73" t="s">
        <v>34</v>
      </c>
      <c r="C36" s="83">
        <f>COUNTIFS(MO!K110:K659,"Publicado",MO!C110:C659,"JUR")</f>
        <v>0</v>
      </c>
      <c r="D36" s="83">
        <f>COUNTIFS(MO!K110:K659,"Publicado",MO!C110:C659,"CHV")</f>
        <v>0</v>
      </c>
      <c r="E36" s="83">
        <f>COUNTIFS(MO!K110:K659,"Publicado",MO!C110:C659,"SAG")</f>
        <v>0</v>
      </c>
      <c r="F36" s="83">
        <f>COUNTIFS(MO!K110:K659,"Publicado",MO!C110:C659,"CN1")</f>
        <v>0</v>
      </c>
      <c r="G36" s="83">
        <f>COUNTIFS(MO!K110:K659,"Publicado",MO!C110:C659,"CN2")</f>
        <v>0</v>
      </c>
      <c r="H36" s="83">
        <f>COUNTIFS(MO!K110:K659,"Publicado",MO!C110:C659,"CPV")</f>
        <v>16</v>
      </c>
      <c r="I36" s="83">
        <f>COUNTIFS(MO!K110:K659,"Publicado",MO!C110:C659,"TAQ")</f>
        <v>21</v>
      </c>
      <c r="J36" s="83">
        <f>COUNTIFS(MO!K110:K659,"Publicado",MO!C110:C659,"ROS")</f>
        <v>19</v>
      </c>
      <c r="K36" s="83">
        <f>COUNTIFS(MO!K110:K659,"Publicado",MO!C110:C659,"PLM")</f>
        <v>25</v>
      </c>
      <c r="L36" s="83">
        <f>COUNTIFS(MO!K110:K659,"Publicado",MO!C110:C659,"RET")</f>
        <v>25</v>
      </c>
      <c r="M36" s="83">
        <f>COUNTIFS(MO!K110:K659,"Publicado",MO!C110:C659,"ILS")</f>
        <v>11</v>
      </c>
      <c r="N36" s="83">
        <f>COUNTIFS(MO!K110:K659,"Publicado",MO!C110:C659,"JUP")</f>
        <v>27</v>
      </c>
      <c r="O36" s="83">
        <f>COUNTIFS(MO!K110:K659,"Publicado",MO!C110:C659,"STO")</f>
        <v>10</v>
      </c>
      <c r="P36" s="83">
        <f>COUNTIFS(MO!K110:K659,"Publicado",MO!C110:C659,"GAR")</f>
        <v>0</v>
      </c>
      <c r="Q36" s="84">
        <f>SUM(C36:P36)</f>
        <v>154</v>
      </c>
    </row>
    <row r="37" spans="2:17" ht="5.15" customHeight="1" thickBot="1" x14ac:dyDescent="0.4"/>
    <row r="38" spans="2:17" ht="16" customHeight="1" thickBot="1" x14ac:dyDescent="0.4">
      <c r="C38" s="207" t="s">
        <v>36</v>
      </c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9"/>
    </row>
    <row r="39" spans="2:17" x14ac:dyDescent="0.35">
      <c r="B39" s="70"/>
      <c r="C39" s="213" t="s">
        <v>37</v>
      </c>
      <c r="D39" s="214"/>
      <c r="E39" s="214"/>
      <c r="F39" s="214"/>
      <c r="G39" s="214"/>
      <c r="H39" s="214"/>
      <c r="I39" s="215"/>
      <c r="J39" s="213" t="s">
        <v>38</v>
      </c>
      <c r="K39" s="214"/>
      <c r="L39" s="214"/>
      <c r="M39" s="214"/>
      <c r="N39" s="214"/>
      <c r="O39" s="214"/>
      <c r="P39" s="215"/>
      <c r="Q39" s="78" t="s">
        <v>6</v>
      </c>
    </row>
    <row r="40" spans="2:17" ht="21" customHeight="1" thickBot="1" x14ac:dyDescent="0.4">
      <c r="B40" s="73" t="s">
        <v>39</v>
      </c>
      <c r="C40" s="210">
        <f>COUNTIFS(POL!E5:E83,"X")</f>
        <v>19</v>
      </c>
      <c r="D40" s="211"/>
      <c r="E40" s="211"/>
      <c r="F40" s="211"/>
      <c r="G40" s="211"/>
      <c r="H40" s="211"/>
      <c r="I40" s="212"/>
      <c r="J40" s="210">
        <f>COUNTIFS(POL!F5:F83,"X")</f>
        <v>19</v>
      </c>
      <c r="K40" s="211"/>
      <c r="L40" s="211"/>
      <c r="M40" s="211"/>
      <c r="N40" s="211"/>
      <c r="O40" s="211"/>
      <c r="P40" s="212"/>
      <c r="Q40" s="84">
        <f>SUM(C40:P40)</f>
        <v>38</v>
      </c>
    </row>
  </sheetData>
  <mergeCells count="30">
    <mergeCell ref="C25:Q25"/>
    <mergeCell ref="C30:Q30"/>
    <mergeCell ref="C8:G8"/>
    <mergeCell ref="C10:Q10"/>
    <mergeCell ref="P2:Q2"/>
    <mergeCell ref="D2:O3"/>
    <mergeCell ref="P3:Q3"/>
    <mergeCell ref="C6:G6"/>
    <mergeCell ref="C7:G7"/>
    <mergeCell ref="C5:Q5"/>
    <mergeCell ref="H6:K6"/>
    <mergeCell ref="H7:K7"/>
    <mergeCell ref="L6:P6"/>
    <mergeCell ref="L7:P7"/>
    <mergeCell ref="C40:I40"/>
    <mergeCell ref="C39:I39"/>
    <mergeCell ref="J39:P39"/>
    <mergeCell ref="J40:P40"/>
    <mergeCell ref="H8:K8"/>
    <mergeCell ref="C11:I11"/>
    <mergeCell ref="C12:I12"/>
    <mergeCell ref="C13:I13"/>
    <mergeCell ref="J11:P11"/>
    <mergeCell ref="J12:P12"/>
    <mergeCell ref="J13:P13"/>
    <mergeCell ref="C20:Q20"/>
    <mergeCell ref="C34:Q34"/>
    <mergeCell ref="L8:P8"/>
    <mergeCell ref="C38:Q38"/>
    <mergeCell ref="C15:Q1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CBB3-9941-43BB-86F5-109B450271CB}">
  <dimension ref="B1:XFC41"/>
  <sheetViews>
    <sheetView showGridLines="0" tabSelected="1" zoomScale="90" zoomScaleNormal="90" workbookViewId="0">
      <selection activeCell="J13" sqref="J13:T13"/>
    </sheetView>
  </sheetViews>
  <sheetFormatPr defaultColWidth="0" defaultRowHeight="14.5" x14ac:dyDescent="0.35"/>
  <cols>
    <col min="1" max="1" width="1.81640625" customWidth="1"/>
    <col min="2" max="2" width="24.1796875" customWidth="1"/>
    <col min="3" max="15" width="8.54296875" customWidth="1"/>
    <col min="16" max="20" width="10.81640625" customWidth="1"/>
    <col min="21" max="21" width="8.81640625" customWidth="1"/>
    <col min="22" max="22" width="8.90625" customWidth="1"/>
    <col min="23" max="16383" width="8.81640625" hidden="1"/>
    <col min="16384" max="16384" width="6" customWidth="1"/>
  </cols>
  <sheetData>
    <row r="1" spans="2:22" ht="6.65" customHeight="1" thickBot="1" x14ac:dyDescent="0.4"/>
    <row r="2" spans="2:22" ht="10.5" customHeight="1" thickBot="1" x14ac:dyDescent="0.4">
      <c r="B2" s="74"/>
      <c r="C2" s="75"/>
      <c r="D2" s="226" t="s">
        <v>0</v>
      </c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8" t="s">
        <v>1</v>
      </c>
      <c r="Q2" s="228"/>
      <c r="R2" s="228"/>
      <c r="S2" s="228"/>
      <c r="T2" s="228"/>
      <c r="U2" s="229"/>
    </row>
    <row r="3" spans="2:22" ht="24" customHeight="1" thickBot="1" x14ac:dyDescent="0.4">
      <c r="B3" s="77"/>
      <c r="C3" s="76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1">
        <f>SUM(U7,U17,U32,U36,U22,U12,C41)</f>
        <v>1894</v>
      </c>
      <c r="Q3" s="233"/>
      <c r="R3" s="233"/>
      <c r="S3" s="233"/>
      <c r="T3" s="233"/>
      <c r="U3" s="232"/>
    </row>
    <row r="4" spans="2:22" ht="5.15" customHeight="1" thickBot="1" x14ac:dyDescent="0.4"/>
    <row r="5" spans="2:22" ht="16" customHeight="1" thickBot="1" x14ac:dyDescent="0.4">
      <c r="C5" s="207" t="s">
        <v>2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9"/>
    </row>
    <row r="6" spans="2:22" x14ac:dyDescent="0.35">
      <c r="B6" s="70"/>
      <c r="C6" s="218" t="s">
        <v>3</v>
      </c>
      <c r="D6" s="214"/>
      <c r="E6" s="214"/>
      <c r="F6" s="214"/>
      <c r="G6" s="215"/>
      <c r="H6" s="218" t="s">
        <v>4</v>
      </c>
      <c r="I6" s="214"/>
      <c r="J6" s="214"/>
      <c r="K6" s="214"/>
      <c r="L6" s="213" t="s">
        <v>5</v>
      </c>
      <c r="M6" s="214"/>
      <c r="N6" s="214"/>
      <c r="O6" s="214"/>
      <c r="P6" s="214"/>
      <c r="Q6" s="214"/>
      <c r="R6" s="214"/>
      <c r="S6" s="214"/>
      <c r="T6" s="215"/>
      <c r="U6" s="78" t="s">
        <v>6</v>
      </c>
    </row>
    <row r="7" spans="2:22" ht="21" customHeight="1" x14ac:dyDescent="0.35">
      <c r="B7" s="72" t="s">
        <v>7</v>
      </c>
      <c r="C7" s="221">
        <f>COUNTIFS(IM!G5:G199,"x",IM!B5:B199,"Instruções Manutenção Elétrica")</f>
        <v>29</v>
      </c>
      <c r="D7" s="222"/>
      <c r="E7" s="222"/>
      <c r="F7" s="222"/>
      <c r="G7" s="223"/>
      <c r="H7" s="221">
        <f>COUNTIFS(IM!G5:G199,"x",IM!B5:B199,"Instruções Manutenção Mecânica")</f>
        <v>29</v>
      </c>
      <c r="I7" s="222"/>
      <c r="J7" s="222"/>
      <c r="K7" s="222"/>
      <c r="L7" s="221">
        <f>COUNTIFS(IM!G5:G199,"x",IM!B5:B199,"Instruções Manutenção Normativas e Gerenciais")</f>
        <v>32</v>
      </c>
      <c r="M7" s="222"/>
      <c r="N7" s="222"/>
      <c r="O7" s="222"/>
      <c r="P7" s="222"/>
      <c r="Q7" s="222"/>
      <c r="R7" s="222"/>
      <c r="S7" s="222"/>
      <c r="T7" s="223"/>
      <c r="U7" s="79">
        <f>SUM(C7:P7)</f>
        <v>90</v>
      </c>
      <c r="V7">
        <f>U7-U8</f>
        <v>50</v>
      </c>
    </row>
    <row r="8" spans="2:22" ht="21" customHeight="1" thickBot="1" x14ac:dyDescent="0.4">
      <c r="B8" s="90" t="s">
        <v>8</v>
      </c>
      <c r="C8" s="216">
        <f>COUNTIFS(IM!H5:H199,"x",IM!B5:B199,"Instruções Manutenção Elétrica")</f>
        <v>12</v>
      </c>
      <c r="D8" s="217"/>
      <c r="E8" s="217"/>
      <c r="F8" s="217"/>
      <c r="G8" s="224"/>
      <c r="H8" s="216">
        <f>COUNTIFS(IM!H5:H199,"x",IM!B5:B199,"Instruções Manutenção Mecânica")</f>
        <v>8</v>
      </c>
      <c r="I8" s="217"/>
      <c r="J8" s="217"/>
      <c r="K8" s="217"/>
      <c r="L8" s="216">
        <f>COUNTIFS(IM!H5:H199,"x",IM!B5:B199,"Instruções Manutenção Normativas e Gerenciais")</f>
        <v>20</v>
      </c>
      <c r="M8" s="217"/>
      <c r="N8" s="217"/>
      <c r="O8" s="217"/>
      <c r="P8" s="217"/>
      <c r="Q8" s="217"/>
      <c r="R8" s="217"/>
      <c r="S8" s="217"/>
      <c r="T8" s="224"/>
      <c r="U8" s="91">
        <f>SUM(C8:P8)</f>
        <v>40</v>
      </c>
    </row>
    <row r="9" spans="2:22" ht="6" customHeight="1" thickBot="1" x14ac:dyDescent="0.4"/>
    <row r="10" spans="2:22" ht="16" customHeight="1" thickBot="1" x14ac:dyDescent="0.4">
      <c r="C10" s="207" t="s">
        <v>9</v>
      </c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9"/>
    </row>
    <row r="11" spans="2:22" ht="14.5" customHeight="1" x14ac:dyDescent="0.35">
      <c r="B11" s="70"/>
      <c r="C11" s="218" t="s">
        <v>10</v>
      </c>
      <c r="D11" s="219"/>
      <c r="E11" s="219"/>
      <c r="F11" s="219"/>
      <c r="G11" s="219"/>
      <c r="H11" s="219"/>
      <c r="I11" s="220"/>
      <c r="J11" s="218" t="s">
        <v>11</v>
      </c>
      <c r="K11" s="219"/>
      <c r="L11" s="219"/>
      <c r="M11" s="219"/>
      <c r="N11" s="219"/>
      <c r="O11" s="219"/>
      <c r="P11" s="219"/>
      <c r="Q11" s="219"/>
      <c r="R11" s="219"/>
      <c r="S11" s="219"/>
      <c r="T11" s="220"/>
      <c r="U11" s="78" t="s">
        <v>6</v>
      </c>
    </row>
    <row r="12" spans="2:22" ht="21" customHeight="1" x14ac:dyDescent="0.35">
      <c r="B12" s="72" t="s">
        <v>7</v>
      </c>
      <c r="C12" s="221">
        <f>COUNTIFS(IO!F5:F276,"X",IO!B5:B276,"Instruções de operação local")</f>
        <v>8</v>
      </c>
      <c r="D12" s="222"/>
      <c r="E12" s="222"/>
      <c r="F12" s="222"/>
      <c r="G12" s="222"/>
      <c r="H12" s="222"/>
      <c r="I12" s="223"/>
      <c r="J12" s="221">
        <f>COUNTIFS(IO!F5:F276,"X",IO!B5:B276,"Instruções de operação sistêmica")</f>
        <v>76</v>
      </c>
      <c r="K12" s="222"/>
      <c r="L12" s="222"/>
      <c r="M12" s="222"/>
      <c r="N12" s="222"/>
      <c r="O12" s="222"/>
      <c r="P12" s="222"/>
      <c r="Q12" s="222"/>
      <c r="R12" s="222"/>
      <c r="S12" s="222"/>
      <c r="T12" s="223"/>
      <c r="U12" s="79">
        <f>SUM(C12:P12)</f>
        <v>84</v>
      </c>
      <c r="V12">
        <f>U12-U13</f>
        <v>15</v>
      </c>
    </row>
    <row r="13" spans="2:22" ht="21" customHeight="1" thickBot="1" x14ac:dyDescent="0.4">
      <c r="B13" s="90" t="s">
        <v>8</v>
      </c>
      <c r="C13" s="216">
        <f>COUNTIFS(IO!G5:G276,"X",IO!B5:B276,"Instruções de operação local")</f>
        <v>6</v>
      </c>
      <c r="D13" s="217"/>
      <c r="E13" s="217"/>
      <c r="F13" s="217"/>
      <c r="G13" s="217"/>
      <c r="H13" s="217"/>
      <c r="I13" s="224"/>
      <c r="J13" s="216">
        <f>COUNTIFS(IO!G5:G276,"X",IO!B5:B276,"Instruções de operação sistêmica")</f>
        <v>63</v>
      </c>
      <c r="K13" s="217"/>
      <c r="L13" s="217"/>
      <c r="M13" s="217"/>
      <c r="N13" s="217"/>
      <c r="O13" s="217"/>
      <c r="P13" s="217"/>
      <c r="Q13" s="217"/>
      <c r="R13" s="217"/>
      <c r="S13" s="217"/>
      <c r="T13" s="224"/>
      <c r="U13" s="91">
        <f>SUM(C13:P13)</f>
        <v>69</v>
      </c>
    </row>
    <row r="14" spans="2:22" ht="6" customHeight="1" thickBot="1" x14ac:dyDescent="0.4">
      <c r="B14" s="85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7"/>
    </row>
    <row r="15" spans="2:22" ht="16" thickBot="1" x14ac:dyDescent="0.4">
      <c r="C15" s="225" t="s">
        <v>12</v>
      </c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7"/>
    </row>
    <row r="16" spans="2:22" x14ac:dyDescent="0.35">
      <c r="B16" s="70"/>
      <c r="C16" s="71" t="s">
        <v>13</v>
      </c>
      <c r="D16" s="71" t="s">
        <v>14</v>
      </c>
      <c r="E16" s="71" t="s">
        <v>15</v>
      </c>
      <c r="F16" s="71" t="s">
        <v>16</v>
      </c>
      <c r="G16" s="71" t="s">
        <v>17</v>
      </c>
      <c r="H16" s="71" t="s">
        <v>18</v>
      </c>
      <c r="I16" s="71" t="s">
        <v>19</v>
      </c>
      <c r="J16" s="71" t="s">
        <v>20</v>
      </c>
      <c r="K16" s="71" t="s">
        <v>21</v>
      </c>
      <c r="L16" s="71" t="s">
        <v>22</v>
      </c>
      <c r="M16" s="71" t="s">
        <v>23</v>
      </c>
      <c r="N16" s="71" t="s">
        <v>24</v>
      </c>
      <c r="O16" s="71" t="s">
        <v>25</v>
      </c>
      <c r="P16" s="71" t="s">
        <v>26</v>
      </c>
      <c r="Q16" s="71" t="s">
        <v>40</v>
      </c>
      <c r="R16" s="71" t="s">
        <v>41</v>
      </c>
      <c r="S16" s="71" t="s">
        <v>42</v>
      </c>
      <c r="T16" s="71" t="s">
        <v>43</v>
      </c>
      <c r="U16" s="78" t="s">
        <v>6</v>
      </c>
    </row>
    <row r="17" spans="2:22" ht="21" customHeight="1" x14ac:dyDescent="0.35">
      <c r="B17" s="72" t="s">
        <v>27</v>
      </c>
      <c r="C17" s="81">
        <f>COUNTIFS(GM!$H$5:$H$1014,"X",GM!$C$5:$C$1014,"JUR")</f>
        <v>50</v>
      </c>
      <c r="D17" s="81">
        <f>COUNTIFS(GM!$H$5:$H$1014,"X",GM!$C$5:$C$1014,"chv")</f>
        <v>49</v>
      </c>
      <c r="E17" s="81">
        <f>COUNTIFS(GM!$H$5:$H$1014,"X",GM!$C$5:$C$1014,"SAG")</f>
        <v>45</v>
      </c>
      <c r="F17" s="81">
        <f>COUNTIFS(GM!$H$5:$H$1014,"X",GM!$C$5:$C$1014,"CN1")</f>
        <v>49</v>
      </c>
      <c r="G17" s="81">
        <f>COUNTIFS(GM!$H$5:$H$1014,"X",GM!$C$5:$C$1014,"CN2")</f>
        <v>49</v>
      </c>
      <c r="H17" s="81">
        <f>COUNTIFS(GM!$H$5:$H$1014,"X",GM!$C$5:$C$1014,"CPV")</f>
        <v>48</v>
      </c>
      <c r="I17" s="81">
        <f>COUNTIFS(GM!$H$5:$H$1014,"X",GM!$C$5:$C$1014,"TAQ")</f>
        <v>48</v>
      </c>
      <c r="J17" s="81">
        <f>COUNTIFS(GM!$H$5:$H$1014,"X",GM!$C$5:$C$1014,"ROS")</f>
        <v>49</v>
      </c>
      <c r="K17" s="81">
        <f>COUNTIFS(GM!$H$5:$H$1014,"X",GM!$C$5:$C$1014,"PLM")</f>
        <v>41</v>
      </c>
      <c r="L17" s="81">
        <f>COUNTIFS(GM!$H$5:$H$1014,"X",GM!$C$5:$C$1014,"RET")</f>
        <v>41</v>
      </c>
      <c r="M17" s="81">
        <f>COUNTIFS(GM!$H$5:$H$1014,"X",GM!$C$5:$C$1014,"ILS")</f>
        <v>62</v>
      </c>
      <c r="N17" s="81">
        <f>COUNTIFS(GM!$H$5:$H$1014,"X",GM!$C$5:$C$1014,"JUP")</f>
        <v>64</v>
      </c>
      <c r="O17" s="81">
        <f>COUNTIFS(GM!$H$5:$H$1014,"X",GM!$C$5:$C$1014,"STO")</f>
        <v>48</v>
      </c>
      <c r="P17" s="81">
        <f>COUNTIFS(GM!$H$5:$H$1014,"X",GM!$C$5:$C$1014,"GAR")</f>
        <v>58</v>
      </c>
      <c r="Q17" s="81">
        <f>COUNTIFS(GM!$H$5:$H$1014,"X",GM!$C$5:$C$1014,"ARN")</f>
        <v>21</v>
      </c>
      <c r="R17" s="81">
        <f>COUNTIFS(GM!$H$5:$H$1014,"X",GM!$C$5:$C$1014,"SDP")</f>
        <v>28</v>
      </c>
      <c r="S17" s="81">
        <f>COUNTIFS(GM!$H$5:$H$1014,"X",GM!$C$5:$C$1014,"COG")</f>
        <v>1</v>
      </c>
      <c r="T17" s="81">
        <f>COUNTIFS(GM!$H$5:$H$1014,"X",GM!$C$5:$C$1014,"UHE")</f>
        <v>0</v>
      </c>
      <c r="U17" s="82">
        <f>SUM(C17:T17)</f>
        <v>751</v>
      </c>
      <c r="V17">
        <f>U17-U18</f>
        <v>53</v>
      </c>
    </row>
    <row r="18" spans="2:22" ht="21" customHeight="1" thickBot="1" x14ac:dyDescent="0.4">
      <c r="B18" s="90" t="s">
        <v>28</v>
      </c>
      <c r="C18" s="92">
        <f>COUNTIFS(GM!$I$5:$I$1014,"X",GM!$C$5:$C$1014,"JUR")</f>
        <v>47</v>
      </c>
      <c r="D18" s="92">
        <f>COUNTIFS(GM!$I$5:$I$1014,"X",GM!$C$5:$C$1014,"CHV")</f>
        <v>46</v>
      </c>
      <c r="E18" s="92">
        <f>COUNTIFS(GM!$I$5:$I$1014,"X",GM!$C$5:$C$1014,"SAG")</f>
        <v>42</v>
      </c>
      <c r="F18" s="92">
        <f>COUNTIFS(GM!$I$5:$I$1014,"X",GM!$C$5:$C$1014,"CN1")</f>
        <v>45</v>
      </c>
      <c r="G18" s="92">
        <f>COUNTIFS(GM!$I$5:$I$1014,"X",GM!$C$5:$C$1014,"CN2")</f>
        <v>45</v>
      </c>
      <c r="H18" s="92">
        <f>COUNTIFS(GM!$I$5:$I$1014,"X",GM!$C$5:$C$1014,"CPV")</f>
        <v>44</v>
      </c>
      <c r="I18" s="92">
        <f>COUNTIFS(GM!$I$5:$I$1014,"X",GM!$C$5:$C$1014,"TAQ")</f>
        <v>44</v>
      </c>
      <c r="J18" s="92">
        <f>COUNTIFS(GM!$I$5:$I$1014,"X",GM!$C$5:$C$1014,"ROS")</f>
        <v>45</v>
      </c>
      <c r="K18" s="92">
        <f>COUNTIFS(GM!$I$5:$I$1014,"X",GM!$C$5:$C$1014,"PLM")</f>
        <v>38</v>
      </c>
      <c r="L18" s="92">
        <f>COUNTIFS(GM!$I$5:$I$1014,"X",GM!$C$5:$C$1014,"RET")</f>
        <v>38</v>
      </c>
      <c r="M18" s="92">
        <f>COUNTIFS(GM!$I$5:$I$1014,"X",GM!$C$5:$C$1014,"ILS")</f>
        <v>58</v>
      </c>
      <c r="N18" s="92">
        <f>COUNTIFS(GM!$I$5:$I$1014,"X",GM!$C$5:$C$1014,"JUP")</f>
        <v>60</v>
      </c>
      <c r="O18" s="92">
        <f>COUNTIFS(GM!$I$5:$I$1014,"X",GM!$C$5:$C$1014,"STO")</f>
        <v>44</v>
      </c>
      <c r="P18" s="92">
        <f>COUNTIFS(GM!$I$5:$I$1014,"X",GM!$C$5:$C$1014,"GAR")</f>
        <v>52</v>
      </c>
      <c r="Q18" s="92">
        <f>COUNTIFS(GM!$I$5:$I$1014,"X",GM!$C$5:$C$1014,"ARN")</f>
        <v>21</v>
      </c>
      <c r="R18" s="92">
        <f>COUNTIFS(GM!$I$5:$I$1014,"X",GM!$C$5:$C$1014,"SDP")</f>
        <v>28</v>
      </c>
      <c r="S18" s="92">
        <f>COUNTIFS(GM!$I$5:$I$1014,"X",GM!$C$5:$C$1014,"COG")</f>
        <v>1</v>
      </c>
      <c r="T18" s="92">
        <f>COUNTIFS(GM!$I$5:$I$1014,"X",GM!$C$5:$C$1014,"UHE")</f>
        <v>0</v>
      </c>
      <c r="U18" s="91">
        <f>SUM(C18:T18)</f>
        <v>698</v>
      </c>
    </row>
    <row r="19" spans="2:22" ht="7" customHeight="1" thickBot="1" x14ac:dyDescent="0.4"/>
    <row r="20" spans="2:22" ht="16" customHeight="1" thickBot="1" x14ac:dyDescent="0.4">
      <c r="C20" s="225" t="s">
        <v>29</v>
      </c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7"/>
    </row>
    <row r="21" spans="2:22" ht="14.5" customHeight="1" x14ac:dyDescent="0.35">
      <c r="B21" s="70"/>
      <c r="C21" s="71" t="s">
        <v>13</v>
      </c>
      <c r="D21" s="71" t="s">
        <v>14</v>
      </c>
      <c r="E21" s="71" t="s">
        <v>15</v>
      </c>
      <c r="F21" s="71" t="s">
        <v>16</v>
      </c>
      <c r="G21" s="71" t="s">
        <v>17</v>
      </c>
      <c r="H21" s="71" t="s">
        <v>18</v>
      </c>
      <c r="I21" s="71" t="s">
        <v>19</v>
      </c>
      <c r="J21" s="71" t="s">
        <v>20</v>
      </c>
      <c r="K21" s="71" t="s">
        <v>21</v>
      </c>
      <c r="L21" s="71" t="s">
        <v>22</v>
      </c>
      <c r="M21" s="71" t="s">
        <v>23</v>
      </c>
      <c r="N21" s="71" t="s">
        <v>24</v>
      </c>
      <c r="O21" s="71" t="s">
        <v>25</v>
      </c>
      <c r="P21" s="71" t="s">
        <v>26</v>
      </c>
      <c r="Q21" s="71" t="s">
        <v>40</v>
      </c>
      <c r="R21" s="71" t="s">
        <v>41</v>
      </c>
      <c r="S21" s="71" t="s">
        <v>42</v>
      </c>
      <c r="T21" s="71" t="s">
        <v>43</v>
      </c>
      <c r="U21" s="78" t="s">
        <v>6</v>
      </c>
    </row>
    <row r="22" spans="2:22" ht="21" customHeight="1" x14ac:dyDescent="0.35">
      <c r="B22" s="72" t="s">
        <v>27</v>
      </c>
      <c r="C22" s="81">
        <f>COUNTIFS(GO!G5:G457,"X",GO!C5:C457,"JUR")</f>
        <v>8</v>
      </c>
      <c r="D22" s="81">
        <f>COUNTIFS(GO!G5:G457,"X",GO!C5:C457,"CHV")</f>
        <v>8</v>
      </c>
      <c r="E22" s="81">
        <f>COUNTIFS(GO!G5:G457,"X",GO!C5:C457,"SAG")</f>
        <v>8</v>
      </c>
      <c r="F22" s="81">
        <f>COUNTIFS(GO!G5:G457,"X",GO!C5:C457,"CN1")</f>
        <v>7</v>
      </c>
      <c r="G22" s="81">
        <f>COUNTIFS(GO!G5:G457,"X",GO!C5:C457,"CN2")</f>
        <v>7</v>
      </c>
      <c r="H22" s="81">
        <f>COUNTIFS(GO!G5:G457,"X",GO!C5:C457,"CPV")</f>
        <v>8</v>
      </c>
      <c r="I22" s="81">
        <f>COUNTIFS(GO!G5:G457,"X",GO!C5:C457,"TAQ")</f>
        <v>8</v>
      </c>
      <c r="J22" s="81">
        <f>COUNTIFS(GO!G5:G457,"X",GO!C5:C457,"ROS")</f>
        <v>9</v>
      </c>
      <c r="K22" s="81">
        <f>COUNTIFS(GO!G5:G457,"X",GO!C5:C457,"PLM")</f>
        <v>8</v>
      </c>
      <c r="L22" s="81">
        <f>COUNTIFS(GO!G5:G457,"X",GO!C5:C457,"RET")</f>
        <v>8</v>
      </c>
      <c r="M22" s="81">
        <f>COUNTIFS(GO!G5:G457,"X",GO!C5:C457,"ILS")</f>
        <v>73</v>
      </c>
      <c r="N22" s="81">
        <f>COUNTIFS(GO!G5:G457,"X",GO!C5:C457,"JUP")</f>
        <v>41</v>
      </c>
      <c r="O22" s="81">
        <f>COUNTIFS(GO!G5:G457,"X",GO!C5:C457,"STO")</f>
        <v>9</v>
      </c>
      <c r="P22" s="81">
        <f>COUNTIFS(GO!G5:G457,"X",GO!C5:C457,"GAR")</f>
        <v>4</v>
      </c>
      <c r="Q22" s="81">
        <f>COUNTIFS(GO!G5:G457,"X",GO!C5:C457,"ARN")</f>
        <v>3</v>
      </c>
      <c r="R22" s="81">
        <f>COUNTIFS(GO!G5:G457,"X",GO!C5:C457,"SDP")</f>
        <v>0</v>
      </c>
      <c r="S22" s="81">
        <f>COUNTIFS(GO!G5:G457,"X",GO!C5:C457,"COG")</f>
        <v>3</v>
      </c>
      <c r="T22" s="81">
        <f>COUNTIFS(GO!G5:G457,"X",GO!C5:C457,"UHE")</f>
        <v>0</v>
      </c>
      <c r="U22" s="82">
        <f>SUM(C22:T22)</f>
        <v>212</v>
      </c>
      <c r="V22">
        <f>U22-U23</f>
        <v>129</v>
      </c>
    </row>
    <row r="23" spans="2:22" ht="21" customHeight="1" thickBot="1" x14ac:dyDescent="0.4">
      <c r="B23" s="90" t="s">
        <v>28</v>
      </c>
      <c r="C23" s="92">
        <f>COUNTIFS(GO!H5:H457,"X",GO!C5:C457,"JUR")</f>
        <v>4</v>
      </c>
      <c r="D23" s="92">
        <f>COUNTIFS(GO!H5:H457,"X",GO!C5:C457,"CHV")</f>
        <v>5</v>
      </c>
      <c r="E23" s="92">
        <f>COUNTIFS(GO!H5:H457,"X",GO!C5:C457,"SAG")</f>
        <v>4</v>
      </c>
      <c r="F23" s="92">
        <f>COUNTIFS(GO!H5:H457,"X",GO!C5:C457,"CN1")</f>
        <v>4</v>
      </c>
      <c r="G23" s="92">
        <f>COUNTIFS(GO!H5:H457,"X",GO!C5:C457,"CN2")</f>
        <v>4</v>
      </c>
      <c r="H23" s="92">
        <f>COUNTIFS(GO!H5:H457,"X",GO!C5:C457,"CPV")</f>
        <v>3</v>
      </c>
      <c r="I23" s="92">
        <f>COUNTIFS(GO!H5:H457,"X",GO!C5:C457,"TAQ")</f>
        <v>3</v>
      </c>
      <c r="J23" s="92">
        <f>COUNTIFS(GO!H5:H457,"X",GO!C5:C457,"ROS")</f>
        <v>4</v>
      </c>
      <c r="K23" s="92">
        <f>COUNTIFS(GO!H5:H457,"X",GO!C5:C457,"PLM")</f>
        <v>4</v>
      </c>
      <c r="L23" s="92">
        <f>COUNTIFS(GO!H5:H457,"X",GO!C5:C457,"RET")</f>
        <v>4</v>
      </c>
      <c r="M23" s="92">
        <f>COUNTIFS(GO!H5:H457,"X",GO!C5:C457,"ILS")</f>
        <v>22</v>
      </c>
      <c r="N23" s="92">
        <f>COUNTIFS(GO!H5:H457,"X",GO!C5:C457,"JUP")</f>
        <v>3</v>
      </c>
      <c r="O23" s="92">
        <f>COUNTIFS(GO!H5:H457,"X",GO!C5:C457,"STO")</f>
        <v>9</v>
      </c>
      <c r="P23" s="92">
        <f>COUNTIFS(GO!H5:H457,"X",GO!C5:C457,"GAR")</f>
        <v>4</v>
      </c>
      <c r="Q23" s="92">
        <f>COUNTIFS(GO!H5:H457,"X",GO!C5:C457,"ARN")</f>
        <v>3</v>
      </c>
      <c r="R23" s="92">
        <f>COUNTIFS(GO!H5:H457,"X",GO!C5:C457,"SDP")</f>
        <v>0</v>
      </c>
      <c r="S23" s="92">
        <f>COUNTIFS(GO!H5:H457,"X",GO!C5:C457,"COG")</f>
        <v>3</v>
      </c>
      <c r="T23" s="92">
        <f>COUNTIFS(GO!H5:H457,"X",GO!C5:C457,"UHE")</f>
        <v>0</v>
      </c>
      <c r="U23" s="91">
        <f>SUM(C23:T23)</f>
        <v>83</v>
      </c>
    </row>
    <row r="24" spans="2:22" ht="8.5" customHeight="1" thickBot="1" x14ac:dyDescent="0.4">
      <c r="B24" s="85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9"/>
    </row>
    <row r="25" spans="2:22" ht="16.5" customHeight="1" thickBot="1" x14ac:dyDescent="0.4">
      <c r="C25" s="225" t="s">
        <v>30</v>
      </c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7"/>
    </row>
    <row r="26" spans="2:22" x14ac:dyDescent="0.35">
      <c r="B26" s="70"/>
      <c r="C26" s="71" t="s">
        <v>13</v>
      </c>
      <c r="D26" s="71" t="s">
        <v>14</v>
      </c>
      <c r="E26" s="71" t="s">
        <v>15</v>
      </c>
      <c r="F26" s="71" t="s">
        <v>16</v>
      </c>
      <c r="G26" s="71" t="s">
        <v>17</v>
      </c>
      <c r="H26" s="71" t="s">
        <v>18</v>
      </c>
      <c r="I26" s="71" t="s">
        <v>19</v>
      </c>
      <c r="J26" s="71" t="s">
        <v>20</v>
      </c>
      <c r="K26" s="71" t="s">
        <v>21</v>
      </c>
      <c r="L26" s="71" t="s">
        <v>22</v>
      </c>
      <c r="M26" s="71" t="s">
        <v>23</v>
      </c>
      <c r="N26" s="71" t="s">
        <v>24</v>
      </c>
      <c r="O26" s="71" t="s">
        <v>25</v>
      </c>
      <c r="P26" s="71" t="s">
        <v>26</v>
      </c>
      <c r="Q26" s="71" t="s">
        <v>40</v>
      </c>
      <c r="R26" s="71" t="s">
        <v>41</v>
      </c>
      <c r="S26" s="71" t="s">
        <v>42</v>
      </c>
      <c r="T26" s="71" t="s">
        <v>43</v>
      </c>
      <c r="U26" s="78" t="s">
        <v>6</v>
      </c>
    </row>
    <row r="27" spans="2:22" ht="21" customHeight="1" x14ac:dyDescent="0.35">
      <c r="B27" s="95" t="s">
        <v>31</v>
      </c>
      <c r="C27" s="81">
        <f>COUNTIFS(PR!F5:F4771,"x",PR!A5:A4771,"JUR")</f>
        <v>298</v>
      </c>
      <c r="D27" s="81">
        <f>COUNTIFS(PR!F5:F4771,"x",PR!A5:A4771,"CHV")</f>
        <v>290</v>
      </c>
      <c r="E27" s="81">
        <f>COUNTIFS(PR!F5:F4771,"x",PR!A5:A4771,"SAG")</f>
        <v>281</v>
      </c>
      <c r="F27" s="81">
        <f>COUNTIFS(PR!F5:F4771,"x",PR!A5:A4771,"CN1")</f>
        <v>296</v>
      </c>
      <c r="G27" s="81">
        <f>COUNTIFS(PR!F5:F4771,"x",PR!A5:A4771,"CN2")</f>
        <v>293</v>
      </c>
      <c r="H27" s="81">
        <f>COUNTIFS(PR!F5:F4771,"x",PR!A5:A4771,"CPV")</f>
        <v>286</v>
      </c>
      <c r="I27" s="81">
        <f>COUNTIFS(PR!F5:F4771,"x",PR!A5:A4771,"TAQ")</f>
        <v>311</v>
      </c>
      <c r="J27" s="81">
        <f>COUNTIFS(PR!F5:F4771,"x",PR!A5:A4771,"ROS")</f>
        <v>308</v>
      </c>
      <c r="K27" s="81">
        <f>COUNTIFS(PR!F5:F4771,"x",PR!A5:A4771,"PLM")</f>
        <v>252</v>
      </c>
      <c r="L27" s="81">
        <f>COUNTIFS(PR!F5:F4771,"x",PR!A5:A4771,"RET")</f>
        <v>252</v>
      </c>
      <c r="M27" s="81">
        <f>COUNTIFS(PR!F5:F4771,"x",PR!A5:A4771,"ILS")</f>
        <v>315</v>
      </c>
      <c r="N27" s="81">
        <f>COUNTIFS(PR!F5:F4771,"x",PR!A5:A4771,"JUP")</f>
        <v>324</v>
      </c>
      <c r="O27" s="81">
        <f>COUNTIFS(PR!F5:F4771,"x",PR!A5:A4771,"STO")</f>
        <v>273</v>
      </c>
      <c r="P27" s="81">
        <f>COUNTIFS(PR!F5:F4771,"x",PR!A5:A4771,"GAR")</f>
        <v>306</v>
      </c>
      <c r="Q27" s="81">
        <f>COUNTIFS(PR!F5:F4771,"x",PR!A5:A4771,"ARN")</f>
        <v>70</v>
      </c>
      <c r="R27" s="81">
        <f>COUNTIFS(PR!F5:F4771,"x",PR!A5:A4771,"SDP")</f>
        <v>14</v>
      </c>
      <c r="S27" s="81">
        <f>COUNTIFS(PR!F5:F4771,"x",PR!A5:A4771,"COG")</f>
        <v>0</v>
      </c>
      <c r="T27" s="81">
        <f>COUNTIFS(PR!F5:F4771,"x",PR!A5:A4771,"UHE")</f>
        <v>0</v>
      </c>
      <c r="U27" s="82">
        <f>SUM(C27:T27)</f>
        <v>4169</v>
      </c>
      <c r="V27">
        <f>U27-U28</f>
        <v>4054</v>
      </c>
    </row>
    <row r="28" spans="2:22" ht="21" customHeight="1" thickBot="1" x14ac:dyDescent="0.4">
      <c r="B28" s="90" t="s">
        <v>32</v>
      </c>
      <c r="C28" s="92">
        <f>COUNTIFS(PR!G5:G4771,"x",PR!A5:A4771,"JUR")</f>
        <v>8</v>
      </c>
      <c r="D28" s="92">
        <f>COUNTIFS(PR!G5:G4771,"x",PR!A5:A4771,"CHV")</f>
        <v>8</v>
      </c>
      <c r="E28" s="92">
        <f>COUNTIFS(PR!G5:G4771,"x",PR!A5:A4771,"SAG")</f>
        <v>7</v>
      </c>
      <c r="F28" s="92">
        <f>COUNTIFS(PR!G5:G4771,"x",PR!A5:A4771,"CN1")</f>
        <v>8</v>
      </c>
      <c r="G28" s="92">
        <f>COUNTIFS(PR!G5:G4771,"x",PR!A5:A4771,"CN2")</f>
        <v>8</v>
      </c>
      <c r="H28" s="92">
        <f>COUNTIFS(PR!G5:G4771,"x",PR!A5:A4771,"CPV")</f>
        <v>8</v>
      </c>
      <c r="I28" s="92">
        <f>COUNTIFS(PR!G5:G4771,"x",PR!A5:A4771,"TAQ")</f>
        <v>8</v>
      </c>
      <c r="J28" s="92">
        <f>COUNTIFS(PR!G5:G4771,"x",PR!A5:A4771,"ROS")</f>
        <v>8</v>
      </c>
      <c r="K28" s="92">
        <f>COUNTIFS(PR!G5:G4771,"x",PR!A5:A4771,"PLM")</f>
        <v>8</v>
      </c>
      <c r="L28" s="92">
        <f>COUNTIFS(PR!G5:G4771,"x",PR!A5:A4771,"RET")</f>
        <v>8</v>
      </c>
      <c r="M28" s="92">
        <f>COUNTIFS(PR!G5:G4771,"x",PR!A5:A4771,"ILS")</f>
        <v>10</v>
      </c>
      <c r="N28" s="92">
        <f>COUNTIFS(PR!G5:G4771,"x",PR!A5:A4771,"JUP")</f>
        <v>8</v>
      </c>
      <c r="O28" s="92">
        <f>COUNTIFS(PR!G5:G4771,"x",PR!A5:A4771,"STO")</f>
        <v>8</v>
      </c>
      <c r="P28" s="92">
        <f>COUNTIFS(PR!G5:G4771,"x",PR!A5:A4771,"GAR")</f>
        <v>8</v>
      </c>
      <c r="Q28" s="92">
        <f>COUNTIFS(PR!G5:G4771,"x",PR!A5:A4771,"ARN")</f>
        <v>1</v>
      </c>
      <c r="R28" s="92">
        <f>COUNTIFS(PR!G5:G4771,"x",PR!A5:A4771,"SDP")</f>
        <v>1</v>
      </c>
      <c r="S28" s="92">
        <f>COUNTIFS(PR!G5:G4771,"x",PR!A5:A4771,"COG")</f>
        <v>0</v>
      </c>
      <c r="T28" s="92">
        <f>COUNTIFS(PR!G5:G4771,"x",PR!A5:A4771,"UHE")</f>
        <v>0</v>
      </c>
      <c r="U28" s="91">
        <f>SUM(C28:T28)</f>
        <v>115</v>
      </c>
    </row>
    <row r="29" spans="2:22" ht="5.5" customHeight="1" thickBot="1" x14ac:dyDescent="0.4"/>
    <row r="30" spans="2:22" ht="16" thickBot="1" x14ac:dyDescent="0.4">
      <c r="C30" s="225" t="s">
        <v>33</v>
      </c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7"/>
    </row>
    <row r="31" spans="2:22" x14ac:dyDescent="0.35">
      <c r="B31" s="70"/>
      <c r="C31" s="71" t="s">
        <v>13</v>
      </c>
      <c r="D31" s="71" t="s">
        <v>14</v>
      </c>
      <c r="E31" s="71" t="s">
        <v>15</v>
      </c>
      <c r="F31" s="71" t="s">
        <v>16</v>
      </c>
      <c r="G31" s="71" t="s">
        <v>17</v>
      </c>
      <c r="H31" s="71" t="s">
        <v>18</v>
      </c>
      <c r="I31" s="71" t="s">
        <v>19</v>
      </c>
      <c r="J31" s="71" t="s">
        <v>20</v>
      </c>
      <c r="K31" s="71" t="s">
        <v>21</v>
      </c>
      <c r="L31" s="71" t="s">
        <v>22</v>
      </c>
      <c r="M31" s="71" t="s">
        <v>23</v>
      </c>
      <c r="N31" s="71" t="s">
        <v>24</v>
      </c>
      <c r="O31" s="71" t="s">
        <v>25</v>
      </c>
      <c r="P31" s="71" t="s">
        <v>26</v>
      </c>
      <c r="Q31" s="71" t="s">
        <v>40</v>
      </c>
      <c r="R31" s="71" t="s">
        <v>41</v>
      </c>
      <c r="S31" s="71" t="s">
        <v>42</v>
      </c>
      <c r="T31" s="71" t="s">
        <v>43</v>
      </c>
      <c r="U31" s="78" t="s">
        <v>6</v>
      </c>
    </row>
    <row r="32" spans="2:22" ht="21" customHeight="1" thickBot="1" x14ac:dyDescent="0.4">
      <c r="B32" s="73" t="s">
        <v>34</v>
      </c>
      <c r="C32" s="83">
        <f>COUNTIFS(MM!M6:M798,"Publicado",MM!C6:C798,"JUR")</f>
        <v>21</v>
      </c>
      <c r="D32" s="83">
        <f>COUNTIFS(MM!M6:M798,"Publicado",MM!C6:C798,"CHV")</f>
        <v>19</v>
      </c>
      <c r="E32" s="83">
        <f>COUNTIFS(MM!M6:M798,"Publicado",MM!C6:C798,"SAG")</f>
        <v>25</v>
      </c>
      <c r="F32" s="83">
        <f>COUNTIFS(MM!M6:M798,"Publicado",MM!C6:C798,"CN1")</f>
        <v>32</v>
      </c>
      <c r="G32" s="83">
        <f>COUNTIFS(MM!M6:M798,"Publicado",MM!C6:C798,"CN2")</f>
        <v>33</v>
      </c>
      <c r="H32" s="83">
        <f>COUNTIFS(MM!M6:M798,"Publicado",MM!C6:C798,"CPV")</f>
        <v>41</v>
      </c>
      <c r="I32" s="83">
        <f>COUNTIFS(MM!M6:M798,"Publicado",MM!C6:C798,"TAQ")</f>
        <v>24</v>
      </c>
      <c r="J32" s="83">
        <f>COUNTIFS(MM!M6:M798,"Publicado",MM!C6:C798,"ROS")</f>
        <v>40</v>
      </c>
      <c r="K32" s="83">
        <f>COUNTIFS(MM!M6:M798,"Publicado",MM!C6:C798,"PLM")</f>
        <v>16</v>
      </c>
      <c r="L32" s="83">
        <f>COUNTIFS(MM!M6:M798,"Publicado",MM!C6:C798,"RET")</f>
        <v>15</v>
      </c>
      <c r="M32" s="83">
        <f>COUNTIFS(MM!M6:M798,"Publicado",MM!C6:C798,"ILS")</f>
        <v>120</v>
      </c>
      <c r="N32" s="83">
        <f>COUNTIFS(MM!M6:M798,"Publicado",MM!C6:C798,"JUP")</f>
        <v>47</v>
      </c>
      <c r="O32" s="83">
        <f>COUNTIFS(MM!M6:M798,"Publicado",MM!C6:C798,"STO")</f>
        <v>4</v>
      </c>
      <c r="P32" s="83">
        <f>COUNTIFS(MM!M6:M798,"Publicado",MM!C6:C798,"GAR")</f>
        <v>38</v>
      </c>
      <c r="Q32" s="83">
        <f>COUNTIFS(MM!M6:M798,"Publicado",MM!C6:C798,"ARN")</f>
        <v>0</v>
      </c>
      <c r="R32" s="83">
        <f>COUNTIFS(MM!M6:M798,"Publicado",MM!C6:C798,"SDP")</f>
        <v>0</v>
      </c>
      <c r="S32" s="83">
        <f>COUNTIFS(MM!M6:M798,"Publicado",MM!C6:C798,"COG")</f>
        <v>2</v>
      </c>
      <c r="T32" s="83">
        <f>COUNTIFS(MM!M6:M798,"Publicado",MM!C6:C798,"UHE")</f>
        <v>3</v>
      </c>
      <c r="U32" s="183">
        <f>SUM(C32:T32)</f>
        <v>480</v>
      </c>
    </row>
    <row r="33" spans="2:21" ht="5.15" customHeight="1" thickBot="1" x14ac:dyDescent="0.4"/>
    <row r="34" spans="2:21" ht="16" customHeight="1" thickBot="1" x14ac:dyDescent="0.4">
      <c r="C34" s="225" t="s">
        <v>35</v>
      </c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7"/>
    </row>
    <row r="35" spans="2:21" ht="14.5" customHeight="1" x14ac:dyDescent="0.35">
      <c r="B35" s="70"/>
      <c r="C35" s="71" t="s">
        <v>13</v>
      </c>
      <c r="D35" s="71" t="s">
        <v>14</v>
      </c>
      <c r="E35" s="71" t="s">
        <v>15</v>
      </c>
      <c r="F35" s="71" t="s">
        <v>16</v>
      </c>
      <c r="G35" s="71" t="s">
        <v>17</v>
      </c>
      <c r="H35" s="71" t="s">
        <v>18</v>
      </c>
      <c r="I35" s="71" t="s">
        <v>19</v>
      </c>
      <c r="J35" s="71" t="s">
        <v>20</v>
      </c>
      <c r="K35" s="71" t="s">
        <v>21</v>
      </c>
      <c r="L35" s="71" t="s">
        <v>22</v>
      </c>
      <c r="M35" s="71" t="s">
        <v>23</v>
      </c>
      <c r="N35" s="71" t="s">
        <v>24</v>
      </c>
      <c r="O35" s="71" t="s">
        <v>25</v>
      </c>
      <c r="P35" s="71" t="s">
        <v>26</v>
      </c>
      <c r="Q35" s="71" t="s">
        <v>40</v>
      </c>
      <c r="R35" s="71" t="s">
        <v>41</v>
      </c>
      <c r="S35" s="71" t="s">
        <v>42</v>
      </c>
      <c r="T35" s="71" t="s">
        <v>43</v>
      </c>
      <c r="U35" s="78" t="s">
        <v>6</v>
      </c>
    </row>
    <row r="36" spans="2:21" ht="21" customHeight="1" x14ac:dyDescent="0.35">
      <c r="B36" s="95" t="s">
        <v>44</v>
      </c>
      <c r="C36" s="81">
        <f>COUNTIFS(MO!K6:K600,"Publicado",MO!C6:C600,"JUR")</f>
        <v>20</v>
      </c>
      <c r="D36" s="81">
        <f>COUNTIFS(MO!K6:K600,"Publicado",MO!C6:C600,"CHV")</f>
        <v>28</v>
      </c>
      <c r="E36" s="81">
        <f>COUNTIFS(MO!K6:K600,"Publicado",MO!C6:C600,"SAG")</f>
        <v>21</v>
      </c>
      <c r="F36" s="81">
        <f>COUNTIFS(MO!K6:K600,"Publicado",MO!C6:C600,"CN1")</f>
        <v>19</v>
      </c>
      <c r="G36" s="81">
        <f>COUNTIFS(MO!K6:K600,"Publicado",MO!C6:C600,"CN2")</f>
        <v>16</v>
      </c>
      <c r="H36" s="81">
        <f>COUNTIFS(MO!K6:K600,"Publicado",MO!C6:C600,"CPV")</f>
        <v>16</v>
      </c>
      <c r="I36" s="81">
        <f>COUNTIFS(MO!K6:K600,"Publicado",MO!C6:C600,"TAQ")</f>
        <v>21</v>
      </c>
      <c r="J36" s="81">
        <f>COUNTIFS(MO!K6:K600,"Publicado",MO!C6:C600,"ROS")</f>
        <v>19</v>
      </c>
      <c r="K36" s="81">
        <f>COUNTIFS(MO!K6:K600,"Publicado",MO!C6:C600,"PLM")</f>
        <v>25</v>
      </c>
      <c r="L36" s="81">
        <f>COUNTIFS(MO!K6:K600,"Publicado",MO!C6:C600,"RET")</f>
        <v>25</v>
      </c>
      <c r="M36" s="81">
        <f>COUNTIFS(MO!K6:K600,"Publicado",MO!C6:C600,"ILS")</f>
        <v>11</v>
      </c>
      <c r="N36" s="81">
        <f>COUNTIFS(MO!K6:K600,"Publicado",MO!C6:C600,"JUP")</f>
        <v>27</v>
      </c>
      <c r="O36" s="81">
        <f>COUNTIFS(MO!K6:K600,"Publicado",MO!C6:C600,"STO")</f>
        <v>10</v>
      </c>
      <c r="P36" s="81">
        <f>COUNTIFS(MO!K6:K600,"Publicado",MO!C6:C600,"GAR")</f>
        <v>0</v>
      </c>
      <c r="Q36" s="81">
        <f>COUNTIFS(MO!K6:K600,"Publicado",MO!C6:C600,"ARN")</f>
        <v>0</v>
      </c>
      <c r="R36" s="81">
        <f>COUNTIFS(MO!K6:K600,"Publicado",MO!C6:C600,"SDP")</f>
        <v>0</v>
      </c>
      <c r="S36" s="81">
        <f>COUNTIFS(MO!K6:K600,"Publicado",MO!C6:C600,"COG")</f>
        <v>0</v>
      </c>
      <c r="T36" s="81">
        <f>COUNTIFS(MO!K6:K600,"Publicado",MO!C6:C600,"UHE")</f>
        <v>0</v>
      </c>
      <c r="U36" s="82">
        <f>SUM(C36:T36)</f>
        <v>258</v>
      </c>
    </row>
    <row r="37" spans="2:21" ht="21" customHeight="1" thickBot="1" x14ac:dyDescent="0.4">
      <c r="B37" s="95" t="s">
        <v>45</v>
      </c>
      <c r="C37" s="92">
        <f>COUNTIFS(MO!M6:M600,"X",MO!C6:C600,"JUR")</f>
        <v>20</v>
      </c>
      <c r="D37" s="92">
        <f>COUNTIFS(MO!M6:M600,"X",MO!C6:C600,"CHV")</f>
        <v>28</v>
      </c>
      <c r="E37" s="92">
        <f>COUNTIFS(MO!M6:M600,"X",MO!C6:C600,"SAG")</f>
        <v>21</v>
      </c>
      <c r="F37" s="92">
        <f>COUNTIFS(MO!M6:M600,"X",MO!C6:C600,"CN1")</f>
        <v>19</v>
      </c>
      <c r="G37" s="92">
        <f>COUNTIFS(MO!M6:M600,"X",MO!C6:C600,"CN2")</f>
        <v>16</v>
      </c>
      <c r="H37" s="92">
        <f>COUNTIFS(MO!M6:M600,"X",MO!C6:C600,"CPV")</f>
        <v>0</v>
      </c>
      <c r="I37" s="92">
        <f>COUNTIFS(MO!M6:M600,"X",MO!C6:C600,"TAQ")</f>
        <v>0</v>
      </c>
      <c r="J37" s="92">
        <f>COUNTIFS(MO!M6:M600,"X",MO!C6:C600,"ROS")</f>
        <v>0</v>
      </c>
      <c r="K37" s="92">
        <f>COUNTIFS(MO!M6:M600,"X",MO!C6:C600,"PLM")</f>
        <v>25</v>
      </c>
      <c r="L37" s="92">
        <f>COUNTIFS(MO!M6:M600,"X",MO!C6:C600,"RET")</f>
        <v>25</v>
      </c>
      <c r="M37" s="92">
        <f>COUNTIFS(MO!M6:M600,"X",MO!C6:C600,"ILS")</f>
        <v>0</v>
      </c>
      <c r="N37" s="92">
        <f>COUNTIFS(MO!M6:M600,"X",MO!C6:C600,"JUP")</f>
        <v>0</v>
      </c>
      <c r="O37" s="92">
        <f>COUNTIFS(MO!M6:M600,"X",MO!C6:C600,"STO")</f>
        <v>10</v>
      </c>
      <c r="P37" s="92">
        <f>COUNTIFS(MO!M6:M600,"X",MO!C6:C600,"GAR")</f>
        <v>0</v>
      </c>
      <c r="Q37" s="92">
        <f>COUNTIFS(MO!M6:M600,"X",MO!C6:C600,"ARN")</f>
        <v>0</v>
      </c>
      <c r="R37" s="92">
        <f>COUNTIFS(MO!M6:M600,"X",MO!C6:C600,"SDP")</f>
        <v>0</v>
      </c>
      <c r="S37" s="92">
        <f>COUNTIFS(MO!M6:M600,"X",MO!C6:C600,"COG")</f>
        <v>0</v>
      </c>
      <c r="T37" s="92">
        <f>COUNTIFS(MO!M6:M600,"X",MO!C6:C600,"UHE")</f>
        <v>0</v>
      </c>
      <c r="U37" s="91">
        <f>SUM(C37:T37)</f>
        <v>164</v>
      </c>
    </row>
    <row r="38" spans="2:21" ht="5.15" customHeight="1" thickBot="1" x14ac:dyDescent="0.4"/>
    <row r="39" spans="2:21" ht="16" customHeight="1" thickBot="1" x14ac:dyDescent="0.4">
      <c r="C39" s="207" t="s">
        <v>36</v>
      </c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9"/>
    </row>
    <row r="40" spans="2:21" x14ac:dyDescent="0.35">
      <c r="B40" s="70"/>
      <c r="C40" s="213" t="s">
        <v>37</v>
      </c>
      <c r="D40" s="214"/>
      <c r="E40" s="214"/>
      <c r="F40" s="214"/>
      <c r="G40" s="214"/>
      <c r="H40" s="214"/>
      <c r="I40" s="215"/>
      <c r="J40" s="213" t="s">
        <v>38</v>
      </c>
      <c r="K40" s="214"/>
      <c r="L40" s="214"/>
      <c r="M40" s="214"/>
      <c r="N40" s="214"/>
      <c r="O40" s="214"/>
      <c r="P40" s="214"/>
      <c r="Q40" s="214"/>
      <c r="R40" s="214"/>
      <c r="S40" s="214"/>
      <c r="T40" s="215"/>
      <c r="U40" s="78" t="s">
        <v>6</v>
      </c>
    </row>
    <row r="41" spans="2:21" ht="21" customHeight="1" thickBot="1" x14ac:dyDescent="0.4">
      <c r="B41" s="73" t="s">
        <v>39</v>
      </c>
      <c r="C41" s="210">
        <f>COUNTIFS(POL!E5:E83,"X")</f>
        <v>19</v>
      </c>
      <c r="D41" s="211"/>
      <c r="E41" s="211"/>
      <c r="F41" s="211"/>
      <c r="G41" s="211"/>
      <c r="H41" s="211"/>
      <c r="I41" s="212"/>
      <c r="J41" s="210">
        <f>COUNTIFS(POL!F5:F83,"X")</f>
        <v>19</v>
      </c>
      <c r="K41" s="211"/>
      <c r="L41" s="211"/>
      <c r="M41" s="211"/>
      <c r="N41" s="211"/>
      <c r="O41" s="211"/>
      <c r="P41" s="211"/>
      <c r="Q41" s="211"/>
      <c r="R41" s="211"/>
      <c r="S41" s="211"/>
      <c r="T41" s="212"/>
      <c r="U41" s="183">
        <f>SUM(C41:T41)</f>
        <v>38</v>
      </c>
    </row>
  </sheetData>
  <mergeCells count="30">
    <mergeCell ref="C7:G7"/>
    <mergeCell ref="H7:K7"/>
    <mergeCell ref="C8:G8"/>
    <mergeCell ref="H8:K8"/>
    <mergeCell ref="C10:U10"/>
    <mergeCell ref="L7:T7"/>
    <mergeCell ref="L8:T8"/>
    <mergeCell ref="D2:O3"/>
    <mergeCell ref="P2:U2"/>
    <mergeCell ref="P3:U3"/>
    <mergeCell ref="C5:U5"/>
    <mergeCell ref="C6:G6"/>
    <mergeCell ref="H6:K6"/>
    <mergeCell ref="L6:T6"/>
    <mergeCell ref="J11:T11"/>
    <mergeCell ref="J12:T12"/>
    <mergeCell ref="J13:T13"/>
    <mergeCell ref="C40:I40"/>
    <mergeCell ref="C41:I41"/>
    <mergeCell ref="C15:U15"/>
    <mergeCell ref="C20:U20"/>
    <mergeCell ref="C25:U25"/>
    <mergeCell ref="C30:U30"/>
    <mergeCell ref="C34:U34"/>
    <mergeCell ref="C39:U39"/>
    <mergeCell ref="J40:T40"/>
    <mergeCell ref="J41:T41"/>
    <mergeCell ref="C13:I13"/>
    <mergeCell ref="C11:I11"/>
    <mergeCell ref="C12:I1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customProperties>
    <customPr name="EpmWorksheetKeyString_GU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F1E4-B780-4B9C-99C2-4DF74291A8B3}">
  <sheetPr codeName="Planilha5" filterMode="1"/>
  <dimension ref="A1:Q24"/>
  <sheetViews>
    <sheetView topLeftCell="D2" zoomScaleNormal="100" workbookViewId="0">
      <selection activeCell="C36" sqref="C35:C36"/>
    </sheetView>
  </sheetViews>
  <sheetFormatPr defaultRowHeight="14.5" x14ac:dyDescent="0.35"/>
  <cols>
    <col min="1" max="1" width="14.54296875" customWidth="1"/>
    <col min="2" max="2" width="52.08984375" customWidth="1"/>
    <col min="3" max="3" width="43.08984375" customWidth="1"/>
    <col min="4" max="4" width="26.54296875" style="1" customWidth="1"/>
    <col min="5" max="5" width="7.08984375" style="1" customWidth="1"/>
    <col min="6" max="6" width="8.36328125" style="1" customWidth="1"/>
    <col min="7" max="8" width="17.81640625" customWidth="1"/>
    <col min="9" max="9" width="20" customWidth="1"/>
    <col min="10" max="10" width="22.453125" customWidth="1"/>
    <col min="11" max="11" width="14.81640625" hidden="1" customWidth="1"/>
    <col min="12" max="15" width="8.81640625" hidden="1" customWidth="1"/>
    <col min="16" max="16" width="10.453125" hidden="1" customWidth="1"/>
    <col min="17" max="17" width="23.453125" bestFit="1" customWidth="1"/>
  </cols>
  <sheetData>
    <row r="1" spans="1:17" ht="83.5" customHeight="1" thickBot="1" x14ac:dyDescent="0.4">
      <c r="A1" s="234" t="s">
        <v>1900</v>
      </c>
      <c r="B1" s="235"/>
      <c r="C1" s="235"/>
      <c r="D1" s="235"/>
      <c r="E1" s="235"/>
      <c r="F1" s="235"/>
      <c r="G1" s="235"/>
      <c r="H1" s="235"/>
      <c r="I1" s="235"/>
      <c r="J1" s="236"/>
    </row>
    <row r="2" spans="1:17" x14ac:dyDescent="0.35">
      <c r="A2" s="104"/>
      <c r="B2" s="104"/>
      <c r="C2" s="104"/>
      <c r="D2" s="107"/>
      <c r="E2" s="107"/>
      <c r="F2" s="107"/>
      <c r="G2" s="104"/>
      <c r="H2" s="104"/>
      <c r="I2" s="105" t="s">
        <v>1901</v>
      </c>
      <c r="J2" s="106"/>
    </row>
    <row r="3" spans="1:17" x14ac:dyDescent="0.35">
      <c r="A3" s="47"/>
      <c r="B3" s="47"/>
      <c r="C3" s="104"/>
      <c r="D3" s="107" t="s">
        <v>13280</v>
      </c>
      <c r="E3" s="33">
        <f>COUNTIF(E4:E80,"X")</f>
        <v>19</v>
      </c>
      <c r="F3" s="34">
        <f>COUNTIF(F4:F80,"X")</f>
        <v>19</v>
      </c>
      <c r="G3" s="43"/>
      <c r="H3" s="43"/>
      <c r="I3" s="36">
        <f>COUNTIF(I4:I4983,"Publicado")</f>
        <v>18</v>
      </c>
      <c r="J3" s="36"/>
      <c r="L3" t="s">
        <v>1902</v>
      </c>
      <c r="M3" t="s">
        <v>1903</v>
      </c>
      <c r="N3" t="s">
        <v>1904</v>
      </c>
      <c r="Q3" s="198">
        <f ca="1">TODAY()</f>
        <v>46198</v>
      </c>
    </row>
    <row r="4" spans="1:17" ht="15" customHeight="1" x14ac:dyDescent="0.35">
      <c r="A4" s="47" t="s">
        <v>1905</v>
      </c>
      <c r="B4" s="47" t="s">
        <v>49</v>
      </c>
      <c r="C4" s="47"/>
      <c r="D4" s="46"/>
      <c r="E4" s="36" t="s">
        <v>51</v>
      </c>
      <c r="F4" s="37" t="s">
        <v>52</v>
      </c>
      <c r="G4" s="97" t="s">
        <v>1906</v>
      </c>
      <c r="H4" s="97" t="s">
        <v>13277</v>
      </c>
      <c r="I4" s="68" t="s">
        <v>54</v>
      </c>
      <c r="J4" s="103" t="s">
        <v>1907</v>
      </c>
      <c r="K4" s="102">
        <f ca="1">TODAY()</f>
        <v>46198</v>
      </c>
      <c r="Q4" s="67" t="s">
        <v>13311</v>
      </c>
    </row>
    <row r="5" spans="1:17" ht="15.5" x14ac:dyDescent="0.35">
      <c r="A5" s="7" t="s">
        <v>1908</v>
      </c>
      <c r="B5" s="67" t="s">
        <v>1909</v>
      </c>
      <c r="C5" s="67" t="s">
        <v>1910</v>
      </c>
      <c r="D5" s="29" t="s">
        <v>13303</v>
      </c>
      <c r="E5" s="29" t="s">
        <v>61</v>
      </c>
      <c r="F5" s="29" t="s">
        <v>61</v>
      </c>
      <c r="G5" s="98">
        <v>45895</v>
      </c>
      <c r="H5" s="98">
        <f>G5+1096</f>
        <v>46991</v>
      </c>
      <c r="I5" s="110" t="s">
        <v>62</v>
      </c>
      <c r="J5" s="112" t="str">
        <f ca="1">IF(K5="","",IF(K5&gt;1095,"Vencido",IF(K5&gt;910,"Alerta",IF(K5&gt;820,"Alerta",IF(K5&gt;730,"Alerta",IF(K5&gt;=0,"Em dia","Vencido"))))))</f>
        <v>Em dia</v>
      </c>
      <c r="K5">
        <f ca="1">$K$4-G5</f>
        <v>303</v>
      </c>
      <c r="Q5" s="29">
        <f ca="1">H5-$Q$3</f>
        <v>793</v>
      </c>
    </row>
    <row r="6" spans="1:17" ht="15.5" x14ac:dyDescent="0.35">
      <c r="A6" s="7" t="s">
        <v>1911</v>
      </c>
      <c r="B6" s="67" t="s">
        <v>1912</v>
      </c>
      <c r="C6" s="67" t="s">
        <v>1913</v>
      </c>
      <c r="D6" s="29" t="s">
        <v>13303</v>
      </c>
      <c r="E6" s="29" t="s">
        <v>61</v>
      </c>
      <c r="F6" s="29" t="s">
        <v>61</v>
      </c>
      <c r="G6" s="98">
        <v>45895</v>
      </c>
      <c r="H6" s="98">
        <f t="shared" ref="H6:H22" si="0">G6+1096</f>
        <v>46991</v>
      </c>
      <c r="I6" s="110" t="s">
        <v>62</v>
      </c>
      <c r="J6" s="112" t="str">
        <f t="shared" ref="J6:J24" ca="1" si="1">IF(K6="","",IF(K6&gt;1095,"Vencido",IF(K6&gt;910,"Alerta",IF(K6&gt;820,"Alerta",IF(K6&gt;730,"Alerta",IF(K6&gt;=0,"Em dia","Vencido"))))))</f>
        <v>Em dia</v>
      </c>
      <c r="K6">
        <f t="shared" ref="K6:K20" ca="1" si="2">$K$4-G6</f>
        <v>303</v>
      </c>
      <c r="Q6" s="29">
        <f t="shared" ref="Q6:Q22" ca="1" si="3">H6-$Q$3</f>
        <v>793</v>
      </c>
    </row>
    <row r="7" spans="1:17" ht="15.5" x14ac:dyDescent="0.35">
      <c r="A7" s="7" t="s">
        <v>1914</v>
      </c>
      <c r="B7" s="67" t="s">
        <v>1915</v>
      </c>
      <c r="C7" s="67" t="s">
        <v>1916</v>
      </c>
      <c r="D7" s="29" t="s">
        <v>13303</v>
      </c>
      <c r="E7" s="29" t="s">
        <v>61</v>
      </c>
      <c r="F7" s="29" t="s">
        <v>61</v>
      </c>
      <c r="G7" s="98">
        <v>43952</v>
      </c>
      <c r="H7" s="98">
        <f t="shared" si="0"/>
        <v>45048</v>
      </c>
      <c r="I7" s="110" t="s">
        <v>62</v>
      </c>
      <c r="J7" s="112" t="str">
        <f t="shared" ca="1" si="1"/>
        <v>Vencido</v>
      </c>
      <c r="K7">
        <f t="shared" ca="1" si="2"/>
        <v>2246</v>
      </c>
      <c r="Q7" s="29">
        <f t="shared" ca="1" si="3"/>
        <v>-1150</v>
      </c>
    </row>
    <row r="8" spans="1:17" ht="15.5" x14ac:dyDescent="0.35">
      <c r="A8" s="7" t="s">
        <v>1917</v>
      </c>
      <c r="B8" s="67" t="s">
        <v>1918</v>
      </c>
      <c r="C8" s="67" t="s">
        <v>1919</v>
      </c>
      <c r="D8" s="29" t="s">
        <v>13303</v>
      </c>
      <c r="E8" s="29" t="s">
        <v>61</v>
      </c>
      <c r="F8" s="29" t="s">
        <v>61</v>
      </c>
      <c r="G8" s="98">
        <v>45202</v>
      </c>
      <c r="H8" s="98">
        <f t="shared" si="0"/>
        <v>46298</v>
      </c>
      <c r="I8" s="110" t="s">
        <v>62</v>
      </c>
      <c r="J8" s="112" t="str">
        <f t="shared" ca="1" si="1"/>
        <v>Alerta</v>
      </c>
      <c r="K8">
        <f t="shared" ca="1" si="2"/>
        <v>996</v>
      </c>
      <c r="Q8" s="29">
        <f t="shared" ca="1" si="3"/>
        <v>100</v>
      </c>
    </row>
    <row r="9" spans="1:17" ht="15.5" x14ac:dyDescent="0.35">
      <c r="A9" s="7" t="s">
        <v>1920</v>
      </c>
      <c r="B9" s="67" t="s">
        <v>1921</v>
      </c>
      <c r="C9" s="67" t="s">
        <v>1922</v>
      </c>
      <c r="D9" s="190" t="s">
        <v>13313</v>
      </c>
      <c r="E9" s="29" t="s">
        <v>61</v>
      </c>
      <c r="F9" s="29" t="s">
        <v>61</v>
      </c>
      <c r="G9" s="98">
        <v>45202</v>
      </c>
      <c r="H9" s="98">
        <f t="shared" si="0"/>
        <v>46298</v>
      </c>
      <c r="I9" s="110" t="s">
        <v>62</v>
      </c>
      <c r="J9" s="112" t="str">
        <f t="shared" ca="1" si="1"/>
        <v>Alerta</v>
      </c>
      <c r="K9">
        <f t="shared" ca="1" si="2"/>
        <v>996</v>
      </c>
      <c r="Q9" s="29">
        <f t="shared" ca="1" si="3"/>
        <v>100</v>
      </c>
    </row>
    <row r="10" spans="1:17" ht="15.5" hidden="1" x14ac:dyDescent="0.35">
      <c r="A10" s="188" t="s">
        <v>1923</v>
      </c>
      <c r="B10" s="189" t="s">
        <v>1924</v>
      </c>
      <c r="C10" s="189" t="s">
        <v>1925</v>
      </c>
      <c r="D10" s="190" t="s">
        <v>13303</v>
      </c>
      <c r="E10" s="190"/>
      <c r="F10" s="190"/>
      <c r="G10" s="191"/>
      <c r="H10" s="191"/>
      <c r="I10" s="11" t="s">
        <v>90</v>
      </c>
      <c r="J10" s="112" t="str">
        <f t="shared" ca="1" si="1"/>
        <v>Vencido</v>
      </c>
      <c r="K10">
        <f t="shared" ca="1" si="2"/>
        <v>46198</v>
      </c>
      <c r="Q10" s="190"/>
    </row>
    <row r="11" spans="1:17" ht="15.5" x14ac:dyDescent="0.35">
      <c r="A11" s="7" t="s">
        <v>1926</v>
      </c>
      <c r="B11" s="67" t="s">
        <v>1927</v>
      </c>
      <c r="C11" s="67" t="s">
        <v>1928</v>
      </c>
      <c r="D11" s="29" t="s">
        <v>13303</v>
      </c>
      <c r="E11" s="29" t="s">
        <v>61</v>
      </c>
      <c r="F11" s="29" t="s">
        <v>61</v>
      </c>
      <c r="G11" s="98">
        <v>45202</v>
      </c>
      <c r="H11" s="98">
        <f t="shared" si="0"/>
        <v>46298</v>
      </c>
      <c r="I11" s="110" t="s">
        <v>62</v>
      </c>
      <c r="J11" s="112" t="str">
        <f t="shared" ca="1" si="1"/>
        <v>Alerta</v>
      </c>
      <c r="K11">
        <f t="shared" ca="1" si="2"/>
        <v>996</v>
      </c>
      <c r="Q11" s="29">
        <f t="shared" ca="1" si="3"/>
        <v>100</v>
      </c>
    </row>
    <row r="12" spans="1:17" ht="15.5" x14ac:dyDescent="0.35">
      <c r="A12" s="7" t="s">
        <v>1929</v>
      </c>
      <c r="B12" s="67" t="s">
        <v>1930</v>
      </c>
      <c r="C12" s="67" t="s">
        <v>1931</v>
      </c>
      <c r="D12" s="29" t="s">
        <v>13303</v>
      </c>
      <c r="E12" s="29" t="s">
        <v>61</v>
      </c>
      <c r="F12" s="29" t="s">
        <v>61</v>
      </c>
      <c r="G12" s="98">
        <v>45202</v>
      </c>
      <c r="H12" s="98">
        <f t="shared" si="0"/>
        <v>46298</v>
      </c>
      <c r="I12" s="110" t="s">
        <v>62</v>
      </c>
      <c r="J12" s="112" t="str">
        <f t="shared" ca="1" si="1"/>
        <v>Alerta</v>
      </c>
      <c r="K12">
        <f t="shared" ca="1" si="2"/>
        <v>996</v>
      </c>
      <c r="Q12" s="29">
        <f t="shared" ca="1" si="3"/>
        <v>100</v>
      </c>
    </row>
    <row r="13" spans="1:17" ht="15.5" x14ac:dyDescent="0.35">
      <c r="A13" s="7" t="s">
        <v>1932</v>
      </c>
      <c r="B13" s="67" t="s">
        <v>1933</v>
      </c>
      <c r="C13" s="67" t="s">
        <v>1934</v>
      </c>
      <c r="D13" s="29" t="s">
        <v>13303</v>
      </c>
      <c r="E13" s="29" t="s">
        <v>61</v>
      </c>
      <c r="F13" s="29" t="s">
        <v>61</v>
      </c>
      <c r="G13" s="98">
        <v>43983</v>
      </c>
      <c r="H13" s="98">
        <f t="shared" si="0"/>
        <v>45079</v>
      </c>
      <c r="I13" s="110" t="s">
        <v>62</v>
      </c>
      <c r="J13" s="112" t="str">
        <f t="shared" ca="1" si="1"/>
        <v>Vencido</v>
      </c>
      <c r="K13">
        <f t="shared" ca="1" si="2"/>
        <v>2215</v>
      </c>
      <c r="Q13" s="29">
        <f t="shared" ca="1" si="3"/>
        <v>-1119</v>
      </c>
    </row>
    <row r="14" spans="1:17" ht="15.5" x14ac:dyDescent="0.35">
      <c r="A14" s="7" t="s">
        <v>1935</v>
      </c>
      <c r="B14" s="67" t="s">
        <v>1936</v>
      </c>
      <c r="C14" s="67" t="s">
        <v>1937</v>
      </c>
      <c r="D14" s="29" t="s">
        <v>13303</v>
      </c>
      <c r="E14" s="29" t="s">
        <v>61</v>
      </c>
      <c r="F14" s="29" t="s">
        <v>61</v>
      </c>
      <c r="G14" s="98">
        <v>44187</v>
      </c>
      <c r="H14" s="98">
        <f t="shared" si="0"/>
        <v>45283</v>
      </c>
      <c r="I14" s="110" t="s">
        <v>62</v>
      </c>
      <c r="J14" s="112" t="str">
        <f t="shared" ca="1" si="1"/>
        <v>Vencido</v>
      </c>
      <c r="K14">
        <f t="shared" ca="1" si="2"/>
        <v>2011</v>
      </c>
      <c r="Q14" s="29">
        <f t="shared" ca="1" si="3"/>
        <v>-915</v>
      </c>
    </row>
    <row r="15" spans="1:17" ht="15.5" x14ac:dyDescent="0.35">
      <c r="A15" s="29" t="s">
        <v>1938</v>
      </c>
      <c r="B15" s="67" t="s">
        <v>1939</v>
      </c>
      <c r="C15" s="67" t="s">
        <v>1940</v>
      </c>
      <c r="D15" s="29" t="s">
        <v>13302</v>
      </c>
      <c r="E15" s="29" t="s">
        <v>61</v>
      </c>
      <c r="F15" s="29" t="s">
        <v>61</v>
      </c>
      <c r="G15" s="98">
        <v>45686</v>
      </c>
      <c r="H15" s="98">
        <f t="shared" si="0"/>
        <v>46782</v>
      </c>
      <c r="I15" s="110" t="s">
        <v>62</v>
      </c>
      <c r="J15" s="112" t="str">
        <f t="shared" ca="1" si="1"/>
        <v>Em dia</v>
      </c>
      <c r="K15">
        <f t="shared" ca="1" si="2"/>
        <v>512</v>
      </c>
      <c r="P15" s="102">
        <f>G15+1080</f>
        <v>46766</v>
      </c>
      <c r="Q15" s="29">
        <f t="shared" ca="1" si="3"/>
        <v>584</v>
      </c>
    </row>
    <row r="16" spans="1:17" ht="15.5" x14ac:dyDescent="0.35">
      <c r="A16" s="29" t="s">
        <v>1941</v>
      </c>
      <c r="B16" s="67" t="s">
        <v>1942</v>
      </c>
      <c r="C16" s="67" t="s">
        <v>1943</v>
      </c>
      <c r="D16" s="29" t="s">
        <v>13302</v>
      </c>
      <c r="E16" s="29" t="s">
        <v>61</v>
      </c>
      <c r="F16" s="29" t="s">
        <v>61</v>
      </c>
      <c r="G16" s="98">
        <v>45686</v>
      </c>
      <c r="H16" s="98">
        <f t="shared" si="0"/>
        <v>46782</v>
      </c>
      <c r="I16" s="110" t="s">
        <v>62</v>
      </c>
      <c r="J16" s="112" t="str">
        <f t="shared" ca="1" si="1"/>
        <v>Em dia</v>
      </c>
      <c r="K16">
        <f t="shared" ca="1" si="2"/>
        <v>512</v>
      </c>
      <c r="P16" s="102">
        <f>G16+1080</f>
        <v>46766</v>
      </c>
      <c r="Q16" s="29">
        <f t="shared" ca="1" si="3"/>
        <v>584</v>
      </c>
    </row>
    <row r="17" spans="1:17" ht="15.5" x14ac:dyDescent="0.35">
      <c r="A17" s="29" t="s">
        <v>1944</v>
      </c>
      <c r="B17" s="67" t="s">
        <v>1945</v>
      </c>
      <c r="C17" s="67" t="s">
        <v>1946</v>
      </c>
      <c r="D17" s="29" t="s">
        <v>13302</v>
      </c>
      <c r="E17" s="29" t="s">
        <v>61</v>
      </c>
      <c r="F17" s="29" t="s">
        <v>61</v>
      </c>
      <c r="G17" s="98">
        <v>45686</v>
      </c>
      <c r="H17" s="98">
        <f t="shared" si="0"/>
        <v>46782</v>
      </c>
      <c r="I17" s="110" t="s">
        <v>62</v>
      </c>
      <c r="J17" s="112" t="str">
        <f t="shared" ca="1" si="1"/>
        <v>Em dia</v>
      </c>
      <c r="K17">
        <f t="shared" ca="1" si="2"/>
        <v>512</v>
      </c>
      <c r="Q17" s="29">
        <f t="shared" ca="1" si="3"/>
        <v>584</v>
      </c>
    </row>
    <row r="18" spans="1:17" ht="15.5" x14ac:dyDescent="0.35">
      <c r="A18" s="29" t="s">
        <v>1947</v>
      </c>
      <c r="B18" s="67" t="s">
        <v>1948</v>
      </c>
      <c r="C18" s="67" t="s">
        <v>1949</v>
      </c>
      <c r="D18" s="29" t="s">
        <v>13302</v>
      </c>
      <c r="E18" s="29" t="s">
        <v>61</v>
      </c>
      <c r="F18" s="29" t="s">
        <v>61</v>
      </c>
      <c r="G18" s="98">
        <v>45686</v>
      </c>
      <c r="H18" s="98">
        <f t="shared" si="0"/>
        <v>46782</v>
      </c>
      <c r="I18" s="110" t="s">
        <v>62</v>
      </c>
      <c r="J18" s="112" t="str">
        <f t="shared" ca="1" si="1"/>
        <v>Em dia</v>
      </c>
      <c r="K18">
        <f t="shared" ca="1" si="2"/>
        <v>512</v>
      </c>
      <c r="P18" s="102">
        <f t="shared" ref="P18:P22" si="4">G18+1080</f>
        <v>46766</v>
      </c>
      <c r="Q18" s="29">
        <f t="shared" ca="1" si="3"/>
        <v>584</v>
      </c>
    </row>
    <row r="19" spans="1:17" ht="15.5" x14ac:dyDescent="0.35">
      <c r="A19" s="29" t="s">
        <v>1950</v>
      </c>
      <c r="B19" s="67" t="s">
        <v>1951</v>
      </c>
      <c r="C19" s="67" t="s">
        <v>1952</v>
      </c>
      <c r="D19" s="29" t="s">
        <v>13302</v>
      </c>
      <c r="E19" s="29" t="s">
        <v>61</v>
      </c>
      <c r="F19" s="29" t="s">
        <v>61</v>
      </c>
      <c r="G19" s="98">
        <v>45686</v>
      </c>
      <c r="H19" s="98">
        <f t="shared" si="0"/>
        <v>46782</v>
      </c>
      <c r="I19" s="110" t="s">
        <v>62</v>
      </c>
      <c r="J19" s="112" t="str">
        <f t="shared" ca="1" si="1"/>
        <v>Em dia</v>
      </c>
      <c r="K19">
        <f t="shared" ca="1" si="2"/>
        <v>512</v>
      </c>
      <c r="P19" s="102">
        <f t="shared" si="4"/>
        <v>46766</v>
      </c>
      <c r="Q19" s="29">
        <f t="shared" ca="1" si="3"/>
        <v>584</v>
      </c>
    </row>
    <row r="20" spans="1:17" ht="15.5" x14ac:dyDescent="0.35">
      <c r="A20" s="203" t="s">
        <v>1953</v>
      </c>
      <c r="B20" s="148" t="s">
        <v>1954</v>
      </c>
      <c r="C20" s="148" t="s">
        <v>1955</v>
      </c>
      <c r="D20" s="203" t="s">
        <v>13302</v>
      </c>
      <c r="E20" s="203" t="s">
        <v>61</v>
      </c>
      <c r="F20" s="203" t="s">
        <v>61</v>
      </c>
      <c r="G20" s="204">
        <v>45686</v>
      </c>
      <c r="H20" s="204">
        <f t="shared" si="0"/>
        <v>46782</v>
      </c>
      <c r="I20" s="205" t="s">
        <v>62</v>
      </c>
      <c r="J20" s="112" t="str">
        <f t="shared" ca="1" si="1"/>
        <v>Em dia</v>
      </c>
      <c r="K20">
        <f t="shared" ca="1" si="2"/>
        <v>512</v>
      </c>
      <c r="P20" s="102">
        <f t="shared" si="4"/>
        <v>46766</v>
      </c>
      <c r="Q20" s="203">
        <f t="shared" ca="1" si="3"/>
        <v>584</v>
      </c>
    </row>
    <row r="21" spans="1:17" s="197" customFormat="1" ht="15.5" hidden="1" x14ac:dyDescent="0.35">
      <c r="A21" s="190" t="s">
        <v>1956</v>
      </c>
      <c r="B21" s="189" t="s">
        <v>1957</v>
      </c>
      <c r="C21" s="189" t="s">
        <v>1958</v>
      </c>
      <c r="D21" s="190" t="s">
        <v>13302</v>
      </c>
      <c r="E21" s="190" t="s">
        <v>61</v>
      </c>
      <c r="F21" s="190" t="s">
        <v>61</v>
      </c>
      <c r="G21" s="191"/>
      <c r="H21" s="191"/>
      <c r="I21" s="11" t="s">
        <v>90</v>
      </c>
      <c r="J21" s="112" t="str">
        <f t="shared" ca="1" si="1"/>
        <v>Vencido</v>
      </c>
      <c r="K21" s="189">
        <f ca="1">$K$4-G21</f>
        <v>46198</v>
      </c>
      <c r="L21" s="189"/>
      <c r="M21" s="189"/>
      <c r="N21" s="189"/>
      <c r="O21" s="189"/>
      <c r="P21" s="206">
        <f t="shared" si="4"/>
        <v>1080</v>
      </c>
      <c r="Q21" s="190"/>
    </row>
    <row r="22" spans="1:17" ht="15.5" x14ac:dyDescent="0.35">
      <c r="A22" s="29" t="s">
        <v>1959</v>
      </c>
      <c r="B22" s="67" t="s">
        <v>1960</v>
      </c>
      <c r="C22" s="67" t="s">
        <v>1961</v>
      </c>
      <c r="D22" s="29" t="s">
        <v>13302</v>
      </c>
      <c r="E22" s="29" t="s">
        <v>61</v>
      </c>
      <c r="F22" s="29" t="s">
        <v>61</v>
      </c>
      <c r="G22" s="98">
        <v>45769</v>
      </c>
      <c r="H22" s="98">
        <f t="shared" si="0"/>
        <v>46865</v>
      </c>
      <c r="I22" s="110" t="s">
        <v>62</v>
      </c>
      <c r="J22" s="112" t="str">
        <f t="shared" ca="1" si="1"/>
        <v>Em dia</v>
      </c>
      <c r="K22" s="67">
        <f ca="1">$K$4-G22</f>
        <v>429</v>
      </c>
      <c r="L22" s="67"/>
      <c r="M22" s="67"/>
      <c r="N22" s="67"/>
      <c r="O22" s="67"/>
      <c r="P22" s="103">
        <f t="shared" si="4"/>
        <v>46849</v>
      </c>
      <c r="Q22" s="29">
        <f t="shared" ca="1" si="3"/>
        <v>667</v>
      </c>
    </row>
    <row r="23" spans="1:17" ht="15.5" x14ac:dyDescent="0.35">
      <c r="A23" s="29" t="s">
        <v>13314</v>
      </c>
      <c r="B23" s="67" t="s">
        <v>13315</v>
      </c>
      <c r="C23" s="67" t="s">
        <v>13316</v>
      </c>
      <c r="D23" s="190" t="s">
        <v>13313</v>
      </c>
      <c r="E23" s="29" t="s">
        <v>61</v>
      </c>
      <c r="F23" s="29" t="s">
        <v>61</v>
      </c>
      <c r="G23" s="103">
        <v>45274</v>
      </c>
      <c r="H23" s="98">
        <f>G23+1096</f>
        <v>46370</v>
      </c>
      <c r="I23" s="202" t="s">
        <v>62</v>
      </c>
      <c r="J23" s="112" t="str">
        <f t="shared" ca="1" si="1"/>
        <v>Alerta</v>
      </c>
      <c r="K23" s="67">
        <f ca="1">$K$4-G23</f>
        <v>924</v>
      </c>
      <c r="L23" s="67"/>
      <c r="M23" s="67"/>
      <c r="N23" s="67"/>
      <c r="O23" s="67"/>
      <c r="P23" s="67">
        <f>G23+1080</f>
        <v>46354</v>
      </c>
      <c r="Q23" s="29">
        <f ca="1">H23-$Q$3</f>
        <v>172</v>
      </c>
    </row>
    <row r="24" spans="1:17" ht="15.5" x14ac:dyDescent="0.35">
      <c r="A24" s="29" t="s">
        <v>13317</v>
      </c>
      <c r="B24" s="67" t="s">
        <v>13319</v>
      </c>
      <c r="C24" s="67" t="s">
        <v>13318</v>
      </c>
      <c r="D24" s="190" t="s">
        <v>13313</v>
      </c>
      <c r="E24" s="29" t="s">
        <v>61</v>
      </c>
      <c r="F24" s="29" t="s">
        <v>61</v>
      </c>
      <c r="G24" s="103">
        <v>45379</v>
      </c>
      <c r="H24" s="98">
        <f>G24+1096</f>
        <v>46475</v>
      </c>
      <c r="I24" s="202" t="s">
        <v>62</v>
      </c>
      <c r="J24" s="112" t="str">
        <f t="shared" ca="1" si="1"/>
        <v>Alerta</v>
      </c>
      <c r="K24" s="67">
        <f ca="1">$K$4-G24</f>
        <v>819</v>
      </c>
      <c r="L24" s="67"/>
      <c r="M24" s="67"/>
      <c r="N24" s="67"/>
      <c r="O24" s="67"/>
      <c r="P24" s="103">
        <f>G24+1080</f>
        <v>46459</v>
      </c>
      <c r="Q24" s="29">
        <f ca="1">H24-$Q$3</f>
        <v>277</v>
      </c>
    </row>
  </sheetData>
  <autoFilter ref="A3:Q24" xr:uid="{29D3F1E4-B780-4B9C-99C2-4DF74291A8B3}">
    <filterColumn colId="8">
      <filters>
        <filter val="Publicado"/>
        <filter val="Status"/>
      </filters>
    </filterColumn>
  </autoFilter>
  <sortState xmlns:xlrd2="http://schemas.microsoft.com/office/spreadsheetml/2017/richdata2" ref="A5:J22">
    <sortCondition ref="A5:A22"/>
  </sortState>
  <mergeCells count="1">
    <mergeCell ref="A1:J1"/>
  </mergeCells>
  <phoneticPr fontId="11" type="noConversion"/>
  <conditionalFormatting sqref="J1:J1048576">
    <cfRule type="containsText" dxfId="643" priority="1" operator="containsText" text="Comunicado ">
      <formula>NOT(ISERROR(SEARCH("Comunicado ",J1)))</formula>
    </cfRule>
    <cfRule type="containsText" dxfId="642" priority="2" operator="containsText" text="Vencido">
      <formula>NOT(ISERROR(SEARCH("Vencido",J1)))</formula>
    </cfRule>
    <cfRule type="containsText" dxfId="641" priority="3" operator="containsText" text="Em dia">
      <formula>NOT(ISERROR(SEARCH("Em dia",J1)))</formula>
    </cfRule>
    <cfRule type="containsText" dxfId="640" priority="4" operator="containsText" text="Alerta">
      <formula>NOT(ISERROR(SEARCH("Alerta",J1)))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customProperties>
    <customPr name="EpmWorksheetKeyString_GUID" r:id="rId2"/>
  </customPropertie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8716-6B4F-41B5-A18F-0E19A75CEAE8}">
  <sheetPr codeName="Planilha2"/>
  <dimension ref="B1:S114"/>
  <sheetViews>
    <sheetView showGridLines="0" zoomScale="70" zoomScaleNormal="70" workbookViewId="0">
      <pane xSplit="1" ySplit="4" topLeftCell="E85" activePane="bottomRight" state="frozen"/>
      <selection pane="topRight" activeCell="B1" sqref="B1"/>
      <selection pane="bottomLeft" activeCell="A5" sqref="A5"/>
      <selection pane="bottomRight" activeCell="E112" sqref="C112:E112"/>
    </sheetView>
  </sheetViews>
  <sheetFormatPr defaultRowHeight="14.5" x14ac:dyDescent="0.35"/>
  <cols>
    <col min="1" max="1" width="1" customWidth="1"/>
    <col min="2" max="2" width="85.08984375" customWidth="1"/>
    <col min="3" max="3" width="40.7265625" style="6" customWidth="1"/>
    <col min="4" max="4" width="58" style="25" customWidth="1"/>
    <col min="5" max="5" width="46.54296875" style="25" customWidth="1"/>
    <col min="6" max="6" width="49.36328125" style="25" customWidth="1"/>
    <col min="7" max="7" width="10.54296875" style="25" customWidth="1"/>
    <col min="8" max="8" width="9.453125" style="25" customWidth="1"/>
    <col min="9" max="9" width="15" style="100" customWidth="1"/>
    <col min="10" max="10" width="14.26953125" style="100" customWidth="1"/>
    <col min="11" max="11" width="19.90625" style="25" customWidth="1"/>
    <col min="12" max="12" width="24.1796875" customWidth="1"/>
    <col min="13" max="13" width="9.7265625" hidden="1" customWidth="1"/>
    <col min="14" max="14" width="11.453125" hidden="1" customWidth="1"/>
    <col min="15" max="16" width="8.81640625" hidden="1" customWidth="1"/>
    <col min="17" max="17" width="11" hidden="1" customWidth="1"/>
    <col min="18" max="18" width="10.54296875" hidden="1" customWidth="1"/>
    <col min="19" max="19" width="28.6328125" customWidth="1"/>
  </cols>
  <sheetData>
    <row r="1" spans="2:19" ht="7.5" customHeight="1" thickBot="1" x14ac:dyDescent="0.4"/>
    <row r="2" spans="2:19" ht="90.65" customHeight="1" thickBot="1" x14ac:dyDescent="0.4">
      <c r="B2" s="207" t="s">
        <v>46</v>
      </c>
      <c r="C2" s="208"/>
      <c r="D2" s="208"/>
      <c r="E2" s="208"/>
      <c r="F2" s="208"/>
      <c r="G2" s="208"/>
      <c r="H2" s="208"/>
      <c r="I2" s="208"/>
      <c r="J2" s="208"/>
      <c r="K2" s="208"/>
      <c r="L2" s="209"/>
      <c r="M2" s="154"/>
    </row>
    <row r="3" spans="2:19" x14ac:dyDescent="0.35">
      <c r="B3" s="31"/>
      <c r="C3" s="31"/>
      <c r="D3" s="32"/>
      <c r="E3" s="32"/>
      <c r="F3" s="32"/>
      <c r="G3" s="33">
        <f>COUNTIF(G4:G300,"X")</f>
        <v>90</v>
      </c>
      <c r="H3" s="34">
        <f>COUNTIF(H4:H300,"X")</f>
        <v>40</v>
      </c>
      <c r="I3" s="43"/>
      <c r="J3" s="43"/>
      <c r="K3" s="31"/>
      <c r="L3" s="31"/>
      <c r="M3" s="155"/>
      <c r="S3" s="201">
        <f ca="1">TODAY()</f>
        <v>46198</v>
      </c>
    </row>
    <row r="4" spans="2:19" ht="27" customHeight="1" x14ac:dyDescent="0.35">
      <c r="B4" s="35" t="s">
        <v>47</v>
      </c>
      <c r="C4" s="38" t="s">
        <v>48</v>
      </c>
      <c r="D4" s="35" t="s">
        <v>49</v>
      </c>
      <c r="E4" s="35" t="s">
        <v>50</v>
      </c>
      <c r="F4" s="35" t="s">
        <v>13281</v>
      </c>
      <c r="G4" s="36" t="s">
        <v>51</v>
      </c>
      <c r="H4" s="37" t="s">
        <v>52</v>
      </c>
      <c r="I4" s="34" t="s">
        <v>53</v>
      </c>
      <c r="J4" s="43" t="s">
        <v>13277</v>
      </c>
      <c r="K4" s="108" t="s">
        <v>54</v>
      </c>
      <c r="L4" s="108" t="s">
        <v>55</v>
      </c>
      <c r="M4" s="156" t="s">
        <v>56</v>
      </c>
      <c r="N4" s="102">
        <f ca="1">TODAY()</f>
        <v>46198</v>
      </c>
      <c r="S4" s="200" t="s">
        <v>13311</v>
      </c>
    </row>
    <row r="5" spans="2:19" ht="29.9" customHeight="1" x14ac:dyDescent="0.35">
      <c r="B5" s="21" t="s">
        <v>57</v>
      </c>
      <c r="C5" s="7" t="s">
        <v>58</v>
      </c>
      <c r="D5" s="26" t="s">
        <v>59</v>
      </c>
      <c r="E5" s="26" t="s">
        <v>60</v>
      </c>
      <c r="F5" s="26" t="s">
        <v>13282</v>
      </c>
      <c r="G5" s="27" t="s">
        <v>61</v>
      </c>
      <c r="H5" s="27" t="s">
        <v>61</v>
      </c>
      <c r="I5" s="99">
        <v>45595</v>
      </c>
      <c r="J5" s="99">
        <f>I5+1096</f>
        <v>46691</v>
      </c>
      <c r="K5" s="110" t="s">
        <v>62</v>
      </c>
      <c r="L5" s="109" t="str">
        <f ca="1">IF(N5="","",IF(N5&gt;1095,"Vencido",IF(N5&gt;910,"Alerta",IF(N5&gt;820,"Alerta",IF(N5&gt;730,"Alerta",IF(N5&gt;=0,"Em dia","Vencido"))))))</f>
        <v>Em dia</v>
      </c>
      <c r="M5" s="67"/>
      <c r="N5">
        <f t="shared" ref="N5:N70" ca="1" si="0">$N$4-I5</f>
        <v>603</v>
      </c>
      <c r="S5" s="29">
        <f ca="1">J5-$S$3</f>
        <v>493</v>
      </c>
    </row>
    <row r="6" spans="2:19" ht="25" customHeight="1" x14ac:dyDescent="0.35">
      <c r="B6" s="21" t="s">
        <v>57</v>
      </c>
      <c r="C6" s="7" t="s">
        <v>63</v>
      </c>
      <c r="D6" s="26" t="s">
        <v>64</v>
      </c>
      <c r="E6" s="26" t="s">
        <v>65</v>
      </c>
      <c r="F6" s="26" t="s">
        <v>13282</v>
      </c>
      <c r="G6" s="27" t="s">
        <v>61</v>
      </c>
      <c r="H6" s="27"/>
      <c r="I6" s="99">
        <v>45202</v>
      </c>
      <c r="J6" s="99">
        <f t="shared" ref="J6:J69" si="1">I6+1096</f>
        <v>46298</v>
      </c>
      <c r="K6" s="110" t="s">
        <v>62</v>
      </c>
      <c r="L6" s="109" t="str">
        <f ca="1">IF(N6="","",IF(N6&gt;1095,"Vencido",IF(N6&gt;910,"Alerta",IF(N6&gt;820,"Alerta",IF(N6&gt;730,"Alerta",IF(N6&gt;=0,"Em dia","Vencido"))))))</f>
        <v>Alerta</v>
      </c>
      <c r="M6" s="153"/>
      <c r="N6">
        <f t="shared" ca="1" si="0"/>
        <v>996</v>
      </c>
      <c r="S6" s="29">
        <f t="shared" ref="S6:S69" ca="1" si="2">J6-$S$3</f>
        <v>100</v>
      </c>
    </row>
    <row r="7" spans="2:19" ht="25" customHeight="1" x14ac:dyDescent="0.35">
      <c r="B7" s="21" t="s">
        <v>57</v>
      </c>
      <c r="C7" s="7" t="s">
        <v>66</v>
      </c>
      <c r="D7" s="26" t="s">
        <v>67</v>
      </c>
      <c r="E7" s="26" t="s">
        <v>68</v>
      </c>
      <c r="F7" s="26" t="s">
        <v>13282</v>
      </c>
      <c r="G7" s="27" t="s">
        <v>61</v>
      </c>
      <c r="H7" s="27" t="s">
        <v>61</v>
      </c>
      <c r="I7" s="99">
        <v>45895</v>
      </c>
      <c r="J7" s="99">
        <f t="shared" si="1"/>
        <v>46991</v>
      </c>
      <c r="K7" s="110" t="s">
        <v>62</v>
      </c>
      <c r="L7" s="109" t="str">
        <f t="shared" ref="L7:L69" ca="1" si="3">IF(N7="","",IF(N7&gt;1095,"Vencido",IF(N7&gt;910,"Alerta",IF(N7&gt;820,"Aviso",IF(N7&gt;730,"Comunicado",IF(N7&gt;=0,"Em dia","Vencido"))))))</f>
        <v>Em dia</v>
      </c>
      <c r="M7" s="153"/>
      <c r="N7">
        <f t="shared" ca="1" si="0"/>
        <v>303</v>
      </c>
      <c r="S7" s="29">
        <f t="shared" ca="1" si="2"/>
        <v>793</v>
      </c>
    </row>
    <row r="8" spans="2:19" ht="25" customHeight="1" x14ac:dyDescent="0.35">
      <c r="B8" s="22" t="s">
        <v>69</v>
      </c>
      <c r="C8" s="7" t="s">
        <v>70</v>
      </c>
      <c r="D8" s="26" t="s">
        <v>71</v>
      </c>
      <c r="E8" s="26" t="s">
        <v>72</v>
      </c>
      <c r="F8" s="26" t="s">
        <v>13283</v>
      </c>
      <c r="G8" s="28" t="s">
        <v>61</v>
      </c>
      <c r="H8" s="28"/>
      <c r="I8" s="99">
        <v>45202</v>
      </c>
      <c r="J8" s="99">
        <f t="shared" si="1"/>
        <v>46298</v>
      </c>
      <c r="K8" s="110" t="s">
        <v>62</v>
      </c>
      <c r="L8" s="109" t="str">
        <f ca="1">IF(N8="","",IF(N8&gt;1095,"Vencido",IF(N8&gt;910,"Alerta",IF(N8&gt;820,"Alerta",IF(N8&gt;730,"Alerta",IF(N8&gt;=0,"Em dia","Vencido"))))))</f>
        <v>Alerta</v>
      </c>
      <c r="M8" s="153"/>
      <c r="N8">
        <f t="shared" ca="1" si="0"/>
        <v>996</v>
      </c>
      <c r="S8" s="29">
        <f t="shared" ca="1" si="2"/>
        <v>100</v>
      </c>
    </row>
    <row r="9" spans="2:19" ht="25" customHeight="1" x14ac:dyDescent="0.35">
      <c r="B9" s="23" t="s">
        <v>73</v>
      </c>
      <c r="C9" s="7" t="s">
        <v>74</v>
      </c>
      <c r="D9" s="26" t="s">
        <v>75</v>
      </c>
      <c r="E9" s="26" t="s">
        <v>76</v>
      </c>
      <c r="F9" s="26" t="s">
        <v>13284</v>
      </c>
      <c r="G9" s="27" t="s">
        <v>61</v>
      </c>
      <c r="H9" s="27" t="s">
        <v>61</v>
      </c>
      <c r="I9" s="99">
        <v>45895</v>
      </c>
      <c r="J9" s="99">
        <f t="shared" si="1"/>
        <v>46991</v>
      </c>
      <c r="K9" s="110" t="s">
        <v>62</v>
      </c>
      <c r="L9" s="109" t="str">
        <f t="shared" ca="1" si="3"/>
        <v>Em dia</v>
      </c>
      <c r="M9" s="153"/>
      <c r="N9">
        <f t="shared" ca="1" si="0"/>
        <v>303</v>
      </c>
      <c r="S9" s="29">
        <f t="shared" ca="1" si="2"/>
        <v>793</v>
      </c>
    </row>
    <row r="10" spans="2:19" ht="25" customHeight="1" x14ac:dyDescent="0.35">
      <c r="B10" s="21" t="s">
        <v>57</v>
      </c>
      <c r="C10" s="7" t="s">
        <v>77</v>
      </c>
      <c r="D10" s="185" t="s">
        <v>78</v>
      </c>
      <c r="E10" s="26" t="s">
        <v>79</v>
      </c>
      <c r="F10" s="26" t="s">
        <v>13282</v>
      </c>
      <c r="G10" s="27" t="s">
        <v>61</v>
      </c>
      <c r="H10" s="27" t="s">
        <v>61</v>
      </c>
      <c r="I10" s="99">
        <v>45595</v>
      </c>
      <c r="J10" s="99">
        <f t="shared" si="1"/>
        <v>46691</v>
      </c>
      <c r="K10" s="110" t="s">
        <v>62</v>
      </c>
      <c r="L10" s="109" t="str">
        <f t="shared" ca="1" si="3"/>
        <v>Em dia</v>
      </c>
      <c r="M10" s="67"/>
      <c r="N10">
        <f t="shared" ca="1" si="0"/>
        <v>603</v>
      </c>
      <c r="S10" s="29">
        <f t="shared" ca="1" si="2"/>
        <v>493</v>
      </c>
    </row>
    <row r="11" spans="2:19" ht="25" customHeight="1" x14ac:dyDescent="0.35">
      <c r="B11" s="23" t="s">
        <v>73</v>
      </c>
      <c r="C11" s="7" t="s">
        <v>80</v>
      </c>
      <c r="D11" s="26" t="s">
        <v>81</v>
      </c>
      <c r="E11" s="26" t="s">
        <v>82</v>
      </c>
      <c r="F11" s="26" t="s">
        <v>13284</v>
      </c>
      <c r="G11" s="27" t="s">
        <v>61</v>
      </c>
      <c r="H11" s="27" t="s">
        <v>61</v>
      </c>
      <c r="I11" s="99">
        <v>44914</v>
      </c>
      <c r="J11" s="99">
        <f t="shared" si="1"/>
        <v>46010</v>
      </c>
      <c r="K11" s="110" t="s">
        <v>62</v>
      </c>
      <c r="L11" s="109" t="str">
        <f ca="1">IF(N11="","",IF(N11&gt;1095,"Vencido",IF(N11&gt;910,"Alerta",IF(N11&gt;820,"Alerta",IF(N11&gt;730,"Alerta",IF(N11&gt;=0,"Em dia","Vencido"))))))</f>
        <v>Vencido</v>
      </c>
      <c r="M11" s="153"/>
      <c r="N11">
        <f t="shared" ca="1" si="0"/>
        <v>1284</v>
      </c>
      <c r="S11" s="29">
        <f t="shared" ca="1" si="2"/>
        <v>-188</v>
      </c>
    </row>
    <row r="12" spans="2:19" ht="25" customHeight="1" x14ac:dyDescent="0.35">
      <c r="B12" s="22" t="s">
        <v>69</v>
      </c>
      <c r="C12" s="7" t="s">
        <v>83</v>
      </c>
      <c r="D12" s="26" t="s">
        <v>84</v>
      </c>
      <c r="E12" s="26" t="s">
        <v>85</v>
      </c>
      <c r="F12" s="26" t="s">
        <v>13283</v>
      </c>
      <c r="G12" s="28" t="s">
        <v>61</v>
      </c>
      <c r="H12" s="28"/>
      <c r="I12" s="99">
        <v>45538</v>
      </c>
      <c r="J12" s="99">
        <f t="shared" si="1"/>
        <v>46634</v>
      </c>
      <c r="K12" s="110" t="s">
        <v>62</v>
      </c>
      <c r="L12" s="109" t="str">
        <f t="shared" ca="1" si="3"/>
        <v>Em dia</v>
      </c>
      <c r="M12" s="153"/>
      <c r="N12">
        <f t="shared" ca="1" si="0"/>
        <v>660</v>
      </c>
      <c r="Q12" s="102"/>
      <c r="S12" s="29">
        <f t="shared" ca="1" si="2"/>
        <v>436</v>
      </c>
    </row>
    <row r="13" spans="2:19" ht="25" customHeight="1" x14ac:dyDescent="0.35">
      <c r="B13" s="22" t="s">
        <v>69</v>
      </c>
      <c r="C13" s="7" t="s">
        <v>86</v>
      </c>
      <c r="D13" s="26" t="s">
        <v>87</v>
      </c>
      <c r="E13" s="26" t="s">
        <v>88</v>
      </c>
      <c r="F13" s="26" t="s">
        <v>13283</v>
      </c>
      <c r="G13" s="26"/>
      <c r="H13" s="26"/>
      <c r="I13" s="99" t="s">
        <v>89</v>
      </c>
      <c r="J13" s="99"/>
      <c r="K13" s="11" t="s">
        <v>90</v>
      </c>
      <c r="L13" s="109"/>
      <c r="M13" s="153"/>
      <c r="N13" t="e">
        <f t="shared" ca="1" si="0"/>
        <v>#VALUE!</v>
      </c>
      <c r="S13" s="29"/>
    </row>
    <row r="14" spans="2:19" ht="25" customHeight="1" x14ac:dyDescent="0.35">
      <c r="B14" s="21" t="s">
        <v>57</v>
      </c>
      <c r="C14" s="7" t="s">
        <v>91</v>
      </c>
      <c r="D14" s="26" t="s">
        <v>92</v>
      </c>
      <c r="E14" s="26" t="s">
        <v>93</v>
      </c>
      <c r="F14" s="26" t="s">
        <v>13282</v>
      </c>
      <c r="G14" s="26"/>
      <c r="H14" s="26"/>
      <c r="I14" s="99" t="s">
        <v>89</v>
      </c>
      <c r="J14" s="99"/>
      <c r="K14" s="11" t="s">
        <v>90</v>
      </c>
      <c r="L14" s="109"/>
      <c r="M14" s="153"/>
      <c r="N14" t="e">
        <f t="shared" ca="1" si="0"/>
        <v>#VALUE!</v>
      </c>
      <c r="S14" s="29"/>
    </row>
    <row r="15" spans="2:19" ht="25" customHeight="1" x14ac:dyDescent="0.35">
      <c r="B15" s="22" t="s">
        <v>69</v>
      </c>
      <c r="C15" s="7" t="s">
        <v>94</v>
      </c>
      <c r="D15" s="26" t="s">
        <v>95</v>
      </c>
      <c r="E15" s="26" t="s">
        <v>96</v>
      </c>
      <c r="F15" s="26" t="s">
        <v>13283</v>
      </c>
      <c r="G15" s="28" t="s">
        <v>61</v>
      </c>
      <c r="H15" s="28" t="s">
        <v>61</v>
      </c>
      <c r="I15" s="99">
        <v>45595</v>
      </c>
      <c r="J15" s="99">
        <f t="shared" si="1"/>
        <v>46691</v>
      </c>
      <c r="K15" s="110" t="s">
        <v>62</v>
      </c>
      <c r="L15" s="109" t="str">
        <f t="shared" ca="1" si="3"/>
        <v>Em dia</v>
      </c>
      <c r="M15" s="67"/>
      <c r="N15">
        <f t="shared" ca="1" si="0"/>
        <v>603</v>
      </c>
      <c r="S15" s="29">
        <f t="shared" ca="1" si="2"/>
        <v>493</v>
      </c>
    </row>
    <row r="16" spans="2:19" ht="25" customHeight="1" x14ac:dyDescent="0.35">
      <c r="B16" s="21" t="s">
        <v>57</v>
      </c>
      <c r="C16" s="7" t="s">
        <v>97</v>
      </c>
      <c r="D16" s="26" t="s">
        <v>98</v>
      </c>
      <c r="E16" s="26" t="s">
        <v>99</v>
      </c>
      <c r="F16" s="26" t="s">
        <v>13282</v>
      </c>
      <c r="G16" s="27" t="s">
        <v>61</v>
      </c>
      <c r="H16" s="27"/>
      <c r="I16" s="99">
        <v>44868</v>
      </c>
      <c r="J16" s="99">
        <f t="shared" si="1"/>
        <v>45964</v>
      </c>
      <c r="K16" s="110" t="s">
        <v>62</v>
      </c>
      <c r="L16" s="109" t="str">
        <f t="shared" ref="L16:L18" ca="1" si="4">IF(N16="","",IF(N16&gt;1095,"Vencido",IF(N16&gt;910,"Alerta",IF(N16&gt;820,"Alerta",IF(N16&gt;730,"Alerta",IF(N16&gt;=0,"Em dia","Vencido"))))))</f>
        <v>Vencido</v>
      </c>
      <c r="M16" s="153"/>
      <c r="N16">
        <f t="shared" ca="1" si="0"/>
        <v>1330</v>
      </c>
      <c r="S16" s="29">
        <f t="shared" ca="1" si="2"/>
        <v>-234</v>
      </c>
    </row>
    <row r="17" spans="2:19" ht="25" customHeight="1" x14ac:dyDescent="0.35">
      <c r="B17" s="21" t="s">
        <v>57</v>
      </c>
      <c r="C17" s="7" t="s">
        <v>100</v>
      </c>
      <c r="D17" s="26" t="s">
        <v>101</v>
      </c>
      <c r="E17" s="26" t="s">
        <v>102</v>
      </c>
      <c r="F17" s="26" t="s">
        <v>13282</v>
      </c>
      <c r="G17" s="27" t="s">
        <v>61</v>
      </c>
      <c r="H17" s="27" t="s">
        <v>61</v>
      </c>
      <c r="I17" s="99">
        <v>44631</v>
      </c>
      <c r="J17" s="99">
        <f t="shared" si="1"/>
        <v>45727</v>
      </c>
      <c r="K17" s="110" t="s">
        <v>62</v>
      </c>
      <c r="L17" s="109" t="str">
        <f t="shared" ca="1" si="4"/>
        <v>Vencido</v>
      </c>
      <c r="M17" s="153"/>
      <c r="N17">
        <f t="shared" ca="1" si="0"/>
        <v>1567</v>
      </c>
      <c r="R17" s="102">
        <f>I17+1080</f>
        <v>45711</v>
      </c>
      <c r="S17" s="29">
        <f t="shared" ca="1" si="2"/>
        <v>-471</v>
      </c>
    </row>
    <row r="18" spans="2:19" ht="25" customHeight="1" x14ac:dyDescent="0.35">
      <c r="B18" s="23" t="s">
        <v>73</v>
      </c>
      <c r="C18" s="7" t="s">
        <v>103</v>
      </c>
      <c r="D18" s="26" t="s">
        <v>104</v>
      </c>
      <c r="E18" s="26" t="s">
        <v>105</v>
      </c>
      <c r="F18" s="26" t="s">
        <v>13284</v>
      </c>
      <c r="G18" s="27" t="s">
        <v>61</v>
      </c>
      <c r="H18" s="27"/>
      <c r="I18" s="99">
        <v>45202</v>
      </c>
      <c r="J18" s="99">
        <f t="shared" si="1"/>
        <v>46298</v>
      </c>
      <c r="K18" s="110" t="s">
        <v>62</v>
      </c>
      <c r="L18" s="109" t="str">
        <f t="shared" ca="1" si="4"/>
        <v>Alerta</v>
      </c>
      <c r="M18" s="153"/>
      <c r="N18">
        <f t="shared" ca="1" si="0"/>
        <v>996</v>
      </c>
      <c r="S18" s="29">
        <f t="shared" ca="1" si="2"/>
        <v>100</v>
      </c>
    </row>
    <row r="19" spans="2:19" ht="25" customHeight="1" x14ac:dyDescent="0.35">
      <c r="B19" s="22" t="s">
        <v>69</v>
      </c>
      <c r="C19" s="7" t="s">
        <v>106</v>
      </c>
      <c r="D19" s="26" t="s">
        <v>107</v>
      </c>
      <c r="E19" s="26" t="s">
        <v>108</v>
      </c>
      <c r="F19" s="26" t="s">
        <v>13283</v>
      </c>
      <c r="G19" s="28" t="s">
        <v>61</v>
      </c>
      <c r="H19" s="28" t="s">
        <v>61</v>
      </c>
      <c r="I19" s="99">
        <v>45743</v>
      </c>
      <c r="J19" s="99">
        <f t="shared" si="1"/>
        <v>46839</v>
      </c>
      <c r="K19" s="110" t="s">
        <v>62</v>
      </c>
      <c r="L19" s="109" t="str">
        <f t="shared" ca="1" si="3"/>
        <v>Em dia</v>
      </c>
      <c r="M19" s="153"/>
      <c r="N19">
        <f t="shared" ca="1" si="0"/>
        <v>455</v>
      </c>
      <c r="S19" s="29">
        <f t="shared" ca="1" si="2"/>
        <v>641</v>
      </c>
    </row>
    <row r="20" spans="2:19" ht="25" customHeight="1" x14ac:dyDescent="0.35">
      <c r="B20" s="23" t="s">
        <v>73</v>
      </c>
      <c r="C20" s="7" t="s">
        <v>109</v>
      </c>
      <c r="D20" s="26" t="s">
        <v>110</v>
      </c>
      <c r="E20" s="26" t="s">
        <v>111</v>
      </c>
      <c r="F20" s="26" t="s">
        <v>13284</v>
      </c>
      <c r="G20" s="27" t="s">
        <v>61</v>
      </c>
      <c r="H20" s="123" t="s">
        <v>371</v>
      </c>
      <c r="I20" s="99">
        <v>45895</v>
      </c>
      <c r="J20" s="99">
        <f t="shared" si="1"/>
        <v>46991</v>
      </c>
      <c r="K20" s="110" t="s">
        <v>62</v>
      </c>
      <c r="L20" s="109" t="str">
        <f t="shared" ca="1" si="3"/>
        <v>Em dia</v>
      </c>
      <c r="M20" s="153"/>
      <c r="N20">
        <f t="shared" ca="1" si="0"/>
        <v>303</v>
      </c>
      <c r="S20" s="29">
        <f t="shared" ca="1" si="2"/>
        <v>793</v>
      </c>
    </row>
    <row r="21" spans="2:19" ht="25" customHeight="1" x14ac:dyDescent="0.35">
      <c r="B21" s="22" t="s">
        <v>69</v>
      </c>
      <c r="C21" s="7" t="s">
        <v>112</v>
      </c>
      <c r="D21" s="26" t="s">
        <v>113</v>
      </c>
      <c r="E21" s="26" t="s">
        <v>114</v>
      </c>
      <c r="F21" s="26" t="s">
        <v>13283</v>
      </c>
      <c r="G21" s="28" t="s">
        <v>61</v>
      </c>
      <c r="H21" s="28" t="s">
        <v>61</v>
      </c>
      <c r="I21" s="99">
        <v>45462</v>
      </c>
      <c r="J21" s="99">
        <f t="shared" si="1"/>
        <v>46558</v>
      </c>
      <c r="K21" s="110" t="s">
        <v>62</v>
      </c>
      <c r="L21" s="109" t="str">
        <f t="shared" ca="1" si="3"/>
        <v>Comunicado</v>
      </c>
      <c r="M21" s="67"/>
      <c r="N21">
        <f t="shared" ca="1" si="0"/>
        <v>736</v>
      </c>
      <c r="R21" s="102">
        <f>I21+1080</f>
        <v>46542</v>
      </c>
      <c r="S21" s="29">
        <f t="shared" ca="1" si="2"/>
        <v>360</v>
      </c>
    </row>
    <row r="22" spans="2:19" ht="25" customHeight="1" x14ac:dyDescent="0.35">
      <c r="B22" s="21" t="s">
        <v>57</v>
      </c>
      <c r="C22" s="7" t="s">
        <v>115</v>
      </c>
      <c r="D22" s="26" t="s">
        <v>116</v>
      </c>
      <c r="E22" s="26" t="s">
        <v>117</v>
      </c>
      <c r="F22" s="26" t="s">
        <v>13282</v>
      </c>
      <c r="G22" s="27" t="s">
        <v>61</v>
      </c>
      <c r="H22" s="27"/>
      <c r="I22" s="99">
        <v>44868</v>
      </c>
      <c r="J22" s="99">
        <f t="shared" si="1"/>
        <v>45964</v>
      </c>
      <c r="K22" s="110" t="s">
        <v>62</v>
      </c>
      <c r="L22" s="109" t="str">
        <f t="shared" ref="L22:L25" ca="1" si="5">IF(N22="","",IF(N22&gt;1095,"Vencido",IF(N22&gt;910,"Alerta",IF(N22&gt;820,"Alerta",IF(N22&gt;730,"Alerta",IF(N22&gt;=0,"Em dia","Vencido"))))))</f>
        <v>Vencido</v>
      </c>
      <c r="M22" s="153"/>
      <c r="N22">
        <f t="shared" ca="1" si="0"/>
        <v>1330</v>
      </c>
      <c r="S22" s="29">
        <f t="shared" ca="1" si="2"/>
        <v>-234</v>
      </c>
    </row>
    <row r="23" spans="2:19" ht="25" customHeight="1" x14ac:dyDescent="0.35">
      <c r="B23" s="21" t="s">
        <v>57</v>
      </c>
      <c r="C23" s="7" t="s">
        <v>118</v>
      </c>
      <c r="D23" s="26" t="s">
        <v>119</v>
      </c>
      <c r="E23" s="26" t="s">
        <v>120</v>
      </c>
      <c r="F23" s="26" t="s">
        <v>13282</v>
      </c>
      <c r="G23" s="27" t="s">
        <v>61</v>
      </c>
      <c r="H23" s="27"/>
      <c r="I23" s="99">
        <v>44868</v>
      </c>
      <c r="J23" s="99">
        <f t="shared" si="1"/>
        <v>45964</v>
      </c>
      <c r="K23" s="110" t="s">
        <v>62</v>
      </c>
      <c r="L23" s="109" t="str">
        <f t="shared" ca="1" si="5"/>
        <v>Vencido</v>
      </c>
      <c r="M23" s="153"/>
      <c r="N23">
        <f t="shared" ca="1" si="0"/>
        <v>1330</v>
      </c>
      <c r="S23" s="29">
        <f t="shared" ca="1" si="2"/>
        <v>-234</v>
      </c>
    </row>
    <row r="24" spans="2:19" ht="25" customHeight="1" x14ac:dyDescent="0.35">
      <c r="B24" s="21" t="s">
        <v>57</v>
      </c>
      <c r="C24" s="7" t="s">
        <v>121</v>
      </c>
      <c r="D24" s="26" t="s">
        <v>122</v>
      </c>
      <c r="E24" s="26" t="s">
        <v>123</v>
      </c>
      <c r="F24" s="26" t="s">
        <v>13282</v>
      </c>
      <c r="G24" s="27" t="s">
        <v>61</v>
      </c>
      <c r="H24" s="27"/>
      <c r="I24" s="99">
        <v>44868</v>
      </c>
      <c r="J24" s="99">
        <f t="shared" si="1"/>
        <v>45964</v>
      </c>
      <c r="K24" s="110" t="s">
        <v>62</v>
      </c>
      <c r="L24" s="109" t="str">
        <f t="shared" ca="1" si="5"/>
        <v>Vencido</v>
      </c>
      <c r="M24" s="153"/>
      <c r="N24">
        <f t="shared" ca="1" si="0"/>
        <v>1330</v>
      </c>
      <c r="S24" s="29">
        <f t="shared" ca="1" si="2"/>
        <v>-234</v>
      </c>
    </row>
    <row r="25" spans="2:19" ht="25" customHeight="1" x14ac:dyDescent="0.35">
      <c r="B25" s="23" t="s">
        <v>73</v>
      </c>
      <c r="C25" s="7" t="s">
        <v>124</v>
      </c>
      <c r="D25" s="26" t="s">
        <v>125</v>
      </c>
      <c r="E25" s="26" t="s">
        <v>126</v>
      </c>
      <c r="F25" s="26" t="s">
        <v>13284</v>
      </c>
      <c r="G25" s="27" t="s">
        <v>61</v>
      </c>
      <c r="H25" s="27"/>
      <c r="I25" s="99">
        <v>45202</v>
      </c>
      <c r="J25" s="99">
        <f t="shared" si="1"/>
        <v>46298</v>
      </c>
      <c r="K25" s="110" t="s">
        <v>62</v>
      </c>
      <c r="L25" s="109" t="str">
        <f t="shared" ca="1" si="5"/>
        <v>Alerta</v>
      </c>
      <c r="M25" s="153"/>
      <c r="N25">
        <f t="shared" ca="1" si="0"/>
        <v>996</v>
      </c>
      <c r="S25" s="29">
        <f t="shared" ca="1" si="2"/>
        <v>100</v>
      </c>
    </row>
    <row r="26" spans="2:19" ht="25" customHeight="1" x14ac:dyDescent="0.35">
      <c r="B26" s="22" t="s">
        <v>69</v>
      </c>
      <c r="C26" s="7" t="s">
        <v>127</v>
      </c>
      <c r="D26" s="26" t="s">
        <v>128</v>
      </c>
      <c r="E26" s="26" t="s">
        <v>129</v>
      </c>
      <c r="F26" s="26" t="s">
        <v>13283</v>
      </c>
      <c r="G26" s="28" t="s">
        <v>61</v>
      </c>
      <c r="H26" s="28" t="s">
        <v>61</v>
      </c>
      <c r="I26" s="99">
        <v>45462</v>
      </c>
      <c r="J26" s="99">
        <f t="shared" si="1"/>
        <v>46558</v>
      </c>
      <c r="K26" s="110" t="s">
        <v>62</v>
      </c>
      <c r="L26" s="109" t="str">
        <f t="shared" ca="1" si="3"/>
        <v>Comunicado</v>
      </c>
      <c r="M26" s="67"/>
      <c r="N26">
        <f t="shared" ca="1" si="0"/>
        <v>736</v>
      </c>
      <c r="R26" s="102">
        <f>I26+1080</f>
        <v>46542</v>
      </c>
      <c r="S26" s="29">
        <f t="shared" ca="1" si="2"/>
        <v>360</v>
      </c>
    </row>
    <row r="27" spans="2:19" ht="25" customHeight="1" x14ac:dyDescent="0.35">
      <c r="B27" s="21" t="s">
        <v>57</v>
      </c>
      <c r="C27" s="7" t="s">
        <v>130</v>
      </c>
      <c r="D27" s="26" t="s">
        <v>131</v>
      </c>
      <c r="E27" s="26" t="s">
        <v>132</v>
      </c>
      <c r="F27" s="26" t="s">
        <v>13282</v>
      </c>
      <c r="G27" s="27" t="s">
        <v>61</v>
      </c>
      <c r="H27" s="27" t="s">
        <v>61</v>
      </c>
      <c r="I27" s="99">
        <v>45202</v>
      </c>
      <c r="J27" s="99">
        <f t="shared" si="1"/>
        <v>46298</v>
      </c>
      <c r="K27" s="110" t="s">
        <v>62</v>
      </c>
      <c r="L27" s="109" t="str">
        <f t="shared" ref="L27:L28" ca="1" si="6">IF(N27="","",IF(N27&gt;1095,"Vencido",IF(N27&gt;910,"Alerta",IF(N27&gt;820,"Alerta",IF(N27&gt;730,"Alerta",IF(N27&gt;=0,"Em dia","Vencido"))))))</f>
        <v>Alerta</v>
      </c>
      <c r="M27" s="153"/>
      <c r="N27">
        <f t="shared" ca="1" si="0"/>
        <v>996</v>
      </c>
      <c r="S27" s="29">
        <f t="shared" ca="1" si="2"/>
        <v>100</v>
      </c>
    </row>
    <row r="28" spans="2:19" ht="25" customHeight="1" x14ac:dyDescent="0.35">
      <c r="B28" s="23" t="s">
        <v>73</v>
      </c>
      <c r="C28" s="7" t="s">
        <v>133</v>
      </c>
      <c r="D28" s="26" t="s">
        <v>134</v>
      </c>
      <c r="E28" s="26" t="s">
        <v>135</v>
      </c>
      <c r="F28" s="26" t="s">
        <v>13284</v>
      </c>
      <c r="G28" s="27" t="s">
        <v>61</v>
      </c>
      <c r="H28" s="27"/>
      <c r="I28" s="99">
        <v>45202</v>
      </c>
      <c r="J28" s="99">
        <f t="shared" si="1"/>
        <v>46298</v>
      </c>
      <c r="K28" s="110" t="s">
        <v>62</v>
      </c>
      <c r="L28" s="109" t="str">
        <f t="shared" ca="1" si="6"/>
        <v>Alerta</v>
      </c>
      <c r="M28" s="153"/>
      <c r="N28">
        <f t="shared" ca="1" si="0"/>
        <v>996</v>
      </c>
      <c r="S28" s="29">
        <f t="shared" ca="1" si="2"/>
        <v>100</v>
      </c>
    </row>
    <row r="29" spans="2:19" ht="25" customHeight="1" x14ac:dyDescent="0.35">
      <c r="B29" s="22" t="s">
        <v>69</v>
      </c>
      <c r="C29" s="7" t="s">
        <v>136</v>
      </c>
      <c r="D29" s="26" t="s">
        <v>137</v>
      </c>
      <c r="E29" s="26" t="s">
        <v>138</v>
      </c>
      <c r="F29" s="26" t="s">
        <v>13283</v>
      </c>
      <c r="G29" s="28"/>
      <c r="H29" s="28"/>
      <c r="I29" s="99" t="s">
        <v>89</v>
      </c>
      <c r="J29" s="99"/>
      <c r="K29" s="11" t="s">
        <v>90</v>
      </c>
      <c r="L29" s="109"/>
      <c r="M29" s="153"/>
      <c r="N29" t="e">
        <f t="shared" ca="1" si="0"/>
        <v>#VALUE!</v>
      </c>
      <c r="S29" s="29"/>
    </row>
    <row r="30" spans="2:19" ht="25" customHeight="1" x14ac:dyDescent="0.35">
      <c r="B30" s="23" t="s">
        <v>73</v>
      </c>
      <c r="C30" s="7" t="s">
        <v>139</v>
      </c>
      <c r="D30" s="26" t="s">
        <v>140</v>
      </c>
      <c r="E30" s="26" t="s">
        <v>141</v>
      </c>
      <c r="F30" s="26" t="s">
        <v>13284</v>
      </c>
      <c r="G30" s="27" t="s">
        <v>61</v>
      </c>
      <c r="H30" s="27"/>
      <c r="I30" s="99">
        <v>45202</v>
      </c>
      <c r="J30" s="99">
        <f t="shared" si="1"/>
        <v>46298</v>
      </c>
      <c r="K30" s="110" t="s">
        <v>62</v>
      </c>
      <c r="L30" s="109" t="str">
        <f ca="1">IF(N30="","",IF(N30&gt;1095,"Vencido",IF(N30&gt;910,"Alerta",IF(N30&gt;820,"Alerta",IF(N30&gt;730,"Alerta",IF(N30&gt;=0,"Em dia","Vencido"))))))</f>
        <v>Alerta</v>
      </c>
      <c r="M30" s="153"/>
      <c r="N30">
        <f t="shared" ca="1" si="0"/>
        <v>996</v>
      </c>
      <c r="S30" s="29">
        <f t="shared" ca="1" si="2"/>
        <v>100</v>
      </c>
    </row>
    <row r="31" spans="2:19" ht="25" customHeight="1" x14ac:dyDescent="0.35">
      <c r="B31" s="22" t="s">
        <v>69</v>
      </c>
      <c r="C31" s="7" t="s">
        <v>142</v>
      </c>
      <c r="D31" s="26" t="s">
        <v>143</v>
      </c>
      <c r="E31" s="26" t="s">
        <v>13323</v>
      </c>
      <c r="F31" s="26" t="s">
        <v>13283</v>
      </c>
      <c r="G31" s="28" t="s">
        <v>61</v>
      </c>
      <c r="H31" s="28" t="s">
        <v>371</v>
      </c>
      <c r="I31" s="99">
        <v>46107</v>
      </c>
      <c r="J31" s="99">
        <f t="shared" si="1"/>
        <v>47203</v>
      </c>
      <c r="K31" s="110" t="s">
        <v>62</v>
      </c>
      <c r="L31" s="109" t="str">
        <f t="shared" ca="1" si="3"/>
        <v>Em dia</v>
      </c>
      <c r="M31" s="153"/>
      <c r="N31">
        <f t="shared" ca="1" si="0"/>
        <v>91</v>
      </c>
      <c r="R31" s="102">
        <f>I31+1080</f>
        <v>47187</v>
      </c>
      <c r="S31" s="29">
        <f t="shared" ca="1" si="2"/>
        <v>1005</v>
      </c>
    </row>
    <row r="32" spans="2:19" ht="28" customHeight="1" x14ac:dyDescent="0.35">
      <c r="B32" s="22" t="s">
        <v>69</v>
      </c>
      <c r="C32" s="7" t="s">
        <v>144</v>
      </c>
      <c r="D32" s="26" t="s">
        <v>145</v>
      </c>
      <c r="E32" s="26" t="s">
        <v>146</v>
      </c>
      <c r="F32" s="26" t="s">
        <v>13283</v>
      </c>
      <c r="G32" s="27" t="s">
        <v>61</v>
      </c>
      <c r="H32" s="27" t="s">
        <v>61</v>
      </c>
      <c r="I32" s="99">
        <v>45202</v>
      </c>
      <c r="J32" s="99">
        <f t="shared" si="1"/>
        <v>46298</v>
      </c>
      <c r="K32" s="110" t="s">
        <v>62</v>
      </c>
      <c r="L32" s="109" t="str">
        <f t="shared" ref="L32:L33" ca="1" si="7">IF(N32="","",IF(N32&gt;1095,"Vencido",IF(N32&gt;910,"Alerta",IF(N32&gt;820,"Alerta",IF(N32&gt;730,"Alerta",IF(N32&gt;=0,"Em dia","Vencido"))))))</f>
        <v>Alerta</v>
      </c>
      <c r="M32" s="153"/>
      <c r="N32">
        <f t="shared" ca="1" si="0"/>
        <v>996</v>
      </c>
      <c r="S32" s="29">
        <f t="shared" ca="1" si="2"/>
        <v>100</v>
      </c>
    </row>
    <row r="33" spans="2:19" ht="28" customHeight="1" x14ac:dyDescent="0.35">
      <c r="B33" s="22" t="s">
        <v>69</v>
      </c>
      <c r="C33" s="7" t="s">
        <v>147</v>
      </c>
      <c r="D33" s="26" t="s">
        <v>148</v>
      </c>
      <c r="E33" s="26" t="s">
        <v>13324</v>
      </c>
      <c r="F33" s="26" t="s">
        <v>13283</v>
      </c>
      <c r="G33" s="27" t="s">
        <v>61</v>
      </c>
      <c r="H33" s="27"/>
      <c r="I33" s="99">
        <v>45274</v>
      </c>
      <c r="J33" s="99">
        <f t="shared" si="1"/>
        <v>46370</v>
      </c>
      <c r="K33" s="110" t="s">
        <v>62</v>
      </c>
      <c r="L33" s="109" t="str">
        <f t="shared" ca="1" si="7"/>
        <v>Alerta</v>
      </c>
      <c r="M33" s="153"/>
      <c r="N33">
        <f t="shared" ca="1" si="0"/>
        <v>924</v>
      </c>
      <c r="S33" s="29">
        <f t="shared" ca="1" si="2"/>
        <v>172</v>
      </c>
    </row>
    <row r="34" spans="2:19" ht="24" customHeight="1" x14ac:dyDescent="0.35">
      <c r="B34" s="22" t="s">
        <v>69</v>
      </c>
      <c r="C34" s="7" t="s">
        <v>149</v>
      </c>
      <c r="D34" s="26" t="s">
        <v>150</v>
      </c>
      <c r="E34" s="26" t="s">
        <v>151</v>
      </c>
      <c r="F34" s="26" t="s">
        <v>13283</v>
      </c>
      <c r="G34" s="28" t="s">
        <v>61</v>
      </c>
      <c r="H34" s="28"/>
      <c r="I34" s="99">
        <v>45538</v>
      </c>
      <c r="J34" s="99">
        <f t="shared" si="1"/>
        <v>46634</v>
      </c>
      <c r="K34" s="110" t="s">
        <v>62</v>
      </c>
      <c r="L34" s="109" t="str">
        <f t="shared" ca="1" si="3"/>
        <v>Em dia</v>
      </c>
      <c r="M34" s="153"/>
      <c r="N34">
        <f t="shared" ca="1" si="0"/>
        <v>660</v>
      </c>
      <c r="R34" s="102">
        <f>I34+1080</f>
        <v>46618</v>
      </c>
      <c r="S34" s="29">
        <f t="shared" ca="1" si="2"/>
        <v>436</v>
      </c>
    </row>
    <row r="35" spans="2:19" ht="24" customHeight="1" x14ac:dyDescent="0.35">
      <c r="B35" s="22" t="s">
        <v>69</v>
      </c>
      <c r="C35" s="7" t="s">
        <v>152</v>
      </c>
      <c r="D35" s="26" t="s">
        <v>153</v>
      </c>
      <c r="E35" s="26" t="s">
        <v>154</v>
      </c>
      <c r="F35" s="26" t="s">
        <v>13283</v>
      </c>
      <c r="G35" s="28" t="s">
        <v>61</v>
      </c>
      <c r="H35" s="28" t="s">
        <v>61</v>
      </c>
      <c r="I35" s="99">
        <v>45839</v>
      </c>
      <c r="J35" s="99">
        <f t="shared" si="1"/>
        <v>46935</v>
      </c>
      <c r="K35" s="110" t="s">
        <v>155</v>
      </c>
      <c r="L35" s="109" t="str">
        <f t="shared" ca="1" si="3"/>
        <v>Em dia</v>
      </c>
      <c r="M35" s="67"/>
      <c r="N35">
        <f t="shared" ca="1" si="0"/>
        <v>359</v>
      </c>
      <c r="R35" s="102"/>
      <c r="S35" s="29">
        <f t="shared" ca="1" si="2"/>
        <v>737</v>
      </c>
    </row>
    <row r="36" spans="2:19" ht="25" customHeight="1" x14ac:dyDescent="0.35">
      <c r="B36" s="21" t="s">
        <v>57</v>
      </c>
      <c r="C36" s="7" t="s">
        <v>156</v>
      </c>
      <c r="D36" s="26" t="s">
        <v>157</v>
      </c>
      <c r="E36" s="26" t="s">
        <v>158</v>
      </c>
      <c r="F36" s="26" t="s">
        <v>13282</v>
      </c>
      <c r="G36" s="27" t="s">
        <v>61</v>
      </c>
      <c r="H36" s="27" t="s">
        <v>61</v>
      </c>
      <c r="I36" s="99">
        <v>45595</v>
      </c>
      <c r="J36" s="99">
        <f t="shared" si="1"/>
        <v>46691</v>
      </c>
      <c r="K36" s="110" t="s">
        <v>62</v>
      </c>
      <c r="L36" s="109" t="str">
        <f t="shared" ca="1" si="3"/>
        <v>Em dia</v>
      </c>
      <c r="M36" s="67"/>
      <c r="N36">
        <f t="shared" ca="1" si="0"/>
        <v>603</v>
      </c>
      <c r="S36" s="29">
        <f t="shared" ca="1" si="2"/>
        <v>493</v>
      </c>
    </row>
    <row r="37" spans="2:19" ht="25" customHeight="1" x14ac:dyDescent="0.35">
      <c r="B37" s="21" t="s">
        <v>57</v>
      </c>
      <c r="C37" s="7" t="s">
        <v>159</v>
      </c>
      <c r="D37" s="26" t="s">
        <v>160</v>
      </c>
      <c r="E37" s="26" t="s">
        <v>161</v>
      </c>
      <c r="F37" s="26" t="s">
        <v>13282</v>
      </c>
      <c r="G37" s="27" t="s">
        <v>61</v>
      </c>
      <c r="H37" s="27" t="s">
        <v>61</v>
      </c>
      <c r="I37" s="99">
        <v>45595</v>
      </c>
      <c r="J37" s="99">
        <f t="shared" si="1"/>
        <v>46691</v>
      </c>
      <c r="K37" s="110" t="s">
        <v>62</v>
      </c>
      <c r="L37" s="109" t="str">
        <f t="shared" ca="1" si="3"/>
        <v>Em dia</v>
      </c>
      <c r="M37" s="67"/>
      <c r="N37">
        <f t="shared" ca="1" si="0"/>
        <v>603</v>
      </c>
      <c r="S37" s="29">
        <f t="shared" ca="1" si="2"/>
        <v>493</v>
      </c>
    </row>
    <row r="38" spans="2:19" ht="25" customHeight="1" x14ac:dyDescent="0.35">
      <c r="B38" s="21" t="s">
        <v>57</v>
      </c>
      <c r="C38" s="7" t="s">
        <v>162</v>
      </c>
      <c r="D38" s="26" t="s">
        <v>163</v>
      </c>
      <c r="E38" s="26" t="s">
        <v>164</v>
      </c>
      <c r="F38" s="26" t="s">
        <v>13282</v>
      </c>
      <c r="G38" s="27" t="s">
        <v>61</v>
      </c>
      <c r="H38" s="27" t="s">
        <v>61</v>
      </c>
      <c r="I38" s="99">
        <v>45595</v>
      </c>
      <c r="J38" s="99">
        <f t="shared" si="1"/>
        <v>46691</v>
      </c>
      <c r="K38" s="110" t="s">
        <v>62</v>
      </c>
      <c r="L38" s="109" t="str">
        <f t="shared" ca="1" si="3"/>
        <v>Em dia</v>
      </c>
      <c r="M38" s="67"/>
      <c r="N38">
        <f t="shared" ca="1" si="0"/>
        <v>603</v>
      </c>
      <c r="S38" s="29">
        <f t="shared" ca="1" si="2"/>
        <v>493</v>
      </c>
    </row>
    <row r="39" spans="2:19" ht="25" customHeight="1" x14ac:dyDescent="0.35">
      <c r="B39" s="21" t="s">
        <v>57</v>
      </c>
      <c r="C39" s="7" t="s">
        <v>165</v>
      </c>
      <c r="D39" s="26" t="s">
        <v>166</v>
      </c>
      <c r="E39" s="26" t="s">
        <v>167</v>
      </c>
      <c r="F39" s="26" t="s">
        <v>13282</v>
      </c>
      <c r="G39" s="27" t="s">
        <v>61</v>
      </c>
      <c r="H39" s="27" t="s">
        <v>61</v>
      </c>
      <c r="I39" s="99">
        <v>45595</v>
      </c>
      <c r="J39" s="99">
        <f t="shared" si="1"/>
        <v>46691</v>
      </c>
      <c r="K39" s="110" t="s">
        <v>62</v>
      </c>
      <c r="L39" s="109" t="str">
        <f t="shared" ca="1" si="3"/>
        <v>Em dia</v>
      </c>
      <c r="M39" s="67"/>
      <c r="N39">
        <f t="shared" ca="1" si="0"/>
        <v>603</v>
      </c>
      <c r="S39" s="29">
        <f t="shared" ca="1" si="2"/>
        <v>493</v>
      </c>
    </row>
    <row r="40" spans="2:19" ht="25" customHeight="1" x14ac:dyDescent="0.35">
      <c r="B40" s="21" t="s">
        <v>57</v>
      </c>
      <c r="C40" s="7" t="s">
        <v>168</v>
      </c>
      <c r="D40" s="26" t="s">
        <v>169</v>
      </c>
      <c r="E40" s="26" t="s">
        <v>170</v>
      </c>
      <c r="F40" s="26" t="s">
        <v>13282</v>
      </c>
      <c r="G40" s="27" t="s">
        <v>61</v>
      </c>
      <c r="H40" s="27" t="s">
        <v>61</v>
      </c>
      <c r="I40" s="99">
        <v>45595</v>
      </c>
      <c r="J40" s="99">
        <f t="shared" si="1"/>
        <v>46691</v>
      </c>
      <c r="K40" s="110" t="s">
        <v>62</v>
      </c>
      <c r="L40" s="109" t="str">
        <f t="shared" ca="1" si="3"/>
        <v>Em dia</v>
      </c>
      <c r="M40" s="67"/>
      <c r="N40">
        <f t="shared" ca="1" si="0"/>
        <v>603</v>
      </c>
      <c r="S40" s="29">
        <f t="shared" ca="1" si="2"/>
        <v>493</v>
      </c>
    </row>
    <row r="41" spans="2:19" ht="25" customHeight="1" x14ac:dyDescent="0.35">
      <c r="B41" s="22" t="s">
        <v>69</v>
      </c>
      <c r="C41" s="7" t="s">
        <v>171</v>
      </c>
      <c r="D41" s="26" t="s">
        <v>172</v>
      </c>
      <c r="E41" s="26" t="s">
        <v>173</v>
      </c>
      <c r="F41" s="26" t="s">
        <v>13283</v>
      </c>
      <c r="G41" s="28"/>
      <c r="H41" s="28"/>
      <c r="I41" s="99" t="s">
        <v>89</v>
      </c>
      <c r="J41" s="99"/>
      <c r="K41" s="11" t="s">
        <v>90</v>
      </c>
      <c r="L41" s="109"/>
      <c r="M41" s="153"/>
      <c r="N41" t="e">
        <f t="shared" ca="1" si="0"/>
        <v>#VALUE!</v>
      </c>
      <c r="S41" s="29"/>
    </row>
    <row r="42" spans="2:19" ht="25" customHeight="1" x14ac:dyDescent="0.35">
      <c r="B42" s="22" t="s">
        <v>69</v>
      </c>
      <c r="C42" s="7" t="s">
        <v>174</v>
      </c>
      <c r="D42" s="26" t="s">
        <v>175</v>
      </c>
      <c r="E42" s="26" t="s">
        <v>176</v>
      </c>
      <c r="F42" s="26" t="s">
        <v>13283</v>
      </c>
      <c r="G42" s="28"/>
      <c r="H42" s="28"/>
      <c r="I42" s="99" t="s">
        <v>89</v>
      </c>
      <c r="J42" s="99"/>
      <c r="K42" s="11" t="s">
        <v>90</v>
      </c>
      <c r="L42" s="109"/>
      <c r="M42" s="153"/>
      <c r="N42" t="e">
        <f t="shared" ca="1" si="0"/>
        <v>#VALUE!</v>
      </c>
      <c r="S42" s="29"/>
    </row>
    <row r="43" spans="2:19" ht="25" customHeight="1" x14ac:dyDescent="0.35">
      <c r="B43" s="23" t="s">
        <v>73</v>
      </c>
      <c r="C43" s="7" t="s">
        <v>177</v>
      </c>
      <c r="D43" s="26" t="s">
        <v>178</v>
      </c>
      <c r="E43" s="26" t="s">
        <v>179</v>
      </c>
      <c r="F43" s="26" t="s">
        <v>13284</v>
      </c>
      <c r="G43" s="27" t="s">
        <v>61</v>
      </c>
      <c r="H43" s="27"/>
      <c r="I43" s="99">
        <v>45202</v>
      </c>
      <c r="J43" s="99">
        <f t="shared" si="1"/>
        <v>46298</v>
      </c>
      <c r="K43" s="110" t="s">
        <v>62</v>
      </c>
      <c r="L43" s="109" t="str">
        <f t="shared" ref="L43:L47" ca="1" si="8">IF(N43="","",IF(N43&gt;1095,"Vencido",IF(N43&gt;910,"Alerta",IF(N43&gt;820,"Alerta",IF(N43&gt;730,"Alerta",IF(N43&gt;=0,"Em dia","Vencido"))))))</f>
        <v>Alerta</v>
      </c>
      <c r="M43" s="153"/>
      <c r="N43">
        <f t="shared" ca="1" si="0"/>
        <v>996</v>
      </c>
      <c r="S43" s="29">
        <f t="shared" ca="1" si="2"/>
        <v>100</v>
      </c>
    </row>
    <row r="44" spans="2:19" ht="25" customHeight="1" x14ac:dyDescent="0.35">
      <c r="B44" s="22" t="s">
        <v>69</v>
      </c>
      <c r="C44" s="7" t="s">
        <v>180</v>
      </c>
      <c r="D44" s="26" t="s">
        <v>181</v>
      </c>
      <c r="E44" s="26" t="s">
        <v>182</v>
      </c>
      <c r="F44" s="26" t="s">
        <v>13283</v>
      </c>
      <c r="G44" s="28" t="s">
        <v>61</v>
      </c>
      <c r="H44" s="28"/>
      <c r="I44" s="99">
        <v>45202</v>
      </c>
      <c r="J44" s="99">
        <f t="shared" si="1"/>
        <v>46298</v>
      </c>
      <c r="K44" s="110" t="s">
        <v>62</v>
      </c>
      <c r="L44" s="109" t="str">
        <f t="shared" ca="1" si="8"/>
        <v>Alerta</v>
      </c>
      <c r="M44" s="153"/>
      <c r="N44">
        <f t="shared" ca="1" si="0"/>
        <v>996</v>
      </c>
      <c r="S44" s="29">
        <f t="shared" ca="1" si="2"/>
        <v>100</v>
      </c>
    </row>
    <row r="45" spans="2:19" ht="25" customHeight="1" x14ac:dyDescent="0.35">
      <c r="B45" s="22" t="s">
        <v>69</v>
      </c>
      <c r="C45" s="7" t="s">
        <v>183</v>
      </c>
      <c r="D45" s="26" t="s">
        <v>184</v>
      </c>
      <c r="E45" s="26" t="s">
        <v>185</v>
      </c>
      <c r="F45" s="26" t="s">
        <v>13283</v>
      </c>
      <c r="G45" s="28" t="s">
        <v>61</v>
      </c>
      <c r="H45" s="28"/>
      <c r="I45" s="99">
        <v>45274</v>
      </c>
      <c r="J45" s="99">
        <f t="shared" si="1"/>
        <v>46370</v>
      </c>
      <c r="K45" s="110" t="s">
        <v>62</v>
      </c>
      <c r="L45" s="109" t="str">
        <f t="shared" ca="1" si="8"/>
        <v>Alerta</v>
      </c>
      <c r="M45" s="153"/>
      <c r="N45">
        <f t="shared" ca="1" si="0"/>
        <v>924</v>
      </c>
      <c r="S45" s="29">
        <f t="shared" ca="1" si="2"/>
        <v>172</v>
      </c>
    </row>
    <row r="46" spans="2:19" ht="25" customHeight="1" x14ac:dyDescent="0.35">
      <c r="B46" s="23" t="s">
        <v>73</v>
      </c>
      <c r="C46" s="7" t="s">
        <v>186</v>
      </c>
      <c r="D46" s="26" t="s">
        <v>187</v>
      </c>
      <c r="E46" s="26" t="s">
        <v>188</v>
      </c>
      <c r="F46" s="26" t="s">
        <v>13284</v>
      </c>
      <c r="G46" s="27" t="s">
        <v>61</v>
      </c>
      <c r="H46" s="27"/>
      <c r="I46" s="99">
        <v>45202</v>
      </c>
      <c r="J46" s="99">
        <f t="shared" si="1"/>
        <v>46298</v>
      </c>
      <c r="K46" s="110" t="s">
        <v>62</v>
      </c>
      <c r="L46" s="109" t="str">
        <f t="shared" ca="1" si="8"/>
        <v>Alerta</v>
      </c>
      <c r="M46" s="153"/>
      <c r="N46">
        <f t="shared" ca="1" si="0"/>
        <v>996</v>
      </c>
      <c r="S46" s="29">
        <f t="shared" ca="1" si="2"/>
        <v>100</v>
      </c>
    </row>
    <row r="47" spans="2:19" ht="25" customHeight="1" x14ac:dyDescent="0.35">
      <c r="B47" s="23" t="s">
        <v>73</v>
      </c>
      <c r="C47" s="7" t="s">
        <v>189</v>
      </c>
      <c r="D47" s="26" t="s">
        <v>190</v>
      </c>
      <c r="E47" s="26" t="s">
        <v>191</v>
      </c>
      <c r="F47" s="26" t="s">
        <v>13284</v>
      </c>
      <c r="G47" s="27" t="s">
        <v>61</v>
      </c>
      <c r="H47" s="27"/>
      <c r="I47" s="99">
        <v>45202</v>
      </c>
      <c r="J47" s="99">
        <f t="shared" si="1"/>
        <v>46298</v>
      </c>
      <c r="K47" s="110" t="s">
        <v>62</v>
      </c>
      <c r="L47" s="109" t="str">
        <f t="shared" ca="1" si="8"/>
        <v>Alerta</v>
      </c>
      <c r="M47" s="153"/>
      <c r="N47">
        <f t="shared" ca="1" si="0"/>
        <v>996</v>
      </c>
      <c r="S47" s="29">
        <f t="shared" ca="1" si="2"/>
        <v>100</v>
      </c>
    </row>
    <row r="48" spans="2:19" ht="25" customHeight="1" x14ac:dyDescent="0.35">
      <c r="B48" s="22" t="s">
        <v>69</v>
      </c>
      <c r="C48" s="7" t="s">
        <v>192</v>
      </c>
      <c r="D48" s="26" t="s">
        <v>193</v>
      </c>
      <c r="E48" s="26" t="s">
        <v>194</v>
      </c>
      <c r="F48" s="26" t="s">
        <v>13283</v>
      </c>
      <c r="G48" s="28" t="s">
        <v>61</v>
      </c>
      <c r="H48" s="28" t="s">
        <v>61</v>
      </c>
      <c r="I48" s="99">
        <v>45538</v>
      </c>
      <c r="J48" s="99">
        <f t="shared" si="1"/>
        <v>46634</v>
      </c>
      <c r="K48" s="110" t="s">
        <v>62</v>
      </c>
      <c r="L48" s="109" t="str">
        <f t="shared" ca="1" si="3"/>
        <v>Em dia</v>
      </c>
      <c r="M48" s="153"/>
      <c r="N48">
        <f t="shared" ca="1" si="0"/>
        <v>660</v>
      </c>
      <c r="R48" s="102">
        <f>I48+1080</f>
        <v>46618</v>
      </c>
      <c r="S48" s="29">
        <f t="shared" ca="1" si="2"/>
        <v>436</v>
      </c>
    </row>
    <row r="49" spans="2:19" ht="25" customHeight="1" x14ac:dyDescent="0.35">
      <c r="B49" s="22" t="s">
        <v>69</v>
      </c>
      <c r="C49" s="7" t="s">
        <v>195</v>
      </c>
      <c r="D49" s="26" t="s">
        <v>196</v>
      </c>
      <c r="E49" s="26" t="s">
        <v>197</v>
      </c>
      <c r="F49" s="26" t="s">
        <v>13283</v>
      </c>
      <c r="G49" s="26"/>
      <c r="H49" s="26"/>
      <c r="I49" s="99" t="s">
        <v>89</v>
      </c>
      <c r="J49" s="99"/>
      <c r="K49" s="11" t="s">
        <v>90</v>
      </c>
      <c r="L49" s="109"/>
      <c r="M49" s="153"/>
      <c r="N49" t="e">
        <f t="shared" ca="1" si="0"/>
        <v>#VALUE!</v>
      </c>
      <c r="S49" s="29"/>
    </row>
    <row r="50" spans="2:19" ht="25" customHeight="1" x14ac:dyDescent="0.35">
      <c r="B50" s="23" t="s">
        <v>73</v>
      </c>
      <c r="C50" s="7" t="s">
        <v>198</v>
      </c>
      <c r="D50" s="26" t="s">
        <v>199</v>
      </c>
      <c r="E50" s="26" t="s">
        <v>200</v>
      </c>
      <c r="F50" s="26" t="s">
        <v>13284</v>
      </c>
      <c r="G50" s="27" t="s">
        <v>61</v>
      </c>
      <c r="H50" s="27"/>
      <c r="I50" s="99">
        <v>45202</v>
      </c>
      <c r="J50" s="99">
        <f t="shared" si="1"/>
        <v>46298</v>
      </c>
      <c r="K50" s="110" t="s">
        <v>62</v>
      </c>
      <c r="L50" s="109" t="str">
        <f t="shared" ref="L50:L51" ca="1" si="9">IF(N50="","",IF(N50&gt;1095,"Vencido",IF(N50&gt;910,"Alerta",IF(N50&gt;820,"Alerta",IF(N50&gt;730,"Alerta",IF(N50&gt;=0,"Em dia","Vencido"))))))</f>
        <v>Alerta</v>
      </c>
      <c r="M50" s="153"/>
      <c r="N50">
        <f t="shared" ca="1" si="0"/>
        <v>996</v>
      </c>
      <c r="S50" s="29">
        <f t="shared" ca="1" si="2"/>
        <v>100</v>
      </c>
    </row>
    <row r="51" spans="2:19" ht="25" customHeight="1" x14ac:dyDescent="0.35">
      <c r="B51" s="23" t="s">
        <v>73</v>
      </c>
      <c r="C51" s="7" t="s">
        <v>201</v>
      </c>
      <c r="D51" s="26" t="s">
        <v>202</v>
      </c>
      <c r="E51" s="26" t="s">
        <v>203</v>
      </c>
      <c r="F51" s="26" t="s">
        <v>13284</v>
      </c>
      <c r="G51" s="27" t="s">
        <v>61</v>
      </c>
      <c r="H51" s="27"/>
      <c r="I51" s="99">
        <v>45202</v>
      </c>
      <c r="J51" s="99">
        <f t="shared" si="1"/>
        <v>46298</v>
      </c>
      <c r="K51" s="110" t="s">
        <v>62</v>
      </c>
      <c r="L51" s="109" t="str">
        <f t="shared" ca="1" si="9"/>
        <v>Alerta</v>
      </c>
      <c r="M51" s="153"/>
      <c r="N51">
        <f t="shared" ca="1" si="0"/>
        <v>996</v>
      </c>
      <c r="S51" s="29">
        <f t="shared" ca="1" si="2"/>
        <v>100</v>
      </c>
    </row>
    <row r="52" spans="2:19" ht="25" customHeight="1" x14ac:dyDescent="0.35">
      <c r="B52" s="22" t="s">
        <v>69</v>
      </c>
      <c r="C52" s="7" t="s">
        <v>204</v>
      </c>
      <c r="D52" s="26" t="s">
        <v>205</v>
      </c>
      <c r="E52" s="26" t="s">
        <v>206</v>
      </c>
      <c r="F52" s="26" t="s">
        <v>13283</v>
      </c>
      <c r="G52" s="26"/>
      <c r="H52" s="26"/>
      <c r="I52" s="99" t="s">
        <v>89</v>
      </c>
      <c r="J52" s="99"/>
      <c r="K52" s="11" t="s">
        <v>90</v>
      </c>
      <c r="L52" s="109"/>
      <c r="M52" s="153"/>
      <c r="N52" t="e">
        <f t="shared" ca="1" si="0"/>
        <v>#VALUE!</v>
      </c>
      <c r="S52" s="29"/>
    </row>
    <row r="53" spans="2:19" ht="25" customHeight="1" x14ac:dyDescent="0.35">
      <c r="B53" s="22" t="s">
        <v>69</v>
      </c>
      <c r="C53" s="7" t="s">
        <v>207</v>
      </c>
      <c r="D53" s="26" t="s">
        <v>208</v>
      </c>
      <c r="E53" s="26" t="s">
        <v>209</v>
      </c>
      <c r="F53" s="26" t="s">
        <v>13283</v>
      </c>
      <c r="G53" s="26"/>
      <c r="H53" s="26"/>
      <c r="I53" s="99" t="s">
        <v>89</v>
      </c>
      <c r="J53" s="99"/>
      <c r="K53" s="11" t="s">
        <v>90</v>
      </c>
      <c r="L53" s="109"/>
      <c r="M53" s="153"/>
      <c r="N53" t="e">
        <f t="shared" ca="1" si="0"/>
        <v>#VALUE!</v>
      </c>
      <c r="S53" s="29"/>
    </row>
    <row r="54" spans="2:19" ht="25" customHeight="1" x14ac:dyDescent="0.35">
      <c r="B54" s="21" t="s">
        <v>57</v>
      </c>
      <c r="C54" s="7" t="s">
        <v>210</v>
      </c>
      <c r="D54" s="26" t="s">
        <v>211</v>
      </c>
      <c r="E54" s="26" t="s">
        <v>212</v>
      </c>
      <c r="F54" s="26" t="s">
        <v>13282</v>
      </c>
      <c r="G54" s="27" t="s">
        <v>61</v>
      </c>
      <c r="H54" s="27"/>
      <c r="I54" s="99">
        <v>45202</v>
      </c>
      <c r="J54" s="99">
        <f t="shared" si="1"/>
        <v>46298</v>
      </c>
      <c r="K54" s="110" t="s">
        <v>62</v>
      </c>
      <c r="L54" s="109" t="str">
        <f ca="1">IF(N54="","",IF(N54&gt;1095,"Vencido",IF(N54&gt;910,"Alerta",IF(N54&gt;820,"Alerta",IF(N54&gt;730,"Alerta",IF(N54&gt;=0,"Em dia","Vencido"))))))</f>
        <v>Alerta</v>
      </c>
      <c r="M54" s="153"/>
      <c r="N54">
        <f t="shared" ca="1" si="0"/>
        <v>996</v>
      </c>
      <c r="S54" s="29">
        <f t="shared" ca="1" si="2"/>
        <v>100</v>
      </c>
    </row>
    <row r="55" spans="2:19" ht="25" customHeight="1" x14ac:dyDescent="0.35">
      <c r="B55" s="22" t="s">
        <v>69</v>
      </c>
      <c r="C55" s="7" t="s">
        <v>213</v>
      </c>
      <c r="D55" s="26" t="s">
        <v>214</v>
      </c>
      <c r="E55" s="26" t="s">
        <v>215</v>
      </c>
      <c r="F55" s="26" t="s">
        <v>13283</v>
      </c>
      <c r="G55" s="28" t="s">
        <v>61</v>
      </c>
      <c r="H55" s="28" t="s">
        <v>61</v>
      </c>
      <c r="I55" s="99">
        <v>45538</v>
      </c>
      <c r="J55" s="99">
        <f t="shared" si="1"/>
        <v>46634</v>
      </c>
      <c r="K55" s="110" t="s">
        <v>62</v>
      </c>
      <c r="L55" s="109" t="str">
        <f t="shared" ca="1" si="3"/>
        <v>Em dia</v>
      </c>
      <c r="M55" s="153"/>
      <c r="N55">
        <f t="shared" ca="1" si="0"/>
        <v>660</v>
      </c>
      <c r="R55" s="102">
        <f>I55+1080</f>
        <v>46618</v>
      </c>
      <c r="S55" s="29">
        <f t="shared" ca="1" si="2"/>
        <v>436</v>
      </c>
    </row>
    <row r="56" spans="2:19" ht="25" customHeight="1" x14ac:dyDescent="0.35">
      <c r="B56" s="22" t="s">
        <v>69</v>
      </c>
      <c r="C56" s="7" t="s">
        <v>216</v>
      </c>
      <c r="D56" s="26" t="s">
        <v>217</v>
      </c>
      <c r="E56" s="26" t="s">
        <v>218</v>
      </c>
      <c r="F56" s="26" t="s">
        <v>13283</v>
      </c>
      <c r="G56" s="28" t="s">
        <v>61</v>
      </c>
      <c r="H56" s="28"/>
      <c r="I56" s="99">
        <v>45538</v>
      </c>
      <c r="J56" s="99">
        <f t="shared" si="1"/>
        <v>46634</v>
      </c>
      <c r="K56" s="110" t="s">
        <v>62</v>
      </c>
      <c r="L56" s="109" t="str">
        <f t="shared" ca="1" si="3"/>
        <v>Em dia</v>
      </c>
      <c r="M56" s="153"/>
      <c r="N56">
        <f t="shared" ca="1" si="0"/>
        <v>660</v>
      </c>
      <c r="R56" s="102">
        <f>I56+1080</f>
        <v>46618</v>
      </c>
      <c r="S56" s="29">
        <f t="shared" ca="1" si="2"/>
        <v>436</v>
      </c>
    </row>
    <row r="57" spans="2:19" ht="25" customHeight="1" x14ac:dyDescent="0.35">
      <c r="B57" s="22" t="s">
        <v>69</v>
      </c>
      <c r="C57" s="7" t="s">
        <v>219</v>
      </c>
      <c r="D57" s="26" t="s">
        <v>220</v>
      </c>
      <c r="E57" s="26" t="s">
        <v>221</v>
      </c>
      <c r="F57" s="26" t="s">
        <v>13283</v>
      </c>
      <c r="G57" s="28" t="s">
        <v>61</v>
      </c>
      <c r="H57" s="28"/>
      <c r="I57" s="99">
        <v>45202</v>
      </c>
      <c r="J57" s="99">
        <f t="shared" si="1"/>
        <v>46298</v>
      </c>
      <c r="K57" s="110" t="s">
        <v>62</v>
      </c>
      <c r="L57" s="109" t="str">
        <f t="shared" ref="L57:L64" ca="1" si="10">IF(N57="","",IF(N57&gt;1095,"Vencido",IF(N57&gt;910,"Alerta",IF(N57&gt;820,"Alerta",IF(N57&gt;730,"Alerta",IF(N57&gt;=0,"Em dia","Vencido"))))))</f>
        <v>Alerta</v>
      </c>
      <c r="M57" s="153"/>
      <c r="N57">
        <f t="shared" ca="1" si="0"/>
        <v>996</v>
      </c>
      <c r="S57" s="29">
        <f t="shared" ca="1" si="2"/>
        <v>100</v>
      </c>
    </row>
    <row r="58" spans="2:19" ht="25" customHeight="1" x14ac:dyDescent="0.35">
      <c r="B58" s="22" t="s">
        <v>69</v>
      </c>
      <c r="C58" s="7" t="s">
        <v>222</v>
      </c>
      <c r="D58" s="26" t="s">
        <v>223</v>
      </c>
      <c r="E58" s="26" t="s">
        <v>224</v>
      </c>
      <c r="F58" s="26" t="s">
        <v>13283</v>
      </c>
      <c r="G58" s="28" t="s">
        <v>61</v>
      </c>
      <c r="H58" s="28"/>
      <c r="I58" s="99">
        <v>45202</v>
      </c>
      <c r="J58" s="99">
        <f t="shared" si="1"/>
        <v>46298</v>
      </c>
      <c r="K58" s="110" t="s">
        <v>62</v>
      </c>
      <c r="L58" s="109" t="str">
        <f t="shared" ca="1" si="10"/>
        <v>Alerta</v>
      </c>
      <c r="M58" s="153"/>
      <c r="N58">
        <f t="shared" ca="1" si="0"/>
        <v>996</v>
      </c>
      <c r="S58" s="29">
        <f t="shared" ca="1" si="2"/>
        <v>100</v>
      </c>
    </row>
    <row r="59" spans="2:19" ht="25" customHeight="1" x14ac:dyDescent="0.35">
      <c r="B59" s="23" t="s">
        <v>73</v>
      </c>
      <c r="C59" s="7" t="s">
        <v>225</v>
      </c>
      <c r="D59" s="26" t="s">
        <v>226</v>
      </c>
      <c r="E59" s="26" t="s">
        <v>227</v>
      </c>
      <c r="F59" s="26" t="s">
        <v>13284</v>
      </c>
      <c r="G59" s="27" t="s">
        <v>61</v>
      </c>
      <c r="H59" s="27"/>
      <c r="I59" s="99">
        <v>45202</v>
      </c>
      <c r="J59" s="99">
        <f t="shared" si="1"/>
        <v>46298</v>
      </c>
      <c r="K59" s="110" t="s">
        <v>62</v>
      </c>
      <c r="L59" s="109" t="str">
        <f t="shared" ca="1" si="10"/>
        <v>Alerta</v>
      </c>
      <c r="M59" s="153"/>
      <c r="N59">
        <f t="shared" ca="1" si="0"/>
        <v>996</v>
      </c>
      <c r="S59" s="29">
        <f t="shared" ca="1" si="2"/>
        <v>100</v>
      </c>
    </row>
    <row r="60" spans="2:19" ht="25" customHeight="1" x14ac:dyDescent="0.35">
      <c r="B60" s="23" t="s">
        <v>73</v>
      </c>
      <c r="C60" s="7" t="s">
        <v>228</v>
      </c>
      <c r="D60" s="26" t="s">
        <v>229</v>
      </c>
      <c r="E60" s="26" t="s">
        <v>230</v>
      </c>
      <c r="F60" s="26" t="s">
        <v>13284</v>
      </c>
      <c r="G60" s="27" t="s">
        <v>61</v>
      </c>
      <c r="H60" s="27"/>
      <c r="I60" s="99">
        <v>45202</v>
      </c>
      <c r="J60" s="99">
        <f t="shared" si="1"/>
        <v>46298</v>
      </c>
      <c r="K60" s="110" t="s">
        <v>62</v>
      </c>
      <c r="L60" s="109" t="str">
        <f t="shared" ca="1" si="10"/>
        <v>Alerta</v>
      </c>
      <c r="M60" s="153"/>
      <c r="N60">
        <f t="shared" ca="1" si="0"/>
        <v>996</v>
      </c>
      <c r="S60" s="29">
        <f t="shared" ca="1" si="2"/>
        <v>100</v>
      </c>
    </row>
    <row r="61" spans="2:19" ht="25" customHeight="1" x14ac:dyDescent="0.35">
      <c r="B61" s="21" t="s">
        <v>57</v>
      </c>
      <c r="C61" s="7" t="s">
        <v>231</v>
      </c>
      <c r="D61" s="26" t="s">
        <v>232</v>
      </c>
      <c r="E61" s="26" t="s">
        <v>233</v>
      </c>
      <c r="F61" s="26" t="s">
        <v>13282</v>
      </c>
      <c r="G61" s="27" t="s">
        <v>61</v>
      </c>
      <c r="H61" s="27"/>
      <c r="I61" s="99">
        <v>45202</v>
      </c>
      <c r="J61" s="99">
        <f t="shared" si="1"/>
        <v>46298</v>
      </c>
      <c r="K61" s="110" t="s">
        <v>62</v>
      </c>
      <c r="L61" s="109" t="str">
        <f t="shared" ca="1" si="10"/>
        <v>Alerta</v>
      </c>
      <c r="M61" s="153"/>
      <c r="N61">
        <f t="shared" ca="1" si="0"/>
        <v>996</v>
      </c>
      <c r="S61" s="29">
        <f t="shared" ca="1" si="2"/>
        <v>100</v>
      </c>
    </row>
    <row r="62" spans="2:19" ht="25" customHeight="1" x14ac:dyDescent="0.35">
      <c r="B62" s="23" t="s">
        <v>73</v>
      </c>
      <c r="C62" s="7" t="s">
        <v>234</v>
      </c>
      <c r="D62" s="26" t="s">
        <v>235</v>
      </c>
      <c r="E62" s="26" t="s">
        <v>236</v>
      </c>
      <c r="F62" s="26" t="s">
        <v>13284</v>
      </c>
      <c r="G62" s="27" t="s">
        <v>61</v>
      </c>
      <c r="H62" s="27"/>
      <c r="I62" s="99">
        <v>45202</v>
      </c>
      <c r="J62" s="99">
        <f t="shared" si="1"/>
        <v>46298</v>
      </c>
      <c r="K62" s="110" t="s">
        <v>62</v>
      </c>
      <c r="L62" s="109" t="str">
        <f t="shared" ca="1" si="10"/>
        <v>Alerta</v>
      </c>
      <c r="M62" s="153"/>
      <c r="N62">
        <f t="shared" ca="1" si="0"/>
        <v>996</v>
      </c>
      <c r="S62" s="29">
        <f t="shared" ca="1" si="2"/>
        <v>100</v>
      </c>
    </row>
    <row r="63" spans="2:19" ht="25" customHeight="1" x14ac:dyDescent="0.35">
      <c r="B63" s="22" t="s">
        <v>69</v>
      </c>
      <c r="C63" s="7" t="s">
        <v>237</v>
      </c>
      <c r="D63" s="26" t="s">
        <v>238</v>
      </c>
      <c r="E63" s="26" t="s">
        <v>239</v>
      </c>
      <c r="F63" s="26" t="s">
        <v>13283</v>
      </c>
      <c r="G63" s="28" t="s">
        <v>61</v>
      </c>
      <c r="H63" s="28"/>
      <c r="I63" s="99">
        <v>45202</v>
      </c>
      <c r="J63" s="99">
        <f t="shared" si="1"/>
        <v>46298</v>
      </c>
      <c r="K63" s="110" t="s">
        <v>62</v>
      </c>
      <c r="L63" s="109" t="str">
        <f t="shared" ca="1" si="10"/>
        <v>Alerta</v>
      </c>
      <c r="M63" s="153"/>
      <c r="N63">
        <f t="shared" ca="1" si="0"/>
        <v>996</v>
      </c>
      <c r="S63" s="29">
        <f t="shared" ca="1" si="2"/>
        <v>100</v>
      </c>
    </row>
    <row r="64" spans="2:19" ht="25" customHeight="1" x14ac:dyDescent="0.35">
      <c r="B64" s="23" t="s">
        <v>73</v>
      </c>
      <c r="C64" s="7" t="s">
        <v>240</v>
      </c>
      <c r="D64" s="26" t="s">
        <v>241</v>
      </c>
      <c r="E64" s="26" t="s">
        <v>242</v>
      </c>
      <c r="F64" s="26" t="s">
        <v>13284</v>
      </c>
      <c r="G64" s="27" t="s">
        <v>61</v>
      </c>
      <c r="H64" s="27"/>
      <c r="I64" s="99">
        <v>45202</v>
      </c>
      <c r="J64" s="99">
        <f t="shared" si="1"/>
        <v>46298</v>
      </c>
      <c r="K64" s="110" t="s">
        <v>62</v>
      </c>
      <c r="L64" s="109" t="str">
        <f t="shared" ca="1" si="10"/>
        <v>Alerta</v>
      </c>
      <c r="M64" s="153"/>
      <c r="N64">
        <f t="shared" ca="1" si="0"/>
        <v>996</v>
      </c>
      <c r="S64" s="29">
        <f t="shared" ca="1" si="2"/>
        <v>100</v>
      </c>
    </row>
    <row r="65" spans="2:19" ht="25" customHeight="1" x14ac:dyDescent="0.35">
      <c r="B65" s="22" t="s">
        <v>69</v>
      </c>
      <c r="C65" s="7" t="s">
        <v>243</v>
      </c>
      <c r="D65" s="26" t="s">
        <v>244</v>
      </c>
      <c r="E65" s="26" t="s">
        <v>245</v>
      </c>
      <c r="F65" s="26" t="s">
        <v>13283</v>
      </c>
      <c r="G65" s="26"/>
      <c r="H65" s="26"/>
      <c r="I65" s="99" t="s">
        <v>89</v>
      </c>
      <c r="J65" s="99"/>
      <c r="K65" s="11" t="s">
        <v>90</v>
      </c>
      <c r="L65" s="109"/>
      <c r="M65" s="153"/>
      <c r="N65" t="e">
        <f t="shared" ca="1" si="0"/>
        <v>#VALUE!</v>
      </c>
      <c r="S65" s="29"/>
    </row>
    <row r="66" spans="2:19" ht="25" customHeight="1" x14ac:dyDescent="0.35">
      <c r="B66" s="22" t="s">
        <v>69</v>
      </c>
      <c r="C66" s="7" t="s">
        <v>246</v>
      </c>
      <c r="D66" s="26" t="s">
        <v>247</v>
      </c>
      <c r="E66" s="26" t="s">
        <v>248</v>
      </c>
      <c r="F66" s="26" t="s">
        <v>13283</v>
      </c>
      <c r="G66" s="28" t="s">
        <v>61</v>
      </c>
      <c r="H66" s="28"/>
      <c r="I66" s="99">
        <v>45202</v>
      </c>
      <c r="J66" s="99">
        <f t="shared" si="1"/>
        <v>46298</v>
      </c>
      <c r="K66" s="110" t="s">
        <v>62</v>
      </c>
      <c r="L66" s="109" t="str">
        <f t="shared" ref="L66:L67" ca="1" si="11">IF(N66="","",IF(N66&gt;1095,"Vencido",IF(N66&gt;910,"Alerta",IF(N66&gt;820,"Alerta",IF(N66&gt;730,"Alerta",IF(N66&gt;=0,"Em dia","Vencido"))))))</f>
        <v>Alerta</v>
      </c>
      <c r="M66" s="153"/>
      <c r="N66">
        <f t="shared" ca="1" si="0"/>
        <v>996</v>
      </c>
      <c r="S66" s="29">
        <f t="shared" ca="1" si="2"/>
        <v>100</v>
      </c>
    </row>
    <row r="67" spans="2:19" ht="25" customHeight="1" x14ac:dyDescent="0.35">
      <c r="B67" s="22" t="s">
        <v>69</v>
      </c>
      <c r="C67" s="7" t="s">
        <v>249</v>
      </c>
      <c r="D67" s="26" t="s">
        <v>250</v>
      </c>
      <c r="E67" s="26" t="s">
        <v>251</v>
      </c>
      <c r="F67" s="26" t="s">
        <v>13283</v>
      </c>
      <c r="G67" s="28" t="s">
        <v>61</v>
      </c>
      <c r="H67" s="28"/>
      <c r="I67" s="99">
        <v>45202</v>
      </c>
      <c r="J67" s="99">
        <f t="shared" si="1"/>
        <v>46298</v>
      </c>
      <c r="K67" s="110" t="s">
        <v>62</v>
      </c>
      <c r="L67" s="109" t="str">
        <f t="shared" ca="1" si="11"/>
        <v>Alerta</v>
      </c>
      <c r="M67" s="153"/>
      <c r="N67">
        <f t="shared" ca="1" si="0"/>
        <v>996</v>
      </c>
      <c r="S67" s="29">
        <f t="shared" ca="1" si="2"/>
        <v>100</v>
      </c>
    </row>
    <row r="68" spans="2:19" ht="25" customHeight="1" x14ac:dyDescent="0.35">
      <c r="B68" s="22" t="s">
        <v>69</v>
      </c>
      <c r="C68" s="7" t="s">
        <v>252</v>
      </c>
      <c r="D68" s="26" t="s">
        <v>253</v>
      </c>
      <c r="E68" s="26" t="s">
        <v>254</v>
      </c>
      <c r="F68" s="26" t="s">
        <v>13283</v>
      </c>
      <c r="G68" s="28" t="s">
        <v>61</v>
      </c>
      <c r="H68" s="28"/>
      <c r="I68" s="99">
        <v>45538</v>
      </c>
      <c r="J68" s="99">
        <f t="shared" si="1"/>
        <v>46634</v>
      </c>
      <c r="K68" s="110" t="s">
        <v>62</v>
      </c>
      <c r="L68" s="109" t="str">
        <f t="shared" ca="1" si="3"/>
        <v>Em dia</v>
      </c>
      <c r="M68" s="153"/>
      <c r="N68">
        <f t="shared" ca="1" si="0"/>
        <v>660</v>
      </c>
      <c r="R68" s="102">
        <f>I68+1080</f>
        <v>46618</v>
      </c>
      <c r="S68" s="29">
        <f t="shared" ca="1" si="2"/>
        <v>436</v>
      </c>
    </row>
    <row r="69" spans="2:19" ht="25" customHeight="1" x14ac:dyDescent="0.35">
      <c r="B69" s="22" t="s">
        <v>69</v>
      </c>
      <c r="C69" s="7" t="s">
        <v>255</v>
      </c>
      <c r="D69" s="26" t="s">
        <v>256</v>
      </c>
      <c r="E69" s="26" t="s">
        <v>257</v>
      </c>
      <c r="F69" s="26" t="s">
        <v>13283</v>
      </c>
      <c r="G69" s="28" t="s">
        <v>61</v>
      </c>
      <c r="H69" s="28" t="s">
        <v>61</v>
      </c>
      <c r="I69" s="99">
        <v>45506</v>
      </c>
      <c r="J69" s="99">
        <f t="shared" si="1"/>
        <v>46602</v>
      </c>
      <c r="K69" s="110" t="s">
        <v>62</v>
      </c>
      <c r="L69" s="109" t="str">
        <f t="shared" ca="1" si="3"/>
        <v>Em dia</v>
      </c>
      <c r="M69" s="67"/>
      <c r="N69">
        <f t="shared" ca="1" si="0"/>
        <v>692</v>
      </c>
      <c r="R69" s="102">
        <f>I69+1080</f>
        <v>46586</v>
      </c>
      <c r="S69" s="29">
        <f t="shared" ca="1" si="2"/>
        <v>404</v>
      </c>
    </row>
    <row r="70" spans="2:19" ht="25" customHeight="1" x14ac:dyDescent="0.35">
      <c r="B70" s="21" t="s">
        <v>57</v>
      </c>
      <c r="C70" s="7" t="s">
        <v>258</v>
      </c>
      <c r="D70" s="26" t="s">
        <v>259</v>
      </c>
      <c r="E70" s="26" t="s">
        <v>260</v>
      </c>
      <c r="F70" s="26" t="s">
        <v>13282</v>
      </c>
      <c r="G70" s="27" t="s">
        <v>61</v>
      </c>
      <c r="H70" s="27" t="s">
        <v>61</v>
      </c>
      <c r="I70" s="99">
        <v>45202</v>
      </c>
      <c r="J70" s="99">
        <f t="shared" ref="J70:J113" si="12">I70+1096</f>
        <v>46298</v>
      </c>
      <c r="K70" s="110" t="s">
        <v>62</v>
      </c>
      <c r="L70" s="109" t="str">
        <f t="shared" ref="L70:L71" ca="1" si="13">IF(N70="","",IF(N70&gt;1095,"Vencido",IF(N70&gt;910,"Alerta",IF(N70&gt;820,"Alerta",IF(N70&gt;730,"Alerta",IF(N70&gt;=0,"Em dia","Vencido"))))))</f>
        <v>Alerta</v>
      </c>
      <c r="M70" s="153"/>
      <c r="N70">
        <f t="shared" ca="1" si="0"/>
        <v>996</v>
      </c>
      <c r="S70" s="29">
        <f t="shared" ref="S70:S113" ca="1" si="14">J70-$S$3</f>
        <v>100</v>
      </c>
    </row>
    <row r="71" spans="2:19" ht="25" customHeight="1" x14ac:dyDescent="0.35">
      <c r="B71" s="23" t="s">
        <v>73</v>
      </c>
      <c r="C71" s="7" t="s">
        <v>261</v>
      </c>
      <c r="D71" s="26" t="s">
        <v>262</v>
      </c>
      <c r="E71" s="26" t="s">
        <v>263</v>
      </c>
      <c r="F71" s="26" t="s">
        <v>13284</v>
      </c>
      <c r="G71" s="27" t="s">
        <v>61</v>
      </c>
      <c r="H71" s="27"/>
      <c r="I71" s="99">
        <v>45202</v>
      </c>
      <c r="J71" s="99">
        <f t="shared" si="12"/>
        <v>46298</v>
      </c>
      <c r="K71" s="110" t="s">
        <v>62</v>
      </c>
      <c r="L71" s="109" t="str">
        <f t="shared" ca="1" si="13"/>
        <v>Alerta</v>
      </c>
      <c r="M71" s="153"/>
      <c r="N71">
        <f t="shared" ref="N71:N113" ca="1" si="15">$N$4-I71</f>
        <v>996</v>
      </c>
      <c r="S71" s="29">
        <f t="shared" ca="1" si="14"/>
        <v>100</v>
      </c>
    </row>
    <row r="72" spans="2:19" ht="25" customHeight="1" x14ac:dyDescent="0.35">
      <c r="B72" s="23" t="s">
        <v>73</v>
      </c>
      <c r="C72" s="7" t="s">
        <v>264</v>
      </c>
      <c r="D72" s="26" t="s">
        <v>265</v>
      </c>
      <c r="E72" s="26" t="s">
        <v>266</v>
      </c>
      <c r="F72" s="26" t="s">
        <v>13284</v>
      </c>
      <c r="G72" s="27"/>
      <c r="H72" s="27"/>
      <c r="I72" s="99" t="s">
        <v>89</v>
      </c>
      <c r="J72" s="99"/>
      <c r="K72" s="12" t="s">
        <v>267</v>
      </c>
      <c r="L72" s="109"/>
      <c r="M72" s="153"/>
      <c r="N72" t="e">
        <f t="shared" ca="1" si="15"/>
        <v>#VALUE!</v>
      </c>
      <c r="S72" s="29">
        <f t="shared" ca="1" si="14"/>
        <v>-46198</v>
      </c>
    </row>
    <row r="73" spans="2:19" ht="25" customHeight="1" x14ac:dyDescent="0.35">
      <c r="B73" s="23" t="s">
        <v>73</v>
      </c>
      <c r="C73" s="7" t="s">
        <v>268</v>
      </c>
      <c r="D73" s="26" t="s">
        <v>269</v>
      </c>
      <c r="E73" s="26"/>
      <c r="F73" s="26" t="s">
        <v>13284</v>
      </c>
      <c r="G73" s="27"/>
      <c r="H73" s="27"/>
      <c r="I73" s="99" t="s">
        <v>89</v>
      </c>
      <c r="J73" s="99"/>
      <c r="K73" s="12" t="s">
        <v>267</v>
      </c>
      <c r="L73" s="109"/>
      <c r="M73" s="153"/>
      <c r="N73" t="e">
        <f t="shared" ca="1" si="15"/>
        <v>#VALUE!</v>
      </c>
      <c r="S73" s="29">
        <f t="shared" ca="1" si="14"/>
        <v>-46198</v>
      </c>
    </row>
    <row r="74" spans="2:19" ht="25" customHeight="1" x14ac:dyDescent="0.35">
      <c r="B74" s="23" t="s">
        <v>73</v>
      </c>
      <c r="C74" s="7" t="s">
        <v>270</v>
      </c>
      <c r="D74" s="26" t="s">
        <v>271</v>
      </c>
      <c r="E74" s="26" t="s">
        <v>272</v>
      </c>
      <c r="F74" s="26" t="s">
        <v>13284</v>
      </c>
      <c r="G74" s="27" t="s">
        <v>61</v>
      </c>
      <c r="H74" s="27"/>
      <c r="I74" s="99">
        <v>44866</v>
      </c>
      <c r="J74" s="99">
        <f t="shared" si="12"/>
        <v>45962</v>
      </c>
      <c r="K74" s="111" t="s">
        <v>62</v>
      </c>
      <c r="L74" s="109" t="str">
        <f ca="1">IF(N74="","",IF(N74&gt;1095,"Vencido",IF(N74&gt;910,"Alerta",IF(N74&gt;820,"Alerta",IF(N74&gt;730,"Alerta",IF(N74&gt;=0,"Em dia","Vencido"))))))</f>
        <v>Vencido</v>
      </c>
      <c r="M74" s="153"/>
      <c r="N74">
        <f t="shared" ca="1" si="15"/>
        <v>1332</v>
      </c>
      <c r="S74" s="29">
        <f t="shared" ca="1" si="14"/>
        <v>-236</v>
      </c>
    </row>
    <row r="75" spans="2:19" ht="25" customHeight="1" x14ac:dyDescent="0.35">
      <c r="B75" s="22" t="s">
        <v>69</v>
      </c>
      <c r="C75" s="7" t="s">
        <v>273</v>
      </c>
      <c r="D75" s="26" t="s">
        <v>274</v>
      </c>
      <c r="E75" s="26" t="s">
        <v>275</v>
      </c>
      <c r="F75" s="26" t="s">
        <v>13283</v>
      </c>
      <c r="G75" s="28" t="s">
        <v>61</v>
      </c>
      <c r="H75" s="28"/>
      <c r="I75" s="99">
        <v>45538</v>
      </c>
      <c r="J75" s="99">
        <f t="shared" si="12"/>
        <v>46634</v>
      </c>
      <c r="K75" s="110" t="s">
        <v>62</v>
      </c>
      <c r="L75" s="109" t="str">
        <f t="shared" ref="L75:L112" ca="1" si="16">IF(N75="","",IF(N75&gt;1095,"Vencido",IF(N75&gt;910,"Alerta",IF(N75&gt;820,"Aviso",IF(N75&gt;730,"Comunicado",IF(N75&gt;=0,"Em dia","Vencido"))))))</f>
        <v>Em dia</v>
      </c>
      <c r="M75" s="153"/>
      <c r="N75">
        <f t="shared" ca="1" si="15"/>
        <v>660</v>
      </c>
      <c r="R75" s="102">
        <f>I75+1080</f>
        <v>46618</v>
      </c>
      <c r="S75" s="29">
        <f t="shared" ca="1" si="14"/>
        <v>436</v>
      </c>
    </row>
    <row r="76" spans="2:19" ht="25" customHeight="1" x14ac:dyDescent="0.35">
      <c r="B76" s="23" t="s">
        <v>73</v>
      </c>
      <c r="C76" s="7" t="s">
        <v>276</v>
      </c>
      <c r="D76" s="26" t="s">
        <v>277</v>
      </c>
      <c r="E76" s="26" t="s">
        <v>278</v>
      </c>
      <c r="F76" s="26" t="s">
        <v>13284</v>
      </c>
      <c r="G76" s="27" t="s">
        <v>61</v>
      </c>
      <c r="H76" s="27"/>
      <c r="I76" s="99">
        <v>45202</v>
      </c>
      <c r="J76" s="99">
        <f t="shared" si="12"/>
        <v>46298</v>
      </c>
      <c r="K76" s="110" t="s">
        <v>62</v>
      </c>
      <c r="L76" s="109" t="str">
        <f t="shared" ref="L76:L77" ca="1" si="17">IF(N76="","",IF(N76&gt;1095,"Vencido",IF(N76&gt;910,"Alerta",IF(N76&gt;820,"Alerta",IF(N76&gt;730,"Alerta",IF(N76&gt;=0,"Em dia","Vencido"))))))</f>
        <v>Alerta</v>
      </c>
      <c r="M76" s="153"/>
      <c r="N76">
        <f t="shared" ca="1" si="15"/>
        <v>996</v>
      </c>
      <c r="S76" s="29">
        <f t="shared" ca="1" si="14"/>
        <v>100</v>
      </c>
    </row>
    <row r="77" spans="2:19" ht="25" customHeight="1" x14ac:dyDescent="0.35">
      <c r="B77" s="23" t="s">
        <v>73</v>
      </c>
      <c r="C77" s="7" t="s">
        <v>276</v>
      </c>
      <c r="D77" s="26" t="s">
        <v>279</v>
      </c>
      <c r="E77" s="26" t="s">
        <v>280</v>
      </c>
      <c r="F77" s="26" t="s">
        <v>13284</v>
      </c>
      <c r="G77" s="27" t="s">
        <v>61</v>
      </c>
      <c r="H77" s="27"/>
      <c r="I77" s="99">
        <v>45202</v>
      </c>
      <c r="J77" s="99">
        <f t="shared" si="12"/>
        <v>46298</v>
      </c>
      <c r="K77" s="110" t="s">
        <v>62</v>
      </c>
      <c r="L77" s="109" t="str">
        <f t="shared" ca="1" si="17"/>
        <v>Alerta</v>
      </c>
      <c r="M77" s="153"/>
      <c r="N77">
        <f t="shared" ca="1" si="15"/>
        <v>996</v>
      </c>
      <c r="S77" s="29">
        <f t="shared" ca="1" si="14"/>
        <v>100</v>
      </c>
    </row>
    <row r="78" spans="2:19" ht="25" customHeight="1" x14ac:dyDescent="0.35">
      <c r="B78" s="22" t="s">
        <v>69</v>
      </c>
      <c r="C78" s="7" t="s">
        <v>281</v>
      </c>
      <c r="D78" s="26" t="s">
        <v>282</v>
      </c>
      <c r="E78" s="26" t="s">
        <v>283</v>
      </c>
      <c r="F78" s="26" t="s">
        <v>13283</v>
      </c>
      <c r="G78" s="26"/>
      <c r="H78" s="26"/>
      <c r="I78" s="99" t="s">
        <v>89</v>
      </c>
      <c r="J78" s="99"/>
      <c r="K78" s="11" t="s">
        <v>90</v>
      </c>
      <c r="L78" s="109"/>
      <c r="M78" s="153"/>
      <c r="N78" t="e">
        <f t="shared" ca="1" si="15"/>
        <v>#VALUE!</v>
      </c>
      <c r="S78" s="29"/>
    </row>
    <row r="79" spans="2:19" ht="25" customHeight="1" x14ac:dyDescent="0.35">
      <c r="B79" s="23" t="s">
        <v>73</v>
      </c>
      <c r="C79" s="7" t="s">
        <v>284</v>
      </c>
      <c r="D79" s="26" t="s">
        <v>285</v>
      </c>
      <c r="E79" s="26" t="s">
        <v>286</v>
      </c>
      <c r="F79" s="26" t="s">
        <v>13284</v>
      </c>
      <c r="G79" s="27" t="s">
        <v>61</v>
      </c>
      <c r="H79" s="27"/>
      <c r="I79" s="99">
        <v>45202</v>
      </c>
      <c r="J79" s="99">
        <f t="shared" si="12"/>
        <v>46298</v>
      </c>
      <c r="K79" s="110" t="s">
        <v>62</v>
      </c>
      <c r="L79" s="109" t="str">
        <f t="shared" ref="L79:L80" ca="1" si="18">IF(N79="","",IF(N79&gt;1095,"Vencido",IF(N79&gt;910,"Alerta",IF(N79&gt;820,"Alerta",IF(N79&gt;730,"Alerta",IF(N79&gt;=0,"Em dia","Vencido"))))))</f>
        <v>Alerta</v>
      </c>
      <c r="M79" s="153"/>
      <c r="N79">
        <f t="shared" ca="1" si="15"/>
        <v>996</v>
      </c>
      <c r="S79" s="29">
        <f t="shared" ca="1" si="14"/>
        <v>100</v>
      </c>
    </row>
    <row r="80" spans="2:19" ht="25" customHeight="1" x14ac:dyDescent="0.35">
      <c r="B80" s="23" t="s">
        <v>73</v>
      </c>
      <c r="C80" s="7" t="s">
        <v>287</v>
      </c>
      <c r="D80" s="26" t="s">
        <v>288</v>
      </c>
      <c r="E80" s="26" t="s">
        <v>289</v>
      </c>
      <c r="F80" s="26" t="s">
        <v>13284</v>
      </c>
      <c r="G80" s="27" t="s">
        <v>61</v>
      </c>
      <c r="H80" s="27"/>
      <c r="I80" s="99">
        <v>45202</v>
      </c>
      <c r="J80" s="99">
        <f t="shared" si="12"/>
        <v>46298</v>
      </c>
      <c r="K80" s="110" t="s">
        <v>62</v>
      </c>
      <c r="L80" s="109" t="str">
        <f t="shared" ca="1" si="18"/>
        <v>Alerta</v>
      </c>
      <c r="M80" s="153"/>
      <c r="N80">
        <f t="shared" ca="1" si="15"/>
        <v>996</v>
      </c>
      <c r="S80" s="29">
        <f t="shared" ca="1" si="14"/>
        <v>100</v>
      </c>
    </row>
    <row r="81" spans="2:19" ht="25" customHeight="1" x14ac:dyDescent="0.35">
      <c r="B81" s="22" t="s">
        <v>69</v>
      </c>
      <c r="C81" s="7" t="s">
        <v>290</v>
      </c>
      <c r="D81" s="26" t="s">
        <v>291</v>
      </c>
      <c r="E81" s="26" t="s">
        <v>292</v>
      </c>
      <c r="F81" s="26" t="s">
        <v>13283</v>
      </c>
      <c r="G81" s="28" t="s">
        <v>61</v>
      </c>
      <c r="H81" s="28"/>
      <c r="I81" s="99">
        <v>45538</v>
      </c>
      <c r="J81" s="99">
        <f t="shared" si="12"/>
        <v>46634</v>
      </c>
      <c r="K81" s="110" t="s">
        <v>62</v>
      </c>
      <c r="L81" s="109" t="str">
        <f t="shared" ca="1" si="16"/>
        <v>Em dia</v>
      </c>
      <c r="M81" s="153"/>
      <c r="N81">
        <f t="shared" ca="1" si="15"/>
        <v>660</v>
      </c>
      <c r="R81" s="102">
        <f>I81+1080</f>
        <v>46618</v>
      </c>
      <c r="S81" s="29">
        <f t="shared" ca="1" si="14"/>
        <v>436</v>
      </c>
    </row>
    <row r="82" spans="2:19" ht="25" customHeight="1" x14ac:dyDescent="0.35">
      <c r="B82" s="22" t="s">
        <v>69</v>
      </c>
      <c r="C82" s="7" t="s">
        <v>293</v>
      </c>
      <c r="D82" s="26" t="s">
        <v>294</v>
      </c>
      <c r="E82" s="26" t="s">
        <v>295</v>
      </c>
      <c r="F82" s="26" t="s">
        <v>13283</v>
      </c>
      <c r="G82" s="28" t="s">
        <v>61</v>
      </c>
      <c r="H82" s="28"/>
      <c r="I82" s="99">
        <v>45565</v>
      </c>
      <c r="J82" s="99">
        <f t="shared" si="12"/>
        <v>46661</v>
      </c>
      <c r="K82" s="110" t="s">
        <v>62</v>
      </c>
      <c r="L82" s="109" t="str">
        <f t="shared" ca="1" si="16"/>
        <v>Em dia</v>
      </c>
      <c r="M82" s="153"/>
      <c r="N82">
        <f t="shared" ca="1" si="15"/>
        <v>633</v>
      </c>
      <c r="R82" s="102">
        <f>I82+1080</f>
        <v>46645</v>
      </c>
      <c r="S82" s="29">
        <f t="shared" ca="1" si="14"/>
        <v>463</v>
      </c>
    </row>
    <row r="83" spans="2:19" ht="25" customHeight="1" x14ac:dyDescent="0.35">
      <c r="B83" s="21" t="s">
        <v>57</v>
      </c>
      <c r="C83" s="7" t="s">
        <v>296</v>
      </c>
      <c r="D83" s="26" t="s">
        <v>297</v>
      </c>
      <c r="E83" s="26" t="s">
        <v>298</v>
      </c>
      <c r="F83" s="26" t="s">
        <v>13282</v>
      </c>
      <c r="G83" s="27" t="s">
        <v>61</v>
      </c>
      <c r="H83" s="27"/>
      <c r="I83" s="99">
        <v>45202</v>
      </c>
      <c r="J83" s="99">
        <f t="shared" si="12"/>
        <v>46298</v>
      </c>
      <c r="K83" s="110" t="s">
        <v>62</v>
      </c>
      <c r="L83" s="109" t="str">
        <f ca="1">IF(N83="","",IF(N83&gt;1095,"Vencido",IF(N83&gt;910,"Alerta",IF(N83&gt;820,"Alerta",IF(N83&gt;730,"Alerta",IF(N83&gt;=0,"Em dia","Vencido"))))))</f>
        <v>Alerta</v>
      </c>
      <c r="M83" s="153"/>
      <c r="N83">
        <f t="shared" ca="1" si="15"/>
        <v>996</v>
      </c>
      <c r="S83" s="29">
        <f t="shared" ca="1" si="14"/>
        <v>100</v>
      </c>
    </row>
    <row r="84" spans="2:19" ht="25" customHeight="1" x14ac:dyDescent="0.35">
      <c r="B84" s="21" t="s">
        <v>57</v>
      </c>
      <c r="C84" s="7" t="s">
        <v>299</v>
      </c>
      <c r="D84" s="26" t="s">
        <v>300</v>
      </c>
      <c r="E84" s="26" t="s">
        <v>301</v>
      </c>
      <c r="F84" s="26" t="s">
        <v>13282</v>
      </c>
      <c r="G84" s="27" t="s">
        <v>61</v>
      </c>
      <c r="H84" s="27"/>
      <c r="I84" s="99">
        <v>45959</v>
      </c>
      <c r="J84" s="99">
        <f t="shared" si="12"/>
        <v>47055</v>
      </c>
      <c r="K84" s="110" t="s">
        <v>62</v>
      </c>
      <c r="L84" s="109" t="str">
        <f t="shared" ca="1" si="16"/>
        <v>Em dia</v>
      </c>
      <c r="M84" s="153"/>
      <c r="N84">
        <f t="shared" ca="1" si="15"/>
        <v>239</v>
      </c>
      <c r="R84" s="102">
        <f>I84+1080</f>
        <v>47039</v>
      </c>
      <c r="S84" s="29">
        <f t="shared" ca="1" si="14"/>
        <v>857</v>
      </c>
    </row>
    <row r="85" spans="2:19" ht="25" customHeight="1" x14ac:dyDescent="0.35">
      <c r="B85" s="21" t="s">
        <v>57</v>
      </c>
      <c r="C85" s="7" t="s">
        <v>302</v>
      </c>
      <c r="D85" s="26" t="s">
        <v>303</v>
      </c>
      <c r="E85" s="26" t="s">
        <v>304</v>
      </c>
      <c r="F85" s="26" t="s">
        <v>13282</v>
      </c>
      <c r="G85" s="27" t="s">
        <v>61</v>
      </c>
      <c r="H85" s="27"/>
      <c r="I85" s="99">
        <v>45202</v>
      </c>
      <c r="J85" s="99">
        <f t="shared" si="12"/>
        <v>46298</v>
      </c>
      <c r="K85" s="110" t="s">
        <v>62</v>
      </c>
      <c r="L85" s="109" t="str">
        <f t="shared" ref="L85:L86" ca="1" si="19">IF(N85="","",IF(N85&gt;1095,"Vencido",IF(N85&gt;910,"Alerta",IF(N85&gt;820,"Alerta",IF(N85&gt;730,"Alerta",IF(N85&gt;=0,"Em dia","Vencido"))))))</f>
        <v>Alerta</v>
      </c>
      <c r="M85" s="153"/>
      <c r="N85">
        <f t="shared" ca="1" si="15"/>
        <v>996</v>
      </c>
      <c r="S85" s="29">
        <f t="shared" ca="1" si="14"/>
        <v>100</v>
      </c>
    </row>
    <row r="86" spans="2:19" ht="25" customHeight="1" x14ac:dyDescent="0.35">
      <c r="B86" s="23" t="s">
        <v>73</v>
      </c>
      <c r="C86" s="7" t="s">
        <v>305</v>
      </c>
      <c r="D86" s="26" t="s">
        <v>306</v>
      </c>
      <c r="E86" s="26" t="s">
        <v>307</v>
      </c>
      <c r="F86" s="26" t="s">
        <v>13284</v>
      </c>
      <c r="G86" s="27" t="s">
        <v>61</v>
      </c>
      <c r="H86" s="27"/>
      <c r="I86" s="99">
        <v>45202</v>
      </c>
      <c r="J86" s="99">
        <f t="shared" si="12"/>
        <v>46298</v>
      </c>
      <c r="K86" s="110" t="s">
        <v>62</v>
      </c>
      <c r="L86" s="109" t="str">
        <f t="shared" ca="1" si="19"/>
        <v>Alerta</v>
      </c>
      <c r="M86" s="153"/>
      <c r="N86">
        <f t="shared" ca="1" si="15"/>
        <v>996</v>
      </c>
      <c r="S86" s="29">
        <f t="shared" ca="1" si="14"/>
        <v>100</v>
      </c>
    </row>
    <row r="87" spans="2:19" ht="25" customHeight="1" x14ac:dyDescent="0.35">
      <c r="B87" s="21" t="s">
        <v>57</v>
      </c>
      <c r="C87" s="7" t="s">
        <v>308</v>
      </c>
      <c r="D87" s="26" t="s">
        <v>309</v>
      </c>
      <c r="E87" s="26" t="s">
        <v>310</v>
      </c>
      <c r="F87" s="26" t="s">
        <v>13282</v>
      </c>
      <c r="G87" s="27" t="s">
        <v>61</v>
      </c>
      <c r="H87" s="27" t="s">
        <v>61</v>
      </c>
      <c r="I87" s="99">
        <v>45895</v>
      </c>
      <c r="J87" s="99">
        <f t="shared" si="12"/>
        <v>46991</v>
      </c>
      <c r="K87" s="110" t="s">
        <v>62</v>
      </c>
      <c r="L87" s="109" t="str">
        <f t="shared" ca="1" si="16"/>
        <v>Em dia</v>
      </c>
      <c r="M87" s="153"/>
      <c r="N87">
        <f t="shared" ca="1" si="15"/>
        <v>303</v>
      </c>
      <c r="S87" s="29">
        <f t="shared" ca="1" si="14"/>
        <v>793</v>
      </c>
    </row>
    <row r="88" spans="2:19" ht="25" customHeight="1" x14ac:dyDescent="0.35">
      <c r="B88" s="21" t="s">
        <v>57</v>
      </c>
      <c r="C88" s="7" t="s">
        <v>311</v>
      </c>
      <c r="D88" s="26" t="s">
        <v>312</v>
      </c>
      <c r="E88" s="26" t="s">
        <v>313</v>
      </c>
      <c r="F88" s="26" t="s">
        <v>13282</v>
      </c>
      <c r="G88" s="27"/>
      <c r="H88" s="27"/>
      <c r="I88" s="99" t="s">
        <v>89</v>
      </c>
      <c r="J88" s="99"/>
      <c r="K88" s="11" t="s">
        <v>90</v>
      </c>
      <c r="L88" s="109"/>
      <c r="M88" s="153"/>
      <c r="N88" t="e">
        <f t="shared" ca="1" si="15"/>
        <v>#VALUE!</v>
      </c>
      <c r="S88" s="29"/>
    </row>
    <row r="89" spans="2:19" ht="25" customHeight="1" x14ac:dyDescent="0.35">
      <c r="B89" s="21" t="s">
        <v>57</v>
      </c>
      <c r="C89" s="7" t="s">
        <v>314</v>
      </c>
      <c r="D89" s="26" t="s">
        <v>315</v>
      </c>
      <c r="E89" s="26" t="s">
        <v>316</v>
      </c>
      <c r="F89" s="26" t="s">
        <v>13282</v>
      </c>
      <c r="G89" s="26"/>
      <c r="H89" s="26"/>
      <c r="I89" s="99" t="s">
        <v>89</v>
      </c>
      <c r="J89" s="99"/>
      <c r="K89" s="12" t="s">
        <v>267</v>
      </c>
      <c r="L89" s="109"/>
      <c r="M89" s="153"/>
      <c r="N89" t="e">
        <f t="shared" ca="1" si="15"/>
        <v>#VALUE!</v>
      </c>
      <c r="S89" s="29">
        <f t="shared" ca="1" si="14"/>
        <v>-46198</v>
      </c>
    </row>
    <row r="90" spans="2:19" ht="25" customHeight="1" x14ac:dyDescent="0.35">
      <c r="B90" s="21" t="s">
        <v>57</v>
      </c>
      <c r="C90" s="7" t="s">
        <v>317</v>
      </c>
      <c r="D90" s="26" t="s">
        <v>318</v>
      </c>
      <c r="E90" s="26" t="s">
        <v>319</v>
      </c>
      <c r="F90" s="26" t="s">
        <v>13282</v>
      </c>
      <c r="G90" s="27"/>
      <c r="H90" s="27"/>
      <c r="I90" s="99" t="s">
        <v>89</v>
      </c>
      <c r="J90" s="99"/>
      <c r="K90" s="12" t="s">
        <v>267</v>
      </c>
      <c r="L90" s="109"/>
      <c r="M90" s="153"/>
      <c r="N90" t="e">
        <f ca="1">$N$4-I90</f>
        <v>#VALUE!</v>
      </c>
      <c r="S90" s="29">
        <f t="shared" ca="1" si="14"/>
        <v>-46198</v>
      </c>
    </row>
    <row r="91" spans="2:19" ht="25" customHeight="1" x14ac:dyDescent="0.35">
      <c r="B91" s="21" t="s">
        <v>57</v>
      </c>
      <c r="C91" s="7" t="s">
        <v>320</v>
      </c>
      <c r="D91" s="26" t="s">
        <v>321</v>
      </c>
      <c r="E91" s="26" t="s">
        <v>322</v>
      </c>
      <c r="F91" s="26" t="s">
        <v>13282</v>
      </c>
      <c r="G91" s="27"/>
      <c r="H91" s="27"/>
      <c r="I91" s="99" t="s">
        <v>89</v>
      </c>
      <c r="J91" s="99"/>
      <c r="K91" s="12" t="s">
        <v>267</v>
      </c>
      <c r="L91" s="109"/>
      <c r="M91" s="153"/>
      <c r="N91" t="e">
        <f ca="1">$N$4-I91</f>
        <v>#VALUE!</v>
      </c>
      <c r="S91" s="29">
        <f t="shared" ca="1" si="14"/>
        <v>-46198</v>
      </c>
    </row>
    <row r="92" spans="2:19" ht="25" customHeight="1" x14ac:dyDescent="0.35">
      <c r="B92" s="21" t="s">
        <v>57</v>
      </c>
      <c r="C92" s="7" t="s">
        <v>323</v>
      </c>
      <c r="D92" s="26" t="s">
        <v>324</v>
      </c>
      <c r="E92" s="26" t="s">
        <v>325</v>
      </c>
      <c r="F92" s="26" t="s">
        <v>13282</v>
      </c>
      <c r="G92" s="27"/>
      <c r="H92" s="27"/>
      <c r="I92" s="99" t="s">
        <v>89</v>
      </c>
      <c r="J92" s="99"/>
      <c r="K92" s="12" t="s">
        <v>267</v>
      </c>
      <c r="L92" s="109"/>
      <c r="M92" s="153"/>
      <c r="N92" t="e">
        <f ca="1">$N$4-I92</f>
        <v>#VALUE!</v>
      </c>
      <c r="S92" s="29">
        <f t="shared" ca="1" si="14"/>
        <v>-46198</v>
      </c>
    </row>
    <row r="93" spans="2:19" ht="25" customHeight="1" x14ac:dyDescent="0.35">
      <c r="B93" s="21" t="s">
        <v>57</v>
      </c>
      <c r="C93" s="7" t="s">
        <v>326</v>
      </c>
      <c r="D93" s="26" t="s">
        <v>327</v>
      </c>
      <c r="E93" s="26" t="s">
        <v>328</v>
      </c>
      <c r="F93" s="26" t="s">
        <v>13282</v>
      </c>
      <c r="G93" s="26"/>
      <c r="H93" s="26"/>
      <c r="I93" s="99" t="s">
        <v>89</v>
      </c>
      <c r="J93" s="99"/>
      <c r="K93" s="11" t="s">
        <v>90</v>
      </c>
      <c r="L93" s="109"/>
      <c r="M93" s="153"/>
      <c r="N93" t="e">
        <f t="shared" ca="1" si="15"/>
        <v>#VALUE!</v>
      </c>
      <c r="S93" s="29"/>
    </row>
    <row r="94" spans="2:19" ht="25" customHeight="1" x14ac:dyDescent="0.35">
      <c r="B94" s="22" t="s">
        <v>69</v>
      </c>
      <c r="C94" s="7" t="s">
        <v>329</v>
      </c>
      <c r="D94" s="26" t="s">
        <v>330</v>
      </c>
      <c r="E94" s="26" t="s">
        <v>331</v>
      </c>
      <c r="F94" s="26" t="s">
        <v>13283</v>
      </c>
      <c r="G94" s="28" t="s">
        <v>61</v>
      </c>
      <c r="H94" s="28"/>
      <c r="I94" s="99">
        <v>45202</v>
      </c>
      <c r="J94" s="99">
        <f t="shared" si="12"/>
        <v>46298</v>
      </c>
      <c r="K94" s="110" t="s">
        <v>62</v>
      </c>
      <c r="L94" s="109" t="str">
        <f t="shared" ref="L94:L95" ca="1" si="20">IF(N94="","",IF(N94&gt;1095,"Vencido",IF(N94&gt;910,"Alerta",IF(N94&gt;820,"Alerta",IF(N94&gt;730,"Alerta",IF(N94&gt;=0,"Em dia","Vencido"))))))</f>
        <v>Alerta</v>
      </c>
      <c r="M94" s="153"/>
      <c r="N94">
        <f t="shared" ca="1" si="15"/>
        <v>996</v>
      </c>
      <c r="S94" s="29">
        <f t="shared" ca="1" si="14"/>
        <v>100</v>
      </c>
    </row>
    <row r="95" spans="2:19" ht="25" customHeight="1" x14ac:dyDescent="0.35">
      <c r="B95" s="23" t="s">
        <v>73</v>
      </c>
      <c r="C95" s="7" t="s">
        <v>332</v>
      </c>
      <c r="D95" s="26" t="s">
        <v>333</v>
      </c>
      <c r="E95" s="26" t="s">
        <v>334</v>
      </c>
      <c r="F95" s="26" t="s">
        <v>13284</v>
      </c>
      <c r="G95" s="27" t="s">
        <v>61</v>
      </c>
      <c r="H95" s="27"/>
      <c r="I95" s="99">
        <v>45202</v>
      </c>
      <c r="J95" s="99">
        <f t="shared" si="12"/>
        <v>46298</v>
      </c>
      <c r="K95" s="110" t="s">
        <v>62</v>
      </c>
      <c r="L95" s="109" t="str">
        <f t="shared" ca="1" si="20"/>
        <v>Alerta</v>
      </c>
      <c r="M95" s="153"/>
      <c r="N95">
        <f t="shared" ca="1" si="15"/>
        <v>996</v>
      </c>
      <c r="S95" s="29">
        <f t="shared" ca="1" si="14"/>
        <v>100</v>
      </c>
    </row>
    <row r="96" spans="2:19" ht="25" customHeight="1" x14ac:dyDescent="0.35">
      <c r="B96" s="21" t="s">
        <v>57</v>
      </c>
      <c r="C96" s="7" t="s">
        <v>335</v>
      </c>
      <c r="D96" s="26" t="s">
        <v>336</v>
      </c>
      <c r="E96" s="26" t="s">
        <v>337</v>
      </c>
      <c r="F96" s="26" t="s">
        <v>13282</v>
      </c>
      <c r="G96" s="26"/>
      <c r="H96" s="26"/>
      <c r="I96" s="99" t="s">
        <v>89</v>
      </c>
      <c r="J96" s="99"/>
      <c r="K96" s="12" t="s">
        <v>267</v>
      </c>
      <c r="L96" s="109"/>
      <c r="M96" s="153"/>
      <c r="N96" t="e">
        <f t="shared" ca="1" si="15"/>
        <v>#VALUE!</v>
      </c>
      <c r="S96" s="29">
        <f t="shared" ca="1" si="14"/>
        <v>-46198</v>
      </c>
    </row>
    <row r="97" spans="2:19" ht="25" customHeight="1" x14ac:dyDescent="0.35">
      <c r="B97" s="21" t="s">
        <v>57</v>
      </c>
      <c r="C97" s="7" t="s">
        <v>338</v>
      </c>
      <c r="D97" s="26" t="s">
        <v>339</v>
      </c>
      <c r="E97" s="26" t="s">
        <v>340</v>
      </c>
      <c r="F97" s="26" t="s">
        <v>13282</v>
      </c>
      <c r="G97" s="27" t="s">
        <v>61</v>
      </c>
      <c r="H97" s="27" t="s">
        <v>61</v>
      </c>
      <c r="I97" s="99">
        <v>45274</v>
      </c>
      <c r="J97" s="99">
        <f t="shared" si="12"/>
        <v>46370</v>
      </c>
      <c r="K97" s="110" t="s">
        <v>62</v>
      </c>
      <c r="L97" s="109" t="str">
        <f t="shared" ref="L97:L98" ca="1" si="21">IF(N97="","",IF(N97&gt;1095,"Vencido",IF(N97&gt;910,"Alerta",IF(N97&gt;820,"Alerta",IF(N97&gt;730,"Alerta",IF(N97&gt;=0,"Em dia","Vencido"))))))</f>
        <v>Alerta</v>
      </c>
      <c r="M97" s="153"/>
      <c r="N97">
        <f t="shared" ca="1" si="15"/>
        <v>924</v>
      </c>
      <c r="S97" s="29">
        <f t="shared" ca="1" si="14"/>
        <v>172</v>
      </c>
    </row>
    <row r="98" spans="2:19" ht="25" customHeight="1" x14ac:dyDescent="0.35">
      <c r="B98" s="21" t="s">
        <v>57</v>
      </c>
      <c r="C98" s="7" t="s">
        <v>341</v>
      </c>
      <c r="D98" s="26" t="s">
        <v>342</v>
      </c>
      <c r="E98" s="26" t="s">
        <v>343</v>
      </c>
      <c r="F98" s="26" t="s">
        <v>13282</v>
      </c>
      <c r="G98" s="27" t="s">
        <v>61</v>
      </c>
      <c r="H98" s="27" t="s">
        <v>61</v>
      </c>
      <c r="I98" s="99">
        <v>45202</v>
      </c>
      <c r="J98" s="99">
        <f t="shared" si="12"/>
        <v>46298</v>
      </c>
      <c r="K98" s="110" t="s">
        <v>62</v>
      </c>
      <c r="L98" s="109" t="str">
        <f t="shared" ca="1" si="21"/>
        <v>Alerta</v>
      </c>
      <c r="M98" s="153"/>
      <c r="N98">
        <f t="shared" ca="1" si="15"/>
        <v>996</v>
      </c>
      <c r="S98" s="29">
        <f t="shared" ca="1" si="14"/>
        <v>100</v>
      </c>
    </row>
    <row r="99" spans="2:19" ht="25" customHeight="1" x14ac:dyDescent="0.35">
      <c r="B99" s="21" t="s">
        <v>57</v>
      </c>
      <c r="C99" s="7" t="s">
        <v>344</v>
      </c>
      <c r="D99" s="26" t="s">
        <v>345</v>
      </c>
      <c r="E99" s="26" t="s">
        <v>346</v>
      </c>
      <c r="F99" s="26" t="s">
        <v>13282</v>
      </c>
      <c r="G99" s="27" t="s">
        <v>61</v>
      </c>
      <c r="H99" s="27" t="s">
        <v>61</v>
      </c>
      <c r="I99" s="99">
        <v>46009</v>
      </c>
      <c r="J99" s="99">
        <f t="shared" si="12"/>
        <v>47105</v>
      </c>
      <c r="K99" s="110" t="s">
        <v>62</v>
      </c>
      <c r="L99" s="109" t="str">
        <f t="shared" ca="1" si="16"/>
        <v>Em dia</v>
      </c>
      <c r="M99" s="153"/>
      <c r="N99">
        <f t="shared" ca="1" si="15"/>
        <v>189</v>
      </c>
      <c r="S99" s="29">
        <f t="shared" ca="1" si="14"/>
        <v>907</v>
      </c>
    </row>
    <row r="100" spans="2:19" ht="25" customHeight="1" x14ac:dyDescent="0.35">
      <c r="B100" s="21" t="s">
        <v>57</v>
      </c>
      <c r="C100" s="7" t="s">
        <v>347</v>
      </c>
      <c r="D100" s="26" t="s">
        <v>348</v>
      </c>
      <c r="E100" s="26" t="s">
        <v>349</v>
      </c>
      <c r="F100" s="26" t="s">
        <v>13282</v>
      </c>
      <c r="G100" s="27" t="s">
        <v>61</v>
      </c>
      <c r="H100" s="27" t="s">
        <v>61</v>
      </c>
      <c r="I100" s="99">
        <v>45274</v>
      </c>
      <c r="J100" s="99">
        <f t="shared" si="12"/>
        <v>46370</v>
      </c>
      <c r="K100" s="110" t="s">
        <v>62</v>
      </c>
      <c r="L100" s="109" t="str">
        <f ca="1">IF(N100="","",IF(N100&gt;1095,"Vencido",IF(N100&gt;910,"Alerta",IF(N100&gt;820,"Alerta",IF(N100&gt;730,"Alerta",IF(N100&gt;=0,"Em dia","Vencido"))))))</f>
        <v>Alerta</v>
      </c>
      <c r="M100" s="153"/>
      <c r="N100">
        <f t="shared" ca="1" si="15"/>
        <v>924</v>
      </c>
      <c r="S100" s="29">
        <f t="shared" ca="1" si="14"/>
        <v>172</v>
      </c>
    </row>
    <row r="101" spans="2:19" ht="25" customHeight="1" x14ac:dyDescent="0.35">
      <c r="B101" s="21" t="s">
        <v>57</v>
      </c>
      <c r="C101" s="7" t="s">
        <v>350</v>
      </c>
      <c r="D101" s="26" t="s">
        <v>351</v>
      </c>
      <c r="E101" s="26" t="s">
        <v>352</v>
      </c>
      <c r="F101" s="26" t="s">
        <v>13282</v>
      </c>
      <c r="G101" s="28" t="s">
        <v>61</v>
      </c>
      <c r="H101" s="28" t="s">
        <v>61</v>
      </c>
      <c r="I101" s="99">
        <v>46009</v>
      </c>
      <c r="J101" s="99">
        <f t="shared" si="12"/>
        <v>47105</v>
      </c>
      <c r="K101" s="110" t="s">
        <v>62</v>
      </c>
      <c r="L101" s="109" t="str">
        <f t="shared" ca="1" si="16"/>
        <v>Em dia</v>
      </c>
      <c r="M101" s="153"/>
      <c r="N101">
        <f t="shared" ca="1" si="15"/>
        <v>189</v>
      </c>
      <c r="S101" s="29">
        <f t="shared" ca="1" si="14"/>
        <v>907</v>
      </c>
    </row>
    <row r="102" spans="2:19" ht="25" customHeight="1" x14ac:dyDescent="0.35">
      <c r="B102" s="21" t="s">
        <v>57</v>
      </c>
      <c r="C102" s="7" t="s">
        <v>353</v>
      </c>
      <c r="D102" s="26" t="s">
        <v>354</v>
      </c>
      <c r="E102" s="26" t="s">
        <v>355</v>
      </c>
      <c r="F102" s="26" t="s">
        <v>13282</v>
      </c>
      <c r="G102" s="27" t="s">
        <v>61</v>
      </c>
      <c r="H102" s="27" t="s">
        <v>61</v>
      </c>
      <c r="I102" s="99">
        <v>44776</v>
      </c>
      <c r="J102" s="99">
        <f t="shared" si="12"/>
        <v>45872</v>
      </c>
      <c r="K102" s="110" t="s">
        <v>62</v>
      </c>
      <c r="L102" s="109" t="str">
        <f t="shared" ref="L102:L105" ca="1" si="22">IF(N102="","",IF(N102&gt;1095,"Vencido",IF(N102&gt;910,"Alerta",IF(N102&gt;820,"Alerta",IF(N102&gt;730,"Alerta",IF(N102&gt;=0,"Em dia","Vencido"))))))</f>
        <v>Vencido</v>
      </c>
      <c r="M102" s="153"/>
      <c r="N102">
        <f t="shared" ca="1" si="15"/>
        <v>1422</v>
      </c>
      <c r="S102" s="29">
        <f t="shared" ca="1" si="14"/>
        <v>-326</v>
      </c>
    </row>
    <row r="103" spans="2:19" ht="25" customHeight="1" x14ac:dyDescent="0.35">
      <c r="B103" s="21" t="s">
        <v>57</v>
      </c>
      <c r="C103" s="7" t="s">
        <v>356</v>
      </c>
      <c r="D103" s="26" t="s">
        <v>357</v>
      </c>
      <c r="E103" s="26" t="s">
        <v>358</v>
      </c>
      <c r="F103" s="26" t="s">
        <v>13282</v>
      </c>
      <c r="G103" s="27" t="s">
        <v>61</v>
      </c>
      <c r="H103" s="26"/>
      <c r="I103" s="99">
        <v>44377</v>
      </c>
      <c r="J103" s="99">
        <f t="shared" si="12"/>
        <v>45473</v>
      </c>
      <c r="K103" s="110" t="s">
        <v>62</v>
      </c>
      <c r="L103" s="109" t="str">
        <f t="shared" ca="1" si="22"/>
        <v>Vencido</v>
      </c>
      <c r="M103" s="153"/>
      <c r="N103">
        <f t="shared" ca="1" si="15"/>
        <v>1821</v>
      </c>
      <c r="R103" s="102">
        <f>I103+1080</f>
        <v>45457</v>
      </c>
      <c r="S103" s="29">
        <f t="shared" ca="1" si="14"/>
        <v>-725</v>
      </c>
    </row>
    <row r="104" spans="2:19" ht="25" customHeight="1" x14ac:dyDescent="0.35">
      <c r="B104" s="21" t="s">
        <v>57</v>
      </c>
      <c r="C104" s="7" t="s">
        <v>359</v>
      </c>
      <c r="D104" s="26" t="s">
        <v>360</v>
      </c>
      <c r="E104" s="26" t="s">
        <v>361</v>
      </c>
      <c r="F104" s="26" t="s">
        <v>13282</v>
      </c>
      <c r="G104" s="27" t="s">
        <v>61</v>
      </c>
      <c r="H104" s="27"/>
      <c r="I104" s="99">
        <v>44834</v>
      </c>
      <c r="J104" s="99">
        <f t="shared" si="12"/>
        <v>45930</v>
      </c>
      <c r="K104" s="111" t="s">
        <v>62</v>
      </c>
      <c r="L104" s="109" t="str">
        <f t="shared" ca="1" si="22"/>
        <v>Vencido</v>
      </c>
      <c r="M104" s="153"/>
      <c r="N104">
        <f t="shared" ca="1" si="15"/>
        <v>1364</v>
      </c>
      <c r="S104" s="29">
        <f t="shared" ca="1" si="14"/>
        <v>-268</v>
      </c>
    </row>
    <row r="105" spans="2:19" ht="15.5" x14ac:dyDescent="0.35">
      <c r="B105" s="23" t="s">
        <v>73</v>
      </c>
      <c r="C105" s="7" t="s">
        <v>362</v>
      </c>
      <c r="D105" s="26" t="s">
        <v>363</v>
      </c>
      <c r="E105" s="26" t="s">
        <v>364</v>
      </c>
      <c r="F105" s="26" t="s">
        <v>13284</v>
      </c>
      <c r="G105" s="27" t="s">
        <v>61</v>
      </c>
      <c r="H105" s="27" t="s">
        <v>61</v>
      </c>
      <c r="I105" s="99">
        <v>45274</v>
      </c>
      <c r="J105" s="99">
        <f t="shared" si="12"/>
        <v>46370</v>
      </c>
      <c r="K105" s="110" t="s">
        <v>62</v>
      </c>
      <c r="L105" s="109" t="str">
        <f t="shared" ca="1" si="22"/>
        <v>Alerta</v>
      </c>
      <c r="M105" s="153"/>
      <c r="N105">
        <f t="shared" ca="1" si="15"/>
        <v>924</v>
      </c>
      <c r="S105" s="29">
        <f t="shared" ca="1" si="14"/>
        <v>172</v>
      </c>
    </row>
    <row r="106" spans="2:19" ht="29" x14ac:dyDescent="0.35">
      <c r="B106" s="23" t="s">
        <v>73</v>
      </c>
      <c r="C106" s="7" t="s">
        <v>365</v>
      </c>
      <c r="D106" s="26" t="s">
        <v>366</v>
      </c>
      <c r="E106" s="26" t="s">
        <v>367</v>
      </c>
      <c r="F106" s="26" t="s">
        <v>13284</v>
      </c>
      <c r="G106" s="27" t="s">
        <v>61</v>
      </c>
      <c r="H106" s="27" t="s">
        <v>61</v>
      </c>
      <c r="I106" s="99">
        <v>45531</v>
      </c>
      <c r="J106" s="99">
        <f t="shared" si="12"/>
        <v>46627</v>
      </c>
      <c r="K106" s="110" t="s">
        <v>62</v>
      </c>
      <c r="L106" s="109" t="str">
        <f t="shared" ca="1" si="16"/>
        <v>Em dia</v>
      </c>
      <c r="M106" s="109" t="str">
        <f t="shared" ref="M106:R107" ca="1" si="23">IF(O106="","",IF(O106&gt;1095,"Vencido",IF(O106&gt;910,"Alerta",IF(O106&gt;820,"Aviso",IF(O106&gt;730,"Comunicado",IF(O106&gt;=0,"Em dia","Vencido"))))))</f>
        <v>Vencido</v>
      </c>
      <c r="N106">
        <f t="shared" ca="1" si="15"/>
        <v>667</v>
      </c>
      <c r="O106" s="109" t="str">
        <f t="shared" ca="1" si="23"/>
        <v>Vencido</v>
      </c>
      <c r="P106" s="109" t="str">
        <f t="shared" si="23"/>
        <v/>
      </c>
      <c r="Q106" s="109" t="str">
        <f t="shared" ca="1" si="23"/>
        <v>Em dia</v>
      </c>
      <c r="R106" s="199" t="str">
        <f t="shared" si="23"/>
        <v/>
      </c>
      <c r="S106" s="29">
        <f t="shared" ca="1" si="14"/>
        <v>429</v>
      </c>
    </row>
    <row r="107" spans="2:19" ht="29" x14ac:dyDescent="0.35">
      <c r="B107" s="23" t="s">
        <v>73</v>
      </c>
      <c r="C107" s="7" t="s">
        <v>368</v>
      </c>
      <c r="D107" s="26" t="s">
        <v>369</v>
      </c>
      <c r="E107" s="26" t="s">
        <v>370</v>
      </c>
      <c r="F107" s="26" t="s">
        <v>13284</v>
      </c>
      <c r="G107" s="27" t="s">
        <v>61</v>
      </c>
      <c r="H107" s="27" t="s">
        <v>371</v>
      </c>
      <c r="I107" s="99">
        <v>45531</v>
      </c>
      <c r="J107" s="99">
        <f t="shared" si="12"/>
        <v>46627</v>
      </c>
      <c r="K107" s="110" t="s">
        <v>62</v>
      </c>
      <c r="L107" s="109" t="str">
        <f t="shared" ca="1" si="16"/>
        <v>Em dia</v>
      </c>
      <c r="M107" s="153"/>
      <c r="N107">
        <f t="shared" ca="1" si="15"/>
        <v>667</v>
      </c>
      <c r="R107" s="199" t="str">
        <f t="shared" si="23"/>
        <v/>
      </c>
      <c r="S107" s="29">
        <f t="shared" ca="1" si="14"/>
        <v>429</v>
      </c>
    </row>
    <row r="108" spans="2:19" ht="29" x14ac:dyDescent="0.35">
      <c r="B108" s="22" t="s">
        <v>69</v>
      </c>
      <c r="C108" s="7" t="s">
        <v>372</v>
      </c>
      <c r="D108" s="26" t="s">
        <v>373</v>
      </c>
      <c r="E108" s="26" t="s">
        <v>374</v>
      </c>
      <c r="F108" s="26" t="s">
        <v>13283</v>
      </c>
      <c r="G108" s="27" t="s">
        <v>61</v>
      </c>
      <c r="H108" s="27" t="s">
        <v>61</v>
      </c>
      <c r="I108" s="99">
        <v>45531</v>
      </c>
      <c r="J108" s="99">
        <f t="shared" si="12"/>
        <v>46627</v>
      </c>
      <c r="K108" s="110" t="s">
        <v>62</v>
      </c>
      <c r="L108" s="109" t="str">
        <f t="shared" ca="1" si="16"/>
        <v>Em dia</v>
      </c>
      <c r="M108" s="153"/>
      <c r="N108">
        <f t="shared" ca="1" si="15"/>
        <v>667</v>
      </c>
      <c r="S108" s="29">
        <f t="shared" ca="1" si="14"/>
        <v>429</v>
      </c>
    </row>
    <row r="109" spans="2:19" ht="15.5" x14ac:dyDescent="0.35">
      <c r="B109" s="21" t="s">
        <v>57</v>
      </c>
      <c r="C109" s="7" t="s">
        <v>375</v>
      </c>
      <c r="D109" s="26" t="s">
        <v>376</v>
      </c>
      <c r="E109" s="26" t="s">
        <v>377</v>
      </c>
      <c r="F109" s="26" t="s">
        <v>13282</v>
      </c>
      <c r="G109" s="27" t="s">
        <v>61</v>
      </c>
      <c r="H109" s="27" t="s">
        <v>61</v>
      </c>
      <c r="I109" s="99">
        <v>45531</v>
      </c>
      <c r="J109" s="99">
        <f t="shared" si="12"/>
        <v>46627</v>
      </c>
      <c r="K109" s="111" t="s">
        <v>62</v>
      </c>
      <c r="L109" s="109" t="str">
        <f t="shared" ca="1" si="16"/>
        <v>Em dia</v>
      </c>
      <c r="N109">
        <f t="shared" ca="1" si="15"/>
        <v>667</v>
      </c>
      <c r="S109" s="29">
        <f t="shared" ca="1" si="14"/>
        <v>429</v>
      </c>
    </row>
    <row r="110" spans="2:19" ht="15.5" x14ac:dyDescent="0.35">
      <c r="B110" s="23" t="s">
        <v>73</v>
      </c>
      <c r="C110" s="7" t="s">
        <v>13084</v>
      </c>
      <c r="D110" s="26" t="s">
        <v>13085</v>
      </c>
      <c r="E110" s="26" t="s">
        <v>13086</v>
      </c>
      <c r="F110" s="26" t="s">
        <v>13284</v>
      </c>
      <c r="G110" s="27" t="s">
        <v>61</v>
      </c>
      <c r="H110" s="27" t="s">
        <v>61</v>
      </c>
      <c r="I110" s="99">
        <v>45895</v>
      </c>
      <c r="J110" s="99">
        <f t="shared" si="12"/>
        <v>46991</v>
      </c>
      <c r="K110" s="111" t="s">
        <v>62</v>
      </c>
      <c r="L110" s="67" t="str">
        <f t="shared" ca="1" si="16"/>
        <v>Em dia</v>
      </c>
      <c r="N110">
        <f t="shared" ca="1" si="15"/>
        <v>303</v>
      </c>
      <c r="S110" s="29">
        <f t="shared" ca="1" si="14"/>
        <v>793</v>
      </c>
    </row>
    <row r="111" spans="2:19" ht="29" x14ac:dyDescent="0.35">
      <c r="B111" s="23" t="s">
        <v>73</v>
      </c>
      <c r="C111" s="7" t="s">
        <v>13092</v>
      </c>
      <c r="D111" s="26" t="s">
        <v>13093</v>
      </c>
      <c r="E111" s="26" t="s">
        <v>13269</v>
      </c>
      <c r="F111" s="26" t="s">
        <v>13284</v>
      </c>
      <c r="G111" s="28" t="s">
        <v>371</v>
      </c>
      <c r="H111" s="28" t="s">
        <v>371</v>
      </c>
      <c r="I111" s="99">
        <v>45959</v>
      </c>
      <c r="J111" s="99">
        <f t="shared" si="12"/>
        <v>47055</v>
      </c>
      <c r="K111" s="110" t="s">
        <v>62</v>
      </c>
      <c r="L111" s="67" t="str">
        <f t="shared" ca="1" si="16"/>
        <v>Em dia</v>
      </c>
      <c r="N111">
        <f t="shared" ca="1" si="15"/>
        <v>239</v>
      </c>
      <c r="S111" s="29">
        <f t="shared" ca="1" si="14"/>
        <v>857</v>
      </c>
    </row>
    <row r="112" spans="2:19" ht="29" x14ac:dyDescent="0.35">
      <c r="B112" s="22" t="s">
        <v>69</v>
      </c>
      <c r="C112" s="7" t="s">
        <v>13123</v>
      </c>
      <c r="D112" s="26" t="s">
        <v>13124</v>
      </c>
      <c r="E112" s="26" t="s">
        <v>13325</v>
      </c>
      <c r="F112" s="26" t="s">
        <v>13283</v>
      </c>
      <c r="G112" s="27" t="s">
        <v>371</v>
      </c>
      <c r="H112" s="27" t="s">
        <v>371</v>
      </c>
      <c r="I112" s="99">
        <v>45959</v>
      </c>
      <c r="J112" s="99">
        <f t="shared" si="12"/>
        <v>47055</v>
      </c>
      <c r="K112" s="110" t="s">
        <v>62</v>
      </c>
      <c r="L112" s="109" t="str">
        <f t="shared" ca="1" si="16"/>
        <v>Em dia</v>
      </c>
      <c r="M112" s="153"/>
      <c r="N112">
        <f t="shared" ca="1" si="15"/>
        <v>239</v>
      </c>
      <c r="S112" s="29">
        <f t="shared" ca="1" si="14"/>
        <v>857</v>
      </c>
    </row>
    <row r="113" spans="2:19" ht="15.5" x14ac:dyDescent="0.35">
      <c r="B113" s="21" t="s">
        <v>57</v>
      </c>
      <c r="C113" s="7" t="s">
        <v>13275</v>
      </c>
      <c r="D113" s="26" t="s">
        <v>13274</v>
      </c>
      <c r="E113" s="26" t="s">
        <v>13276</v>
      </c>
      <c r="F113" s="26" t="s">
        <v>13282</v>
      </c>
      <c r="G113" s="28" t="s">
        <v>371</v>
      </c>
      <c r="H113" s="28" t="s">
        <v>371</v>
      </c>
      <c r="I113" s="99">
        <v>46100</v>
      </c>
      <c r="J113" s="99">
        <f t="shared" si="12"/>
        <v>47196</v>
      </c>
      <c r="K113" s="110" t="s">
        <v>62</v>
      </c>
      <c r="L113" s="67" t="str">
        <f t="shared" ref="L113" ca="1" si="24">IF(N113="","",IF(N113&gt;1095,"Vencido",IF(N113&gt;910,"Alerta",IF(N113&gt;820,"Aviso",IF(N113&gt;730,"Comunicado",IF(N113&gt;=0,"Em dia","Vencido"))))))</f>
        <v>Em dia</v>
      </c>
      <c r="N113">
        <f t="shared" ca="1" si="15"/>
        <v>98</v>
      </c>
      <c r="S113" s="29">
        <f t="shared" ca="1" si="14"/>
        <v>998</v>
      </c>
    </row>
    <row r="114" spans="2:19" ht="15.5" x14ac:dyDescent="0.35">
      <c r="B114" s="21" t="s">
        <v>57</v>
      </c>
      <c r="C114" s="7" t="s">
        <v>13320</v>
      </c>
      <c r="D114" s="26" t="s">
        <v>13321</v>
      </c>
      <c r="E114" s="26" t="s">
        <v>13322</v>
      </c>
      <c r="F114" s="26" t="s">
        <v>13282</v>
      </c>
      <c r="G114" s="28"/>
      <c r="H114" s="28"/>
      <c r="I114" s="99"/>
      <c r="J114" s="99"/>
      <c r="K114" s="11" t="s">
        <v>267</v>
      </c>
      <c r="L114" s="67" t="str">
        <f t="shared" ref="L114" si="25">IF(N114="","",IF(N114&gt;1095,"Vencido",IF(N114&gt;910,"Alerta",IF(N114&gt;820,"Aviso",IF(N114&gt;730,"Comunicado",IF(N114&gt;=0,"Em dia","Vencido"))))))</f>
        <v/>
      </c>
    </row>
  </sheetData>
  <autoFilter ref="B4:R114" xr:uid="{12668716-6B4F-41B5-A18F-0E19A75CEAE8}"/>
  <sortState xmlns:xlrd2="http://schemas.microsoft.com/office/spreadsheetml/2017/richdata2" ref="B5:L104">
    <sortCondition ref="C5:C104"/>
  </sortState>
  <mergeCells count="1">
    <mergeCell ref="B2:L2"/>
  </mergeCells>
  <phoneticPr fontId="11" type="noConversion"/>
  <conditionalFormatting sqref="L113:L114">
    <cfRule type="containsText" dxfId="639" priority="4" operator="containsText" text="Aviso">
      <formula>NOT(ISERROR(SEARCH("Aviso",L113)))</formula>
    </cfRule>
    <cfRule type="containsText" dxfId="638" priority="5" operator="containsText" text="Comunicado">
      <formula>NOT(ISERROR(SEARCH("Comunicado",L113)))</formula>
    </cfRule>
    <cfRule type="containsText" dxfId="637" priority="6" operator="containsText" text="Vencido">
      <formula>NOT(ISERROR(SEARCH("Vencido",L113)))</formula>
    </cfRule>
  </conditionalFormatting>
  <conditionalFormatting sqref="L1:M108 L109 L112:M112">
    <cfRule type="containsText" dxfId="636" priority="13" operator="containsText" text="Aviso">
      <formula>NOT(ISERROR(SEARCH("Aviso",L1)))</formula>
    </cfRule>
    <cfRule type="containsText" dxfId="635" priority="14" operator="containsText" text="Comunicado">
      <formula>NOT(ISERROR(SEARCH("Comunicado",L1)))</formula>
    </cfRule>
    <cfRule type="containsText" dxfId="634" priority="15" operator="containsText" text="Vencido">
      <formula>NOT(ISERROR(SEARCH("Vencido",L1)))</formula>
    </cfRule>
  </conditionalFormatting>
  <conditionalFormatting sqref="M109 L110:M111 M113:M114 L115:M1048576">
    <cfRule type="containsText" dxfId="633" priority="19" operator="containsText" text="Em dia">
      <formula>NOT(ISERROR(SEARCH("Em dia",L109)))</formula>
    </cfRule>
    <cfRule type="containsText" dxfId="632" priority="20" operator="containsText" text="Alerta">
      <formula>NOT(ISERROR(SEARCH("Alerta",L109)))</formula>
    </cfRule>
  </conditionalFormatting>
  <conditionalFormatting sqref="O106:R106 R107">
    <cfRule type="containsText" dxfId="631" priority="16" operator="containsText" text="Aviso">
      <formula>NOT(ISERROR(SEARCH("Aviso",O106)))</formula>
    </cfRule>
    <cfRule type="containsText" dxfId="630" priority="17" operator="containsText" text="Comunicado">
      <formula>NOT(ISERROR(SEARCH("Comunicado",O106)))</formula>
    </cfRule>
    <cfRule type="containsText" dxfId="629" priority="32" operator="containsText" text="Vencido">
      <formula>NOT(ISERROR(SEARCH("Vencido",O106)))</formula>
    </cfRule>
  </conditionalFormatting>
  <conditionalFormatting sqref="S3:S4">
    <cfRule type="containsText" dxfId="628" priority="1" operator="containsText" text="Aviso">
      <formula>NOT(ISERROR(SEARCH("Aviso",S3)))</formula>
    </cfRule>
    <cfRule type="containsText" dxfId="627" priority="2" operator="containsText" text="Comunicado">
      <formula>NOT(ISERROR(SEARCH("Comunicado",S3)))</formula>
    </cfRule>
    <cfRule type="containsText" dxfId="626" priority="3" operator="containsText" text="Vencido">
      <formula>NOT(ISERROR(SEARCH("Vencido",S3)))</formula>
    </cfRule>
  </conditionalFormatting>
  <pageMargins left="0.51181102362204722" right="0.51181102362204722" top="0.78740157480314965" bottom="0.78740157480314965" header="0.31496062992125984" footer="0.31496062992125984"/>
  <pageSetup paperSize="9" fitToHeight="0" orientation="landscape" r:id="rId1"/>
  <customProperties>
    <customPr name="EpmWorksheetKeyString_GUID" r:id="rId2"/>
  </customPropertie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F856-9871-46AA-BCC8-D06DCC1199D7}">
  <sheetPr codeName="Planilha3" filterMode="1"/>
  <dimension ref="B1:Q1048568"/>
  <sheetViews>
    <sheetView showGridLines="0" zoomScale="70" zoomScaleNormal="70" workbookViewId="0">
      <pane xSplit="1" ySplit="4" topLeftCell="B88" activePane="bottomRight" state="frozen"/>
      <selection pane="topRight" activeCell="B1" sqref="B1"/>
      <selection pane="bottomLeft" activeCell="A5" sqref="A5"/>
      <selection pane="bottomRight" activeCell="G24" sqref="G24"/>
    </sheetView>
  </sheetViews>
  <sheetFormatPr defaultRowHeight="14.5" x14ac:dyDescent="0.35"/>
  <cols>
    <col min="1" max="1" width="3.6328125" customWidth="1"/>
    <col min="2" max="2" width="6.26953125" style="1" customWidth="1"/>
    <col min="3" max="3" width="7.26953125" style="1" customWidth="1"/>
    <col min="4" max="4" width="8.81640625" style="1"/>
    <col min="5" max="5" width="56.36328125" customWidth="1"/>
    <col min="6" max="6" width="51.26953125" customWidth="1"/>
    <col min="7" max="7" width="48" bestFit="1" customWidth="1"/>
    <col min="8" max="8" width="6.81640625" style="1" customWidth="1"/>
    <col min="9" max="9" width="7.453125" style="1" customWidth="1"/>
    <col min="10" max="10" width="14.1796875" style="1" customWidth="1"/>
    <col min="11" max="11" width="18.36328125" style="1" customWidth="1"/>
    <col min="12" max="12" width="17" customWidth="1"/>
    <col min="13" max="13" width="21.36328125" customWidth="1"/>
    <col min="14" max="14" width="18" hidden="1" customWidth="1"/>
    <col min="15" max="15" width="11.54296875" hidden="1" customWidth="1"/>
    <col min="16" max="16" width="51.26953125" hidden="1" customWidth="1"/>
    <col min="17" max="17" width="9.1796875" hidden="1" customWidth="1"/>
  </cols>
  <sheetData>
    <row r="1" spans="2:17" ht="7.5" customHeight="1" x14ac:dyDescent="0.35"/>
    <row r="2" spans="2:17" ht="81" customHeight="1" x14ac:dyDescent="0.35">
      <c r="B2" s="237" t="s">
        <v>378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151"/>
      <c r="O2" s="117"/>
    </row>
    <row r="3" spans="2:17" x14ac:dyDescent="0.35">
      <c r="B3" s="68"/>
      <c r="C3" s="68"/>
      <c r="D3" s="68"/>
      <c r="E3" s="69"/>
      <c r="F3" s="69"/>
      <c r="G3" s="69"/>
      <c r="H3" s="36">
        <f>COUNTIF(H4:H795,"X")</f>
        <v>751</v>
      </c>
      <c r="I3" s="37">
        <f>COUNTIF(I4:I1413,"X")</f>
        <v>698</v>
      </c>
      <c r="J3" s="37"/>
      <c r="K3" s="37"/>
      <c r="L3" s="69"/>
      <c r="M3" s="69"/>
      <c r="N3" s="69"/>
      <c r="O3" s="69"/>
      <c r="P3" s="102">
        <f ca="1">TODAY()</f>
        <v>46198</v>
      </c>
    </row>
    <row r="4" spans="2:17" ht="14" customHeight="1" x14ac:dyDescent="0.35">
      <c r="B4" s="68" t="s">
        <v>379</v>
      </c>
      <c r="C4" s="68" t="s">
        <v>379</v>
      </c>
      <c r="D4" s="68" t="s">
        <v>48</v>
      </c>
      <c r="E4" s="69" t="s">
        <v>49</v>
      </c>
      <c r="F4" s="69" t="s">
        <v>50</v>
      </c>
      <c r="G4" s="69" t="s">
        <v>13285</v>
      </c>
      <c r="H4" s="48" t="s">
        <v>51</v>
      </c>
      <c r="I4" s="48" t="s">
        <v>52</v>
      </c>
      <c r="J4" s="98" t="s">
        <v>380</v>
      </c>
      <c r="K4" s="98" t="s">
        <v>13277</v>
      </c>
      <c r="L4" s="69" t="s">
        <v>54</v>
      </c>
      <c r="M4" s="67" t="s">
        <v>381</v>
      </c>
      <c r="N4" s="67" t="s">
        <v>382</v>
      </c>
      <c r="O4" s="103">
        <f ca="1">TODAY()</f>
        <v>46198</v>
      </c>
      <c r="P4" s="67" t="s">
        <v>13311</v>
      </c>
    </row>
    <row r="5" spans="2:17" ht="15" customHeight="1" x14ac:dyDescent="0.35">
      <c r="B5" s="29">
        <v>2</v>
      </c>
      <c r="C5" s="29" t="s">
        <v>14</v>
      </c>
      <c r="D5" s="30">
        <v>0</v>
      </c>
      <c r="E5" s="65" t="s">
        <v>383</v>
      </c>
      <c r="F5" s="65" t="s">
        <v>384</v>
      </c>
      <c r="G5" s="26" t="s">
        <v>13301</v>
      </c>
      <c r="H5" s="29" t="s">
        <v>61</v>
      </c>
      <c r="I5" s="29"/>
      <c r="J5" s="98">
        <v>45202</v>
      </c>
      <c r="K5" s="98">
        <f>J5+1096</f>
        <v>46298</v>
      </c>
      <c r="L5" s="110" t="s">
        <v>62</v>
      </c>
      <c r="M5" s="112" t="str">
        <f ca="1">IF(O5="","",IF(O5&gt;1095,"Vencido",IF(O5&gt;910,"Alerta",IF(O5&gt;820,"Alerta",IF(O5&gt;730,"Alerta",IF(O5&gt;=0,"Em dia","Vencido"))))))</f>
        <v>Alerta</v>
      </c>
      <c r="N5" s="112"/>
      <c r="O5" s="67">
        <f t="shared" ref="O5:O68" ca="1" si="0">$O$4-J5</f>
        <v>996</v>
      </c>
      <c r="P5" s="67">
        <f ca="1">K5-$P$3</f>
        <v>100</v>
      </c>
      <c r="Q5" t="str">
        <f t="shared" ref="Q5:Q68" si="1">IF(OR(C5="ARN",C5="SDP"),MID(E5,4,7),MID(E5,4,6))</f>
        <v>CHV-00</v>
      </c>
    </row>
    <row r="6" spans="2:17" ht="15" customHeight="1" x14ac:dyDescent="0.35">
      <c r="B6" s="29">
        <v>2</v>
      </c>
      <c r="C6" s="29" t="s">
        <v>14</v>
      </c>
      <c r="D6" s="30">
        <v>1</v>
      </c>
      <c r="E6" s="66" t="s">
        <v>385</v>
      </c>
      <c r="F6" s="66" t="s">
        <v>386</v>
      </c>
      <c r="G6" s="187" t="s">
        <v>13284</v>
      </c>
      <c r="H6" s="29" t="s">
        <v>61</v>
      </c>
      <c r="I6" s="29" t="s">
        <v>61</v>
      </c>
      <c r="J6" s="98">
        <v>44739</v>
      </c>
      <c r="K6" s="98">
        <f t="shared" ref="K6:K69" si="2">J6+1096</f>
        <v>45835</v>
      </c>
      <c r="L6" s="110" t="s">
        <v>62</v>
      </c>
      <c r="M6" s="112" t="str">
        <f t="shared" ref="M6:M69" ca="1" si="3">IF(O6="","",IF(O6&gt;1095,"Vencido",IF(O6&gt;910,"Alerta",IF(O6&gt;820,"Alerta",IF(O6&gt;730,"Alerta",IF(O6&gt;=0,"Em dia","Vencido"))))))</f>
        <v>Vencido</v>
      </c>
      <c r="N6" s="112"/>
      <c r="O6" s="67">
        <f t="shared" ca="1" si="0"/>
        <v>1459</v>
      </c>
      <c r="P6" s="67">
        <f t="shared" ref="P6:P69" ca="1" si="4">K6-$P$3</f>
        <v>-363</v>
      </c>
      <c r="Q6" t="str">
        <f t="shared" si="1"/>
        <v>CHV-01</v>
      </c>
    </row>
    <row r="7" spans="2:17" ht="29" x14ac:dyDescent="0.35">
      <c r="B7" s="29">
        <v>2</v>
      </c>
      <c r="C7" s="29" t="s">
        <v>14</v>
      </c>
      <c r="D7" s="30">
        <v>2</v>
      </c>
      <c r="E7" s="192" t="s">
        <v>13304</v>
      </c>
      <c r="F7" s="26" t="s">
        <v>387</v>
      </c>
      <c r="G7" s="26" t="s">
        <v>13284</v>
      </c>
      <c r="H7" s="29" t="s">
        <v>61</v>
      </c>
      <c r="I7" s="29" t="s">
        <v>61</v>
      </c>
      <c r="J7" s="98">
        <v>44739</v>
      </c>
      <c r="K7" s="98">
        <f t="shared" si="2"/>
        <v>45835</v>
      </c>
      <c r="L7" s="110" t="s">
        <v>62</v>
      </c>
      <c r="M7" s="112" t="str">
        <f t="shared" ca="1" si="3"/>
        <v>Vencido</v>
      </c>
      <c r="N7" s="112"/>
      <c r="O7" s="67">
        <f t="shared" ca="1" si="0"/>
        <v>1459</v>
      </c>
      <c r="P7" s="67">
        <f t="shared" ca="1" si="4"/>
        <v>-363</v>
      </c>
      <c r="Q7" t="str">
        <f t="shared" si="1"/>
        <v>CHV-02</v>
      </c>
    </row>
    <row r="8" spans="2:17" ht="15" customHeight="1" x14ac:dyDescent="0.35">
      <c r="B8" s="29">
        <v>2</v>
      </c>
      <c r="C8" s="29" t="s">
        <v>14</v>
      </c>
      <c r="D8" s="30">
        <v>3</v>
      </c>
      <c r="E8" s="66" t="s">
        <v>388</v>
      </c>
      <c r="F8" s="66" t="s">
        <v>389</v>
      </c>
      <c r="G8" s="26" t="s">
        <v>13283</v>
      </c>
      <c r="H8" s="29" t="s">
        <v>61</v>
      </c>
      <c r="I8" s="29" t="s">
        <v>61</v>
      </c>
      <c r="J8" s="98">
        <v>45506</v>
      </c>
      <c r="K8" s="98">
        <f t="shared" si="2"/>
        <v>46602</v>
      </c>
      <c r="L8" s="110" t="s">
        <v>62</v>
      </c>
      <c r="M8" s="112" t="str">
        <f t="shared" ca="1" si="3"/>
        <v>Em dia</v>
      </c>
      <c r="N8" s="112"/>
      <c r="O8" s="67">
        <f t="shared" ca="1" si="0"/>
        <v>692</v>
      </c>
      <c r="P8" s="67">
        <f t="shared" ca="1" si="4"/>
        <v>404</v>
      </c>
      <c r="Q8" t="str">
        <f t="shared" si="1"/>
        <v>CHV-03</v>
      </c>
    </row>
    <row r="9" spans="2:17" ht="15" customHeight="1" x14ac:dyDescent="0.35">
      <c r="B9" s="29">
        <v>2</v>
      </c>
      <c r="C9" s="29" t="s">
        <v>14</v>
      </c>
      <c r="D9" s="30">
        <v>4</v>
      </c>
      <c r="E9" s="66" t="s">
        <v>390</v>
      </c>
      <c r="F9" s="66" t="s">
        <v>391</v>
      </c>
      <c r="G9" s="186" t="s">
        <v>13283</v>
      </c>
      <c r="H9" s="29" t="s">
        <v>61</v>
      </c>
      <c r="I9" s="29" t="s">
        <v>61</v>
      </c>
      <c r="J9" s="98">
        <v>46104</v>
      </c>
      <c r="K9" s="98">
        <f t="shared" si="2"/>
        <v>47200</v>
      </c>
      <c r="L9" s="110" t="s">
        <v>62</v>
      </c>
      <c r="M9" s="112" t="str">
        <f t="shared" ca="1" si="3"/>
        <v>Em dia</v>
      </c>
      <c r="N9" s="112"/>
      <c r="O9" s="67">
        <f t="shared" ca="1" si="0"/>
        <v>94</v>
      </c>
      <c r="P9" s="67">
        <f t="shared" ca="1" si="4"/>
        <v>1002</v>
      </c>
      <c r="Q9" t="str">
        <f t="shared" si="1"/>
        <v>CHV-04</v>
      </c>
    </row>
    <row r="10" spans="2:17" ht="15" customHeight="1" x14ac:dyDescent="0.35">
      <c r="B10" s="29">
        <v>2</v>
      </c>
      <c r="C10" s="29" t="s">
        <v>14</v>
      </c>
      <c r="D10" s="30">
        <v>5</v>
      </c>
      <c r="E10" s="66" t="s">
        <v>392</v>
      </c>
      <c r="F10" s="66" t="s">
        <v>393</v>
      </c>
      <c r="G10" s="186" t="s">
        <v>13283</v>
      </c>
      <c r="H10" s="29" t="s">
        <v>61</v>
      </c>
      <c r="I10" s="29" t="s">
        <v>61</v>
      </c>
      <c r="J10" s="98">
        <v>46104</v>
      </c>
      <c r="K10" s="98">
        <f t="shared" si="2"/>
        <v>47200</v>
      </c>
      <c r="L10" s="110" t="s">
        <v>62</v>
      </c>
      <c r="M10" s="112" t="str">
        <f t="shared" ca="1" si="3"/>
        <v>Em dia</v>
      </c>
      <c r="N10" s="112"/>
      <c r="O10" s="67">
        <f t="shared" ca="1" si="0"/>
        <v>94</v>
      </c>
      <c r="P10" s="67">
        <f t="shared" ca="1" si="4"/>
        <v>1002</v>
      </c>
      <c r="Q10" t="str">
        <f t="shared" si="1"/>
        <v>CHV-05</v>
      </c>
    </row>
    <row r="11" spans="2:17" ht="15.5" x14ac:dyDescent="0.35">
      <c r="B11" s="29">
        <v>2</v>
      </c>
      <c r="C11" s="29" t="s">
        <v>14</v>
      </c>
      <c r="D11" s="30">
        <v>6</v>
      </c>
      <c r="E11" s="66" t="s">
        <v>394</v>
      </c>
      <c r="F11" s="66" t="s">
        <v>395</v>
      </c>
      <c r="G11" s="186" t="s">
        <v>13283</v>
      </c>
      <c r="H11" s="29" t="s">
        <v>61</v>
      </c>
      <c r="I11" s="29" t="s">
        <v>61</v>
      </c>
      <c r="J11" s="98">
        <v>46104</v>
      </c>
      <c r="K11" s="98">
        <f t="shared" si="2"/>
        <v>47200</v>
      </c>
      <c r="L11" s="110" t="s">
        <v>62</v>
      </c>
      <c r="M11" s="112" t="str">
        <f t="shared" ca="1" si="3"/>
        <v>Em dia</v>
      </c>
      <c r="N11" s="112"/>
      <c r="O11" s="67">
        <f t="shared" ca="1" si="0"/>
        <v>94</v>
      </c>
      <c r="P11" s="67">
        <f t="shared" ca="1" si="4"/>
        <v>1002</v>
      </c>
      <c r="Q11" t="str">
        <f t="shared" si="1"/>
        <v>CHV-06</v>
      </c>
    </row>
    <row r="12" spans="2:17" ht="15" customHeight="1" x14ac:dyDescent="0.35">
      <c r="B12" s="29">
        <v>2</v>
      </c>
      <c r="C12" s="29" t="s">
        <v>14</v>
      </c>
      <c r="D12" s="30">
        <v>7</v>
      </c>
      <c r="E12" s="66" t="s">
        <v>396</v>
      </c>
      <c r="F12" s="66" t="s">
        <v>397</v>
      </c>
      <c r="G12" s="186" t="s">
        <v>13283</v>
      </c>
      <c r="H12" s="29" t="s">
        <v>61</v>
      </c>
      <c r="I12" s="29" t="s">
        <v>61</v>
      </c>
      <c r="J12" s="98">
        <v>45959</v>
      </c>
      <c r="K12" s="98">
        <f t="shared" si="2"/>
        <v>47055</v>
      </c>
      <c r="L12" s="110" t="s">
        <v>62</v>
      </c>
      <c r="M12" s="112" t="str">
        <f t="shared" ca="1" si="3"/>
        <v>Em dia</v>
      </c>
      <c r="N12" s="112"/>
      <c r="O12" s="67">
        <f t="shared" ca="1" si="0"/>
        <v>239</v>
      </c>
      <c r="P12" s="67">
        <f t="shared" ca="1" si="4"/>
        <v>857</v>
      </c>
      <c r="Q12" t="str">
        <f t="shared" si="1"/>
        <v>CHV-07</v>
      </c>
    </row>
    <row r="13" spans="2:17" ht="15.5" x14ac:dyDescent="0.35">
      <c r="B13" s="29">
        <v>2</v>
      </c>
      <c r="C13" s="29" t="s">
        <v>14</v>
      </c>
      <c r="D13" s="30">
        <v>8</v>
      </c>
      <c r="E13" s="66" t="s">
        <v>398</v>
      </c>
      <c r="F13" s="66" t="s">
        <v>399</v>
      </c>
      <c r="G13" s="186" t="s">
        <v>13283</v>
      </c>
      <c r="H13" s="29" t="s">
        <v>61</v>
      </c>
      <c r="I13" s="29" t="s">
        <v>61</v>
      </c>
      <c r="J13" s="98">
        <v>45645</v>
      </c>
      <c r="K13" s="98">
        <f t="shared" si="2"/>
        <v>46741</v>
      </c>
      <c r="L13" s="110" t="s">
        <v>62</v>
      </c>
      <c r="M13" s="112" t="str">
        <f t="shared" ca="1" si="3"/>
        <v>Em dia</v>
      </c>
      <c r="N13" s="112"/>
      <c r="O13" s="67">
        <f t="shared" ca="1" si="0"/>
        <v>553</v>
      </c>
      <c r="P13" s="67">
        <f t="shared" ca="1" si="4"/>
        <v>543</v>
      </c>
      <c r="Q13" t="str">
        <f t="shared" si="1"/>
        <v>CHV-08</v>
      </c>
    </row>
    <row r="14" spans="2:17" ht="15" customHeight="1" x14ac:dyDescent="0.35">
      <c r="B14" s="29">
        <v>2</v>
      </c>
      <c r="C14" s="29" t="s">
        <v>14</v>
      </c>
      <c r="D14" s="30">
        <v>9</v>
      </c>
      <c r="E14" s="66" t="s">
        <v>400</v>
      </c>
      <c r="F14" s="66" t="s">
        <v>401</v>
      </c>
      <c r="G14" s="186" t="s">
        <v>13283</v>
      </c>
      <c r="H14" s="29" t="s">
        <v>61</v>
      </c>
      <c r="I14" s="29" t="s">
        <v>61</v>
      </c>
      <c r="J14" s="98">
        <v>45959</v>
      </c>
      <c r="K14" s="98">
        <f t="shared" si="2"/>
        <v>47055</v>
      </c>
      <c r="L14" s="110" t="s">
        <v>62</v>
      </c>
      <c r="M14" s="112" t="str">
        <f t="shared" ca="1" si="3"/>
        <v>Em dia</v>
      </c>
      <c r="N14" s="112"/>
      <c r="O14" s="67">
        <f t="shared" ca="1" si="0"/>
        <v>239</v>
      </c>
      <c r="P14" s="67">
        <f t="shared" ca="1" si="4"/>
        <v>857</v>
      </c>
      <c r="Q14" t="str">
        <f t="shared" si="1"/>
        <v>CHV-09</v>
      </c>
    </row>
    <row r="15" spans="2:17" ht="15" customHeight="1" x14ac:dyDescent="0.35">
      <c r="B15" s="29">
        <v>2</v>
      </c>
      <c r="C15" s="29" t="s">
        <v>14</v>
      </c>
      <c r="D15" s="30">
        <v>10</v>
      </c>
      <c r="E15" s="66" t="s">
        <v>402</v>
      </c>
      <c r="F15" s="66" t="s">
        <v>403</v>
      </c>
      <c r="G15" s="186" t="s">
        <v>13283</v>
      </c>
      <c r="H15" s="29" t="s">
        <v>61</v>
      </c>
      <c r="I15" s="7" t="s">
        <v>61</v>
      </c>
      <c r="J15" s="101">
        <v>45959</v>
      </c>
      <c r="K15" s="98">
        <f t="shared" si="2"/>
        <v>47055</v>
      </c>
      <c r="L15" s="110" t="s">
        <v>62</v>
      </c>
      <c r="M15" s="112" t="str">
        <f t="shared" ca="1" si="3"/>
        <v>Em dia</v>
      </c>
      <c r="N15" s="112"/>
      <c r="O15" s="67">
        <f t="shared" ca="1" si="0"/>
        <v>239</v>
      </c>
      <c r="P15" s="67">
        <f t="shared" ca="1" si="4"/>
        <v>857</v>
      </c>
      <c r="Q15" t="str">
        <f t="shared" si="1"/>
        <v>CHV-10</v>
      </c>
    </row>
    <row r="16" spans="2:17" ht="15" customHeight="1" x14ac:dyDescent="0.35">
      <c r="B16" s="29">
        <v>2</v>
      </c>
      <c r="C16" s="29" t="s">
        <v>14</v>
      </c>
      <c r="D16" s="30">
        <v>11</v>
      </c>
      <c r="E16" s="66" t="s">
        <v>404</v>
      </c>
      <c r="F16" s="66" t="s">
        <v>405</v>
      </c>
      <c r="G16" s="186" t="s">
        <v>13283</v>
      </c>
      <c r="H16" s="29" t="s">
        <v>61</v>
      </c>
      <c r="I16" s="7" t="s">
        <v>61</v>
      </c>
      <c r="J16" s="98">
        <v>46104</v>
      </c>
      <c r="K16" s="98">
        <f t="shared" si="2"/>
        <v>47200</v>
      </c>
      <c r="L16" s="110" t="s">
        <v>62</v>
      </c>
      <c r="M16" s="112" t="str">
        <f t="shared" ca="1" si="3"/>
        <v>Em dia</v>
      </c>
      <c r="N16" s="112"/>
      <c r="O16" s="67">
        <f t="shared" ca="1" si="0"/>
        <v>94</v>
      </c>
      <c r="P16" s="67">
        <f t="shared" ca="1" si="4"/>
        <v>1002</v>
      </c>
      <c r="Q16" t="str">
        <f t="shared" si="1"/>
        <v>CHV-11</v>
      </c>
    </row>
    <row r="17" spans="2:17" ht="15" customHeight="1" x14ac:dyDescent="0.35">
      <c r="B17" s="29">
        <v>2</v>
      </c>
      <c r="C17" s="29" t="s">
        <v>14</v>
      </c>
      <c r="D17" s="30">
        <v>12</v>
      </c>
      <c r="E17" s="66" t="s">
        <v>406</v>
      </c>
      <c r="F17" s="66" t="s">
        <v>407</v>
      </c>
      <c r="G17" s="186" t="s">
        <v>13283</v>
      </c>
      <c r="H17" s="29" t="s">
        <v>61</v>
      </c>
      <c r="I17" s="29" t="s">
        <v>61</v>
      </c>
      <c r="J17" s="98">
        <v>46104</v>
      </c>
      <c r="K17" s="98">
        <f t="shared" si="2"/>
        <v>47200</v>
      </c>
      <c r="L17" s="110" t="s">
        <v>62</v>
      </c>
      <c r="M17" s="112" t="str">
        <f t="shared" ca="1" si="3"/>
        <v>Em dia</v>
      </c>
      <c r="N17" s="112"/>
      <c r="O17" s="67">
        <f t="shared" ca="1" si="0"/>
        <v>94</v>
      </c>
      <c r="P17" s="67">
        <f t="shared" ca="1" si="4"/>
        <v>1002</v>
      </c>
      <c r="Q17" t="str">
        <f t="shared" si="1"/>
        <v>CHV-12</v>
      </c>
    </row>
    <row r="18" spans="2:17" ht="15" customHeight="1" x14ac:dyDescent="0.35">
      <c r="B18" s="29">
        <v>2</v>
      </c>
      <c r="C18" s="29" t="s">
        <v>14</v>
      </c>
      <c r="D18" s="30">
        <v>13</v>
      </c>
      <c r="E18" s="66" t="s">
        <v>408</v>
      </c>
      <c r="F18" s="66" t="s">
        <v>409</v>
      </c>
      <c r="G18" s="186" t="s">
        <v>13283</v>
      </c>
      <c r="H18" s="29" t="s">
        <v>61</v>
      </c>
      <c r="I18" s="29" t="s">
        <v>61</v>
      </c>
      <c r="J18" s="98">
        <v>45202</v>
      </c>
      <c r="K18" s="98">
        <f t="shared" si="2"/>
        <v>46298</v>
      </c>
      <c r="L18" s="110" t="s">
        <v>62</v>
      </c>
      <c r="M18" s="112" t="str">
        <f t="shared" ca="1" si="3"/>
        <v>Alerta</v>
      </c>
      <c r="N18" s="112"/>
      <c r="O18" s="67">
        <f t="shared" ca="1" si="0"/>
        <v>996</v>
      </c>
      <c r="P18" s="67">
        <f t="shared" ca="1" si="4"/>
        <v>100</v>
      </c>
      <c r="Q18" t="str">
        <f t="shared" si="1"/>
        <v>CHV-13</v>
      </c>
    </row>
    <row r="19" spans="2:17" ht="15" customHeight="1" x14ac:dyDescent="0.35">
      <c r="B19" s="29">
        <v>2</v>
      </c>
      <c r="C19" s="29" t="s">
        <v>14</v>
      </c>
      <c r="D19" s="30">
        <v>14</v>
      </c>
      <c r="E19" s="66" t="s">
        <v>410</v>
      </c>
      <c r="F19" s="66" t="s">
        <v>411</v>
      </c>
      <c r="G19" s="186" t="s">
        <v>13283</v>
      </c>
      <c r="H19" s="29" t="s">
        <v>61</v>
      </c>
      <c r="I19" s="29" t="s">
        <v>61</v>
      </c>
      <c r="J19" s="98">
        <v>45202</v>
      </c>
      <c r="K19" s="98">
        <f t="shared" si="2"/>
        <v>46298</v>
      </c>
      <c r="L19" s="110" t="s">
        <v>62</v>
      </c>
      <c r="M19" s="112" t="str">
        <f t="shared" ca="1" si="3"/>
        <v>Alerta</v>
      </c>
      <c r="N19" s="112"/>
      <c r="O19" s="67">
        <f t="shared" ca="1" si="0"/>
        <v>996</v>
      </c>
      <c r="P19" s="67">
        <f t="shared" ca="1" si="4"/>
        <v>100</v>
      </c>
      <c r="Q19" t="str">
        <f t="shared" si="1"/>
        <v>CHV-14</v>
      </c>
    </row>
    <row r="20" spans="2:17" ht="15" customHeight="1" x14ac:dyDescent="0.35">
      <c r="B20" s="29">
        <v>2</v>
      </c>
      <c r="C20" s="29" t="s">
        <v>14</v>
      </c>
      <c r="D20" s="30">
        <v>15</v>
      </c>
      <c r="E20" s="66" t="s">
        <v>412</v>
      </c>
      <c r="F20" s="66" t="s">
        <v>413</v>
      </c>
      <c r="G20" s="66" t="s">
        <v>13283</v>
      </c>
      <c r="H20" s="29" t="s">
        <v>61</v>
      </c>
      <c r="I20" s="29" t="s">
        <v>61</v>
      </c>
      <c r="J20" s="98">
        <v>46104</v>
      </c>
      <c r="K20" s="98">
        <f t="shared" si="2"/>
        <v>47200</v>
      </c>
      <c r="L20" s="110" t="s">
        <v>62</v>
      </c>
      <c r="M20" s="112" t="str">
        <f t="shared" ca="1" si="3"/>
        <v>Em dia</v>
      </c>
      <c r="N20" s="112"/>
      <c r="O20" s="67">
        <f t="shared" ca="1" si="0"/>
        <v>94</v>
      </c>
      <c r="P20" s="67">
        <f t="shared" ca="1" si="4"/>
        <v>1002</v>
      </c>
      <c r="Q20" t="str">
        <f t="shared" si="1"/>
        <v>CHV-15</v>
      </c>
    </row>
    <row r="21" spans="2:17" ht="15" customHeight="1" x14ac:dyDescent="0.35">
      <c r="B21" s="29">
        <v>2</v>
      </c>
      <c r="C21" s="29" t="s">
        <v>14</v>
      </c>
      <c r="D21" s="30">
        <v>17</v>
      </c>
      <c r="E21" s="66" t="s">
        <v>414</v>
      </c>
      <c r="F21" s="66" t="s">
        <v>415</v>
      </c>
      <c r="G21" s="66" t="s">
        <v>13283</v>
      </c>
      <c r="H21" s="29" t="s">
        <v>61</v>
      </c>
      <c r="I21" s="29" t="s">
        <v>61</v>
      </c>
      <c r="J21" s="98">
        <v>45202</v>
      </c>
      <c r="K21" s="98">
        <f t="shared" si="2"/>
        <v>46298</v>
      </c>
      <c r="L21" s="110" t="s">
        <v>62</v>
      </c>
      <c r="M21" s="112" t="str">
        <f t="shared" ca="1" si="3"/>
        <v>Alerta</v>
      </c>
      <c r="N21" s="112"/>
      <c r="O21" s="67">
        <f t="shared" ca="1" si="0"/>
        <v>996</v>
      </c>
      <c r="P21" s="67">
        <f t="shared" ca="1" si="4"/>
        <v>100</v>
      </c>
      <c r="Q21" t="str">
        <f t="shared" si="1"/>
        <v>CHV-17</v>
      </c>
    </row>
    <row r="22" spans="2:17" ht="15" customHeight="1" x14ac:dyDescent="0.35">
      <c r="B22" s="29">
        <v>2</v>
      </c>
      <c r="C22" s="29" t="s">
        <v>14</v>
      </c>
      <c r="D22" s="30">
        <v>18</v>
      </c>
      <c r="E22" s="66" t="s">
        <v>416</v>
      </c>
      <c r="F22" s="66" t="s">
        <v>417</v>
      </c>
      <c r="G22" s="187" t="s">
        <v>13283</v>
      </c>
      <c r="H22" s="29" t="s">
        <v>61</v>
      </c>
      <c r="I22" s="29" t="s">
        <v>371</v>
      </c>
      <c r="J22" s="98">
        <v>45645</v>
      </c>
      <c r="K22" s="98">
        <f t="shared" si="2"/>
        <v>46741</v>
      </c>
      <c r="L22" s="110" t="s">
        <v>62</v>
      </c>
      <c r="M22" s="112" t="str">
        <f t="shared" ca="1" si="3"/>
        <v>Em dia</v>
      </c>
      <c r="N22" s="112"/>
      <c r="O22" s="67">
        <f t="shared" ca="1" si="0"/>
        <v>553</v>
      </c>
      <c r="P22" s="67">
        <f t="shared" ca="1" si="4"/>
        <v>543</v>
      </c>
      <c r="Q22" t="str">
        <f t="shared" si="1"/>
        <v>CHV-18</v>
      </c>
    </row>
    <row r="23" spans="2:17" ht="15" customHeight="1" x14ac:dyDescent="0.35">
      <c r="B23" s="29">
        <v>2</v>
      </c>
      <c r="C23" s="29" t="s">
        <v>14</v>
      </c>
      <c r="D23" s="30">
        <v>19</v>
      </c>
      <c r="E23" s="66" t="s">
        <v>418</v>
      </c>
      <c r="F23" s="66" t="s">
        <v>419</v>
      </c>
      <c r="G23" s="187" t="s">
        <v>13283</v>
      </c>
      <c r="H23" s="29" t="s">
        <v>61</v>
      </c>
      <c r="I23" s="29" t="s">
        <v>61</v>
      </c>
      <c r="J23" s="98">
        <v>45959</v>
      </c>
      <c r="K23" s="98">
        <f t="shared" si="2"/>
        <v>47055</v>
      </c>
      <c r="L23" s="110" t="s">
        <v>62</v>
      </c>
      <c r="M23" s="112" t="str">
        <f t="shared" ca="1" si="3"/>
        <v>Em dia</v>
      </c>
      <c r="N23" s="112"/>
      <c r="O23" s="67">
        <f t="shared" ca="1" si="0"/>
        <v>239</v>
      </c>
      <c r="P23" s="67">
        <f t="shared" ca="1" si="4"/>
        <v>857</v>
      </c>
      <c r="Q23" t="str">
        <f t="shared" si="1"/>
        <v>CHV-19</v>
      </c>
    </row>
    <row r="24" spans="2:17" ht="15" customHeight="1" x14ac:dyDescent="0.35">
      <c r="B24" s="29">
        <v>2</v>
      </c>
      <c r="C24" s="29" t="s">
        <v>14</v>
      </c>
      <c r="D24" s="30">
        <v>20</v>
      </c>
      <c r="E24" s="66" t="s">
        <v>420</v>
      </c>
      <c r="F24" s="66" t="s">
        <v>421</v>
      </c>
      <c r="G24" s="186" t="s">
        <v>13284</v>
      </c>
      <c r="H24" s="29" t="s">
        <v>61</v>
      </c>
      <c r="I24" s="29" t="s">
        <v>61</v>
      </c>
      <c r="J24" s="98">
        <v>44889</v>
      </c>
      <c r="K24" s="98">
        <f t="shared" si="2"/>
        <v>45985</v>
      </c>
      <c r="L24" s="110" t="s">
        <v>62</v>
      </c>
      <c r="M24" s="112" t="str">
        <f t="shared" ca="1" si="3"/>
        <v>Vencido</v>
      </c>
      <c r="N24" s="112"/>
      <c r="O24" s="67">
        <f t="shared" ca="1" si="0"/>
        <v>1309</v>
      </c>
      <c r="P24" s="67">
        <f t="shared" ca="1" si="4"/>
        <v>-213</v>
      </c>
      <c r="Q24" t="str">
        <f t="shared" si="1"/>
        <v>CHV-20</v>
      </c>
    </row>
    <row r="25" spans="2:17" ht="15" customHeight="1" x14ac:dyDescent="0.35">
      <c r="B25" s="29">
        <v>2</v>
      </c>
      <c r="C25" s="29" t="s">
        <v>14</v>
      </c>
      <c r="D25" s="30">
        <v>21</v>
      </c>
      <c r="E25" s="66" t="s">
        <v>422</v>
      </c>
      <c r="F25" s="66" t="s">
        <v>423</v>
      </c>
      <c r="G25" s="187" t="s">
        <v>13283</v>
      </c>
      <c r="H25" s="29" t="s">
        <v>61</v>
      </c>
      <c r="I25" s="29" t="s">
        <v>61</v>
      </c>
      <c r="J25" s="98">
        <v>45645</v>
      </c>
      <c r="K25" s="98">
        <f t="shared" si="2"/>
        <v>46741</v>
      </c>
      <c r="L25" s="110" t="s">
        <v>62</v>
      </c>
      <c r="M25" s="112" t="str">
        <f t="shared" ca="1" si="3"/>
        <v>Em dia</v>
      </c>
      <c r="N25" s="112"/>
      <c r="O25" s="67">
        <f t="shared" ca="1" si="0"/>
        <v>553</v>
      </c>
      <c r="P25" s="67">
        <f t="shared" ca="1" si="4"/>
        <v>543</v>
      </c>
      <c r="Q25" t="str">
        <f t="shared" si="1"/>
        <v>CHV-21</v>
      </c>
    </row>
    <row r="26" spans="2:17" ht="15" customHeight="1" x14ac:dyDescent="0.35">
      <c r="B26" s="29">
        <v>2</v>
      </c>
      <c r="C26" s="29" t="s">
        <v>14</v>
      </c>
      <c r="D26" s="30">
        <v>22</v>
      </c>
      <c r="E26" s="66" t="s">
        <v>424</v>
      </c>
      <c r="F26" s="66" t="s">
        <v>425</v>
      </c>
      <c r="G26" s="66" t="s">
        <v>13284</v>
      </c>
      <c r="H26" s="29" t="s">
        <v>61</v>
      </c>
      <c r="I26" s="29" t="s">
        <v>61</v>
      </c>
      <c r="J26" s="98">
        <v>44861</v>
      </c>
      <c r="K26" s="98">
        <f t="shared" si="2"/>
        <v>45957</v>
      </c>
      <c r="L26" s="110" t="s">
        <v>62</v>
      </c>
      <c r="M26" s="112" t="str">
        <f t="shared" ca="1" si="3"/>
        <v>Vencido</v>
      </c>
      <c r="N26" s="112"/>
      <c r="O26" s="67">
        <f t="shared" ca="1" si="0"/>
        <v>1337</v>
      </c>
      <c r="P26" s="67">
        <f t="shared" ca="1" si="4"/>
        <v>-241</v>
      </c>
      <c r="Q26" t="str">
        <f t="shared" si="1"/>
        <v>CHV-22</v>
      </c>
    </row>
    <row r="27" spans="2:17" ht="15" customHeight="1" x14ac:dyDescent="0.35">
      <c r="B27" s="29">
        <v>2</v>
      </c>
      <c r="C27" s="29" t="s">
        <v>14</v>
      </c>
      <c r="D27" s="30">
        <v>23</v>
      </c>
      <c r="E27" s="66" t="s">
        <v>426</v>
      </c>
      <c r="F27" s="66" t="s">
        <v>427</v>
      </c>
      <c r="G27" s="187" t="s">
        <v>13284</v>
      </c>
      <c r="H27" s="29" t="s">
        <v>61</v>
      </c>
      <c r="I27" s="29" t="s">
        <v>61</v>
      </c>
      <c r="J27" s="98">
        <v>44739</v>
      </c>
      <c r="K27" s="98">
        <f t="shared" si="2"/>
        <v>45835</v>
      </c>
      <c r="L27" s="110" t="s">
        <v>62</v>
      </c>
      <c r="M27" s="112" t="str">
        <f t="shared" ca="1" si="3"/>
        <v>Vencido</v>
      </c>
      <c r="N27" s="112"/>
      <c r="O27" s="67">
        <f t="shared" ca="1" si="0"/>
        <v>1459</v>
      </c>
      <c r="P27" s="67">
        <f t="shared" ca="1" si="4"/>
        <v>-363</v>
      </c>
      <c r="Q27" t="str">
        <f t="shared" si="1"/>
        <v>CHV-23</v>
      </c>
    </row>
    <row r="28" spans="2:17" ht="15" customHeight="1" x14ac:dyDescent="0.35">
      <c r="B28" s="29">
        <v>2</v>
      </c>
      <c r="C28" s="29" t="s">
        <v>14</v>
      </c>
      <c r="D28" s="30">
        <v>24</v>
      </c>
      <c r="E28" s="66" t="s">
        <v>428</v>
      </c>
      <c r="F28" s="66" t="s">
        <v>429</v>
      </c>
      <c r="G28" s="187" t="s">
        <v>13284</v>
      </c>
      <c r="H28" s="29" t="s">
        <v>61</v>
      </c>
      <c r="I28" s="29" t="s">
        <v>61</v>
      </c>
      <c r="J28" s="98">
        <v>44739</v>
      </c>
      <c r="K28" s="98">
        <f t="shared" si="2"/>
        <v>45835</v>
      </c>
      <c r="L28" s="110" t="s">
        <v>62</v>
      </c>
      <c r="M28" s="112" t="str">
        <f t="shared" ca="1" si="3"/>
        <v>Vencido</v>
      </c>
      <c r="N28" s="112"/>
      <c r="O28" s="67">
        <f t="shared" ca="1" si="0"/>
        <v>1459</v>
      </c>
      <c r="P28" s="67">
        <f t="shared" ca="1" si="4"/>
        <v>-363</v>
      </c>
      <c r="Q28" t="str">
        <f t="shared" si="1"/>
        <v>CHV-24</v>
      </c>
    </row>
    <row r="29" spans="2:17" ht="15" customHeight="1" x14ac:dyDescent="0.35">
      <c r="B29" s="29">
        <v>2</v>
      </c>
      <c r="C29" s="29" t="s">
        <v>14</v>
      </c>
      <c r="D29" s="30">
        <v>25</v>
      </c>
      <c r="E29" s="66" t="s">
        <v>430</v>
      </c>
      <c r="F29" s="66" t="s">
        <v>431</v>
      </c>
      <c r="G29" s="187" t="s">
        <v>13283</v>
      </c>
      <c r="H29" s="29" t="s">
        <v>61</v>
      </c>
      <c r="I29" s="29" t="s">
        <v>61</v>
      </c>
      <c r="J29" s="98">
        <v>46009</v>
      </c>
      <c r="K29" s="98">
        <f t="shared" si="2"/>
        <v>47105</v>
      </c>
      <c r="L29" s="110" t="s">
        <v>62</v>
      </c>
      <c r="M29" s="112" t="str">
        <f t="shared" ca="1" si="3"/>
        <v>Em dia</v>
      </c>
      <c r="N29" s="112"/>
      <c r="O29" s="67">
        <f t="shared" ca="1" si="0"/>
        <v>189</v>
      </c>
      <c r="P29" s="67">
        <f t="shared" ca="1" si="4"/>
        <v>907</v>
      </c>
      <c r="Q29" t="str">
        <f t="shared" si="1"/>
        <v>CHV-25</v>
      </c>
    </row>
    <row r="30" spans="2:17" ht="15" customHeight="1" x14ac:dyDescent="0.35">
      <c r="B30" s="29">
        <v>2</v>
      </c>
      <c r="C30" s="29" t="s">
        <v>14</v>
      </c>
      <c r="D30" s="30">
        <v>26</v>
      </c>
      <c r="E30" s="66" t="s">
        <v>432</v>
      </c>
      <c r="F30" s="66" t="s">
        <v>433</v>
      </c>
      <c r="G30" s="187" t="s">
        <v>13284</v>
      </c>
      <c r="H30" s="29" t="s">
        <v>61</v>
      </c>
      <c r="I30" s="29" t="s">
        <v>61</v>
      </c>
      <c r="J30" s="98">
        <v>44739</v>
      </c>
      <c r="K30" s="98">
        <f t="shared" si="2"/>
        <v>45835</v>
      </c>
      <c r="L30" s="110" t="s">
        <v>62</v>
      </c>
      <c r="M30" s="112" t="str">
        <f t="shared" ca="1" si="3"/>
        <v>Vencido</v>
      </c>
      <c r="N30" s="112"/>
      <c r="O30" s="67">
        <f t="shared" ca="1" si="0"/>
        <v>1459</v>
      </c>
      <c r="P30" s="67">
        <f t="shared" ca="1" si="4"/>
        <v>-363</v>
      </c>
      <c r="Q30" t="str">
        <f t="shared" si="1"/>
        <v>CHV-26</v>
      </c>
    </row>
    <row r="31" spans="2:17" ht="15" customHeight="1" x14ac:dyDescent="0.35">
      <c r="B31" s="29">
        <v>2</v>
      </c>
      <c r="C31" s="29" t="s">
        <v>14</v>
      </c>
      <c r="D31" s="30">
        <v>27</v>
      </c>
      <c r="E31" s="66" t="s">
        <v>434</v>
      </c>
      <c r="F31" s="66" t="s">
        <v>435</v>
      </c>
      <c r="G31" s="187" t="s">
        <v>13284</v>
      </c>
      <c r="H31" s="29" t="s">
        <v>61</v>
      </c>
      <c r="I31" s="29" t="s">
        <v>61</v>
      </c>
      <c r="J31" s="98">
        <v>44739</v>
      </c>
      <c r="K31" s="98">
        <f t="shared" si="2"/>
        <v>45835</v>
      </c>
      <c r="L31" s="110" t="s">
        <v>62</v>
      </c>
      <c r="M31" s="112" t="str">
        <f t="shared" ca="1" si="3"/>
        <v>Vencido</v>
      </c>
      <c r="N31" s="112"/>
      <c r="O31" s="67">
        <f t="shared" ca="1" si="0"/>
        <v>1459</v>
      </c>
      <c r="P31" s="67">
        <f t="shared" ca="1" si="4"/>
        <v>-363</v>
      </c>
      <c r="Q31" t="str">
        <f t="shared" si="1"/>
        <v>CHV-27</v>
      </c>
    </row>
    <row r="32" spans="2:17" ht="15" customHeight="1" x14ac:dyDescent="0.35">
      <c r="B32" s="29">
        <v>2</v>
      </c>
      <c r="C32" s="29" t="s">
        <v>14</v>
      </c>
      <c r="D32" s="30">
        <v>28</v>
      </c>
      <c r="E32" s="66" t="s">
        <v>436</v>
      </c>
      <c r="F32" s="66" t="s">
        <v>437</v>
      </c>
      <c r="G32" s="187" t="s">
        <v>13284</v>
      </c>
      <c r="H32" s="29" t="s">
        <v>61</v>
      </c>
      <c r="I32" s="29" t="s">
        <v>61</v>
      </c>
      <c r="J32" s="98">
        <v>45202</v>
      </c>
      <c r="K32" s="98">
        <f t="shared" si="2"/>
        <v>46298</v>
      </c>
      <c r="L32" s="110" t="s">
        <v>62</v>
      </c>
      <c r="M32" s="112" t="str">
        <f t="shared" ca="1" si="3"/>
        <v>Alerta</v>
      </c>
      <c r="N32" s="112"/>
      <c r="O32" s="67">
        <f t="shared" ca="1" si="0"/>
        <v>996</v>
      </c>
      <c r="P32" s="67">
        <f t="shared" ca="1" si="4"/>
        <v>100</v>
      </c>
      <c r="Q32" t="str">
        <f t="shared" si="1"/>
        <v>CHV-28</v>
      </c>
    </row>
    <row r="33" spans="2:17" ht="15" customHeight="1" x14ac:dyDescent="0.35">
      <c r="B33" s="29">
        <v>2</v>
      </c>
      <c r="C33" s="29" t="s">
        <v>14</v>
      </c>
      <c r="D33" s="30">
        <v>29</v>
      </c>
      <c r="E33" s="66" t="s">
        <v>438</v>
      </c>
      <c r="F33" s="66" t="s">
        <v>439</v>
      </c>
      <c r="G33" s="187" t="s">
        <v>13284</v>
      </c>
      <c r="H33" s="29" t="s">
        <v>61</v>
      </c>
      <c r="I33" s="29" t="s">
        <v>61</v>
      </c>
      <c r="J33" s="98">
        <v>45202</v>
      </c>
      <c r="K33" s="98">
        <f t="shared" si="2"/>
        <v>46298</v>
      </c>
      <c r="L33" s="110" t="s">
        <v>62</v>
      </c>
      <c r="M33" s="112" t="str">
        <f t="shared" ca="1" si="3"/>
        <v>Alerta</v>
      </c>
      <c r="N33" s="112"/>
      <c r="O33" s="67">
        <f t="shared" ca="1" si="0"/>
        <v>996</v>
      </c>
      <c r="P33" s="67">
        <f t="shared" ca="1" si="4"/>
        <v>100</v>
      </c>
      <c r="Q33" t="str">
        <f t="shared" si="1"/>
        <v>CHV-29</v>
      </c>
    </row>
    <row r="34" spans="2:17" ht="15" customHeight="1" x14ac:dyDescent="0.35">
      <c r="B34" s="29">
        <v>2</v>
      </c>
      <c r="C34" s="29" t="s">
        <v>14</v>
      </c>
      <c r="D34" s="30">
        <v>40</v>
      </c>
      <c r="E34" s="66" t="s">
        <v>440</v>
      </c>
      <c r="F34" s="66" t="s">
        <v>441</v>
      </c>
      <c r="G34" s="187" t="s">
        <v>13283</v>
      </c>
      <c r="H34" s="29" t="s">
        <v>61</v>
      </c>
      <c r="I34" s="29"/>
      <c r="J34" s="98">
        <v>45202</v>
      </c>
      <c r="K34" s="98">
        <f t="shared" si="2"/>
        <v>46298</v>
      </c>
      <c r="L34" s="110" t="s">
        <v>62</v>
      </c>
      <c r="M34" s="112" t="str">
        <f t="shared" ca="1" si="3"/>
        <v>Alerta</v>
      </c>
      <c r="N34" s="112"/>
      <c r="O34" s="67">
        <f t="shared" ca="1" si="0"/>
        <v>996</v>
      </c>
      <c r="P34" s="67">
        <f t="shared" ca="1" si="4"/>
        <v>100</v>
      </c>
      <c r="Q34" t="str">
        <f t="shared" si="1"/>
        <v>CHV-40</v>
      </c>
    </row>
    <row r="35" spans="2:17" ht="15" customHeight="1" x14ac:dyDescent="0.35">
      <c r="B35" s="29">
        <v>2</v>
      </c>
      <c r="C35" s="29" t="s">
        <v>14</v>
      </c>
      <c r="D35" s="30">
        <v>41</v>
      </c>
      <c r="E35" s="66" t="s">
        <v>442</v>
      </c>
      <c r="F35" s="66" t="s">
        <v>443</v>
      </c>
      <c r="G35" s="187" t="s">
        <v>13283</v>
      </c>
      <c r="H35" s="29" t="s">
        <v>61</v>
      </c>
      <c r="I35" s="29"/>
      <c r="J35" s="98">
        <v>45202</v>
      </c>
      <c r="K35" s="98">
        <f t="shared" si="2"/>
        <v>46298</v>
      </c>
      <c r="L35" s="110" t="s">
        <v>62</v>
      </c>
      <c r="M35" s="112" t="str">
        <f t="shared" ca="1" si="3"/>
        <v>Alerta</v>
      </c>
      <c r="N35" s="112"/>
      <c r="O35" s="67">
        <f t="shared" ca="1" si="0"/>
        <v>996</v>
      </c>
      <c r="P35" s="67">
        <f t="shared" ca="1" si="4"/>
        <v>100</v>
      </c>
      <c r="Q35" t="str">
        <f t="shared" si="1"/>
        <v>CHV-41</v>
      </c>
    </row>
    <row r="36" spans="2:17" ht="15" customHeight="1" x14ac:dyDescent="0.35">
      <c r="B36" s="29">
        <v>2</v>
      </c>
      <c r="C36" s="29" t="s">
        <v>14</v>
      </c>
      <c r="D36" s="30">
        <v>51</v>
      </c>
      <c r="E36" s="66" t="s">
        <v>444</v>
      </c>
      <c r="F36" s="66" t="s">
        <v>445</v>
      </c>
      <c r="G36" s="187" t="s">
        <v>13283</v>
      </c>
      <c r="H36" s="29" t="s">
        <v>61</v>
      </c>
      <c r="I36" s="29" t="s">
        <v>61</v>
      </c>
      <c r="J36" s="98">
        <v>45959</v>
      </c>
      <c r="K36" s="98">
        <f t="shared" si="2"/>
        <v>47055</v>
      </c>
      <c r="L36" s="110" t="s">
        <v>62</v>
      </c>
      <c r="M36" s="112" t="str">
        <f t="shared" ca="1" si="3"/>
        <v>Em dia</v>
      </c>
      <c r="N36" s="112"/>
      <c r="O36" s="67">
        <f t="shared" ca="1" si="0"/>
        <v>239</v>
      </c>
      <c r="P36" s="67">
        <f t="shared" ca="1" si="4"/>
        <v>857</v>
      </c>
      <c r="Q36" t="str">
        <f t="shared" si="1"/>
        <v>CHV-51</v>
      </c>
    </row>
    <row r="37" spans="2:17" ht="15" customHeight="1" x14ac:dyDescent="0.35">
      <c r="B37" s="29">
        <v>2</v>
      </c>
      <c r="C37" s="29" t="s">
        <v>14</v>
      </c>
      <c r="D37" s="30">
        <v>59</v>
      </c>
      <c r="E37" s="66" t="s">
        <v>446</v>
      </c>
      <c r="F37" s="66" t="s">
        <v>447</v>
      </c>
      <c r="G37" s="187" t="s">
        <v>13283</v>
      </c>
      <c r="H37" s="29" t="s">
        <v>61</v>
      </c>
      <c r="I37" s="29" t="s">
        <v>61</v>
      </c>
      <c r="J37" s="98">
        <v>45462</v>
      </c>
      <c r="K37" s="98">
        <f t="shared" si="2"/>
        <v>46558</v>
      </c>
      <c r="L37" s="110" t="s">
        <v>62</v>
      </c>
      <c r="M37" s="112" t="str">
        <f t="shared" ca="1" si="3"/>
        <v>Alerta</v>
      </c>
      <c r="N37" s="112"/>
      <c r="O37" s="67">
        <f t="shared" ca="1" si="0"/>
        <v>736</v>
      </c>
      <c r="P37" s="67">
        <f t="shared" ca="1" si="4"/>
        <v>360</v>
      </c>
      <c r="Q37" t="str">
        <f t="shared" si="1"/>
        <v>CHV-59</v>
      </c>
    </row>
    <row r="38" spans="2:17" ht="15" customHeight="1" x14ac:dyDescent="0.35">
      <c r="B38" s="29">
        <v>2</v>
      </c>
      <c r="C38" s="29" t="s">
        <v>14</v>
      </c>
      <c r="D38" s="30">
        <v>60</v>
      </c>
      <c r="E38" s="66" t="s">
        <v>448</v>
      </c>
      <c r="F38" s="66" t="s">
        <v>449</v>
      </c>
      <c r="G38" s="187" t="s">
        <v>13284</v>
      </c>
      <c r="H38" s="29" t="s">
        <v>61</v>
      </c>
      <c r="I38" s="29" t="s">
        <v>61</v>
      </c>
      <c r="J38" s="98">
        <v>44819</v>
      </c>
      <c r="K38" s="98">
        <f t="shared" si="2"/>
        <v>45915</v>
      </c>
      <c r="L38" s="110" t="s">
        <v>62</v>
      </c>
      <c r="M38" s="112" t="str">
        <f t="shared" ca="1" si="3"/>
        <v>Vencido</v>
      </c>
      <c r="N38" s="112"/>
      <c r="O38" s="67">
        <f t="shared" ca="1" si="0"/>
        <v>1379</v>
      </c>
      <c r="P38" s="67">
        <f t="shared" ca="1" si="4"/>
        <v>-283</v>
      </c>
      <c r="Q38" t="str">
        <f t="shared" si="1"/>
        <v>CHV-60</v>
      </c>
    </row>
    <row r="39" spans="2:17" ht="15" customHeight="1" x14ac:dyDescent="0.35">
      <c r="B39" s="29">
        <v>2</v>
      </c>
      <c r="C39" s="29" t="s">
        <v>14</v>
      </c>
      <c r="D39" s="30">
        <v>61</v>
      </c>
      <c r="E39" s="66" t="s">
        <v>450</v>
      </c>
      <c r="F39" s="66" t="s">
        <v>451</v>
      </c>
      <c r="G39" s="187" t="s">
        <v>13284</v>
      </c>
      <c r="H39" s="29" t="s">
        <v>61</v>
      </c>
      <c r="I39" s="29" t="s">
        <v>61</v>
      </c>
      <c r="J39" s="98">
        <v>44926</v>
      </c>
      <c r="K39" s="98">
        <f t="shared" si="2"/>
        <v>46022</v>
      </c>
      <c r="L39" s="110" t="s">
        <v>62</v>
      </c>
      <c r="M39" s="112" t="str">
        <f t="shared" ca="1" si="3"/>
        <v>Vencido</v>
      </c>
      <c r="N39" s="112"/>
      <c r="O39" s="67">
        <f t="shared" ca="1" si="0"/>
        <v>1272</v>
      </c>
      <c r="P39" s="67">
        <f t="shared" ca="1" si="4"/>
        <v>-176</v>
      </c>
      <c r="Q39" t="str">
        <f t="shared" si="1"/>
        <v>CHV-61</v>
      </c>
    </row>
    <row r="40" spans="2:17" ht="15" customHeight="1" x14ac:dyDescent="0.35">
      <c r="B40" s="29">
        <v>2</v>
      </c>
      <c r="C40" s="29" t="s">
        <v>14</v>
      </c>
      <c r="D40" s="30">
        <v>62</v>
      </c>
      <c r="E40" s="66" t="s">
        <v>452</v>
      </c>
      <c r="F40" s="66" t="s">
        <v>453</v>
      </c>
      <c r="G40" s="187" t="s">
        <v>13284</v>
      </c>
      <c r="H40" s="29" t="s">
        <v>61</v>
      </c>
      <c r="I40" s="29" t="s">
        <v>61</v>
      </c>
      <c r="J40" s="98">
        <v>44926</v>
      </c>
      <c r="K40" s="98">
        <f t="shared" si="2"/>
        <v>46022</v>
      </c>
      <c r="L40" s="110" t="s">
        <v>62</v>
      </c>
      <c r="M40" s="112" t="str">
        <f t="shared" ca="1" si="3"/>
        <v>Vencido</v>
      </c>
      <c r="N40" s="112"/>
      <c r="O40" s="67">
        <f t="shared" ca="1" si="0"/>
        <v>1272</v>
      </c>
      <c r="P40" s="67">
        <f t="shared" ca="1" si="4"/>
        <v>-176</v>
      </c>
      <c r="Q40" t="str">
        <f t="shared" si="1"/>
        <v>CHV-62</v>
      </c>
    </row>
    <row r="41" spans="2:17" ht="15" customHeight="1" x14ac:dyDescent="0.35">
      <c r="B41" s="29">
        <v>2</v>
      </c>
      <c r="C41" s="29" t="s">
        <v>14</v>
      </c>
      <c r="D41" s="30">
        <v>63</v>
      </c>
      <c r="E41" s="66" t="s">
        <v>454</v>
      </c>
      <c r="F41" s="66" t="s">
        <v>455</v>
      </c>
      <c r="G41" s="187" t="s">
        <v>13284</v>
      </c>
      <c r="H41" s="29" t="s">
        <v>61</v>
      </c>
      <c r="I41" s="29" t="s">
        <v>61</v>
      </c>
      <c r="J41" s="98">
        <v>44838</v>
      </c>
      <c r="K41" s="98">
        <f t="shared" si="2"/>
        <v>45934</v>
      </c>
      <c r="L41" s="110" t="s">
        <v>62</v>
      </c>
      <c r="M41" s="112" t="str">
        <f t="shared" ca="1" si="3"/>
        <v>Vencido</v>
      </c>
      <c r="N41" s="112"/>
      <c r="O41" s="67">
        <f t="shared" ca="1" si="0"/>
        <v>1360</v>
      </c>
      <c r="P41" s="67">
        <f t="shared" ca="1" si="4"/>
        <v>-264</v>
      </c>
      <c r="Q41" t="str">
        <f t="shared" si="1"/>
        <v>CHV-63</v>
      </c>
    </row>
    <row r="42" spans="2:17" ht="15" customHeight="1" x14ac:dyDescent="0.35">
      <c r="B42" s="29">
        <v>2</v>
      </c>
      <c r="C42" s="29" t="s">
        <v>14</v>
      </c>
      <c r="D42" s="30">
        <v>64</v>
      </c>
      <c r="E42" s="66" t="s">
        <v>456</v>
      </c>
      <c r="F42" s="66" t="s">
        <v>457</v>
      </c>
      <c r="G42" s="187" t="s">
        <v>13284</v>
      </c>
      <c r="H42" s="29" t="s">
        <v>61</v>
      </c>
      <c r="I42" s="29" t="s">
        <v>61</v>
      </c>
      <c r="J42" s="98">
        <v>45202</v>
      </c>
      <c r="K42" s="98">
        <f t="shared" si="2"/>
        <v>46298</v>
      </c>
      <c r="L42" s="110" t="s">
        <v>62</v>
      </c>
      <c r="M42" s="112" t="str">
        <f t="shared" ca="1" si="3"/>
        <v>Alerta</v>
      </c>
      <c r="N42" s="112"/>
      <c r="O42" s="67">
        <f t="shared" ca="1" si="0"/>
        <v>996</v>
      </c>
      <c r="P42" s="67">
        <f t="shared" ca="1" si="4"/>
        <v>100</v>
      </c>
      <c r="Q42" t="str">
        <f t="shared" si="1"/>
        <v>CHV-64</v>
      </c>
    </row>
    <row r="43" spans="2:17" ht="15" customHeight="1" x14ac:dyDescent="0.35">
      <c r="B43" s="29">
        <v>2</v>
      </c>
      <c r="C43" s="29" t="s">
        <v>14</v>
      </c>
      <c r="D43" s="30">
        <v>65</v>
      </c>
      <c r="E43" s="66" t="s">
        <v>458</v>
      </c>
      <c r="F43" s="66" t="s">
        <v>459</v>
      </c>
      <c r="G43" s="187" t="s">
        <v>13284</v>
      </c>
      <c r="H43" s="29" t="s">
        <v>61</v>
      </c>
      <c r="I43" s="29" t="s">
        <v>61</v>
      </c>
      <c r="J43" s="98">
        <v>45202</v>
      </c>
      <c r="K43" s="98">
        <f t="shared" si="2"/>
        <v>46298</v>
      </c>
      <c r="L43" s="110" t="s">
        <v>62</v>
      </c>
      <c r="M43" s="112" t="str">
        <f t="shared" ca="1" si="3"/>
        <v>Alerta</v>
      </c>
      <c r="N43" s="112"/>
      <c r="O43" s="67">
        <f t="shared" ca="1" si="0"/>
        <v>996</v>
      </c>
      <c r="P43" s="67">
        <f t="shared" ca="1" si="4"/>
        <v>100</v>
      </c>
      <c r="Q43" t="str">
        <f t="shared" si="1"/>
        <v>CHV-65</v>
      </c>
    </row>
    <row r="44" spans="2:17" ht="15" customHeight="1" x14ac:dyDescent="0.35">
      <c r="B44" s="29">
        <v>2</v>
      </c>
      <c r="C44" s="29" t="s">
        <v>14</v>
      </c>
      <c r="D44" s="30">
        <v>66</v>
      </c>
      <c r="E44" s="66" t="s">
        <v>460</v>
      </c>
      <c r="F44" s="66" t="s">
        <v>461</v>
      </c>
      <c r="G44" s="187" t="s">
        <v>13284</v>
      </c>
      <c r="H44" s="29" t="s">
        <v>61</v>
      </c>
      <c r="I44" s="29" t="s">
        <v>61</v>
      </c>
      <c r="J44" s="98">
        <v>45202</v>
      </c>
      <c r="K44" s="98">
        <f t="shared" si="2"/>
        <v>46298</v>
      </c>
      <c r="L44" s="110" t="s">
        <v>62</v>
      </c>
      <c r="M44" s="112" t="str">
        <f t="shared" ca="1" si="3"/>
        <v>Alerta</v>
      </c>
      <c r="N44" s="112"/>
      <c r="O44" s="67">
        <f t="shared" ca="1" si="0"/>
        <v>996</v>
      </c>
      <c r="P44" s="67">
        <f t="shared" ca="1" si="4"/>
        <v>100</v>
      </c>
      <c r="Q44" t="str">
        <f t="shared" si="1"/>
        <v>CHV-66</v>
      </c>
    </row>
    <row r="45" spans="2:17" ht="15" customHeight="1" x14ac:dyDescent="0.35">
      <c r="B45" s="29">
        <v>2</v>
      </c>
      <c r="C45" s="29" t="s">
        <v>14</v>
      </c>
      <c r="D45" s="30">
        <v>71</v>
      </c>
      <c r="E45" s="66" t="s">
        <v>462</v>
      </c>
      <c r="F45" s="66" t="s">
        <v>463</v>
      </c>
      <c r="G45" s="26" t="s">
        <v>13282</v>
      </c>
      <c r="H45" s="29" t="s">
        <v>61</v>
      </c>
      <c r="I45" s="29" t="s">
        <v>61</v>
      </c>
      <c r="J45" s="98">
        <v>45202</v>
      </c>
      <c r="K45" s="98">
        <f t="shared" si="2"/>
        <v>46298</v>
      </c>
      <c r="L45" s="110" t="s">
        <v>62</v>
      </c>
      <c r="M45" s="112" t="str">
        <f t="shared" ca="1" si="3"/>
        <v>Alerta</v>
      </c>
      <c r="N45" s="112"/>
      <c r="O45" s="67">
        <f t="shared" ca="1" si="0"/>
        <v>996</v>
      </c>
      <c r="P45" s="67">
        <f t="shared" ca="1" si="4"/>
        <v>100</v>
      </c>
      <c r="Q45" t="str">
        <f t="shared" si="1"/>
        <v>CHV-71</v>
      </c>
    </row>
    <row r="46" spans="2:17" ht="15" customHeight="1" x14ac:dyDescent="0.35">
      <c r="B46" s="29">
        <v>2</v>
      </c>
      <c r="C46" s="29" t="s">
        <v>14</v>
      </c>
      <c r="D46" s="30" t="s">
        <v>464</v>
      </c>
      <c r="E46" s="66" t="s">
        <v>465</v>
      </c>
      <c r="F46" s="66" t="s">
        <v>466</v>
      </c>
      <c r="G46" s="187" t="s">
        <v>13284</v>
      </c>
      <c r="H46" s="29" t="s">
        <v>61</v>
      </c>
      <c r="I46" s="29" t="s">
        <v>61</v>
      </c>
      <c r="J46" s="98">
        <v>44838</v>
      </c>
      <c r="K46" s="98">
        <f t="shared" si="2"/>
        <v>45934</v>
      </c>
      <c r="L46" s="110" t="s">
        <v>62</v>
      </c>
      <c r="M46" s="112" t="str">
        <f t="shared" ca="1" si="3"/>
        <v>Vencido</v>
      </c>
      <c r="N46" s="112"/>
      <c r="O46" s="67">
        <f t="shared" ca="1" si="0"/>
        <v>1360</v>
      </c>
      <c r="P46" s="67">
        <f t="shared" ca="1" si="4"/>
        <v>-264</v>
      </c>
      <c r="Q46" t="str">
        <f t="shared" si="1"/>
        <v>CHV-30</v>
      </c>
    </row>
    <row r="47" spans="2:17" ht="15" customHeight="1" x14ac:dyDescent="0.35">
      <c r="B47" s="29">
        <v>2</v>
      </c>
      <c r="C47" s="29" t="s">
        <v>14</v>
      </c>
      <c r="D47" s="30" t="s">
        <v>467</v>
      </c>
      <c r="E47" s="66" t="s">
        <v>468</v>
      </c>
      <c r="F47" s="66" t="s">
        <v>469</v>
      </c>
      <c r="G47" s="187" t="s">
        <v>13284</v>
      </c>
      <c r="H47" s="29" t="s">
        <v>61</v>
      </c>
      <c r="I47" s="29" t="s">
        <v>61</v>
      </c>
      <c r="J47" s="98">
        <v>44838</v>
      </c>
      <c r="K47" s="98">
        <f t="shared" si="2"/>
        <v>45934</v>
      </c>
      <c r="L47" s="110" t="s">
        <v>62</v>
      </c>
      <c r="M47" s="112" t="str">
        <f t="shared" ca="1" si="3"/>
        <v>Vencido</v>
      </c>
      <c r="N47" s="112"/>
      <c r="O47" s="67">
        <f t="shared" ca="1" si="0"/>
        <v>1360</v>
      </c>
      <c r="P47" s="67">
        <f t="shared" ca="1" si="4"/>
        <v>-264</v>
      </c>
      <c r="Q47" t="str">
        <f t="shared" si="1"/>
        <v>CHV-30</v>
      </c>
    </row>
    <row r="48" spans="2:17" ht="15" customHeight="1" x14ac:dyDescent="0.35">
      <c r="B48" s="29">
        <v>2</v>
      </c>
      <c r="C48" s="29" t="s">
        <v>14</v>
      </c>
      <c r="D48" s="30" t="s">
        <v>470</v>
      </c>
      <c r="E48" s="66" t="s">
        <v>471</v>
      </c>
      <c r="F48" s="66" t="s">
        <v>472</v>
      </c>
      <c r="G48" s="187" t="s">
        <v>13284</v>
      </c>
      <c r="H48" s="29" t="s">
        <v>61</v>
      </c>
      <c r="I48" s="29" t="s">
        <v>61</v>
      </c>
      <c r="J48" s="98">
        <v>44838</v>
      </c>
      <c r="K48" s="98">
        <f t="shared" si="2"/>
        <v>45934</v>
      </c>
      <c r="L48" s="110" t="s">
        <v>62</v>
      </c>
      <c r="M48" s="112" t="str">
        <f t="shared" ca="1" si="3"/>
        <v>Vencido</v>
      </c>
      <c r="N48" s="112"/>
      <c r="O48" s="67">
        <f t="shared" ca="1" si="0"/>
        <v>1360</v>
      </c>
      <c r="P48" s="67">
        <f t="shared" ca="1" si="4"/>
        <v>-264</v>
      </c>
      <c r="Q48" t="str">
        <f t="shared" si="1"/>
        <v>CHV-30</v>
      </c>
    </row>
    <row r="49" spans="2:17" ht="15" customHeight="1" x14ac:dyDescent="0.35">
      <c r="B49" s="29">
        <v>2</v>
      </c>
      <c r="C49" s="29" t="s">
        <v>14</v>
      </c>
      <c r="D49" s="30">
        <v>31</v>
      </c>
      <c r="E49" s="66" t="s">
        <v>473</v>
      </c>
      <c r="F49" s="66" t="s">
        <v>474</v>
      </c>
      <c r="G49" s="187" t="s">
        <v>13284</v>
      </c>
      <c r="H49" s="29" t="s">
        <v>61</v>
      </c>
      <c r="I49" s="29" t="s">
        <v>61</v>
      </c>
      <c r="J49" s="98">
        <v>44838</v>
      </c>
      <c r="K49" s="98">
        <f t="shared" si="2"/>
        <v>45934</v>
      </c>
      <c r="L49" s="110" t="s">
        <v>62</v>
      </c>
      <c r="M49" s="112" t="str">
        <f t="shared" ca="1" si="3"/>
        <v>Vencido</v>
      </c>
      <c r="N49" s="112"/>
      <c r="O49" s="67">
        <f t="shared" ca="1" si="0"/>
        <v>1360</v>
      </c>
      <c r="P49" s="67">
        <f t="shared" ca="1" si="4"/>
        <v>-264</v>
      </c>
      <c r="Q49" t="str">
        <f t="shared" si="1"/>
        <v>CHV-31</v>
      </c>
    </row>
    <row r="50" spans="2:17" ht="15" customHeight="1" x14ac:dyDescent="0.35">
      <c r="B50" s="29">
        <v>2</v>
      </c>
      <c r="C50" s="29" t="s">
        <v>14</v>
      </c>
      <c r="D50" s="30" t="s">
        <v>475</v>
      </c>
      <c r="E50" s="66" t="s">
        <v>476</v>
      </c>
      <c r="F50" s="66" t="s">
        <v>477</v>
      </c>
      <c r="G50" s="187" t="s">
        <v>13284</v>
      </c>
      <c r="H50" s="29" t="s">
        <v>61</v>
      </c>
      <c r="I50" s="29" t="s">
        <v>61</v>
      </c>
      <c r="J50" s="98">
        <v>44838</v>
      </c>
      <c r="K50" s="98">
        <f t="shared" si="2"/>
        <v>45934</v>
      </c>
      <c r="L50" s="110" t="s">
        <v>62</v>
      </c>
      <c r="M50" s="112" t="str">
        <f t="shared" ca="1" si="3"/>
        <v>Vencido</v>
      </c>
      <c r="N50" s="112"/>
      <c r="O50" s="67">
        <f t="shared" ca="1" si="0"/>
        <v>1360</v>
      </c>
      <c r="P50" s="67">
        <f t="shared" ca="1" si="4"/>
        <v>-264</v>
      </c>
      <c r="Q50" t="str">
        <f t="shared" si="1"/>
        <v>CHV-32</v>
      </c>
    </row>
    <row r="51" spans="2:17" ht="16" customHeight="1" x14ac:dyDescent="0.35">
      <c r="B51" s="29">
        <v>2</v>
      </c>
      <c r="C51" s="29" t="s">
        <v>14</v>
      </c>
      <c r="D51" s="30" t="s">
        <v>478</v>
      </c>
      <c r="E51" s="66" t="s">
        <v>479</v>
      </c>
      <c r="F51" s="66" t="s">
        <v>480</v>
      </c>
      <c r="G51" s="187" t="s">
        <v>13284</v>
      </c>
      <c r="H51" s="29" t="s">
        <v>61</v>
      </c>
      <c r="I51" s="29" t="s">
        <v>61</v>
      </c>
      <c r="J51" s="98">
        <v>44838</v>
      </c>
      <c r="K51" s="98">
        <f t="shared" si="2"/>
        <v>45934</v>
      </c>
      <c r="L51" s="110" t="s">
        <v>62</v>
      </c>
      <c r="M51" s="112" t="str">
        <f t="shared" ca="1" si="3"/>
        <v>Vencido</v>
      </c>
      <c r="N51" s="112"/>
      <c r="O51" s="67">
        <f t="shared" ca="1" si="0"/>
        <v>1360</v>
      </c>
      <c r="P51" s="67">
        <f t="shared" ca="1" si="4"/>
        <v>-264</v>
      </c>
      <c r="Q51" t="str">
        <f t="shared" si="1"/>
        <v>CHV-32</v>
      </c>
    </row>
    <row r="52" spans="2:17" ht="15" hidden="1" customHeight="1" x14ac:dyDescent="0.35">
      <c r="B52" s="29">
        <v>2</v>
      </c>
      <c r="C52" s="29" t="s">
        <v>14</v>
      </c>
      <c r="D52" s="30">
        <v>32</v>
      </c>
      <c r="E52" s="66" t="s">
        <v>481</v>
      </c>
      <c r="F52" s="66" t="s">
        <v>482</v>
      </c>
      <c r="G52" s="187" t="s">
        <v>13284</v>
      </c>
      <c r="H52" s="29"/>
      <c r="I52" s="29"/>
      <c r="J52" s="29" t="s">
        <v>89</v>
      </c>
      <c r="K52" s="98"/>
      <c r="L52" s="11" t="s">
        <v>90</v>
      </c>
      <c r="M52" s="112"/>
      <c r="N52" s="112"/>
      <c r="O52" s="67" t="e">
        <f t="shared" ca="1" si="0"/>
        <v>#VALUE!</v>
      </c>
      <c r="P52" s="67">
        <f t="shared" ca="1" si="4"/>
        <v>-46198</v>
      </c>
      <c r="Q52" t="str">
        <f t="shared" si="1"/>
        <v>CHV-32</v>
      </c>
    </row>
    <row r="53" spans="2:17" ht="15" customHeight="1" x14ac:dyDescent="0.35">
      <c r="B53" s="29">
        <v>2</v>
      </c>
      <c r="C53" s="29" t="s">
        <v>14</v>
      </c>
      <c r="D53" s="30">
        <v>34</v>
      </c>
      <c r="E53" s="66" t="s">
        <v>483</v>
      </c>
      <c r="F53" s="66" t="s">
        <v>484</v>
      </c>
      <c r="G53" s="187" t="s">
        <v>13284</v>
      </c>
      <c r="H53" s="29" t="s">
        <v>61</v>
      </c>
      <c r="I53" s="29" t="s">
        <v>61</v>
      </c>
      <c r="J53" s="98">
        <v>45202</v>
      </c>
      <c r="K53" s="98">
        <f t="shared" si="2"/>
        <v>46298</v>
      </c>
      <c r="L53" s="110" t="s">
        <v>62</v>
      </c>
      <c r="M53" s="112" t="str">
        <f t="shared" ca="1" si="3"/>
        <v>Alerta</v>
      </c>
      <c r="N53" s="112"/>
      <c r="O53" s="67">
        <f t="shared" ca="1" si="0"/>
        <v>996</v>
      </c>
      <c r="P53" s="67">
        <f t="shared" ca="1" si="4"/>
        <v>100</v>
      </c>
      <c r="Q53" t="str">
        <f t="shared" si="1"/>
        <v>CHV-34</v>
      </c>
    </row>
    <row r="54" spans="2:17" ht="15" customHeight="1" x14ac:dyDescent="0.35">
      <c r="B54" s="29">
        <v>2</v>
      </c>
      <c r="C54" s="29" t="s">
        <v>14</v>
      </c>
      <c r="D54" s="30">
        <v>35</v>
      </c>
      <c r="E54" s="66" t="s">
        <v>486</v>
      </c>
      <c r="F54" s="66" t="s">
        <v>487</v>
      </c>
      <c r="G54" s="187" t="s">
        <v>13284</v>
      </c>
      <c r="H54" s="29" t="s">
        <v>61</v>
      </c>
      <c r="I54" s="29" t="s">
        <v>61</v>
      </c>
      <c r="J54" s="98">
        <v>45274</v>
      </c>
      <c r="K54" s="98">
        <f t="shared" si="2"/>
        <v>46370</v>
      </c>
      <c r="L54" s="110" t="s">
        <v>62</v>
      </c>
      <c r="M54" s="112" t="str">
        <f t="shared" ca="1" si="3"/>
        <v>Alerta</v>
      </c>
      <c r="N54" s="112"/>
      <c r="O54" s="67">
        <f t="shared" ca="1" si="0"/>
        <v>924</v>
      </c>
      <c r="P54" s="67">
        <f t="shared" ca="1" si="4"/>
        <v>172</v>
      </c>
      <c r="Q54" t="str">
        <f t="shared" si="1"/>
        <v>CHV-35</v>
      </c>
    </row>
    <row r="55" spans="2:17" ht="15" customHeight="1" x14ac:dyDescent="0.35">
      <c r="B55" s="29">
        <v>4</v>
      </c>
      <c r="C55" s="29" t="s">
        <v>16</v>
      </c>
      <c r="D55" s="30">
        <v>0</v>
      </c>
      <c r="E55" s="66" t="s">
        <v>488</v>
      </c>
      <c r="F55" s="65" t="s">
        <v>489</v>
      </c>
      <c r="G55" s="26" t="s">
        <v>13301</v>
      </c>
      <c r="H55" s="29" t="s">
        <v>61</v>
      </c>
      <c r="I55" s="29"/>
      <c r="J55" s="98">
        <v>45202</v>
      </c>
      <c r="K55" s="98">
        <f t="shared" si="2"/>
        <v>46298</v>
      </c>
      <c r="L55" s="110" t="s">
        <v>62</v>
      </c>
      <c r="M55" s="112" t="str">
        <f t="shared" ca="1" si="3"/>
        <v>Alerta</v>
      </c>
      <c r="N55" s="112"/>
      <c r="O55" s="67">
        <f t="shared" ca="1" si="0"/>
        <v>996</v>
      </c>
      <c r="P55" s="67">
        <f t="shared" ca="1" si="4"/>
        <v>100</v>
      </c>
      <c r="Q55" t="str">
        <f t="shared" si="1"/>
        <v>CN1-00</v>
      </c>
    </row>
    <row r="56" spans="2:17" ht="15" customHeight="1" x14ac:dyDescent="0.35">
      <c r="B56" s="29">
        <v>4</v>
      </c>
      <c r="C56" s="29" t="s">
        <v>16</v>
      </c>
      <c r="D56" s="30">
        <v>1</v>
      </c>
      <c r="E56" s="66" t="s">
        <v>490</v>
      </c>
      <c r="F56" s="66" t="s">
        <v>491</v>
      </c>
      <c r="G56" s="187" t="s">
        <v>13284</v>
      </c>
      <c r="H56" s="29" t="s">
        <v>61</v>
      </c>
      <c r="I56" s="29" t="s">
        <v>61</v>
      </c>
      <c r="J56" s="98">
        <v>44739</v>
      </c>
      <c r="K56" s="98">
        <f t="shared" si="2"/>
        <v>45835</v>
      </c>
      <c r="L56" s="110" t="s">
        <v>62</v>
      </c>
      <c r="M56" s="112" t="str">
        <f t="shared" ca="1" si="3"/>
        <v>Vencido</v>
      </c>
      <c r="N56" s="112"/>
      <c r="O56" s="67">
        <f t="shared" ca="1" si="0"/>
        <v>1459</v>
      </c>
      <c r="P56" s="67">
        <f t="shared" ca="1" si="4"/>
        <v>-363</v>
      </c>
      <c r="Q56" t="str">
        <f t="shared" si="1"/>
        <v>CN1-01</v>
      </c>
    </row>
    <row r="57" spans="2:17" ht="15" customHeight="1" x14ac:dyDescent="0.35">
      <c r="B57" s="29">
        <v>4</v>
      </c>
      <c r="C57" s="29" t="s">
        <v>16</v>
      </c>
      <c r="D57" s="30">
        <v>2</v>
      </c>
      <c r="E57" s="66" t="s">
        <v>492</v>
      </c>
      <c r="F57" s="66" t="s">
        <v>493</v>
      </c>
      <c r="G57" s="26" t="s">
        <v>13284</v>
      </c>
      <c r="H57" s="29" t="s">
        <v>61</v>
      </c>
      <c r="I57" s="29" t="s">
        <v>61</v>
      </c>
      <c r="J57" s="98">
        <v>44739</v>
      </c>
      <c r="K57" s="98">
        <f t="shared" si="2"/>
        <v>45835</v>
      </c>
      <c r="L57" s="110" t="s">
        <v>62</v>
      </c>
      <c r="M57" s="112" t="str">
        <f t="shared" ca="1" si="3"/>
        <v>Vencido</v>
      </c>
      <c r="N57" s="112"/>
      <c r="O57" s="67">
        <f t="shared" ca="1" si="0"/>
        <v>1459</v>
      </c>
      <c r="P57" s="67">
        <f t="shared" ca="1" si="4"/>
        <v>-363</v>
      </c>
      <c r="Q57" t="str">
        <f t="shared" si="1"/>
        <v>CN1-02</v>
      </c>
    </row>
    <row r="58" spans="2:17" ht="15" customHeight="1" x14ac:dyDescent="0.35">
      <c r="B58" s="29">
        <v>4</v>
      </c>
      <c r="C58" s="29" t="s">
        <v>16</v>
      </c>
      <c r="D58" s="30">
        <v>3</v>
      </c>
      <c r="E58" s="66" t="s">
        <v>494</v>
      </c>
      <c r="F58" s="66" t="s">
        <v>495</v>
      </c>
      <c r="G58" s="26" t="s">
        <v>13283</v>
      </c>
      <c r="H58" s="29" t="s">
        <v>61</v>
      </c>
      <c r="I58" s="29" t="s">
        <v>61</v>
      </c>
      <c r="J58" s="98">
        <v>45506</v>
      </c>
      <c r="K58" s="98">
        <f t="shared" si="2"/>
        <v>46602</v>
      </c>
      <c r="L58" s="110" t="s">
        <v>62</v>
      </c>
      <c r="M58" s="112" t="str">
        <f t="shared" ca="1" si="3"/>
        <v>Em dia</v>
      </c>
      <c r="N58" s="112"/>
      <c r="O58" s="67">
        <f t="shared" ca="1" si="0"/>
        <v>692</v>
      </c>
      <c r="P58" s="67">
        <f t="shared" ca="1" si="4"/>
        <v>404</v>
      </c>
      <c r="Q58" t="str">
        <f t="shared" si="1"/>
        <v>CN1-03</v>
      </c>
    </row>
    <row r="59" spans="2:17" ht="15" customHeight="1" x14ac:dyDescent="0.35">
      <c r="B59" s="29">
        <v>4</v>
      </c>
      <c r="C59" s="29" t="s">
        <v>16</v>
      </c>
      <c r="D59" s="30">
        <v>4</v>
      </c>
      <c r="E59" s="66" t="s">
        <v>496</v>
      </c>
      <c r="F59" s="66" t="s">
        <v>497</v>
      </c>
      <c r="G59" s="186" t="s">
        <v>13283</v>
      </c>
      <c r="H59" s="29" t="s">
        <v>61</v>
      </c>
      <c r="I59" s="29" t="s">
        <v>61</v>
      </c>
      <c r="J59" s="98">
        <v>46107</v>
      </c>
      <c r="K59" s="98">
        <f t="shared" si="2"/>
        <v>47203</v>
      </c>
      <c r="L59" s="110" t="s">
        <v>62</v>
      </c>
      <c r="M59" s="112" t="str">
        <f t="shared" ca="1" si="3"/>
        <v>Em dia</v>
      </c>
      <c r="N59" s="112"/>
      <c r="O59" s="67">
        <f t="shared" ca="1" si="0"/>
        <v>91</v>
      </c>
      <c r="P59" s="67">
        <f t="shared" ca="1" si="4"/>
        <v>1005</v>
      </c>
      <c r="Q59" t="str">
        <f t="shared" si="1"/>
        <v>CN1-04</v>
      </c>
    </row>
    <row r="60" spans="2:17" ht="15" customHeight="1" x14ac:dyDescent="0.35">
      <c r="B60" s="29">
        <v>4</v>
      </c>
      <c r="C60" s="29" t="s">
        <v>16</v>
      </c>
      <c r="D60" s="30">
        <v>5</v>
      </c>
      <c r="E60" s="66" t="s">
        <v>498</v>
      </c>
      <c r="F60" s="66" t="s">
        <v>499</v>
      </c>
      <c r="G60" s="186" t="s">
        <v>13283</v>
      </c>
      <c r="H60" s="29" t="s">
        <v>61</v>
      </c>
      <c r="I60" s="29" t="s">
        <v>61</v>
      </c>
      <c r="J60" s="98">
        <v>46107</v>
      </c>
      <c r="K60" s="98">
        <f t="shared" si="2"/>
        <v>47203</v>
      </c>
      <c r="L60" s="110" t="s">
        <v>62</v>
      </c>
      <c r="M60" s="112" t="str">
        <f t="shared" ca="1" si="3"/>
        <v>Em dia</v>
      </c>
      <c r="N60" s="112"/>
      <c r="O60" s="67">
        <f t="shared" ca="1" si="0"/>
        <v>91</v>
      </c>
      <c r="P60" s="67">
        <f t="shared" ca="1" si="4"/>
        <v>1005</v>
      </c>
      <c r="Q60" t="str">
        <f t="shared" si="1"/>
        <v>CN1-05</v>
      </c>
    </row>
    <row r="61" spans="2:17" ht="15" customHeight="1" x14ac:dyDescent="0.35">
      <c r="B61" s="29">
        <v>4</v>
      </c>
      <c r="C61" s="29" t="s">
        <v>16</v>
      </c>
      <c r="D61" s="30">
        <v>6</v>
      </c>
      <c r="E61" s="66" t="s">
        <v>500</v>
      </c>
      <c r="F61" s="66" t="s">
        <v>501</v>
      </c>
      <c r="G61" s="186" t="s">
        <v>13283</v>
      </c>
      <c r="H61" s="29" t="s">
        <v>61</v>
      </c>
      <c r="I61" s="29" t="s">
        <v>61</v>
      </c>
      <c r="J61" s="98">
        <v>46107</v>
      </c>
      <c r="K61" s="98">
        <f t="shared" si="2"/>
        <v>47203</v>
      </c>
      <c r="L61" s="110" t="s">
        <v>62</v>
      </c>
      <c r="M61" s="112" t="str">
        <f t="shared" ca="1" si="3"/>
        <v>Em dia</v>
      </c>
      <c r="N61" s="112"/>
      <c r="O61" s="67">
        <f t="shared" ca="1" si="0"/>
        <v>91</v>
      </c>
      <c r="P61" s="67">
        <f t="shared" ca="1" si="4"/>
        <v>1005</v>
      </c>
      <c r="Q61" t="str">
        <f t="shared" si="1"/>
        <v>CN1-06</v>
      </c>
    </row>
    <row r="62" spans="2:17" ht="15" customHeight="1" x14ac:dyDescent="0.35">
      <c r="B62" s="29">
        <v>4</v>
      </c>
      <c r="C62" s="29" t="s">
        <v>16</v>
      </c>
      <c r="D62" s="30">
        <v>7</v>
      </c>
      <c r="E62" s="66" t="s">
        <v>502</v>
      </c>
      <c r="F62" s="66" t="s">
        <v>503</v>
      </c>
      <c r="G62" s="186" t="s">
        <v>13283</v>
      </c>
      <c r="H62" s="29" t="s">
        <v>61</v>
      </c>
      <c r="I62" s="29" t="s">
        <v>61</v>
      </c>
      <c r="J62" s="98">
        <v>45959</v>
      </c>
      <c r="K62" s="98">
        <f t="shared" si="2"/>
        <v>47055</v>
      </c>
      <c r="L62" s="110" t="s">
        <v>62</v>
      </c>
      <c r="M62" s="112" t="str">
        <f t="shared" ca="1" si="3"/>
        <v>Em dia</v>
      </c>
      <c r="N62" s="112"/>
      <c r="O62" s="67">
        <f t="shared" ca="1" si="0"/>
        <v>239</v>
      </c>
      <c r="P62" s="67">
        <f t="shared" ca="1" si="4"/>
        <v>857</v>
      </c>
      <c r="Q62" t="str">
        <f t="shared" si="1"/>
        <v>CN1-07</v>
      </c>
    </row>
    <row r="63" spans="2:17" ht="15" customHeight="1" x14ac:dyDescent="0.35">
      <c r="B63" s="29">
        <v>4</v>
      </c>
      <c r="C63" s="29" t="s">
        <v>16</v>
      </c>
      <c r="D63" s="30">
        <v>8</v>
      </c>
      <c r="E63" s="66" t="s">
        <v>504</v>
      </c>
      <c r="F63" s="66" t="s">
        <v>505</v>
      </c>
      <c r="G63" s="186" t="s">
        <v>13283</v>
      </c>
      <c r="H63" s="29" t="s">
        <v>61</v>
      </c>
      <c r="I63" s="29" t="s">
        <v>61</v>
      </c>
      <c r="J63" s="98">
        <v>45645</v>
      </c>
      <c r="K63" s="98">
        <f t="shared" si="2"/>
        <v>46741</v>
      </c>
      <c r="L63" s="110" t="s">
        <v>62</v>
      </c>
      <c r="M63" s="112" t="str">
        <f t="shared" ca="1" si="3"/>
        <v>Em dia</v>
      </c>
      <c r="N63" s="112"/>
      <c r="O63" s="67">
        <f t="shared" ca="1" si="0"/>
        <v>553</v>
      </c>
      <c r="P63" s="67">
        <f t="shared" ca="1" si="4"/>
        <v>543</v>
      </c>
      <c r="Q63" t="str">
        <f t="shared" si="1"/>
        <v>CN1-08</v>
      </c>
    </row>
    <row r="64" spans="2:17" ht="15" customHeight="1" x14ac:dyDescent="0.35">
      <c r="B64" s="29">
        <v>4</v>
      </c>
      <c r="C64" s="29" t="s">
        <v>16</v>
      </c>
      <c r="D64" s="30">
        <v>9</v>
      </c>
      <c r="E64" s="66" t="s">
        <v>506</v>
      </c>
      <c r="F64" s="66" t="s">
        <v>507</v>
      </c>
      <c r="G64" s="186" t="s">
        <v>13283</v>
      </c>
      <c r="H64" s="29" t="s">
        <v>61</v>
      </c>
      <c r="I64" s="29" t="s">
        <v>61</v>
      </c>
      <c r="J64" s="98">
        <v>45959</v>
      </c>
      <c r="K64" s="98">
        <f t="shared" si="2"/>
        <v>47055</v>
      </c>
      <c r="L64" s="110" t="s">
        <v>62</v>
      </c>
      <c r="M64" s="112" t="str">
        <f t="shared" ca="1" si="3"/>
        <v>Em dia</v>
      </c>
      <c r="N64" s="112"/>
      <c r="O64" s="67">
        <f t="shared" ca="1" si="0"/>
        <v>239</v>
      </c>
      <c r="P64" s="67">
        <f t="shared" ca="1" si="4"/>
        <v>857</v>
      </c>
      <c r="Q64" t="str">
        <f t="shared" si="1"/>
        <v>CN1-09</v>
      </c>
    </row>
    <row r="65" spans="2:17" ht="15" customHeight="1" x14ac:dyDescent="0.35">
      <c r="B65" s="29">
        <v>4</v>
      </c>
      <c r="C65" s="29" t="s">
        <v>16</v>
      </c>
      <c r="D65" s="30">
        <v>10</v>
      </c>
      <c r="E65" s="66" t="s">
        <v>508</v>
      </c>
      <c r="F65" s="66" t="s">
        <v>509</v>
      </c>
      <c r="G65" s="186" t="s">
        <v>13283</v>
      </c>
      <c r="H65" s="29" t="s">
        <v>61</v>
      </c>
      <c r="I65" s="29" t="s">
        <v>61</v>
      </c>
      <c r="J65" s="101">
        <v>45959</v>
      </c>
      <c r="K65" s="98">
        <f t="shared" si="2"/>
        <v>47055</v>
      </c>
      <c r="L65" s="110" t="s">
        <v>62</v>
      </c>
      <c r="M65" s="112" t="str">
        <f t="shared" ca="1" si="3"/>
        <v>Em dia</v>
      </c>
      <c r="N65" s="112"/>
      <c r="O65" s="67">
        <f t="shared" ca="1" si="0"/>
        <v>239</v>
      </c>
      <c r="P65" s="67">
        <f t="shared" ca="1" si="4"/>
        <v>857</v>
      </c>
      <c r="Q65" t="str">
        <f t="shared" si="1"/>
        <v>CN1-10</v>
      </c>
    </row>
    <row r="66" spans="2:17" ht="15" customHeight="1" x14ac:dyDescent="0.35">
      <c r="B66" s="29">
        <v>4</v>
      </c>
      <c r="C66" s="29" t="s">
        <v>16</v>
      </c>
      <c r="D66" s="30">
        <v>11</v>
      </c>
      <c r="E66" s="66" t="s">
        <v>510</v>
      </c>
      <c r="F66" s="66" t="s">
        <v>511</v>
      </c>
      <c r="G66" s="186" t="s">
        <v>13283</v>
      </c>
      <c r="H66" s="29" t="s">
        <v>61</v>
      </c>
      <c r="I66" s="29" t="s">
        <v>61</v>
      </c>
      <c r="J66" s="98">
        <v>46107</v>
      </c>
      <c r="K66" s="98">
        <f t="shared" si="2"/>
        <v>47203</v>
      </c>
      <c r="L66" s="110" t="s">
        <v>62</v>
      </c>
      <c r="M66" s="112" t="str">
        <f t="shared" ca="1" si="3"/>
        <v>Em dia</v>
      </c>
      <c r="N66" s="112"/>
      <c r="O66" s="67">
        <f t="shared" ca="1" si="0"/>
        <v>91</v>
      </c>
      <c r="P66" s="67">
        <f t="shared" ca="1" si="4"/>
        <v>1005</v>
      </c>
      <c r="Q66" t="str">
        <f t="shared" si="1"/>
        <v>CN1-11</v>
      </c>
    </row>
    <row r="67" spans="2:17" ht="15" customHeight="1" x14ac:dyDescent="0.35">
      <c r="B67" s="29">
        <v>4</v>
      </c>
      <c r="C67" s="29" t="s">
        <v>16</v>
      </c>
      <c r="D67" s="30">
        <v>12</v>
      </c>
      <c r="E67" s="66" t="s">
        <v>512</v>
      </c>
      <c r="F67" s="66" t="s">
        <v>513</v>
      </c>
      <c r="G67" s="186" t="s">
        <v>13283</v>
      </c>
      <c r="H67" s="29" t="s">
        <v>61</v>
      </c>
      <c r="I67" s="29" t="s">
        <v>61</v>
      </c>
      <c r="J67" s="98">
        <v>46107</v>
      </c>
      <c r="K67" s="98">
        <f t="shared" si="2"/>
        <v>47203</v>
      </c>
      <c r="L67" s="110" t="s">
        <v>62</v>
      </c>
      <c r="M67" s="112" t="str">
        <f t="shared" ca="1" si="3"/>
        <v>Em dia</v>
      </c>
      <c r="N67" s="112"/>
      <c r="O67" s="67">
        <f t="shared" ca="1" si="0"/>
        <v>91</v>
      </c>
      <c r="P67" s="67">
        <f t="shared" ca="1" si="4"/>
        <v>1005</v>
      </c>
      <c r="Q67" t="str">
        <f t="shared" si="1"/>
        <v>CN1-12</v>
      </c>
    </row>
    <row r="68" spans="2:17" ht="15" customHeight="1" x14ac:dyDescent="0.35">
      <c r="B68" s="29">
        <v>4</v>
      </c>
      <c r="C68" s="29" t="s">
        <v>16</v>
      </c>
      <c r="D68" s="30">
        <v>13</v>
      </c>
      <c r="E68" s="66" t="s">
        <v>514</v>
      </c>
      <c r="F68" s="66" t="s">
        <v>515</v>
      </c>
      <c r="G68" s="186" t="s">
        <v>13283</v>
      </c>
      <c r="H68" s="29" t="s">
        <v>61</v>
      </c>
      <c r="I68" s="29" t="s">
        <v>61</v>
      </c>
      <c r="J68" s="98">
        <v>46107</v>
      </c>
      <c r="K68" s="98">
        <f t="shared" si="2"/>
        <v>47203</v>
      </c>
      <c r="L68" s="110" t="s">
        <v>62</v>
      </c>
      <c r="M68" s="112" t="str">
        <f t="shared" ca="1" si="3"/>
        <v>Em dia</v>
      </c>
      <c r="N68" s="112"/>
      <c r="O68" s="67">
        <f t="shared" ca="1" si="0"/>
        <v>91</v>
      </c>
      <c r="P68" s="67">
        <f t="shared" ca="1" si="4"/>
        <v>1005</v>
      </c>
      <c r="Q68" t="str">
        <f t="shared" si="1"/>
        <v>CN1-13</v>
      </c>
    </row>
    <row r="69" spans="2:17" ht="15" customHeight="1" x14ac:dyDescent="0.35">
      <c r="B69" s="29">
        <v>4</v>
      </c>
      <c r="C69" s="29" t="s">
        <v>16</v>
      </c>
      <c r="D69" s="30">
        <v>14</v>
      </c>
      <c r="E69" s="66" t="s">
        <v>516</v>
      </c>
      <c r="F69" s="66" t="s">
        <v>517</v>
      </c>
      <c r="G69" s="186" t="s">
        <v>13283</v>
      </c>
      <c r="H69" s="29" t="s">
        <v>61</v>
      </c>
      <c r="I69" s="29" t="s">
        <v>61</v>
      </c>
      <c r="J69" s="98">
        <v>45202</v>
      </c>
      <c r="K69" s="98">
        <f t="shared" si="2"/>
        <v>46298</v>
      </c>
      <c r="L69" s="110" t="s">
        <v>62</v>
      </c>
      <c r="M69" s="112" t="str">
        <f t="shared" ca="1" si="3"/>
        <v>Alerta</v>
      </c>
      <c r="N69" s="112"/>
      <c r="O69" s="67">
        <f t="shared" ref="O69:O132" ca="1" si="5">$O$4-J69</f>
        <v>996</v>
      </c>
      <c r="P69" s="67">
        <f t="shared" ca="1" si="4"/>
        <v>100</v>
      </c>
      <c r="Q69" t="str">
        <f t="shared" ref="Q69:Q132" si="6">IF(OR(C69="ARN",C69="SDP"),MID(E69,4,7),MID(E69,4,6))</f>
        <v>CN1-14</v>
      </c>
    </row>
    <row r="70" spans="2:17" ht="15" customHeight="1" x14ac:dyDescent="0.35">
      <c r="B70" s="29">
        <v>4</v>
      </c>
      <c r="C70" s="29" t="s">
        <v>16</v>
      </c>
      <c r="D70" s="30">
        <v>15</v>
      </c>
      <c r="E70" s="66" t="s">
        <v>518</v>
      </c>
      <c r="F70" s="66" t="s">
        <v>519</v>
      </c>
      <c r="G70" s="66" t="s">
        <v>13283</v>
      </c>
      <c r="H70" s="29" t="s">
        <v>61</v>
      </c>
      <c r="I70" s="29" t="s">
        <v>61</v>
      </c>
      <c r="J70" s="98">
        <v>46107</v>
      </c>
      <c r="K70" s="98">
        <f t="shared" ref="K70:K133" si="7">J70+1096</f>
        <v>47203</v>
      </c>
      <c r="L70" s="110" t="s">
        <v>62</v>
      </c>
      <c r="M70" s="112" t="str">
        <f t="shared" ref="M70:M133" ca="1" si="8">IF(O70="","",IF(O70&gt;1095,"Vencido",IF(O70&gt;910,"Alerta",IF(O70&gt;820,"Alerta",IF(O70&gt;730,"Alerta",IF(O70&gt;=0,"Em dia","Vencido"))))))</f>
        <v>Em dia</v>
      </c>
      <c r="N70" s="112"/>
      <c r="O70" s="67">
        <f t="shared" ca="1" si="5"/>
        <v>91</v>
      </c>
      <c r="P70" s="67">
        <f t="shared" ref="P70:P133" ca="1" si="9">K70-$P$3</f>
        <v>1005</v>
      </c>
      <c r="Q70" t="str">
        <f t="shared" si="6"/>
        <v>CN1-15</v>
      </c>
    </row>
    <row r="71" spans="2:17" ht="15" customHeight="1" x14ac:dyDescent="0.35">
      <c r="B71" s="29">
        <v>4</v>
      </c>
      <c r="C71" s="29" t="s">
        <v>16</v>
      </c>
      <c r="D71" s="30">
        <v>17</v>
      </c>
      <c r="E71" s="66" t="s">
        <v>520</v>
      </c>
      <c r="F71" s="66" t="s">
        <v>521</v>
      </c>
      <c r="G71" s="66" t="s">
        <v>13283</v>
      </c>
      <c r="H71" s="29" t="s">
        <v>61</v>
      </c>
      <c r="I71" s="29" t="s">
        <v>61</v>
      </c>
      <c r="J71" s="98">
        <v>45202</v>
      </c>
      <c r="K71" s="98">
        <f t="shared" si="7"/>
        <v>46298</v>
      </c>
      <c r="L71" s="110" t="s">
        <v>62</v>
      </c>
      <c r="M71" s="112" t="str">
        <f t="shared" ca="1" si="8"/>
        <v>Alerta</v>
      </c>
      <c r="N71" s="112"/>
      <c r="O71" s="67">
        <f t="shared" ca="1" si="5"/>
        <v>996</v>
      </c>
      <c r="P71" s="67">
        <f t="shared" ca="1" si="9"/>
        <v>100</v>
      </c>
      <c r="Q71" t="str">
        <f t="shared" si="6"/>
        <v>CN1-17</v>
      </c>
    </row>
    <row r="72" spans="2:17" ht="15" customHeight="1" x14ac:dyDescent="0.35">
      <c r="B72" s="29">
        <v>4</v>
      </c>
      <c r="C72" s="29" t="s">
        <v>16</v>
      </c>
      <c r="D72" s="30">
        <v>18</v>
      </c>
      <c r="E72" s="66" t="s">
        <v>522</v>
      </c>
      <c r="F72" s="66" t="s">
        <v>523</v>
      </c>
      <c r="G72" s="187" t="s">
        <v>13283</v>
      </c>
      <c r="H72" s="29" t="s">
        <v>61</v>
      </c>
      <c r="I72" s="29" t="s">
        <v>61</v>
      </c>
      <c r="J72" s="98">
        <v>45645</v>
      </c>
      <c r="K72" s="98">
        <f t="shared" si="7"/>
        <v>46741</v>
      </c>
      <c r="L72" s="110" t="s">
        <v>62</v>
      </c>
      <c r="M72" s="112" t="str">
        <f t="shared" ca="1" si="8"/>
        <v>Em dia</v>
      </c>
      <c r="N72" s="112"/>
      <c r="O72" s="67">
        <f t="shared" ca="1" si="5"/>
        <v>553</v>
      </c>
      <c r="P72" s="67">
        <f t="shared" ca="1" si="9"/>
        <v>543</v>
      </c>
      <c r="Q72" t="str">
        <f t="shared" si="6"/>
        <v>CN1-18</v>
      </c>
    </row>
    <row r="73" spans="2:17" ht="15" customHeight="1" x14ac:dyDescent="0.35">
      <c r="B73" s="29">
        <v>4</v>
      </c>
      <c r="C73" s="29" t="s">
        <v>16</v>
      </c>
      <c r="D73" s="30">
        <v>19</v>
      </c>
      <c r="E73" s="66" t="s">
        <v>524</v>
      </c>
      <c r="F73" s="66" t="s">
        <v>525</v>
      </c>
      <c r="G73" s="187" t="s">
        <v>13283</v>
      </c>
      <c r="H73" s="29" t="s">
        <v>61</v>
      </c>
      <c r="I73" s="29" t="s">
        <v>61</v>
      </c>
      <c r="J73" s="98">
        <v>45959</v>
      </c>
      <c r="K73" s="98">
        <f t="shared" si="7"/>
        <v>47055</v>
      </c>
      <c r="L73" s="110" t="s">
        <v>62</v>
      </c>
      <c r="M73" s="112" t="str">
        <f t="shared" ca="1" si="8"/>
        <v>Em dia</v>
      </c>
      <c r="N73" s="112"/>
      <c r="O73" s="67">
        <f t="shared" ca="1" si="5"/>
        <v>239</v>
      </c>
      <c r="P73" s="67">
        <f t="shared" ca="1" si="9"/>
        <v>857</v>
      </c>
      <c r="Q73" t="str">
        <f t="shared" si="6"/>
        <v>CN1-19</v>
      </c>
    </row>
    <row r="74" spans="2:17" ht="15" customHeight="1" x14ac:dyDescent="0.35">
      <c r="B74" s="29">
        <v>4</v>
      </c>
      <c r="C74" s="29" t="s">
        <v>16</v>
      </c>
      <c r="D74" s="30">
        <v>20</v>
      </c>
      <c r="E74" s="66" t="s">
        <v>526</v>
      </c>
      <c r="F74" s="66" t="s">
        <v>527</v>
      </c>
      <c r="G74" s="66" t="s">
        <v>13284</v>
      </c>
      <c r="H74" s="29" t="s">
        <v>61</v>
      </c>
      <c r="I74" s="29" t="s">
        <v>61</v>
      </c>
      <c r="J74" s="98">
        <v>44889</v>
      </c>
      <c r="K74" s="98">
        <f t="shared" si="7"/>
        <v>45985</v>
      </c>
      <c r="L74" s="110" t="s">
        <v>62</v>
      </c>
      <c r="M74" s="112" t="str">
        <f t="shared" ca="1" si="8"/>
        <v>Vencido</v>
      </c>
      <c r="N74" s="112"/>
      <c r="O74" s="67">
        <f t="shared" ca="1" si="5"/>
        <v>1309</v>
      </c>
      <c r="P74" s="67">
        <f t="shared" ca="1" si="9"/>
        <v>-213</v>
      </c>
      <c r="Q74" t="str">
        <f t="shared" si="6"/>
        <v>CN1-20</v>
      </c>
    </row>
    <row r="75" spans="2:17" ht="15" customHeight="1" x14ac:dyDescent="0.35">
      <c r="B75" s="29">
        <v>4</v>
      </c>
      <c r="C75" s="29" t="s">
        <v>16</v>
      </c>
      <c r="D75" s="30">
        <v>21</v>
      </c>
      <c r="E75" s="66" t="s">
        <v>528</v>
      </c>
      <c r="F75" s="66" t="s">
        <v>529</v>
      </c>
      <c r="G75" s="187" t="s">
        <v>13283</v>
      </c>
      <c r="H75" s="29" t="s">
        <v>61</v>
      </c>
      <c r="I75" s="29" t="s">
        <v>61</v>
      </c>
      <c r="J75" s="98">
        <v>45645</v>
      </c>
      <c r="K75" s="98">
        <f t="shared" si="7"/>
        <v>46741</v>
      </c>
      <c r="L75" s="110" t="s">
        <v>62</v>
      </c>
      <c r="M75" s="112" t="str">
        <f t="shared" ca="1" si="8"/>
        <v>Em dia</v>
      </c>
      <c r="N75" s="112"/>
      <c r="O75" s="67">
        <f t="shared" ca="1" si="5"/>
        <v>553</v>
      </c>
      <c r="P75" s="67">
        <f t="shared" ca="1" si="9"/>
        <v>543</v>
      </c>
      <c r="Q75" t="str">
        <f t="shared" si="6"/>
        <v>CN1-21</v>
      </c>
    </row>
    <row r="76" spans="2:17" ht="15" customHeight="1" x14ac:dyDescent="0.35">
      <c r="B76" s="29">
        <v>4</v>
      </c>
      <c r="C76" s="29" t="s">
        <v>16</v>
      </c>
      <c r="D76" s="30">
        <v>22</v>
      </c>
      <c r="E76" s="66" t="s">
        <v>530</v>
      </c>
      <c r="F76" s="66" t="s">
        <v>531</v>
      </c>
      <c r="G76" s="66" t="s">
        <v>13284</v>
      </c>
      <c r="H76" s="29" t="s">
        <v>61</v>
      </c>
      <c r="I76" s="29" t="s">
        <v>61</v>
      </c>
      <c r="J76" s="98">
        <v>44739</v>
      </c>
      <c r="K76" s="98">
        <f t="shared" si="7"/>
        <v>45835</v>
      </c>
      <c r="L76" s="110" t="s">
        <v>62</v>
      </c>
      <c r="M76" s="112" t="str">
        <f t="shared" ca="1" si="8"/>
        <v>Vencido</v>
      </c>
      <c r="N76" s="112"/>
      <c r="O76" s="67">
        <f t="shared" ca="1" si="5"/>
        <v>1459</v>
      </c>
      <c r="P76" s="67">
        <f t="shared" ca="1" si="9"/>
        <v>-363</v>
      </c>
      <c r="Q76" t="str">
        <f t="shared" si="6"/>
        <v>CN1-22</v>
      </c>
    </row>
    <row r="77" spans="2:17" ht="15" customHeight="1" x14ac:dyDescent="0.35">
      <c r="B77" s="29">
        <v>4</v>
      </c>
      <c r="C77" s="29" t="s">
        <v>16</v>
      </c>
      <c r="D77" s="30">
        <v>23</v>
      </c>
      <c r="E77" s="66" t="s">
        <v>532</v>
      </c>
      <c r="F77" s="66" t="s">
        <v>533</v>
      </c>
      <c r="G77" s="187" t="s">
        <v>13284</v>
      </c>
      <c r="H77" s="29" t="s">
        <v>61</v>
      </c>
      <c r="I77" s="29" t="s">
        <v>61</v>
      </c>
      <c r="J77" s="98">
        <v>44768</v>
      </c>
      <c r="K77" s="98">
        <f t="shared" si="7"/>
        <v>45864</v>
      </c>
      <c r="L77" s="110" t="s">
        <v>62</v>
      </c>
      <c r="M77" s="112" t="str">
        <f t="shared" ca="1" si="8"/>
        <v>Vencido</v>
      </c>
      <c r="N77" s="112"/>
      <c r="O77" s="67">
        <f t="shared" ca="1" si="5"/>
        <v>1430</v>
      </c>
      <c r="P77" s="67">
        <f t="shared" ca="1" si="9"/>
        <v>-334</v>
      </c>
      <c r="Q77" t="str">
        <f t="shared" si="6"/>
        <v>CN1-23</v>
      </c>
    </row>
    <row r="78" spans="2:17" ht="15" customHeight="1" x14ac:dyDescent="0.35">
      <c r="B78" s="29">
        <v>4</v>
      </c>
      <c r="C78" s="29" t="s">
        <v>16</v>
      </c>
      <c r="D78" s="30">
        <v>24</v>
      </c>
      <c r="E78" s="66" t="s">
        <v>13306</v>
      </c>
      <c r="F78" s="66" t="s">
        <v>13307</v>
      </c>
      <c r="G78" s="187" t="s">
        <v>13284</v>
      </c>
      <c r="H78" s="29" t="s">
        <v>61</v>
      </c>
      <c r="I78" s="29" t="s">
        <v>61</v>
      </c>
      <c r="J78" s="98">
        <v>44739</v>
      </c>
      <c r="K78" s="98">
        <f t="shared" si="7"/>
        <v>45835</v>
      </c>
      <c r="L78" s="110" t="s">
        <v>62</v>
      </c>
      <c r="M78" s="112" t="str">
        <f t="shared" ca="1" si="8"/>
        <v>Vencido</v>
      </c>
      <c r="N78" s="112"/>
      <c r="O78" s="67">
        <f t="shared" ca="1" si="5"/>
        <v>1459</v>
      </c>
      <c r="P78" s="67">
        <f t="shared" ca="1" si="9"/>
        <v>-363</v>
      </c>
      <c r="Q78" t="str">
        <f t="shared" si="6"/>
        <v>CN1-24</v>
      </c>
    </row>
    <row r="79" spans="2:17" ht="15" customHeight="1" x14ac:dyDescent="0.35">
      <c r="B79" s="29">
        <v>4</v>
      </c>
      <c r="C79" s="29" t="s">
        <v>16</v>
      </c>
      <c r="D79" s="30">
        <v>25</v>
      </c>
      <c r="E79" s="66" t="s">
        <v>534</v>
      </c>
      <c r="F79" s="66" t="s">
        <v>535</v>
      </c>
      <c r="G79" s="187" t="s">
        <v>13283</v>
      </c>
      <c r="H79" s="29" t="s">
        <v>61</v>
      </c>
      <c r="I79" s="29" t="s">
        <v>61</v>
      </c>
      <c r="J79" s="98">
        <v>46009</v>
      </c>
      <c r="K79" s="98">
        <f t="shared" si="7"/>
        <v>47105</v>
      </c>
      <c r="L79" s="110" t="s">
        <v>62</v>
      </c>
      <c r="M79" s="112" t="str">
        <f t="shared" ca="1" si="8"/>
        <v>Em dia</v>
      </c>
      <c r="N79" s="112"/>
      <c r="O79" s="67">
        <f t="shared" ca="1" si="5"/>
        <v>189</v>
      </c>
      <c r="P79" s="67">
        <f t="shared" ca="1" si="9"/>
        <v>907</v>
      </c>
      <c r="Q79" t="str">
        <f t="shared" si="6"/>
        <v>CN1-25</v>
      </c>
    </row>
    <row r="80" spans="2:17" ht="15" customHeight="1" x14ac:dyDescent="0.35">
      <c r="B80" s="29">
        <v>4</v>
      </c>
      <c r="C80" s="29" t="s">
        <v>16</v>
      </c>
      <c r="D80" s="30">
        <v>26</v>
      </c>
      <c r="E80" s="66" t="s">
        <v>536</v>
      </c>
      <c r="F80" s="66" t="s">
        <v>537</v>
      </c>
      <c r="G80" s="187" t="s">
        <v>13284</v>
      </c>
      <c r="H80" s="29" t="s">
        <v>61</v>
      </c>
      <c r="I80" s="29" t="s">
        <v>61</v>
      </c>
      <c r="J80" s="98">
        <v>44739</v>
      </c>
      <c r="K80" s="98">
        <f t="shared" si="7"/>
        <v>45835</v>
      </c>
      <c r="L80" s="110" t="s">
        <v>62</v>
      </c>
      <c r="M80" s="112" t="str">
        <f t="shared" ca="1" si="8"/>
        <v>Vencido</v>
      </c>
      <c r="N80" s="112"/>
      <c r="O80" s="67">
        <f t="shared" ca="1" si="5"/>
        <v>1459</v>
      </c>
      <c r="P80" s="67">
        <f t="shared" ca="1" si="9"/>
        <v>-363</v>
      </c>
      <c r="Q80" t="str">
        <f t="shared" si="6"/>
        <v>CN1-26</v>
      </c>
    </row>
    <row r="81" spans="2:17" ht="15" customHeight="1" x14ac:dyDescent="0.35">
      <c r="B81" s="29">
        <v>4</v>
      </c>
      <c r="C81" s="29" t="s">
        <v>16</v>
      </c>
      <c r="D81" s="30">
        <v>27</v>
      </c>
      <c r="E81" s="66" t="s">
        <v>538</v>
      </c>
      <c r="F81" s="66" t="s">
        <v>539</v>
      </c>
      <c r="G81" s="187" t="s">
        <v>13284</v>
      </c>
      <c r="H81" s="29" t="s">
        <v>61</v>
      </c>
      <c r="I81" s="29" t="s">
        <v>61</v>
      </c>
      <c r="J81" s="98">
        <v>44739</v>
      </c>
      <c r="K81" s="98">
        <f t="shared" si="7"/>
        <v>45835</v>
      </c>
      <c r="L81" s="110" t="s">
        <v>62</v>
      </c>
      <c r="M81" s="112" t="str">
        <f t="shared" ca="1" si="8"/>
        <v>Vencido</v>
      </c>
      <c r="N81" s="112"/>
      <c r="O81" s="67">
        <f t="shared" ca="1" si="5"/>
        <v>1459</v>
      </c>
      <c r="P81" s="67">
        <f t="shared" ca="1" si="9"/>
        <v>-363</v>
      </c>
      <c r="Q81" t="str">
        <f t="shared" si="6"/>
        <v>CN1-27</v>
      </c>
    </row>
    <row r="82" spans="2:17" ht="15" customHeight="1" x14ac:dyDescent="0.35">
      <c r="B82" s="29">
        <v>4</v>
      </c>
      <c r="C82" s="29" t="s">
        <v>16</v>
      </c>
      <c r="D82" s="30">
        <v>28</v>
      </c>
      <c r="E82" s="66" t="s">
        <v>540</v>
      </c>
      <c r="F82" s="66" t="s">
        <v>541</v>
      </c>
      <c r="G82" s="187" t="s">
        <v>13284</v>
      </c>
      <c r="H82" s="29" t="s">
        <v>61</v>
      </c>
      <c r="I82" s="29" t="s">
        <v>61</v>
      </c>
      <c r="J82" s="98">
        <v>45202</v>
      </c>
      <c r="K82" s="98">
        <f t="shared" si="7"/>
        <v>46298</v>
      </c>
      <c r="L82" s="110" t="s">
        <v>62</v>
      </c>
      <c r="M82" s="112" t="str">
        <f t="shared" ca="1" si="8"/>
        <v>Alerta</v>
      </c>
      <c r="N82" s="112"/>
      <c r="O82" s="67">
        <f t="shared" ca="1" si="5"/>
        <v>996</v>
      </c>
      <c r="P82" s="67">
        <f t="shared" ca="1" si="9"/>
        <v>100</v>
      </c>
      <c r="Q82" t="str">
        <f t="shared" si="6"/>
        <v>CN1-28</v>
      </c>
    </row>
    <row r="83" spans="2:17" ht="15" customHeight="1" x14ac:dyDescent="0.35">
      <c r="B83" s="29">
        <v>4</v>
      </c>
      <c r="C83" s="29" t="s">
        <v>16</v>
      </c>
      <c r="D83" s="30">
        <v>29</v>
      </c>
      <c r="E83" s="66" t="s">
        <v>542</v>
      </c>
      <c r="F83" s="66" t="s">
        <v>543</v>
      </c>
      <c r="G83" s="187" t="s">
        <v>13284</v>
      </c>
      <c r="H83" s="29" t="s">
        <v>61</v>
      </c>
      <c r="I83" s="29" t="s">
        <v>61</v>
      </c>
      <c r="J83" s="98">
        <v>45202</v>
      </c>
      <c r="K83" s="98">
        <f t="shared" si="7"/>
        <v>46298</v>
      </c>
      <c r="L83" s="110" t="s">
        <v>62</v>
      </c>
      <c r="M83" s="112" t="str">
        <f t="shared" ca="1" si="8"/>
        <v>Alerta</v>
      </c>
      <c r="N83" s="112"/>
      <c r="O83" s="67">
        <f t="shared" ca="1" si="5"/>
        <v>996</v>
      </c>
      <c r="P83" s="67">
        <f t="shared" ca="1" si="9"/>
        <v>100</v>
      </c>
      <c r="Q83" t="str">
        <f t="shared" si="6"/>
        <v>CN1-29</v>
      </c>
    </row>
    <row r="84" spans="2:17" ht="15" customHeight="1" x14ac:dyDescent="0.35">
      <c r="B84" s="29">
        <v>4</v>
      </c>
      <c r="C84" s="29" t="s">
        <v>16</v>
      </c>
      <c r="D84" s="30">
        <v>33</v>
      </c>
      <c r="E84" s="66" t="s">
        <v>544</v>
      </c>
      <c r="F84" s="66" t="s">
        <v>545</v>
      </c>
      <c r="G84" s="187" t="s">
        <v>13284</v>
      </c>
      <c r="H84" s="29" t="s">
        <v>61</v>
      </c>
      <c r="I84" s="29" t="s">
        <v>61</v>
      </c>
      <c r="J84" s="98">
        <v>44739</v>
      </c>
      <c r="K84" s="98">
        <f t="shared" si="7"/>
        <v>45835</v>
      </c>
      <c r="L84" s="110" t="s">
        <v>62</v>
      </c>
      <c r="M84" s="112" t="str">
        <f t="shared" ca="1" si="8"/>
        <v>Vencido</v>
      </c>
      <c r="N84" s="112"/>
      <c r="O84" s="67">
        <f t="shared" ca="1" si="5"/>
        <v>1459</v>
      </c>
      <c r="P84" s="67">
        <f t="shared" ca="1" si="9"/>
        <v>-363</v>
      </c>
      <c r="Q84" t="str">
        <f t="shared" si="6"/>
        <v>CN1-33</v>
      </c>
    </row>
    <row r="85" spans="2:17" ht="15" customHeight="1" x14ac:dyDescent="0.35">
      <c r="B85" s="29">
        <v>4</v>
      </c>
      <c r="C85" s="29" t="s">
        <v>16</v>
      </c>
      <c r="D85" s="30">
        <v>40</v>
      </c>
      <c r="E85" s="66" t="s">
        <v>546</v>
      </c>
      <c r="F85" s="66" t="s">
        <v>547</v>
      </c>
      <c r="G85" s="187" t="s">
        <v>13283</v>
      </c>
      <c r="H85" s="29" t="s">
        <v>61</v>
      </c>
      <c r="I85" s="29"/>
      <c r="J85" s="98">
        <v>45202</v>
      </c>
      <c r="K85" s="98">
        <f t="shared" si="7"/>
        <v>46298</v>
      </c>
      <c r="L85" s="110" t="s">
        <v>62</v>
      </c>
      <c r="M85" s="112" t="str">
        <f t="shared" ca="1" si="8"/>
        <v>Alerta</v>
      </c>
      <c r="N85" s="112"/>
      <c r="O85" s="67">
        <f t="shared" ca="1" si="5"/>
        <v>996</v>
      </c>
      <c r="P85" s="67">
        <f t="shared" ca="1" si="9"/>
        <v>100</v>
      </c>
      <c r="Q85" t="str">
        <f t="shared" si="6"/>
        <v>CN1-40</v>
      </c>
    </row>
    <row r="86" spans="2:17" ht="15" customHeight="1" x14ac:dyDescent="0.35">
      <c r="B86" s="29">
        <v>4</v>
      </c>
      <c r="C86" s="29" t="s">
        <v>16</v>
      </c>
      <c r="D86" s="30">
        <v>41</v>
      </c>
      <c r="E86" s="66" t="s">
        <v>548</v>
      </c>
      <c r="F86" s="66" t="s">
        <v>549</v>
      </c>
      <c r="G86" s="187" t="s">
        <v>13283</v>
      </c>
      <c r="H86" s="29" t="s">
        <v>61</v>
      </c>
      <c r="I86" s="29"/>
      <c r="J86" s="98">
        <v>45202</v>
      </c>
      <c r="K86" s="98">
        <f t="shared" si="7"/>
        <v>46298</v>
      </c>
      <c r="L86" s="110" t="s">
        <v>62</v>
      </c>
      <c r="M86" s="112" t="str">
        <f t="shared" ca="1" si="8"/>
        <v>Alerta</v>
      </c>
      <c r="N86" s="112"/>
      <c r="O86" s="67">
        <f t="shared" ca="1" si="5"/>
        <v>996</v>
      </c>
      <c r="P86" s="67">
        <f t="shared" ca="1" si="9"/>
        <v>100</v>
      </c>
      <c r="Q86" t="str">
        <f t="shared" si="6"/>
        <v>CN1-41</v>
      </c>
    </row>
    <row r="87" spans="2:17" ht="15" customHeight="1" x14ac:dyDescent="0.35">
      <c r="B87" s="29">
        <v>4</v>
      </c>
      <c r="C87" s="29" t="s">
        <v>16</v>
      </c>
      <c r="D87" s="30">
        <v>51</v>
      </c>
      <c r="E87" s="66" t="s">
        <v>550</v>
      </c>
      <c r="F87" s="66" t="s">
        <v>551</v>
      </c>
      <c r="G87" s="187" t="s">
        <v>13283</v>
      </c>
      <c r="H87" s="29" t="s">
        <v>61</v>
      </c>
      <c r="I87" s="29" t="s">
        <v>61</v>
      </c>
      <c r="J87" s="98">
        <v>45959</v>
      </c>
      <c r="K87" s="98">
        <f t="shared" si="7"/>
        <v>47055</v>
      </c>
      <c r="L87" s="110" t="s">
        <v>62</v>
      </c>
      <c r="M87" s="112" t="str">
        <f t="shared" ca="1" si="8"/>
        <v>Em dia</v>
      </c>
      <c r="N87" s="112"/>
      <c r="O87" s="67">
        <f t="shared" ca="1" si="5"/>
        <v>239</v>
      </c>
      <c r="P87" s="67">
        <f t="shared" ca="1" si="9"/>
        <v>857</v>
      </c>
      <c r="Q87" t="str">
        <f t="shared" si="6"/>
        <v>CN1-51</v>
      </c>
    </row>
    <row r="88" spans="2:17" ht="15" customHeight="1" x14ac:dyDescent="0.35">
      <c r="B88" s="29">
        <v>4</v>
      </c>
      <c r="C88" s="29" t="s">
        <v>16</v>
      </c>
      <c r="D88" s="30">
        <v>53</v>
      </c>
      <c r="E88" s="66" t="s">
        <v>552</v>
      </c>
      <c r="F88" s="66" t="s">
        <v>553</v>
      </c>
      <c r="G88" s="187" t="s">
        <v>13283</v>
      </c>
      <c r="H88" s="29" t="s">
        <v>61</v>
      </c>
      <c r="I88" s="29" t="s">
        <v>61</v>
      </c>
      <c r="J88" s="98">
        <v>45743</v>
      </c>
      <c r="K88" s="98">
        <f t="shared" si="7"/>
        <v>46839</v>
      </c>
      <c r="L88" s="110" t="s">
        <v>62</v>
      </c>
      <c r="M88" s="112" t="str">
        <f t="shared" ca="1" si="8"/>
        <v>Em dia</v>
      </c>
      <c r="N88" s="112"/>
      <c r="O88" s="67">
        <f t="shared" ca="1" si="5"/>
        <v>455</v>
      </c>
      <c r="P88" s="67">
        <f t="shared" ca="1" si="9"/>
        <v>641</v>
      </c>
      <c r="Q88" t="str">
        <f t="shared" si="6"/>
        <v>CN1-53</v>
      </c>
    </row>
    <row r="89" spans="2:17" ht="15" customHeight="1" x14ac:dyDescent="0.35">
      <c r="B89" s="29">
        <v>4</v>
      </c>
      <c r="C89" s="29" t="s">
        <v>16</v>
      </c>
      <c r="D89" s="30">
        <v>56</v>
      </c>
      <c r="E89" s="66" t="s">
        <v>13300</v>
      </c>
      <c r="F89" s="66" t="s">
        <v>554</v>
      </c>
      <c r="G89" s="66" t="s">
        <v>13283</v>
      </c>
      <c r="H89" s="29" t="s">
        <v>61</v>
      </c>
      <c r="I89" s="29" t="s">
        <v>61</v>
      </c>
      <c r="J89" s="98">
        <v>46107</v>
      </c>
      <c r="K89" s="98">
        <f t="shared" si="7"/>
        <v>47203</v>
      </c>
      <c r="L89" s="110" t="s">
        <v>62</v>
      </c>
      <c r="M89" s="112" t="str">
        <f t="shared" ca="1" si="8"/>
        <v>Em dia</v>
      </c>
      <c r="N89" s="112"/>
      <c r="O89" s="67">
        <f t="shared" ca="1" si="5"/>
        <v>91</v>
      </c>
      <c r="P89" s="67">
        <f t="shared" ca="1" si="9"/>
        <v>1005</v>
      </c>
      <c r="Q89" t="str">
        <f t="shared" si="6"/>
        <v>CN1-56</v>
      </c>
    </row>
    <row r="90" spans="2:17" ht="15" customHeight="1" x14ac:dyDescent="0.35">
      <c r="B90" s="29">
        <v>4</v>
      </c>
      <c r="C90" s="29" t="s">
        <v>16</v>
      </c>
      <c r="D90" s="30">
        <v>57</v>
      </c>
      <c r="E90" s="66" t="s">
        <v>555</v>
      </c>
      <c r="F90" s="66" t="s">
        <v>556</v>
      </c>
      <c r="G90" s="187" t="s">
        <v>13283</v>
      </c>
      <c r="H90" s="29" t="s">
        <v>61</v>
      </c>
      <c r="I90" s="29" t="s">
        <v>61</v>
      </c>
      <c r="J90" s="98">
        <v>46107</v>
      </c>
      <c r="K90" s="98">
        <f t="shared" si="7"/>
        <v>47203</v>
      </c>
      <c r="L90" s="110" t="s">
        <v>62</v>
      </c>
      <c r="M90" s="112" t="str">
        <f t="shared" ca="1" si="8"/>
        <v>Em dia</v>
      </c>
      <c r="N90" s="112"/>
      <c r="O90" s="67">
        <f t="shared" ca="1" si="5"/>
        <v>91</v>
      </c>
      <c r="P90" s="67">
        <f t="shared" ca="1" si="9"/>
        <v>1005</v>
      </c>
      <c r="Q90" t="str">
        <f t="shared" si="6"/>
        <v>CN1-57</v>
      </c>
    </row>
    <row r="91" spans="2:17" ht="15" customHeight="1" x14ac:dyDescent="0.35">
      <c r="B91" s="29">
        <v>4</v>
      </c>
      <c r="C91" s="29" t="s">
        <v>16</v>
      </c>
      <c r="D91" s="30">
        <v>58</v>
      </c>
      <c r="E91" s="66" t="s">
        <v>557</v>
      </c>
      <c r="F91" s="66" t="s">
        <v>558</v>
      </c>
      <c r="G91" s="66" t="s">
        <v>13284</v>
      </c>
      <c r="H91" s="29" t="s">
        <v>61</v>
      </c>
      <c r="I91" s="29" t="s">
        <v>61</v>
      </c>
      <c r="J91" s="98">
        <v>44739</v>
      </c>
      <c r="K91" s="98">
        <f t="shared" si="7"/>
        <v>45835</v>
      </c>
      <c r="L91" s="110" t="s">
        <v>62</v>
      </c>
      <c r="M91" s="112" t="str">
        <f t="shared" ca="1" si="8"/>
        <v>Vencido</v>
      </c>
      <c r="N91" s="112"/>
      <c r="O91" s="67">
        <f t="shared" ca="1" si="5"/>
        <v>1459</v>
      </c>
      <c r="P91" s="67">
        <f t="shared" ca="1" si="9"/>
        <v>-363</v>
      </c>
      <c r="Q91" t="str">
        <f t="shared" si="6"/>
        <v>CN1-58</v>
      </c>
    </row>
    <row r="92" spans="2:17" ht="15" customHeight="1" x14ac:dyDescent="0.35">
      <c r="B92" s="29">
        <v>4</v>
      </c>
      <c r="C92" s="29" t="s">
        <v>16</v>
      </c>
      <c r="D92" s="30">
        <v>59</v>
      </c>
      <c r="E92" s="66" t="s">
        <v>559</v>
      </c>
      <c r="F92" s="66" t="s">
        <v>560</v>
      </c>
      <c r="G92" s="187" t="s">
        <v>13283</v>
      </c>
      <c r="H92" s="29" t="s">
        <v>61</v>
      </c>
      <c r="I92" s="29" t="s">
        <v>61</v>
      </c>
      <c r="J92" s="98">
        <v>45462</v>
      </c>
      <c r="K92" s="98">
        <f t="shared" si="7"/>
        <v>46558</v>
      </c>
      <c r="L92" s="110" t="s">
        <v>62</v>
      </c>
      <c r="M92" s="112" t="str">
        <f t="shared" ca="1" si="8"/>
        <v>Alerta</v>
      </c>
      <c r="N92" s="112"/>
      <c r="O92" s="67">
        <f t="shared" ca="1" si="5"/>
        <v>736</v>
      </c>
      <c r="P92" s="67">
        <f t="shared" ca="1" si="9"/>
        <v>360</v>
      </c>
      <c r="Q92" t="str">
        <f t="shared" si="6"/>
        <v>CN1-59</v>
      </c>
    </row>
    <row r="93" spans="2:17" ht="15" customHeight="1" x14ac:dyDescent="0.35">
      <c r="B93" s="29">
        <v>4</v>
      </c>
      <c r="C93" s="29" t="s">
        <v>16</v>
      </c>
      <c r="D93" s="30">
        <v>60</v>
      </c>
      <c r="E93" s="66" t="s">
        <v>561</v>
      </c>
      <c r="F93" s="66" t="s">
        <v>562</v>
      </c>
      <c r="G93" s="187" t="s">
        <v>13284</v>
      </c>
      <c r="H93" s="29" t="s">
        <v>61</v>
      </c>
      <c r="I93" s="29" t="s">
        <v>61</v>
      </c>
      <c r="J93" s="98">
        <v>44819</v>
      </c>
      <c r="K93" s="98">
        <f t="shared" si="7"/>
        <v>45915</v>
      </c>
      <c r="L93" s="110" t="s">
        <v>62</v>
      </c>
      <c r="M93" s="112" t="str">
        <f t="shared" ca="1" si="8"/>
        <v>Vencido</v>
      </c>
      <c r="N93" s="112"/>
      <c r="O93" s="67">
        <f t="shared" ca="1" si="5"/>
        <v>1379</v>
      </c>
      <c r="P93" s="67">
        <f t="shared" ca="1" si="9"/>
        <v>-283</v>
      </c>
      <c r="Q93" t="str">
        <f t="shared" si="6"/>
        <v>CN1-60</v>
      </c>
    </row>
    <row r="94" spans="2:17" ht="15" customHeight="1" x14ac:dyDescent="0.35">
      <c r="B94" s="29">
        <v>4</v>
      </c>
      <c r="C94" s="29" t="s">
        <v>16</v>
      </c>
      <c r="D94" s="30">
        <v>61</v>
      </c>
      <c r="E94" s="66" t="s">
        <v>563</v>
      </c>
      <c r="F94" s="66" t="s">
        <v>564</v>
      </c>
      <c r="G94" s="187" t="s">
        <v>13284</v>
      </c>
      <c r="H94" s="29" t="s">
        <v>61</v>
      </c>
      <c r="I94" s="29" t="s">
        <v>61</v>
      </c>
      <c r="J94" s="98">
        <v>44926</v>
      </c>
      <c r="K94" s="98">
        <f t="shared" si="7"/>
        <v>46022</v>
      </c>
      <c r="L94" s="110" t="s">
        <v>62</v>
      </c>
      <c r="M94" s="112" t="str">
        <f t="shared" ca="1" si="8"/>
        <v>Vencido</v>
      </c>
      <c r="N94" s="112"/>
      <c r="O94" s="67">
        <f t="shared" ca="1" si="5"/>
        <v>1272</v>
      </c>
      <c r="P94" s="67">
        <f t="shared" ca="1" si="9"/>
        <v>-176</v>
      </c>
      <c r="Q94" t="str">
        <f t="shared" si="6"/>
        <v>CN1-61</v>
      </c>
    </row>
    <row r="95" spans="2:17" ht="15" customHeight="1" x14ac:dyDescent="0.35">
      <c r="B95" s="29">
        <v>4</v>
      </c>
      <c r="C95" s="29" t="s">
        <v>16</v>
      </c>
      <c r="D95" s="30">
        <v>62</v>
      </c>
      <c r="E95" s="66" t="s">
        <v>565</v>
      </c>
      <c r="F95" s="66" t="s">
        <v>566</v>
      </c>
      <c r="G95" s="193" t="s">
        <v>13284</v>
      </c>
      <c r="H95" s="29" t="s">
        <v>61</v>
      </c>
      <c r="I95" s="29" t="s">
        <v>61</v>
      </c>
      <c r="J95" s="98">
        <v>44926</v>
      </c>
      <c r="K95" s="98">
        <f t="shared" si="7"/>
        <v>46022</v>
      </c>
      <c r="L95" s="110" t="s">
        <v>62</v>
      </c>
      <c r="M95" s="112" t="str">
        <f t="shared" ca="1" si="8"/>
        <v>Vencido</v>
      </c>
      <c r="N95" s="112"/>
      <c r="O95" s="67">
        <f t="shared" ca="1" si="5"/>
        <v>1272</v>
      </c>
      <c r="P95" s="67">
        <f t="shared" ca="1" si="9"/>
        <v>-176</v>
      </c>
      <c r="Q95" t="str">
        <f t="shared" si="6"/>
        <v>CN1-62</v>
      </c>
    </row>
    <row r="96" spans="2:17" ht="15" customHeight="1" x14ac:dyDescent="0.35">
      <c r="B96" s="29">
        <v>4</v>
      </c>
      <c r="C96" s="29" t="s">
        <v>16</v>
      </c>
      <c r="D96" s="30">
        <v>65</v>
      </c>
      <c r="E96" s="66" t="s">
        <v>567</v>
      </c>
      <c r="F96" s="66" t="s">
        <v>568</v>
      </c>
      <c r="G96" s="187" t="s">
        <v>13284</v>
      </c>
      <c r="H96" s="29" t="s">
        <v>61</v>
      </c>
      <c r="I96" s="29" t="s">
        <v>61</v>
      </c>
      <c r="J96" s="98">
        <v>45202</v>
      </c>
      <c r="K96" s="98">
        <f t="shared" si="7"/>
        <v>46298</v>
      </c>
      <c r="L96" s="110" t="s">
        <v>62</v>
      </c>
      <c r="M96" s="112" t="str">
        <f t="shared" ca="1" si="8"/>
        <v>Alerta</v>
      </c>
      <c r="N96" s="112"/>
      <c r="O96" s="67">
        <f t="shared" ca="1" si="5"/>
        <v>996</v>
      </c>
      <c r="P96" s="67">
        <f t="shared" ca="1" si="9"/>
        <v>100</v>
      </c>
      <c r="Q96" t="str">
        <f t="shared" si="6"/>
        <v>CN1-65</v>
      </c>
    </row>
    <row r="97" spans="2:17" ht="15" customHeight="1" x14ac:dyDescent="0.35">
      <c r="B97" s="29">
        <v>4</v>
      </c>
      <c r="C97" s="29" t="s">
        <v>16</v>
      </c>
      <c r="D97" s="30">
        <v>65</v>
      </c>
      <c r="E97" s="66" t="s">
        <v>569</v>
      </c>
      <c r="F97" s="66" t="s">
        <v>570</v>
      </c>
      <c r="G97" s="187" t="s">
        <v>13284</v>
      </c>
      <c r="H97" s="29" t="s">
        <v>61</v>
      </c>
      <c r="I97" s="29" t="s">
        <v>61</v>
      </c>
      <c r="J97" s="98">
        <v>45202</v>
      </c>
      <c r="K97" s="98">
        <f t="shared" si="7"/>
        <v>46298</v>
      </c>
      <c r="L97" s="110" t="s">
        <v>62</v>
      </c>
      <c r="M97" s="112" t="str">
        <f t="shared" ca="1" si="8"/>
        <v>Alerta</v>
      </c>
      <c r="N97" s="112"/>
      <c r="O97" s="67">
        <f t="shared" ca="1" si="5"/>
        <v>996</v>
      </c>
      <c r="P97" s="67">
        <f t="shared" ca="1" si="9"/>
        <v>100</v>
      </c>
      <c r="Q97" t="str">
        <f t="shared" si="6"/>
        <v>CN1-65</v>
      </c>
    </row>
    <row r="98" spans="2:17" ht="15" customHeight="1" x14ac:dyDescent="0.35">
      <c r="B98" s="29">
        <v>4</v>
      </c>
      <c r="C98" s="29" t="s">
        <v>16</v>
      </c>
      <c r="D98" s="30">
        <v>71</v>
      </c>
      <c r="E98" s="66" t="s">
        <v>571</v>
      </c>
      <c r="F98" s="66" t="s">
        <v>572</v>
      </c>
      <c r="G98" s="26" t="s">
        <v>13282</v>
      </c>
      <c r="H98" s="29" t="s">
        <v>61</v>
      </c>
      <c r="I98" s="29" t="s">
        <v>61</v>
      </c>
      <c r="J98" s="98">
        <v>45202</v>
      </c>
      <c r="K98" s="98">
        <f t="shared" si="7"/>
        <v>46298</v>
      </c>
      <c r="L98" s="110" t="s">
        <v>62</v>
      </c>
      <c r="M98" s="112" t="str">
        <f t="shared" ca="1" si="8"/>
        <v>Alerta</v>
      </c>
      <c r="N98" s="112"/>
      <c r="O98" s="67">
        <f t="shared" ca="1" si="5"/>
        <v>996</v>
      </c>
      <c r="P98" s="67">
        <f t="shared" ca="1" si="9"/>
        <v>100</v>
      </c>
      <c r="Q98" t="str">
        <f t="shared" si="6"/>
        <v>CN1-71</v>
      </c>
    </row>
    <row r="99" spans="2:17" ht="15" customHeight="1" x14ac:dyDescent="0.35">
      <c r="B99" s="29">
        <v>4</v>
      </c>
      <c r="C99" s="29" t="s">
        <v>16</v>
      </c>
      <c r="D99" s="30">
        <v>30</v>
      </c>
      <c r="E99" s="66" t="s">
        <v>573</v>
      </c>
      <c r="F99" s="66" t="s">
        <v>574</v>
      </c>
      <c r="G99" s="187" t="s">
        <v>13284</v>
      </c>
      <c r="H99" s="29" t="s">
        <v>61</v>
      </c>
      <c r="I99" s="29" t="s">
        <v>61</v>
      </c>
      <c r="J99" s="98">
        <v>44838</v>
      </c>
      <c r="K99" s="98">
        <f t="shared" si="7"/>
        <v>45934</v>
      </c>
      <c r="L99" s="110" t="s">
        <v>62</v>
      </c>
      <c r="M99" s="112" t="str">
        <f t="shared" ca="1" si="8"/>
        <v>Vencido</v>
      </c>
      <c r="N99" s="112"/>
      <c r="O99" s="67">
        <f t="shared" ca="1" si="5"/>
        <v>1360</v>
      </c>
      <c r="P99" s="67">
        <f t="shared" ca="1" si="9"/>
        <v>-264</v>
      </c>
      <c r="Q99" t="str">
        <f t="shared" si="6"/>
        <v>CN1-30</v>
      </c>
    </row>
    <row r="100" spans="2:17" ht="15" customHeight="1" x14ac:dyDescent="0.35">
      <c r="B100" s="29">
        <v>4</v>
      </c>
      <c r="C100" s="29" t="s">
        <v>16</v>
      </c>
      <c r="D100" s="30">
        <v>31</v>
      </c>
      <c r="E100" s="66" t="s">
        <v>575</v>
      </c>
      <c r="F100" s="66" t="s">
        <v>576</v>
      </c>
      <c r="G100" s="187" t="s">
        <v>13284</v>
      </c>
      <c r="H100" s="29" t="s">
        <v>61</v>
      </c>
      <c r="I100" s="29" t="s">
        <v>61</v>
      </c>
      <c r="J100" s="98">
        <v>44838</v>
      </c>
      <c r="K100" s="98">
        <f t="shared" si="7"/>
        <v>45934</v>
      </c>
      <c r="L100" s="110" t="s">
        <v>62</v>
      </c>
      <c r="M100" s="112" t="str">
        <f t="shared" ca="1" si="8"/>
        <v>Vencido</v>
      </c>
      <c r="N100" s="112"/>
      <c r="O100" s="67">
        <f t="shared" ca="1" si="5"/>
        <v>1360</v>
      </c>
      <c r="P100" s="67">
        <f t="shared" ca="1" si="9"/>
        <v>-264</v>
      </c>
      <c r="Q100" t="str">
        <f t="shared" si="6"/>
        <v>CN1-31</v>
      </c>
    </row>
    <row r="101" spans="2:17" ht="15" customHeight="1" x14ac:dyDescent="0.35">
      <c r="B101" s="29">
        <v>4</v>
      </c>
      <c r="C101" s="29" t="s">
        <v>16</v>
      </c>
      <c r="D101" s="30">
        <v>34</v>
      </c>
      <c r="E101" s="66" t="s">
        <v>577</v>
      </c>
      <c r="F101" s="66" t="s">
        <v>578</v>
      </c>
      <c r="G101" s="187" t="s">
        <v>13284</v>
      </c>
      <c r="H101" s="29" t="s">
        <v>61</v>
      </c>
      <c r="I101" s="29" t="s">
        <v>61</v>
      </c>
      <c r="J101" s="98">
        <v>45202</v>
      </c>
      <c r="K101" s="98">
        <f t="shared" si="7"/>
        <v>46298</v>
      </c>
      <c r="L101" s="110" t="s">
        <v>62</v>
      </c>
      <c r="M101" s="112" t="str">
        <f t="shared" ca="1" si="8"/>
        <v>Alerta</v>
      </c>
      <c r="N101" s="112"/>
      <c r="O101" s="67">
        <f t="shared" ca="1" si="5"/>
        <v>996</v>
      </c>
      <c r="P101" s="67">
        <f t="shared" ca="1" si="9"/>
        <v>100</v>
      </c>
      <c r="Q101" t="str">
        <f t="shared" si="6"/>
        <v>CN1-34</v>
      </c>
    </row>
    <row r="102" spans="2:17" ht="15" customHeight="1" x14ac:dyDescent="0.35">
      <c r="B102" s="29">
        <v>4</v>
      </c>
      <c r="C102" s="29" t="s">
        <v>16</v>
      </c>
      <c r="D102" s="30">
        <v>63</v>
      </c>
      <c r="E102" s="66" t="s">
        <v>579</v>
      </c>
      <c r="F102" s="66" t="s">
        <v>580</v>
      </c>
      <c r="G102" s="193" t="s">
        <v>13308</v>
      </c>
      <c r="H102" s="29" t="s">
        <v>61</v>
      </c>
      <c r="I102" s="29" t="s">
        <v>61</v>
      </c>
      <c r="J102" s="98">
        <v>44838</v>
      </c>
      <c r="K102" s="98">
        <f t="shared" si="7"/>
        <v>45934</v>
      </c>
      <c r="L102" s="110" t="s">
        <v>62</v>
      </c>
      <c r="M102" s="112" t="str">
        <f t="shared" ca="1" si="8"/>
        <v>Vencido</v>
      </c>
      <c r="N102" s="112"/>
      <c r="O102" s="67">
        <f t="shared" ca="1" si="5"/>
        <v>1360</v>
      </c>
      <c r="P102" s="67">
        <f t="shared" ca="1" si="9"/>
        <v>-264</v>
      </c>
      <c r="Q102" t="str">
        <f t="shared" si="6"/>
        <v>CN1-63</v>
      </c>
    </row>
    <row r="103" spans="2:17" ht="15" customHeight="1" x14ac:dyDescent="0.35">
      <c r="B103" s="29">
        <v>4</v>
      </c>
      <c r="C103" s="29" t="s">
        <v>16</v>
      </c>
      <c r="D103" s="29">
        <v>86</v>
      </c>
      <c r="E103" s="66" t="s">
        <v>582</v>
      </c>
      <c r="F103" s="66" t="s">
        <v>583</v>
      </c>
      <c r="G103" s="187" t="s">
        <v>13284</v>
      </c>
      <c r="H103" s="29" t="s">
        <v>61</v>
      </c>
      <c r="I103" s="29"/>
      <c r="J103" s="98">
        <v>45274</v>
      </c>
      <c r="K103" s="98">
        <f t="shared" si="7"/>
        <v>46370</v>
      </c>
      <c r="L103" s="110" t="s">
        <v>62</v>
      </c>
      <c r="M103" s="112" t="str">
        <f t="shared" ca="1" si="8"/>
        <v>Alerta</v>
      </c>
      <c r="N103" s="112"/>
      <c r="O103" s="67">
        <f t="shared" ca="1" si="5"/>
        <v>924</v>
      </c>
      <c r="P103" s="67">
        <f t="shared" ca="1" si="9"/>
        <v>172</v>
      </c>
      <c r="Q103" t="str">
        <f t="shared" si="6"/>
        <v>CN1-86</v>
      </c>
    </row>
    <row r="104" spans="2:17" ht="15" customHeight="1" x14ac:dyDescent="0.35">
      <c r="B104" s="29">
        <v>5</v>
      </c>
      <c r="C104" s="29" t="s">
        <v>17</v>
      </c>
      <c r="D104" s="30">
        <v>0</v>
      </c>
      <c r="E104" s="66" t="s">
        <v>584</v>
      </c>
      <c r="F104" s="65" t="s">
        <v>585</v>
      </c>
      <c r="G104" s="26" t="s">
        <v>13301</v>
      </c>
      <c r="H104" s="29" t="s">
        <v>61</v>
      </c>
      <c r="I104" s="29"/>
      <c r="J104" s="98">
        <v>45202</v>
      </c>
      <c r="K104" s="98">
        <f t="shared" si="7"/>
        <v>46298</v>
      </c>
      <c r="L104" s="110" t="s">
        <v>62</v>
      </c>
      <c r="M104" s="112" t="str">
        <f t="shared" ca="1" si="8"/>
        <v>Alerta</v>
      </c>
      <c r="N104" s="112"/>
      <c r="O104" s="67">
        <f t="shared" ca="1" si="5"/>
        <v>996</v>
      </c>
      <c r="P104" s="67">
        <f t="shared" ca="1" si="9"/>
        <v>100</v>
      </c>
      <c r="Q104" t="str">
        <f t="shared" si="6"/>
        <v>CN2-00</v>
      </c>
    </row>
    <row r="105" spans="2:17" ht="15" customHeight="1" x14ac:dyDescent="0.35">
      <c r="B105" s="29">
        <v>5</v>
      </c>
      <c r="C105" s="29" t="s">
        <v>17</v>
      </c>
      <c r="D105" s="30">
        <v>1</v>
      </c>
      <c r="E105" s="66" t="s">
        <v>586</v>
      </c>
      <c r="F105" s="66" t="s">
        <v>587</v>
      </c>
      <c r="G105" s="187" t="s">
        <v>13284</v>
      </c>
      <c r="H105" s="29" t="s">
        <v>61</v>
      </c>
      <c r="I105" s="29" t="s">
        <v>61</v>
      </c>
      <c r="J105" s="98">
        <v>44739</v>
      </c>
      <c r="K105" s="98">
        <f t="shared" si="7"/>
        <v>45835</v>
      </c>
      <c r="L105" s="110" t="s">
        <v>62</v>
      </c>
      <c r="M105" s="112" t="str">
        <f t="shared" ca="1" si="8"/>
        <v>Vencido</v>
      </c>
      <c r="N105" s="112"/>
      <c r="O105" s="67">
        <f t="shared" ca="1" si="5"/>
        <v>1459</v>
      </c>
      <c r="P105" s="67">
        <f t="shared" ca="1" si="9"/>
        <v>-363</v>
      </c>
      <c r="Q105" t="str">
        <f t="shared" si="6"/>
        <v>CN2-01</v>
      </c>
    </row>
    <row r="106" spans="2:17" ht="15" customHeight="1" x14ac:dyDescent="0.35">
      <c r="B106" s="29">
        <v>5</v>
      </c>
      <c r="C106" s="29" t="s">
        <v>17</v>
      </c>
      <c r="D106" s="30">
        <v>2</v>
      </c>
      <c r="E106" s="66" t="s">
        <v>588</v>
      </c>
      <c r="F106" s="66" t="s">
        <v>589</v>
      </c>
      <c r="G106" s="26" t="s">
        <v>13284</v>
      </c>
      <c r="H106" s="29" t="s">
        <v>61</v>
      </c>
      <c r="I106" s="29" t="s">
        <v>61</v>
      </c>
      <c r="J106" s="98">
        <v>44739</v>
      </c>
      <c r="K106" s="98">
        <f t="shared" si="7"/>
        <v>45835</v>
      </c>
      <c r="L106" s="110" t="s">
        <v>62</v>
      </c>
      <c r="M106" s="112" t="str">
        <f t="shared" ca="1" si="8"/>
        <v>Vencido</v>
      </c>
      <c r="N106" s="112"/>
      <c r="O106" s="67">
        <f t="shared" ca="1" si="5"/>
        <v>1459</v>
      </c>
      <c r="P106" s="67">
        <f t="shared" ca="1" si="9"/>
        <v>-363</v>
      </c>
      <c r="Q106" t="str">
        <f t="shared" si="6"/>
        <v>CN2-02</v>
      </c>
    </row>
    <row r="107" spans="2:17" ht="15" customHeight="1" x14ac:dyDescent="0.35">
      <c r="B107" s="29">
        <v>5</v>
      </c>
      <c r="C107" s="29" t="s">
        <v>17</v>
      </c>
      <c r="D107" s="30">
        <v>3</v>
      </c>
      <c r="E107" s="66" t="s">
        <v>590</v>
      </c>
      <c r="F107" s="66" t="s">
        <v>591</v>
      </c>
      <c r="G107" s="26" t="s">
        <v>13283</v>
      </c>
      <c r="H107" s="29" t="s">
        <v>61</v>
      </c>
      <c r="I107" s="29" t="s">
        <v>61</v>
      </c>
      <c r="J107" s="98">
        <v>45506</v>
      </c>
      <c r="K107" s="98">
        <f t="shared" si="7"/>
        <v>46602</v>
      </c>
      <c r="L107" s="110" t="s">
        <v>62</v>
      </c>
      <c r="M107" s="112" t="str">
        <f t="shared" ca="1" si="8"/>
        <v>Em dia</v>
      </c>
      <c r="N107" s="112"/>
      <c r="O107" s="67">
        <f t="shared" ca="1" si="5"/>
        <v>692</v>
      </c>
      <c r="P107" s="67">
        <f t="shared" ca="1" si="9"/>
        <v>404</v>
      </c>
      <c r="Q107" t="str">
        <f t="shared" si="6"/>
        <v>CN2-03</v>
      </c>
    </row>
    <row r="108" spans="2:17" ht="15" customHeight="1" x14ac:dyDescent="0.35">
      <c r="B108" s="29">
        <v>5</v>
      </c>
      <c r="C108" s="29" t="s">
        <v>17</v>
      </c>
      <c r="D108" s="30">
        <v>4</v>
      </c>
      <c r="E108" s="66" t="s">
        <v>592</v>
      </c>
      <c r="F108" s="66" t="s">
        <v>593</v>
      </c>
      <c r="G108" s="186" t="s">
        <v>13283</v>
      </c>
      <c r="H108" s="29" t="s">
        <v>61</v>
      </c>
      <c r="I108" s="29" t="s">
        <v>61</v>
      </c>
      <c r="J108" s="98">
        <v>46107</v>
      </c>
      <c r="K108" s="98">
        <f t="shared" si="7"/>
        <v>47203</v>
      </c>
      <c r="L108" s="110" t="s">
        <v>62</v>
      </c>
      <c r="M108" s="112" t="str">
        <f t="shared" ca="1" si="8"/>
        <v>Em dia</v>
      </c>
      <c r="N108" s="112"/>
      <c r="O108" s="67">
        <f t="shared" ca="1" si="5"/>
        <v>91</v>
      </c>
      <c r="P108" s="67">
        <f t="shared" ca="1" si="9"/>
        <v>1005</v>
      </c>
      <c r="Q108" t="str">
        <f t="shared" si="6"/>
        <v>CN2-04</v>
      </c>
    </row>
    <row r="109" spans="2:17" ht="15" customHeight="1" x14ac:dyDescent="0.35">
      <c r="B109" s="29">
        <v>5</v>
      </c>
      <c r="C109" s="29" t="s">
        <v>17</v>
      </c>
      <c r="D109" s="30">
        <v>5</v>
      </c>
      <c r="E109" s="66" t="s">
        <v>594</v>
      </c>
      <c r="F109" s="66" t="s">
        <v>595</v>
      </c>
      <c r="G109" s="186" t="s">
        <v>13283</v>
      </c>
      <c r="H109" s="29" t="s">
        <v>61</v>
      </c>
      <c r="I109" s="29" t="s">
        <v>61</v>
      </c>
      <c r="J109" s="98">
        <v>46107</v>
      </c>
      <c r="K109" s="98">
        <f t="shared" si="7"/>
        <v>47203</v>
      </c>
      <c r="L109" s="110" t="s">
        <v>62</v>
      </c>
      <c r="M109" s="112" t="str">
        <f t="shared" ca="1" si="8"/>
        <v>Em dia</v>
      </c>
      <c r="N109" s="112"/>
      <c r="O109" s="67">
        <f t="shared" ca="1" si="5"/>
        <v>91</v>
      </c>
      <c r="P109" s="67">
        <f t="shared" ca="1" si="9"/>
        <v>1005</v>
      </c>
      <c r="Q109" t="str">
        <f t="shared" si="6"/>
        <v>CN2-05</v>
      </c>
    </row>
    <row r="110" spans="2:17" ht="15" customHeight="1" x14ac:dyDescent="0.35">
      <c r="B110" s="29">
        <v>5</v>
      </c>
      <c r="C110" s="29" t="s">
        <v>17</v>
      </c>
      <c r="D110" s="30">
        <v>6</v>
      </c>
      <c r="E110" s="66" t="s">
        <v>596</v>
      </c>
      <c r="F110" s="66" t="s">
        <v>597</v>
      </c>
      <c r="G110" s="186" t="s">
        <v>13283</v>
      </c>
      <c r="H110" s="29" t="s">
        <v>61</v>
      </c>
      <c r="I110" s="29" t="s">
        <v>61</v>
      </c>
      <c r="J110" s="98">
        <v>46107</v>
      </c>
      <c r="K110" s="98">
        <f t="shared" si="7"/>
        <v>47203</v>
      </c>
      <c r="L110" s="110" t="s">
        <v>62</v>
      </c>
      <c r="M110" s="112" t="str">
        <f t="shared" ca="1" si="8"/>
        <v>Em dia</v>
      </c>
      <c r="N110" s="112"/>
      <c r="O110" s="67">
        <f t="shared" ca="1" si="5"/>
        <v>91</v>
      </c>
      <c r="P110" s="67">
        <f t="shared" ca="1" si="9"/>
        <v>1005</v>
      </c>
      <c r="Q110" t="str">
        <f t="shared" si="6"/>
        <v>CN2-06</v>
      </c>
    </row>
    <row r="111" spans="2:17" ht="15" customHeight="1" x14ac:dyDescent="0.35">
      <c r="B111" s="29">
        <v>5</v>
      </c>
      <c r="C111" s="29" t="s">
        <v>17</v>
      </c>
      <c r="D111" s="30">
        <v>7</v>
      </c>
      <c r="E111" s="66" t="s">
        <v>598</v>
      </c>
      <c r="F111" s="66" t="s">
        <v>599</v>
      </c>
      <c r="G111" s="186" t="s">
        <v>13283</v>
      </c>
      <c r="H111" s="29" t="s">
        <v>61</v>
      </c>
      <c r="I111" s="29" t="s">
        <v>61</v>
      </c>
      <c r="J111" s="98">
        <v>45959</v>
      </c>
      <c r="K111" s="98">
        <f t="shared" si="7"/>
        <v>47055</v>
      </c>
      <c r="L111" s="110" t="s">
        <v>62</v>
      </c>
      <c r="M111" s="112" t="str">
        <f t="shared" ca="1" si="8"/>
        <v>Em dia</v>
      </c>
      <c r="N111" s="112"/>
      <c r="O111" s="67">
        <f t="shared" ca="1" si="5"/>
        <v>239</v>
      </c>
      <c r="P111" s="67">
        <f t="shared" ca="1" si="9"/>
        <v>857</v>
      </c>
      <c r="Q111" t="str">
        <f t="shared" si="6"/>
        <v>CN2-07</v>
      </c>
    </row>
    <row r="112" spans="2:17" ht="15" customHeight="1" x14ac:dyDescent="0.35">
      <c r="B112" s="29">
        <v>5</v>
      </c>
      <c r="C112" s="29" t="s">
        <v>17</v>
      </c>
      <c r="D112" s="30">
        <v>8</v>
      </c>
      <c r="E112" s="66" t="s">
        <v>600</v>
      </c>
      <c r="F112" s="66" t="s">
        <v>601</v>
      </c>
      <c r="G112" s="186" t="s">
        <v>13283</v>
      </c>
      <c r="H112" s="29" t="s">
        <v>61</v>
      </c>
      <c r="I112" s="29" t="s">
        <v>61</v>
      </c>
      <c r="J112" s="98">
        <v>45645</v>
      </c>
      <c r="K112" s="98">
        <f t="shared" si="7"/>
        <v>46741</v>
      </c>
      <c r="L112" s="110" t="s">
        <v>62</v>
      </c>
      <c r="M112" s="112" t="str">
        <f t="shared" ca="1" si="8"/>
        <v>Em dia</v>
      </c>
      <c r="N112" s="112"/>
      <c r="O112" s="67">
        <f t="shared" ca="1" si="5"/>
        <v>553</v>
      </c>
      <c r="P112" s="67">
        <f t="shared" ca="1" si="9"/>
        <v>543</v>
      </c>
      <c r="Q112" t="str">
        <f t="shared" si="6"/>
        <v>CN2-08</v>
      </c>
    </row>
    <row r="113" spans="2:17" ht="15" customHeight="1" x14ac:dyDescent="0.35">
      <c r="B113" s="29">
        <v>5</v>
      </c>
      <c r="C113" s="29" t="s">
        <v>17</v>
      </c>
      <c r="D113" s="30">
        <v>9</v>
      </c>
      <c r="E113" s="66" t="s">
        <v>602</v>
      </c>
      <c r="F113" s="66" t="s">
        <v>603</v>
      </c>
      <c r="G113" s="186" t="s">
        <v>13283</v>
      </c>
      <c r="H113" s="29" t="s">
        <v>61</v>
      </c>
      <c r="I113" s="29" t="s">
        <v>61</v>
      </c>
      <c r="J113" s="98">
        <v>45959</v>
      </c>
      <c r="K113" s="98">
        <f t="shared" si="7"/>
        <v>47055</v>
      </c>
      <c r="L113" s="110" t="s">
        <v>62</v>
      </c>
      <c r="M113" s="112" t="str">
        <f t="shared" ca="1" si="8"/>
        <v>Em dia</v>
      </c>
      <c r="N113" s="112"/>
      <c r="O113" s="67">
        <f t="shared" ca="1" si="5"/>
        <v>239</v>
      </c>
      <c r="P113" s="67">
        <f t="shared" ca="1" si="9"/>
        <v>857</v>
      </c>
      <c r="Q113" t="str">
        <f t="shared" si="6"/>
        <v>CN2-09</v>
      </c>
    </row>
    <row r="114" spans="2:17" ht="15" customHeight="1" x14ac:dyDescent="0.35">
      <c r="B114" s="29">
        <v>5</v>
      </c>
      <c r="C114" s="29" t="s">
        <v>17</v>
      </c>
      <c r="D114" s="30">
        <v>10</v>
      </c>
      <c r="E114" s="66" t="s">
        <v>604</v>
      </c>
      <c r="F114" s="66" t="s">
        <v>605</v>
      </c>
      <c r="G114" s="186" t="s">
        <v>13283</v>
      </c>
      <c r="H114" s="29" t="s">
        <v>61</v>
      </c>
      <c r="I114" s="29" t="s">
        <v>61</v>
      </c>
      <c r="J114" s="101">
        <v>45959</v>
      </c>
      <c r="K114" s="98">
        <f t="shared" si="7"/>
        <v>47055</v>
      </c>
      <c r="L114" s="110" t="s">
        <v>62</v>
      </c>
      <c r="M114" s="112" t="str">
        <f t="shared" ca="1" si="8"/>
        <v>Em dia</v>
      </c>
      <c r="N114" s="112"/>
      <c r="O114" s="67">
        <f t="shared" ca="1" si="5"/>
        <v>239</v>
      </c>
      <c r="P114" s="67">
        <f t="shared" ca="1" si="9"/>
        <v>857</v>
      </c>
      <c r="Q114" t="str">
        <f t="shared" si="6"/>
        <v>CN2-10</v>
      </c>
    </row>
    <row r="115" spans="2:17" ht="15" customHeight="1" x14ac:dyDescent="0.35">
      <c r="B115" s="29">
        <v>5</v>
      </c>
      <c r="C115" s="29" t="s">
        <v>17</v>
      </c>
      <c r="D115" s="30">
        <v>11</v>
      </c>
      <c r="E115" s="66" t="s">
        <v>606</v>
      </c>
      <c r="F115" s="66" t="s">
        <v>607</v>
      </c>
      <c r="G115" s="186" t="s">
        <v>13283</v>
      </c>
      <c r="H115" s="29" t="s">
        <v>61</v>
      </c>
      <c r="I115" s="29" t="s">
        <v>61</v>
      </c>
      <c r="J115" s="98">
        <v>46107</v>
      </c>
      <c r="K115" s="98">
        <f t="shared" si="7"/>
        <v>47203</v>
      </c>
      <c r="L115" s="110" t="s">
        <v>62</v>
      </c>
      <c r="M115" s="112" t="str">
        <f t="shared" ca="1" si="8"/>
        <v>Em dia</v>
      </c>
      <c r="N115" s="112"/>
      <c r="O115" s="67">
        <f t="shared" ca="1" si="5"/>
        <v>91</v>
      </c>
      <c r="P115" s="67">
        <f t="shared" ca="1" si="9"/>
        <v>1005</v>
      </c>
      <c r="Q115" t="str">
        <f t="shared" si="6"/>
        <v>CN2-11</v>
      </c>
    </row>
    <row r="116" spans="2:17" ht="15" customHeight="1" x14ac:dyDescent="0.35">
      <c r="B116" s="29">
        <v>5</v>
      </c>
      <c r="C116" s="29" t="s">
        <v>17</v>
      </c>
      <c r="D116" s="30">
        <v>12</v>
      </c>
      <c r="E116" s="66" t="s">
        <v>608</v>
      </c>
      <c r="F116" s="66" t="s">
        <v>609</v>
      </c>
      <c r="G116" s="186" t="s">
        <v>13283</v>
      </c>
      <c r="H116" s="29" t="s">
        <v>61</v>
      </c>
      <c r="I116" s="29" t="s">
        <v>61</v>
      </c>
      <c r="J116" s="98">
        <v>46107</v>
      </c>
      <c r="K116" s="98">
        <f t="shared" si="7"/>
        <v>47203</v>
      </c>
      <c r="L116" s="110" t="s">
        <v>62</v>
      </c>
      <c r="M116" s="112" t="str">
        <f t="shared" ca="1" si="8"/>
        <v>Em dia</v>
      </c>
      <c r="N116" s="112"/>
      <c r="O116" s="67">
        <f t="shared" ca="1" si="5"/>
        <v>91</v>
      </c>
      <c r="P116" s="67">
        <f t="shared" ca="1" si="9"/>
        <v>1005</v>
      </c>
      <c r="Q116" t="str">
        <f t="shared" si="6"/>
        <v>CN2-12</v>
      </c>
    </row>
    <row r="117" spans="2:17" ht="15" customHeight="1" x14ac:dyDescent="0.35">
      <c r="B117" s="29">
        <v>5</v>
      </c>
      <c r="C117" s="29" t="s">
        <v>17</v>
      </c>
      <c r="D117" s="30">
        <v>13</v>
      </c>
      <c r="E117" s="66" t="s">
        <v>610</v>
      </c>
      <c r="F117" s="66" t="s">
        <v>611</v>
      </c>
      <c r="G117" s="186" t="s">
        <v>13283</v>
      </c>
      <c r="H117" s="29" t="s">
        <v>61</v>
      </c>
      <c r="I117" s="29" t="s">
        <v>61</v>
      </c>
      <c r="J117" s="98">
        <v>46107</v>
      </c>
      <c r="K117" s="98">
        <f t="shared" si="7"/>
        <v>47203</v>
      </c>
      <c r="L117" s="110" t="s">
        <v>62</v>
      </c>
      <c r="M117" s="112" t="str">
        <f t="shared" ca="1" si="8"/>
        <v>Em dia</v>
      </c>
      <c r="N117" s="112"/>
      <c r="O117" s="67">
        <f t="shared" ca="1" si="5"/>
        <v>91</v>
      </c>
      <c r="P117" s="67">
        <f t="shared" ca="1" si="9"/>
        <v>1005</v>
      </c>
      <c r="Q117" t="str">
        <f t="shared" si="6"/>
        <v>CN2-13</v>
      </c>
    </row>
    <row r="118" spans="2:17" ht="15" customHeight="1" x14ac:dyDescent="0.35">
      <c r="B118" s="29">
        <v>5</v>
      </c>
      <c r="C118" s="29" t="s">
        <v>17</v>
      </c>
      <c r="D118" s="30">
        <v>14</v>
      </c>
      <c r="E118" s="66" t="s">
        <v>612</v>
      </c>
      <c r="F118" s="66" t="s">
        <v>613</v>
      </c>
      <c r="G118" s="186" t="s">
        <v>13283</v>
      </c>
      <c r="H118" s="29" t="s">
        <v>61</v>
      </c>
      <c r="I118" s="29" t="s">
        <v>61</v>
      </c>
      <c r="J118" s="98">
        <v>45202</v>
      </c>
      <c r="K118" s="98">
        <f t="shared" si="7"/>
        <v>46298</v>
      </c>
      <c r="L118" s="110" t="s">
        <v>62</v>
      </c>
      <c r="M118" s="112" t="str">
        <f t="shared" ca="1" si="8"/>
        <v>Alerta</v>
      </c>
      <c r="N118" s="112"/>
      <c r="O118" s="67">
        <f t="shared" ca="1" si="5"/>
        <v>996</v>
      </c>
      <c r="P118" s="67">
        <f t="shared" ca="1" si="9"/>
        <v>100</v>
      </c>
      <c r="Q118" t="str">
        <f t="shared" si="6"/>
        <v>CN2-14</v>
      </c>
    </row>
    <row r="119" spans="2:17" ht="15" customHeight="1" x14ac:dyDescent="0.35">
      <c r="B119" s="29">
        <v>5</v>
      </c>
      <c r="C119" s="29" t="s">
        <v>17</v>
      </c>
      <c r="D119" s="30">
        <v>15</v>
      </c>
      <c r="E119" s="66" t="s">
        <v>614</v>
      </c>
      <c r="F119" s="66" t="s">
        <v>615</v>
      </c>
      <c r="G119" s="66" t="s">
        <v>13283</v>
      </c>
      <c r="H119" s="29" t="s">
        <v>61</v>
      </c>
      <c r="I119" s="29" t="s">
        <v>61</v>
      </c>
      <c r="J119" s="98">
        <v>46107</v>
      </c>
      <c r="K119" s="98">
        <f t="shared" si="7"/>
        <v>47203</v>
      </c>
      <c r="L119" s="110" t="s">
        <v>62</v>
      </c>
      <c r="M119" s="112" t="str">
        <f t="shared" ca="1" si="8"/>
        <v>Em dia</v>
      </c>
      <c r="N119" s="112"/>
      <c r="O119" s="67">
        <f t="shared" ca="1" si="5"/>
        <v>91</v>
      </c>
      <c r="P119" s="67">
        <f t="shared" ca="1" si="9"/>
        <v>1005</v>
      </c>
      <c r="Q119" t="str">
        <f t="shared" si="6"/>
        <v>CN2-15</v>
      </c>
    </row>
    <row r="120" spans="2:17" ht="15" customHeight="1" x14ac:dyDescent="0.35">
      <c r="B120" s="29">
        <v>5</v>
      </c>
      <c r="C120" s="29" t="s">
        <v>17</v>
      </c>
      <c r="D120" s="30">
        <v>17</v>
      </c>
      <c r="E120" s="66" t="s">
        <v>616</v>
      </c>
      <c r="F120" s="66" t="s">
        <v>617</v>
      </c>
      <c r="G120" s="66" t="s">
        <v>13283</v>
      </c>
      <c r="H120" s="29" t="s">
        <v>61</v>
      </c>
      <c r="I120" s="29" t="s">
        <v>61</v>
      </c>
      <c r="J120" s="98">
        <v>45202</v>
      </c>
      <c r="K120" s="98">
        <f t="shared" si="7"/>
        <v>46298</v>
      </c>
      <c r="L120" s="110" t="s">
        <v>62</v>
      </c>
      <c r="M120" s="112" t="str">
        <f t="shared" ca="1" si="8"/>
        <v>Alerta</v>
      </c>
      <c r="N120" s="112"/>
      <c r="O120" s="67">
        <f t="shared" ca="1" si="5"/>
        <v>996</v>
      </c>
      <c r="P120" s="67">
        <f t="shared" ca="1" si="9"/>
        <v>100</v>
      </c>
      <c r="Q120" t="str">
        <f t="shared" si="6"/>
        <v>CN2-17</v>
      </c>
    </row>
    <row r="121" spans="2:17" ht="15" customHeight="1" x14ac:dyDescent="0.35">
      <c r="B121" s="29">
        <v>5</v>
      </c>
      <c r="C121" s="29" t="s">
        <v>17</v>
      </c>
      <c r="D121" s="30">
        <v>18</v>
      </c>
      <c r="E121" s="66" t="s">
        <v>618</v>
      </c>
      <c r="F121" s="66" t="s">
        <v>619</v>
      </c>
      <c r="G121" s="187" t="s">
        <v>13283</v>
      </c>
      <c r="H121" s="29" t="s">
        <v>61</v>
      </c>
      <c r="I121" s="29" t="s">
        <v>61</v>
      </c>
      <c r="J121" s="98">
        <v>45645</v>
      </c>
      <c r="K121" s="98">
        <f t="shared" si="7"/>
        <v>46741</v>
      </c>
      <c r="L121" s="110" t="s">
        <v>62</v>
      </c>
      <c r="M121" s="112" t="str">
        <f t="shared" ca="1" si="8"/>
        <v>Em dia</v>
      </c>
      <c r="N121" s="112"/>
      <c r="O121" s="67">
        <f t="shared" ca="1" si="5"/>
        <v>553</v>
      </c>
      <c r="P121" s="67">
        <f t="shared" ca="1" si="9"/>
        <v>543</v>
      </c>
      <c r="Q121" t="str">
        <f t="shared" si="6"/>
        <v>CN2-18</v>
      </c>
    </row>
    <row r="122" spans="2:17" ht="15" customHeight="1" x14ac:dyDescent="0.35">
      <c r="B122" s="29">
        <v>5</v>
      </c>
      <c r="C122" s="29" t="s">
        <v>17</v>
      </c>
      <c r="D122" s="30">
        <v>19</v>
      </c>
      <c r="E122" s="66" t="s">
        <v>620</v>
      </c>
      <c r="F122" s="66" t="s">
        <v>621</v>
      </c>
      <c r="G122" s="187" t="s">
        <v>13283</v>
      </c>
      <c r="H122" s="29" t="s">
        <v>61</v>
      </c>
      <c r="I122" s="29" t="s">
        <v>61</v>
      </c>
      <c r="J122" s="98">
        <v>45959</v>
      </c>
      <c r="K122" s="98">
        <f t="shared" si="7"/>
        <v>47055</v>
      </c>
      <c r="L122" s="110" t="s">
        <v>62</v>
      </c>
      <c r="M122" s="112" t="str">
        <f t="shared" ca="1" si="8"/>
        <v>Em dia</v>
      </c>
      <c r="N122" s="112"/>
      <c r="O122" s="67">
        <f t="shared" ca="1" si="5"/>
        <v>239</v>
      </c>
      <c r="P122" s="67">
        <f t="shared" ca="1" si="9"/>
        <v>857</v>
      </c>
      <c r="Q122" t="str">
        <f t="shared" si="6"/>
        <v>CN2-19</v>
      </c>
    </row>
    <row r="123" spans="2:17" ht="15" customHeight="1" x14ac:dyDescent="0.35">
      <c r="B123" s="29">
        <v>5</v>
      </c>
      <c r="C123" s="29" t="s">
        <v>17</v>
      </c>
      <c r="D123" s="30">
        <v>20</v>
      </c>
      <c r="E123" s="66" t="s">
        <v>622</v>
      </c>
      <c r="F123" s="66" t="s">
        <v>623</v>
      </c>
      <c r="G123" s="66" t="s">
        <v>13284</v>
      </c>
      <c r="H123" s="29" t="s">
        <v>61</v>
      </c>
      <c r="I123" s="29" t="s">
        <v>61</v>
      </c>
      <c r="J123" s="98">
        <v>44889</v>
      </c>
      <c r="K123" s="98">
        <f t="shared" si="7"/>
        <v>45985</v>
      </c>
      <c r="L123" s="110" t="s">
        <v>62</v>
      </c>
      <c r="M123" s="112" t="str">
        <f t="shared" ca="1" si="8"/>
        <v>Vencido</v>
      </c>
      <c r="N123" s="112"/>
      <c r="O123" s="67">
        <f t="shared" ca="1" si="5"/>
        <v>1309</v>
      </c>
      <c r="P123" s="67">
        <f t="shared" ca="1" si="9"/>
        <v>-213</v>
      </c>
      <c r="Q123" t="str">
        <f t="shared" si="6"/>
        <v>CN2-20</v>
      </c>
    </row>
    <row r="124" spans="2:17" ht="15" customHeight="1" x14ac:dyDescent="0.35">
      <c r="B124" s="29">
        <v>5</v>
      </c>
      <c r="C124" s="29" t="s">
        <v>17</v>
      </c>
      <c r="D124" s="30">
        <v>21</v>
      </c>
      <c r="E124" s="66" t="s">
        <v>624</v>
      </c>
      <c r="F124" s="66" t="s">
        <v>625</v>
      </c>
      <c r="G124" s="187" t="s">
        <v>13283</v>
      </c>
      <c r="H124" s="29" t="s">
        <v>61</v>
      </c>
      <c r="I124" s="29" t="s">
        <v>61</v>
      </c>
      <c r="J124" s="98">
        <v>45645</v>
      </c>
      <c r="K124" s="98">
        <f t="shared" si="7"/>
        <v>46741</v>
      </c>
      <c r="L124" s="110" t="s">
        <v>62</v>
      </c>
      <c r="M124" s="112" t="str">
        <f t="shared" ca="1" si="8"/>
        <v>Em dia</v>
      </c>
      <c r="N124" s="112"/>
      <c r="O124" s="67">
        <f t="shared" ca="1" si="5"/>
        <v>553</v>
      </c>
      <c r="P124" s="67">
        <f t="shared" ca="1" si="9"/>
        <v>543</v>
      </c>
      <c r="Q124" t="str">
        <f t="shared" si="6"/>
        <v>CN2-21</v>
      </c>
    </row>
    <row r="125" spans="2:17" ht="15" customHeight="1" x14ac:dyDescent="0.35">
      <c r="B125" s="29">
        <v>5</v>
      </c>
      <c r="C125" s="29" t="s">
        <v>17</v>
      </c>
      <c r="D125" s="30">
        <v>22</v>
      </c>
      <c r="E125" s="66" t="s">
        <v>626</v>
      </c>
      <c r="F125" s="66" t="s">
        <v>627</v>
      </c>
      <c r="G125" s="66" t="s">
        <v>13284</v>
      </c>
      <c r="H125" s="29" t="s">
        <v>61</v>
      </c>
      <c r="I125" s="29" t="s">
        <v>61</v>
      </c>
      <c r="J125" s="98">
        <v>44739</v>
      </c>
      <c r="K125" s="98">
        <f t="shared" si="7"/>
        <v>45835</v>
      </c>
      <c r="L125" s="110" t="s">
        <v>62</v>
      </c>
      <c r="M125" s="112" t="str">
        <f t="shared" ca="1" si="8"/>
        <v>Vencido</v>
      </c>
      <c r="N125" s="112"/>
      <c r="O125" s="67">
        <f t="shared" ca="1" si="5"/>
        <v>1459</v>
      </c>
      <c r="P125" s="67">
        <f t="shared" ca="1" si="9"/>
        <v>-363</v>
      </c>
      <c r="Q125" t="str">
        <f t="shared" si="6"/>
        <v>CN2-22</v>
      </c>
    </row>
    <row r="126" spans="2:17" ht="15" customHeight="1" x14ac:dyDescent="0.35">
      <c r="B126" s="29">
        <v>5</v>
      </c>
      <c r="C126" s="29" t="s">
        <v>17</v>
      </c>
      <c r="D126" s="30">
        <v>23</v>
      </c>
      <c r="E126" s="66" t="s">
        <v>628</v>
      </c>
      <c r="F126" s="66" t="s">
        <v>629</v>
      </c>
      <c r="G126" s="187" t="s">
        <v>13284</v>
      </c>
      <c r="H126" s="29" t="s">
        <v>61</v>
      </c>
      <c r="I126" s="29" t="s">
        <v>61</v>
      </c>
      <c r="J126" s="98">
        <v>44739</v>
      </c>
      <c r="K126" s="98">
        <f t="shared" si="7"/>
        <v>45835</v>
      </c>
      <c r="L126" s="110" t="s">
        <v>62</v>
      </c>
      <c r="M126" s="112" t="str">
        <f t="shared" ca="1" si="8"/>
        <v>Vencido</v>
      </c>
      <c r="N126" s="112"/>
      <c r="O126" s="67">
        <f t="shared" ca="1" si="5"/>
        <v>1459</v>
      </c>
      <c r="P126" s="67">
        <f t="shared" ca="1" si="9"/>
        <v>-363</v>
      </c>
      <c r="Q126" t="str">
        <f t="shared" si="6"/>
        <v>CN2-23</v>
      </c>
    </row>
    <row r="127" spans="2:17" ht="15" customHeight="1" x14ac:dyDescent="0.35">
      <c r="B127" s="29">
        <v>5</v>
      </c>
      <c r="C127" s="29" t="s">
        <v>17</v>
      </c>
      <c r="D127" s="30">
        <v>24</v>
      </c>
      <c r="E127" s="66" t="s">
        <v>630</v>
      </c>
      <c r="F127" s="66" t="s">
        <v>631</v>
      </c>
      <c r="G127" s="187" t="s">
        <v>13284</v>
      </c>
      <c r="H127" s="29" t="s">
        <v>61</v>
      </c>
      <c r="I127" s="29" t="s">
        <v>61</v>
      </c>
      <c r="J127" s="98">
        <v>44739</v>
      </c>
      <c r="K127" s="98">
        <f t="shared" si="7"/>
        <v>45835</v>
      </c>
      <c r="L127" s="110" t="s">
        <v>62</v>
      </c>
      <c r="M127" s="112" t="str">
        <f t="shared" ca="1" si="8"/>
        <v>Vencido</v>
      </c>
      <c r="N127" s="112"/>
      <c r="O127" s="67">
        <f t="shared" ca="1" si="5"/>
        <v>1459</v>
      </c>
      <c r="P127" s="67">
        <f t="shared" ca="1" si="9"/>
        <v>-363</v>
      </c>
      <c r="Q127" t="str">
        <f t="shared" si="6"/>
        <v>CN2-24</v>
      </c>
    </row>
    <row r="128" spans="2:17" ht="15" customHeight="1" x14ac:dyDescent="0.35">
      <c r="B128" s="29">
        <v>5</v>
      </c>
      <c r="C128" s="29" t="s">
        <v>17</v>
      </c>
      <c r="D128" s="30">
        <v>25</v>
      </c>
      <c r="E128" s="66" t="s">
        <v>632</v>
      </c>
      <c r="F128" s="66" t="s">
        <v>633</v>
      </c>
      <c r="G128" s="187" t="s">
        <v>13283</v>
      </c>
      <c r="H128" s="29" t="s">
        <v>61</v>
      </c>
      <c r="I128" s="29" t="s">
        <v>61</v>
      </c>
      <c r="J128" s="98">
        <v>46009</v>
      </c>
      <c r="K128" s="98">
        <f t="shared" si="7"/>
        <v>47105</v>
      </c>
      <c r="L128" s="110" t="s">
        <v>62</v>
      </c>
      <c r="M128" s="112" t="str">
        <f t="shared" ca="1" si="8"/>
        <v>Em dia</v>
      </c>
      <c r="N128" s="112"/>
      <c r="O128" s="67">
        <f t="shared" ca="1" si="5"/>
        <v>189</v>
      </c>
      <c r="P128" s="67">
        <f t="shared" ca="1" si="9"/>
        <v>907</v>
      </c>
      <c r="Q128" t="str">
        <f t="shared" si="6"/>
        <v>CN2-25</v>
      </c>
    </row>
    <row r="129" spans="2:17" ht="15" customHeight="1" x14ac:dyDescent="0.35">
      <c r="B129" s="29">
        <v>5</v>
      </c>
      <c r="C129" s="29" t="s">
        <v>17</v>
      </c>
      <c r="D129" s="30">
        <v>26</v>
      </c>
      <c r="E129" s="66" t="s">
        <v>634</v>
      </c>
      <c r="F129" s="66" t="s">
        <v>635</v>
      </c>
      <c r="G129" s="187" t="s">
        <v>13284</v>
      </c>
      <c r="H129" s="29" t="s">
        <v>61</v>
      </c>
      <c r="I129" s="29" t="s">
        <v>61</v>
      </c>
      <c r="J129" s="98">
        <v>44739</v>
      </c>
      <c r="K129" s="98">
        <f t="shared" si="7"/>
        <v>45835</v>
      </c>
      <c r="L129" s="110" t="s">
        <v>62</v>
      </c>
      <c r="M129" s="112" t="str">
        <f t="shared" ca="1" si="8"/>
        <v>Vencido</v>
      </c>
      <c r="N129" s="112"/>
      <c r="O129" s="67">
        <f t="shared" ca="1" si="5"/>
        <v>1459</v>
      </c>
      <c r="P129" s="67">
        <f t="shared" ca="1" si="9"/>
        <v>-363</v>
      </c>
      <c r="Q129" t="str">
        <f t="shared" si="6"/>
        <v>CN2-26</v>
      </c>
    </row>
    <row r="130" spans="2:17" ht="15" customHeight="1" x14ac:dyDescent="0.35">
      <c r="B130" s="29">
        <v>5</v>
      </c>
      <c r="C130" s="29" t="s">
        <v>17</v>
      </c>
      <c r="D130" s="30">
        <v>27</v>
      </c>
      <c r="E130" s="66" t="s">
        <v>636</v>
      </c>
      <c r="F130" s="66" t="s">
        <v>637</v>
      </c>
      <c r="G130" s="187" t="s">
        <v>13284</v>
      </c>
      <c r="H130" s="29" t="s">
        <v>61</v>
      </c>
      <c r="I130" s="29" t="s">
        <v>61</v>
      </c>
      <c r="J130" s="98">
        <v>44739</v>
      </c>
      <c r="K130" s="98">
        <f t="shared" si="7"/>
        <v>45835</v>
      </c>
      <c r="L130" s="110" t="s">
        <v>62</v>
      </c>
      <c r="M130" s="112" t="str">
        <f t="shared" ca="1" si="8"/>
        <v>Vencido</v>
      </c>
      <c r="N130" s="112"/>
      <c r="O130" s="67">
        <f t="shared" ca="1" si="5"/>
        <v>1459</v>
      </c>
      <c r="P130" s="67">
        <f t="shared" ca="1" si="9"/>
        <v>-363</v>
      </c>
      <c r="Q130" t="str">
        <f t="shared" si="6"/>
        <v>CN2-27</v>
      </c>
    </row>
    <row r="131" spans="2:17" ht="15" customHeight="1" x14ac:dyDescent="0.35">
      <c r="B131" s="29">
        <v>5</v>
      </c>
      <c r="C131" s="29" t="s">
        <v>17</v>
      </c>
      <c r="D131" s="30">
        <v>28</v>
      </c>
      <c r="E131" s="66" t="s">
        <v>638</v>
      </c>
      <c r="F131" s="66" t="s">
        <v>639</v>
      </c>
      <c r="G131" s="187" t="s">
        <v>13284</v>
      </c>
      <c r="H131" s="29" t="s">
        <v>61</v>
      </c>
      <c r="I131" s="29" t="s">
        <v>61</v>
      </c>
      <c r="J131" s="98">
        <v>45202</v>
      </c>
      <c r="K131" s="98">
        <f t="shared" si="7"/>
        <v>46298</v>
      </c>
      <c r="L131" s="110" t="s">
        <v>62</v>
      </c>
      <c r="M131" s="112" t="str">
        <f t="shared" ca="1" si="8"/>
        <v>Alerta</v>
      </c>
      <c r="N131" s="112"/>
      <c r="O131" s="67">
        <f t="shared" ca="1" si="5"/>
        <v>996</v>
      </c>
      <c r="P131" s="67">
        <f t="shared" ca="1" si="9"/>
        <v>100</v>
      </c>
      <c r="Q131" t="str">
        <f t="shared" si="6"/>
        <v>CN2-28</v>
      </c>
    </row>
    <row r="132" spans="2:17" ht="15" customHeight="1" x14ac:dyDescent="0.35">
      <c r="B132" s="29">
        <v>5</v>
      </c>
      <c r="C132" s="29" t="s">
        <v>17</v>
      </c>
      <c r="D132" s="30">
        <v>29</v>
      </c>
      <c r="E132" s="66" t="s">
        <v>640</v>
      </c>
      <c r="F132" s="66" t="s">
        <v>641</v>
      </c>
      <c r="G132" s="187" t="s">
        <v>13284</v>
      </c>
      <c r="H132" s="29" t="s">
        <v>61</v>
      </c>
      <c r="I132" s="29" t="s">
        <v>61</v>
      </c>
      <c r="J132" s="98">
        <v>45202</v>
      </c>
      <c r="K132" s="98">
        <f t="shared" si="7"/>
        <v>46298</v>
      </c>
      <c r="L132" s="110" t="s">
        <v>62</v>
      </c>
      <c r="M132" s="112" t="str">
        <f t="shared" ca="1" si="8"/>
        <v>Alerta</v>
      </c>
      <c r="N132" s="112"/>
      <c r="O132" s="67">
        <f t="shared" ca="1" si="5"/>
        <v>996</v>
      </c>
      <c r="P132" s="67">
        <f t="shared" ca="1" si="9"/>
        <v>100</v>
      </c>
      <c r="Q132" t="str">
        <f t="shared" si="6"/>
        <v>CN2-29</v>
      </c>
    </row>
    <row r="133" spans="2:17" ht="15" customHeight="1" x14ac:dyDescent="0.35">
      <c r="B133" s="29">
        <v>5</v>
      </c>
      <c r="C133" s="29" t="s">
        <v>17</v>
      </c>
      <c r="D133" s="30">
        <v>33</v>
      </c>
      <c r="E133" s="66" t="s">
        <v>642</v>
      </c>
      <c r="F133" s="66" t="s">
        <v>643</v>
      </c>
      <c r="G133" s="187" t="s">
        <v>13284</v>
      </c>
      <c r="H133" s="29" t="s">
        <v>61</v>
      </c>
      <c r="I133" s="29" t="s">
        <v>61</v>
      </c>
      <c r="J133" s="98">
        <v>44739</v>
      </c>
      <c r="K133" s="98">
        <f t="shared" si="7"/>
        <v>45835</v>
      </c>
      <c r="L133" s="110" t="s">
        <v>62</v>
      </c>
      <c r="M133" s="112" t="str">
        <f t="shared" ca="1" si="8"/>
        <v>Vencido</v>
      </c>
      <c r="N133" s="112"/>
      <c r="O133" s="67">
        <f t="shared" ref="O133:O196" ca="1" si="10">$O$4-J133</f>
        <v>1459</v>
      </c>
      <c r="P133" s="67">
        <f t="shared" ca="1" si="9"/>
        <v>-363</v>
      </c>
      <c r="Q133" t="str">
        <f t="shared" ref="Q133:Q196" si="11">IF(OR(C133="ARN",C133="SDP"),MID(E133,4,7),MID(E133,4,6))</f>
        <v>CN2-33</v>
      </c>
    </row>
    <row r="134" spans="2:17" ht="15" customHeight="1" x14ac:dyDescent="0.35">
      <c r="B134" s="29">
        <v>5</v>
      </c>
      <c r="C134" s="29" t="s">
        <v>17</v>
      </c>
      <c r="D134" s="30">
        <v>40</v>
      </c>
      <c r="E134" s="66" t="s">
        <v>644</v>
      </c>
      <c r="F134" s="66" t="s">
        <v>645</v>
      </c>
      <c r="G134" s="187" t="s">
        <v>13283</v>
      </c>
      <c r="H134" s="29" t="s">
        <v>61</v>
      </c>
      <c r="I134" s="29"/>
      <c r="J134" s="98">
        <v>45202</v>
      </c>
      <c r="K134" s="98">
        <f t="shared" ref="K134:K197" si="12">J134+1096</f>
        <v>46298</v>
      </c>
      <c r="L134" s="110" t="s">
        <v>62</v>
      </c>
      <c r="M134" s="112" t="str">
        <f t="shared" ref="M134:M197" ca="1" si="13">IF(O134="","",IF(O134&gt;1095,"Vencido",IF(O134&gt;910,"Alerta",IF(O134&gt;820,"Alerta",IF(O134&gt;730,"Alerta",IF(O134&gt;=0,"Em dia","Vencido"))))))</f>
        <v>Alerta</v>
      </c>
      <c r="N134" s="112"/>
      <c r="O134" s="67">
        <f t="shared" ca="1" si="10"/>
        <v>996</v>
      </c>
      <c r="P134" s="67">
        <f t="shared" ref="P134:P197" ca="1" si="14">K134-$P$3</f>
        <v>100</v>
      </c>
      <c r="Q134" t="str">
        <f t="shared" si="11"/>
        <v>CN2-40</v>
      </c>
    </row>
    <row r="135" spans="2:17" ht="15" customHeight="1" x14ac:dyDescent="0.35">
      <c r="B135" s="29">
        <v>5</v>
      </c>
      <c r="C135" s="29" t="s">
        <v>17</v>
      </c>
      <c r="D135" s="30">
        <v>41</v>
      </c>
      <c r="E135" s="66" t="s">
        <v>646</v>
      </c>
      <c r="F135" s="66" t="s">
        <v>647</v>
      </c>
      <c r="G135" s="187" t="s">
        <v>13283</v>
      </c>
      <c r="H135" s="29" t="s">
        <v>61</v>
      </c>
      <c r="I135" s="29"/>
      <c r="J135" s="98">
        <v>45202</v>
      </c>
      <c r="K135" s="98">
        <f t="shared" si="12"/>
        <v>46298</v>
      </c>
      <c r="L135" s="110" t="s">
        <v>62</v>
      </c>
      <c r="M135" s="112" t="str">
        <f t="shared" ca="1" si="13"/>
        <v>Alerta</v>
      </c>
      <c r="N135" s="112"/>
      <c r="O135" s="67">
        <f t="shared" ca="1" si="10"/>
        <v>996</v>
      </c>
      <c r="P135" s="67">
        <f t="shared" ca="1" si="14"/>
        <v>100</v>
      </c>
      <c r="Q135" t="str">
        <f t="shared" si="11"/>
        <v>CN2-41</v>
      </c>
    </row>
    <row r="136" spans="2:17" ht="15" customHeight="1" x14ac:dyDescent="0.35">
      <c r="B136" s="29">
        <v>5</v>
      </c>
      <c r="C136" s="29" t="s">
        <v>17</v>
      </c>
      <c r="D136" s="30">
        <v>51</v>
      </c>
      <c r="E136" s="66" t="s">
        <v>648</v>
      </c>
      <c r="F136" s="66" t="s">
        <v>649</v>
      </c>
      <c r="G136" s="187" t="s">
        <v>13283</v>
      </c>
      <c r="H136" s="29" t="s">
        <v>61</v>
      </c>
      <c r="I136" s="29" t="s">
        <v>61</v>
      </c>
      <c r="J136" s="98">
        <v>45959</v>
      </c>
      <c r="K136" s="98">
        <f t="shared" si="12"/>
        <v>47055</v>
      </c>
      <c r="L136" s="110" t="s">
        <v>62</v>
      </c>
      <c r="M136" s="112" t="str">
        <f t="shared" ca="1" si="13"/>
        <v>Em dia</v>
      </c>
      <c r="N136" s="112"/>
      <c r="O136" s="67">
        <f t="shared" ca="1" si="10"/>
        <v>239</v>
      </c>
      <c r="P136" s="67">
        <f t="shared" ca="1" si="14"/>
        <v>857</v>
      </c>
      <c r="Q136" t="str">
        <f t="shared" si="11"/>
        <v>CN2-51</v>
      </c>
    </row>
    <row r="137" spans="2:17" ht="15" customHeight="1" x14ac:dyDescent="0.35">
      <c r="B137" s="29">
        <v>5</v>
      </c>
      <c r="C137" s="29" t="s">
        <v>17</v>
      </c>
      <c r="D137" s="30">
        <v>53</v>
      </c>
      <c r="E137" s="66" t="s">
        <v>650</v>
      </c>
      <c r="F137" s="66" t="s">
        <v>651</v>
      </c>
      <c r="G137" s="187" t="s">
        <v>13283</v>
      </c>
      <c r="H137" s="29" t="s">
        <v>61</v>
      </c>
      <c r="I137" s="29" t="s">
        <v>61</v>
      </c>
      <c r="J137" s="98">
        <v>45743</v>
      </c>
      <c r="K137" s="98">
        <f t="shared" si="12"/>
        <v>46839</v>
      </c>
      <c r="L137" s="110" t="s">
        <v>62</v>
      </c>
      <c r="M137" s="112" t="str">
        <f t="shared" ca="1" si="13"/>
        <v>Em dia</v>
      </c>
      <c r="N137" s="112"/>
      <c r="O137" s="67">
        <f t="shared" ca="1" si="10"/>
        <v>455</v>
      </c>
      <c r="P137" s="67">
        <f t="shared" ca="1" si="14"/>
        <v>641</v>
      </c>
      <c r="Q137" t="str">
        <f t="shared" si="11"/>
        <v>CN2-53</v>
      </c>
    </row>
    <row r="138" spans="2:17" ht="15" customHeight="1" x14ac:dyDescent="0.35">
      <c r="B138" s="29">
        <v>5</v>
      </c>
      <c r="C138" s="29" t="s">
        <v>17</v>
      </c>
      <c r="D138" s="30">
        <v>56</v>
      </c>
      <c r="E138" s="66" t="s">
        <v>652</v>
      </c>
      <c r="F138" s="66" t="s">
        <v>653</v>
      </c>
      <c r="G138" s="66" t="s">
        <v>13283</v>
      </c>
      <c r="H138" s="29" t="s">
        <v>61</v>
      </c>
      <c r="I138" s="29" t="s">
        <v>61</v>
      </c>
      <c r="J138" s="98">
        <v>46107</v>
      </c>
      <c r="K138" s="98">
        <f t="shared" si="12"/>
        <v>47203</v>
      </c>
      <c r="L138" s="110" t="s">
        <v>62</v>
      </c>
      <c r="M138" s="112" t="str">
        <f t="shared" ca="1" si="13"/>
        <v>Em dia</v>
      </c>
      <c r="N138" s="112"/>
      <c r="O138" s="67">
        <f t="shared" ca="1" si="10"/>
        <v>91</v>
      </c>
      <c r="P138" s="67">
        <f t="shared" ca="1" si="14"/>
        <v>1005</v>
      </c>
      <c r="Q138" t="str">
        <f t="shared" si="11"/>
        <v>CN2-56</v>
      </c>
    </row>
    <row r="139" spans="2:17" ht="15" customHeight="1" x14ac:dyDescent="0.35">
      <c r="B139" s="29">
        <v>5</v>
      </c>
      <c r="C139" s="29" t="s">
        <v>17</v>
      </c>
      <c r="D139" s="30">
        <v>57</v>
      </c>
      <c r="E139" s="66" t="s">
        <v>654</v>
      </c>
      <c r="F139" s="66" t="s">
        <v>655</v>
      </c>
      <c r="G139" s="187" t="s">
        <v>13283</v>
      </c>
      <c r="H139" s="29" t="s">
        <v>61</v>
      </c>
      <c r="I139" s="29" t="s">
        <v>61</v>
      </c>
      <c r="J139" s="98">
        <v>46107</v>
      </c>
      <c r="K139" s="98">
        <f t="shared" si="12"/>
        <v>47203</v>
      </c>
      <c r="L139" s="110" t="s">
        <v>62</v>
      </c>
      <c r="M139" s="112" t="str">
        <f t="shared" ca="1" si="13"/>
        <v>Em dia</v>
      </c>
      <c r="N139" s="112"/>
      <c r="O139" s="67">
        <f t="shared" ca="1" si="10"/>
        <v>91</v>
      </c>
      <c r="P139" s="67">
        <f t="shared" ca="1" si="14"/>
        <v>1005</v>
      </c>
      <c r="Q139" t="str">
        <f t="shared" si="11"/>
        <v>CN2-57</v>
      </c>
    </row>
    <row r="140" spans="2:17" ht="15" customHeight="1" x14ac:dyDescent="0.35">
      <c r="B140" s="29">
        <v>5</v>
      </c>
      <c r="C140" s="29" t="s">
        <v>17</v>
      </c>
      <c r="D140" s="30">
        <v>58</v>
      </c>
      <c r="E140" s="66" t="s">
        <v>656</v>
      </c>
      <c r="F140" s="66" t="s">
        <v>657</v>
      </c>
      <c r="G140" s="66" t="s">
        <v>13284</v>
      </c>
      <c r="H140" s="29" t="s">
        <v>61</v>
      </c>
      <c r="I140" s="29" t="s">
        <v>61</v>
      </c>
      <c r="J140" s="98">
        <v>44739</v>
      </c>
      <c r="K140" s="98">
        <f t="shared" si="12"/>
        <v>45835</v>
      </c>
      <c r="L140" s="110" t="s">
        <v>62</v>
      </c>
      <c r="M140" s="112" t="str">
        <f t="shared" ca="1" si="13"/>
        <v>Vencido</v>
      </c>
      <c r="N140" s="112"/>
      <c r="O140" s="67">
        <f t="shared" ca="1" si="10"/>
        <v>1459</v>
      </c>
      <c r="P140" s="67">
        <f t="shared" ca="1" si="14"/>
        <v>-363</v>
      </c>
      <c r="Q140" t="str">
        <f t="shared" si="11"/>
        <v>CN2-58</v>
      </c>
    </row>
    <row r="141" spans="2:17" ht="15" customHeight="1" x14ac:dyDescent="0.35">
      <c r="B141" s="29">
        <v>5</v>
      </c>
      <c r="C141" s="29" t="s">
        <v>17</v>
      </c>
      <c r="D141" s="30">
        <v>59</v>
      </c>
      <c r="E141" s="66" t="s">
        <v>658</v>
      </c>
      <c r="F141" s="66" t="s">
        <v>659</v>
      </c>
      <c r="G141" s="187" t="s">
        <v>13283</v>
      </c>
      <c r="H141" s="29" t="s">
        <v>61</v>
      </c>
      <c r="I141" s="29" t="s">
        <v>61</v>
      </c>
      <c r="J141" s="98">
        <v>45462</v>
      </c>
      <c r="K141" s="98">
        <f t="shared" si="12"/>
        <v>46558</v>
      </c>
      <c r="L141" s="110" t="s">
        <v>62</v>
      </c>
      <c r="M141" s="112" t="str">
        <f t="shared" ca="1" si="13"/>
        <v>Alerta</v>
      </c>
      <c r="N141" s="112"/>
      <c r="O141" s="67">
        <f t="shared" ca="1" si="10"/>
        <v>736</v>
      </c>
      <c r="P141" s="67">
        <f t="shared" ca="1" si="14"/>
        <v>360</v>
      </c>
      <c r="Q141" t="str">
        <f t="shared" si="11"/>
        <v>CN2-59</v>
      </c>
    </row>
    <row r="142" spans="2:17" ht="15" customHeight="1" x14ac:dyDescent="0.35">
      <c r="B142" s="29">
        <v>5</v>
      </c>
      <c r="C142" s="29" t="s">
        <v>17</v>
      </c>
      <c r="D142" s="30">
        <v>60</v>
      </c>
      <c r="E142" s="66" t="s">
        <v>660</v>
      </c>
      <c r="F142" s="66" t="s">
        <v>661</v>
      </c>
      <c r="G142" s="187" t="s">
        <v>13284</v>
      </c>
      <c r="H142" s="29" t="s">
        <v>61</v>
      </c>
      <c r="I142" s="29" t="s">
        <v>61</v>
      </c>
      <c r="J142" s="98">
        <v>44819</v>
      </c>
      <c r="K142" s="98">
        <f t="shared" si="12"/>
        <v>45915</v>
      </c>
      <c r="L142" s="110" t="s">
        <v>62</v>
      </c>
      <c r="M142" s="112" t="str">
        <f t="shared" ca="1" si="13"/>
        <v>Vencido</v>
      </c>
      <c r="N142" s="112"/>
      <c r="O142" s="67">
        <f t="shared" ca="1" si="10"/>
        <v>1379</v>
      </c>
      <c r="P142" s="67">
        <f t="shared" ca="1" si="14"/>
        <v>-283</v>
      </c>
      <c r="Q142" t="str">
        <f t="shared" si="11"/>
        <v>CN2-60</v>
      </c>
    </row>
    <row r="143" spans="2:17" ht="15" customHeight="1" x14ac:dyDescent="0.35">
      <c r="B143" s="29">
        <v>5</v>
      </c>
      <c r="C143" s="29" t="s">
        <v>17</v>
      </c>
      <c r="D143" s="30">
        <v>61</v>
      </c>
      <c r="E143" s="66" t="s">
        <v>662</v>
      </c>
      <c r="F143" s="66" t="s">
        <v>663</v>
      </c>
      <c r="G143" s="187" t="s">
        <v>13284</v>
      </c>
      <c r="H143" s="29" t="s">
        <v>61</v>
      </c>
      <c r="I143" s="29" t="s">
        <v>61</v>
      </c>
      <c r="J143" s="98">
        <v>44926</v>
      </c>
      <c r="K143" s="98">
        <f t="shared" si="12"/>
        <v>46022</v>
      </c>
      <c r="L143" s="110" t="s">
        <v>62</v>
      </c>
      <c r="M143" s="112" t="str">
        <f t="shared" ca="1" si="13"/>
        <v>Vencido</v>
      </c>
      <c r="N143" s="112"/>
      <c r="O143" s="67">
        <f t="shared" ca="1" si="10"/>
        <v>1272</v>
      </c>
      <c r="P143" s="67">
        <f t="shared" ca="1" si="14"/>
        <v>-176</v>
      </c>
      <c r="Q143" t="str">
        <f t="shared" si="11"/>
        <v>CN2-61</v>
      </c>
    </row>
    <row r="144" spans="2:17" ht="15" customHeight="1" x14ac:dyDescent="0.35">
      <c r="B144" s="29">
        <v>5</v>
      </c>
      <c r="C144" s="29" t="s">
        <v>17</v>
      </c>
      <c r="D144" s="30">
        <v>62</v>
      </c>
      <c r="E144" s="66" t="s">
        <v>664</v>
      </c>
      <c r="F144" s="66" t="s">
        <v>665</v>
      </c>
      <c r="G144" s="193" t="s">
        <v>13284</v>
      </c>
      <c r="H144" s="29" t="s">
        <v>61</v>
      </c>
      <c r="I144" s="29" t="s">
        <v>61</v>
      </c>
      <c r="J144" s="98">
        <v>44926</v>
      </c>
      <c r="K144" s="98">
        <f t="shared" si="12"/>
        <v>46022</v>
      </c>
      <c r="L144" s="110" t="s">
        <v>62</v>
      </c>
      <c r="M144" s="112" t="str">
        <f t="shared" ca="1" si="13"/>
        <v>Vencido</v>
      </c>
      <c r="N144" s="112"/>
      <c r="O144" s="67">
        <f t="shared" ca="1" si="10"/>
        <v>1272</v>
      </c>
      <c r="P144" s="67">
        <f t="shared" ca="1" si="14"/>
        <v>-176</v>
      </c>
      <c r="Q144" t="str">
        <f t="shared" si="11"/>
        <v>CN2-62</v>
      </c>
    </row>
    <row r="145" spans="2:17" ht="15" customHeight="1" x14ac:dyDescent="0.35">
      <c r="B145" s="29">
        <v>5</v>
      </c>
      <c r="C145" s="29" t="s">
        <v>17</v>
      </c>
      <c r="D145" s="30">
        <v>65</v>
      </c>
      <c r="E145" s="66" t="s">
        <v>666</v>
      </c>
      <c r="F145" s="66" t="s">
        <v>667</v>
      </c>
      <c r="G145" s="187" t="s">
        <v>13284</v>
      </c>
      <c r="H145" s="29" t="s">
        <v>61</v>
      </c>
      <c r="I145" s="29" t="s">
        <v>61</v>
      </c>
      <c r="J145" s="98">
        <v>45202</v>
      </c>
      <c r="K145" s="98">
        <f t="shared" si="12"/>
        <v>46298</v>
      </c>
      <c r="L145" s="110" t="s">
        <v>62</v>
      </c>
      <c r="M145" s="112" t="str">
        <f t="shared" ca="1" si="13"/>
        <v>Alerta</v>
      </c>
      <c r="N145" s="112"/>
      <c r="O145" s="67">
        <f t="shared" ca="1" si="10"/>
        <v>996</v>
      </c>
      <c r="P145" s="67">
        <f t="shared" ca="1" si="14"/>
        <v>100</v>
      </c>
      <c r="Q145" t="str">
        <f t="shared" si="11"/>
        <v>CN2-65</v>
      </c>
    </row>
    <row r="146" spans="2:17" ht="15" customHeight="1" x14ac:dyDescent="0.35">
      <c r="B146" s="29">
        <v>5</v>
      </c>
      <c r="C146" s="29" t="s">
        <v>17</v>
      </c>
      <c r="D146" s="30">
        <v>65</v>
      </c>
      <c r="E146" s="66" t="s">
        <v>668</v>
      </c>
      <c r="F146" s="66" t="s">
        <v>669</v>
      </c>
      <c r="G146" s="187" t="s">
        <v>13284</v>
      </c>
      <c r="H146" s="29" t="s">
        <v>61</v>
      </c>
      <c r="I146" s="29" t="s">
        <v>61</v>
      </c>
      <c r="J146" s="98">
        <v>45202</v>
      </c>
      <c r="K146" s="98">
        <f t="shared" si="12"/>
        <v>46298</v>
      </c>
      <c r="L146" s="110" t="s">
        <v>62</v>
      </c>
      <c r="M146" s="112" t="str">
        <f t="shared" ca="1" si="13"/>
        <v>Alerta</v>
      </c>
      <c r="N146" s="112"/>
      <c r="O146" s="67">
        <f t="shared" ca="1" si="10"/>
        <v>996</v>
      </c>
      <c r="P146" s="67">
        <f t="shared" ca="1" si="14"/>
        <v>100</v>
      </c>
      <c r="Q146" t="str">
        <f t="shared" si="11"/>
        <v>CN2-65</v>
      </c>
    </row>
    <row r="147" spans="2:17" ht="15" customHeight="1" x14ac:dyDescent="0.35">
      <c r="B147" s="29">
        <v>5</v>
      </c>
      <c r="C147" s="29" t="s">
        <v>17</v>
      </c>
      <c r="D147" s="30">
        <v>71</v>
      </c>
      <c r="E147" s="66" t="s">
        <v>670</v>
      </c>
      <c r="F147" s="66" t="s">
        <v>671</v>
      </c>
      <c r="G147" s="26" t="s">
        <v>13282</v>
      </c>
      <c r="H147" s="29" t="s">
        <v>61</v>
      </c>
      <c r="I147" s="29" t="s">
        <v>61</v>
      </c>
      <c r="J147" s="98">
        <v>45202</v>
      </c>
      <c r="K147" s="98">
        <f t="shared" si="12"/>
        <v>46298</v>
      </c>
      <c r="L147" s="110" t="s">
        <v>62</v>
      </c>
      <c r="M147" s="112" t="str">
        <f t="shared" ca="1" si="13"/>
        <v>Alerta</v>
      </c>
      <c r="N147" s="112"/>
      <c r="O147" s="67">
        <f t="shared" ca="1" si="10"/>
        <v>996</v>
      </c>
      <c r="P147" s="67">
        <f t="shared" ca="1" si="14"/>
        <v>100</v>
      </c>
      <c r="Q147" t="str">
        <f t="shared" si="11"/>
        <v>CN2-71</v>
      </c>
    </row>
    <row r="148" spans="2:17" ht="15" customHeight="1" x14ac:dyDescent="0.35">
      <c r="B148" s="29">
        <v>5</v>
      </c>
      <c r="C148" s="29" t="s">
        <v>17</v>
      </c>
      <c r="D148" s="30">
        <v>30</v>
      </c>
      <c r="E148" s="66" t="s">
        <v>672</v>
      </c>
      <c r="F148" s="66" t="s">
        <v>673</v>
      </c>
      <c r="G148" s="187" t="s">
        <v>13284</v>
      </c>
      <c r="H148" s="29" t="s">
        <v>61</v>
      </c>
      <c r="I148" s="29" t="s">
        <v>61</v>
      </c>
      <c r="J148" s="98">
        <v>44838</v>
      </c>
      <c r="K148" s="98">
        <f t="shared" si="12"/>
        <v>45934</v>
      </c>
      <c r="L148" s="110" t="s">
        <v>62</v>
      </c>
      <c r="M148" s="112" t="str">
        <f t="shared" ca="1" si="13"/>
        <v>Vencido</v>
      </c>
      <c r="N148" s="112"/>
      <c r="O148" s="67">
        <f t="shared" ca="1" si="10"/>
        <v>1360</v>
      </c>
      <c r="P148" s="67">
        <f t="shared" ca="1" si="14"/>
        <v>-264</v>
      </c>
      <c r="Q148" t="str">
        <f t="shared" si="11"/>
        <v>CN2-30</v>
      </c>
    </row>
    <row r="149" spans="2:17" ht="15" customHeight="1" x14ac:dyDescent="0.35">
      <c r="B149" s="29">
        <v>5</v>
      </c>
      <c r="C149" s="29" t="s">
        <v>17</v>
      </c>
      <c r="D149" s="30">
        <v>31</v>
      </c>
      <c r="E149" s="66" t="s">
        <v>674</v>
      </c>
      <c r="F149" s="66" t="s">
        <v>675</v>
      </c>
      <c r="G149" s="187" t="s">
        <v>13284</v>
      </c>
      <c r="H149" s="29" t="s">
        <v>61</v>
      </c>
      <c r="I149" s="29" t="s">
        <v>61</v>
      </c>
      <c r="J149" s="98">
        <v>44838</v>
      </c>
      <c r="K149" s="98">
        <f t="shared" si="12"/>
        <v>45934</v>
      </c>
      <c r="L149" s="110" t="s">
        <v>62</v>
      </c>
      <c r="M149" s="112" t="str">
        <f t="shared" ca="1" si="13"/>
        <v>Vencido</v>
      </c>
      <c r="N149" s="112"/>
      <c r="O149" s="67">
        <f t="shared" ca="1" si="10"/>
        <v>1360</v>
      </c>
      <c r="P149" s="67">
        <f t="shared" ca="1" si="14"/>
        <v>-264</v>
      </c>
      <c r="Q149" t="str">
        <f t="shared" si="11"/>
        <v>CN2-31</v>
      </c>
    </row>
    <row r="150" spans="2:17" ht="15" customHeight="1" x14ac:dyDescent="0.35">
      <c r="B150" s="29">
        <v>5</v>
      </c>
      <c r="C150" s="29" t="s">
        <v>17</v>
      </c>
      <c r="D150" s="30">
        <v>34</v>
      </c>
      <c r="E150" s="66" t="s">
        <v>676</v>
      </c>
      <c r="F150" s="66" t="s">
        <v>677</v>
      </c>
      <c r="G150" s="187" t="s">
        <v>13284</v>
      </c>
      <c r="H150" s="29" t="s">
        <v>61</v>
      </c>
      <c r="I150" s="29" t="s">
        <v>61</v>
      </c>
      <c r="J150" s="98">
        <v>44838</v>
      </c>
      <c r="K150" s="98">
        <f t="shared" si="12"/>
        <v>45934</v>
      </c>
      <c r="L150" s="110" t="s">
        <v>62</v>
      </c>
      <c r="M150" s="112" t="str">
        <f t="shared" ca="1" si="13"/>
        <v>Vencido</v>
      </c>
      <c r="N150" s="112"/>
      <c r="O150" s="67">
        <f t="shared" ca="1" si="10"/>
        <v>1360</v>
      </c>
      <c r="P150" s="67">
        <f t="shared" ca="1" si="14"/>
        <v>-264</v>
      </c>
      <c r="Q150" t="str">
        <f t="shared" si="11"/>
        <v>CN2-34</v>
      </c>
    </row>
    <row r="151" spans="2:17" ht="15" customHeight="1" x14ac:dyDescent="0.35">
      <c r="B151" s="29">
        <v>5</v>
      </c>
      <c r="C151" s="29" t="s">
        <v>17</v>
      </c>
      <c r="D151" s="30">
        <v>63</v>
      </c>
      <c r="E151" s="66" t="s">
        <v>678</v>
      </c>
      <c r="F151" s="66" t="s">
        <v>679</v>
      </c>
      <c r="G151" s="193" t="s">
        <v>13308</v>
      </c>
      <c r="H151" s="29" t="s">
        <v>61</v>
      </c>
      <c r="I151" s="29" t="s">
        <v>61</v>
      </c>
      <c r="J151" s="98">
        <v>44838</v>
      </c>
      <c r="K151" s="98">
        <f t="shared" si="12"/>
        <v>45934</v>
      </c>
      <c r="L151" s="110" t="s">
        <v>62</v>
      </c>
      <c r="M151" s="112" t="str">
        <f t="shared" ca="1" si="13"/>
        <v>Vencido</v>
      </c>
      <c r="N151" s="112"/>
      <c r="O151" s="67">
        <f t="shared" ca="1" si="10"/>
        <v>1360</v>
      </c>
      <c r="P151" s="67">
        <f t="shared" ca="1" si="14"/>
        <v>-264</v>
      </c>
      <c r="Q151" t="str">
        <f t="shared" si="11"/>
        <v>CN2-63</v>
      </c>
    </row>
    <row r="152" spans="2:17" ht="15" customHeight="1" x14ac:dyDescent="0.35">
      <c r="B152" s="29">
        <v>5</v>
      </c>
      <c r="C152" s="29" t="s">
        <v>17</v>
      </c>
      <c r="D152" s="29">
        <v>86</v>
      </c>
      <c r="E152" s="66" t="s">
        <v>680</v>
      </c>
      <c r="F152" s="66" t="s">
        <v>681</v>
      </c>
      <c r="G152" s="187" t="s">
        <v>13284</v>
      </c>
      <c r="H152" s="29" t="s">
        <v>61</v>
      </c>
      <c r="I152" s="29"/>
      <c r="J152" s="98">
        <v>45274</v>
      </c>
      <c r="K152" s="98">
        <f t="shared" si="12"/>
        <v>46370</v>
      </c>
      <c r="L152" s="110" t="s">
        <v>62</v>
      </c>
      <c r="M152" s="112" t="str">
        <f t="shared" ca="1" si="13"/>
        <v>Alerta</v>
      </c>
      <c r="N152" s="112"/>
      <c r="O152" s="67">
        <f t="shared" ca="1" si="10"/>
        <v>924</v>
      </c>
      <c r="P152" s="67">
        <f t="shared" ca="1" si="14"/>
        <v>172</v>
      </c>
      <c r="Q152" t="str">
        <f t="shared" si="11"/>
        <v>CN2-86</v>
      </c>
    </row>
    <row r="153" spans="2:17" ht="15" customHeight="1" x14ac:dyDescent="0.35">
      <c r="B153" s="29">
        <v>6</v>
      </c>
      <c r="C153" s="29" t="s">
        <v>18</v>
      </c>
      <c r="D153" s="30">
        <v>0</v>
      </c>
      <c r="E153" s="66" t="s">
        <v>682</v>
      </c>
      <c r="F153" s="65" t="s">
        <v>683</v>
      </c>
      <c r="G153" s="26" t="s">
        <v>13301</v>
      </c>
      <c r="H153" s="29" t="s">
        <v>61</v>
      </c>
      <c r="I153" s="29"/>
      <c r="J153" s="98">
        <v>45202</v>
      </c>
      <c r="K153" s="98">
        <f t="shared" si="12"/>
        <v>46298</v>
      </c>
      <c r="L153" s="110" t="s">
        <v>62</v>
      </c>
      <c r="M153" s="112" t="str">
        <f t="shared" ca="1" si="13"/>
        <v>Alerta</v>
      </c>
      <c r="N153" s="112"/>
      <c r="O153" s="67">
        <f t="shared" ca="1" si="10"/>
        <v>996</v>
      </c>
      <c r="P153" s="67">
        <f t="shared" ca="1" si="14"/>
        <v>100</v>
      </c>
      <c r="Q153" t="str">
        <f t="shared" si="11"/>
        <v>CPV-00</v>
      </c>
    </row>
    <row r="154" spans="2:17" ht="29" x14ac:dyDescent="0.35">
      <c r="B154" s="29">
        <v>6</v>
      </c>
      <c r="C154" s="29" t="s">
        <v>18</v>
      </c>
      <c r="D154" s="30">
        <v>1</v>
      </c>
      <c r="E154" s="66" t="s">
        <v>684</v>
      </c>
      <c r="F154" s="66" t="s">
        <v>685</v>
      </c>
      <c r="G154" s="187" t="s">
        <v>13284</v>
      </c>
      <c r="H154" s="29" t="s">
        <v>61</v>
      </c>
      <c r="I154" s="29" t="s">
        <v>61</v>
      </c>
      <c r="J154" s="98">
        <v>44739</v>
      </c>
      <c r="K154" s="98">
        <f t="shared" si="12"/>
        <v>45835</v>
      </c>
      <c r="L154" s="110" t="s">
        <v>62</v>
      </c>
      <c r="M154" s="112" t="str">
        <f t="shared" ca="1" si="13"/>
        <v>Vencido</v>
      </c>
      <c r="N154" s="112"/>
      <c r="O154" s="67">
        <f t="shared" ca="1" si="10"/>
        <v>1459</v>
      </c>
      <c r="P154" s="67">
        <f t="shared" ca="1" si="14"/>
        <v>-363</v>
      </c>
      <c r="Q154" t="str">
        <f t="shared" si="11"/>
        <v>CPV-01</v>
      </c>
    </row>
    <row r="155" spans="2:17" ht="15" customHeight="1" x14ac:dyDescent="0.35">
      <c r="B155" s="29">
        <v>6</v>
      </c>
      <c r="C155" s="29" t="s">
        <v>18</v>
      </c>
      <c r="D155" s="30">
        <v>2</v>
      </c>
      <c r="E155" s="66" t="s">
        <v>686</v>
      </c>
      <c r="F155" s="66" t="s">
        <v>687</v>
      </c>
      <c r="G155" s="26" t="s">
        <v>13284</v>
      </c>
      <c r="H155" s="29" t="s">
        <v>61</v>
      </c>
      <c r="I155" s="29" t="s">
        <v>61</v>
      </c>
      <c r="J155" s="98">
        <v>44739</v>
      </c>
      <c r="K155" s="98">
        <f t="shared" si="12"/>
        <v>45835</v>
      </c>
      <c r="L155" s="110" t="s">
        <v>62</v>
      </c>
      <c r="M155" s="112" t="str">
        <f t="shared" ca="1" si="13"/>
        <v>Vencido</v>
      </c>
      <c r="N155" s="112"/>
      <c r="O155" s="67">
        <f t="shared" ca="1" si="10"/>
        <v>1459</v>
      </c>
      <c r="P155" s="67">
        <f t="shared" ca="1" si="14"/>
        <v>-363</v>
      </c>
      <c r="Q155" t="str">
        <f t="shared" si="11"/>
        <v>CPV-02</v>
      </c>
    </row>
    <row r="156" spans="2:17" ht="15" customHeight="1" x14ac:dyDescent="0.35">
      <c r="B156" s="29">
        <v>6</v>
      </c>
      <c r="C156" s="29" t="s">
        <v>18</v>
      </c>
      <c r="D156" s="30">
        <v>3</v>
      </c>
      <c r="E156" s="66" t="s">
        <v>688</v>
      </c>
      <c r="F156" s="66" t="s">
        <v>689</v>
      </c>
      <c r="G156" s="26" t="s">
        <v>13283</v>
      </c>
      <c r="H156" s="29" t="s">
        <v>61</v>
      </c>
      <c r="I156" s="29" t="s">
        <v>61</v>
      </c>
      <c r="J156" s="98">
        <v>45506</v>
      </c>
      <c r="K156" s="98">
        <f t="shared" si="12"/>
        <v>46602</v>
      </c>
      <c r="L156" s="110" t="s">
        <v>62</v>
      </c>
      <c r="M156" s="112" t="str">
        <f t="shared" ca="1" si="13"/>
        <v>Em dia</v>
      </c>
      <c r="N156" s="112"/>
      <c r="O156" s="67">
        <f t="shared" ca="1" si="10"/>
        <v>692</v>
      </c>
      <c r="P156" s="67">
        <f t="shared" ca="1" si="14"/>
        <v>404</v>
      </c>
      <c r="Q156" t="str">
        <f t="shared" si="11"/>
        <v>CPV-03</v>
      </c>
    </row>
    <row r="157" spans="2:17" ht="15" customHeight="1" x14ac:dyDescent="0.35">
      <c r="B157" s="29">
        <v>6</v>
      </c>
      <c r="C157" s="29" t="s">
        <v>18</v>
      </c>
      <c r="D157" s="30">
        <v>4</v>
      </c>
      <c r="E157" s="66" t="s">
        <v>690</v>
      </c>
      <c r="F157" s="66" t="s">
        <v>691</v>
      </c>
      <c r="G157" s="186" t="s">
        <v>13283</v>
      </c>
      <c r="H157" s="29" t="s">
        <v>61</v>
      </c>
      <c r="I157" s="29" t="s">
        <v>61</v>
      </c>
      <c r="J157" s="98">
        <v>46107</v>
      </c>
      <c r="K157" s="98">
        <f t="shared" si="12"/>
        <v>47203</v>
      </c>
      <c r="L157" s="110" t="s">
        <v>62</v>
      </c>
      <c r="M157" s="112" t="str">
        <f t="shared" ca="1" si="13"/>
        <v>Em dia</v>
      </c>
      <c r="N157" s="112"/>
      <c r="O157" s="67">
        <f t="shared" ca="1" si="10"/>
        <v>91</v>
      </c>
      <c r="P157" s="67">
        <f t="shared" ca="1" si="14"/>
        <v>1005</v>
      </c>
      <c r="Q157" t="str">
        <f t="shared" si="11"/>
        <v>CPV-04</v>
      </c>
    </row>
    <row r="158" spans="2:17" ht="15" customHeight="1" x14ac:dyDescent="0.35">
      <c r="B158" s="29">
        <v>6</v>
      </c>
      <c r="C158" s="29" t="s">
        <v>18</v>
      </c>
      <c r="D158" s="30">
        <v>5</v>
      </c>
      <c r="E158" s="66" t="s">
        <v>692</v>
      </c>
      <c r="F158" s="66" t="s">
        <v>693</v>
      </c>
      <c r="G158" s="186" t="s">
        <v>13283</v>
      </c>
      <c r="H158" s="29" t="s">
        <v>61</v>
      </c>
      <c r="I158" s="29" t="s">
        <v>61</v>
      </c>
      <c r="J158" s="98">
        <v>45202</v>
      </c>
      <c r="K158" s="98">
        <f t="shared" si="12"/>
        <v>46298</v>
      </c>
      <c r="L158" s="110" t="s">
        <v>62</v>
      </c>
      <c r="M158" s="112" t="str">
        <f t="shared" ca="1" si="13"/>
        <v>Alerta</v>
      </c>
      <c r="N158" s="112"/>
      <c r="O158" s="67">
        <f t="shared" ca="1" si="10"/>
        <v>996</v>
      </c>
      <c r="P158" s="67">
        <f t="shared" ca="1" si="14"/>
        <v>100</v>
      </c>
      <c r="Q158" t="str">
        <f t="shared" si="11"/>
        <v>CPV-05</v>
      </c>
    </row>
    <row r="159" spans="2:17" ht="15" customHeight="1" x14ac:dyDescent="0.35">
      <c r="B159" s="29">
        <v>6</v>
      </c>
      <c r="C159" s="29" t="s">
        <v>18</v>
      </c>
      <c r="D159" s="30">
        <v>6</v>
      </c>
      <c r="E159" s="66" t="s">
        <v>694</v>
      </c>
      <c r="F159" s="66" t="s">
        <v>695</v>
      </c>
      <c r="G159" s="186" t="s">
        <v>13283</v>
      </c>
      <c r="H159" s="29" t="s">
        <v>61</v>
      </c>
      <c r="I159" s="29" t="s">
        <v>61</v>
      </c>
      <c r="J159" s="98">
        <v>46107</v>
      </c>
      <c r="K159" s="98">
        <f t="shared" si="12"/>
        <v>47203</v>
      </c>
      <c r="L159" s="110" t="s">
        <v>62</v>
      </c>
      <c r="M159" s="112" t="str">
        <f t="shared" ca="1" si="13"/>
        <v>Em dia</v>
      </c>
      <c r="N159" s="112"/>
      <c r="O159" s="67">
        <f t="shared" ca="1" si="10"/>
        <v>91</v>
      </c>
      <c r="P159" s="67">
        <f t="shared" ca="1" si="14"/>
        <v>1005</v>
      </c>
      <c r="Q159" t="str">
        <f t="shared" si="11"/>
        <v>CPV-06</v>
      </c>
    </row>
    <row r="160" spans="2:17" ht="15" customHeight="1" x14ac:dyDescent="0.35">
      <c r="B160" s="29">
        <v>6</v>
      </c>
      <c r="C160" s="29" t="s">
        <v>18</v>
      </c>
      <c r="D160" s="30">
        <v>7</v>
      </c>
      <c r="E160" s="66" t="s">
        <v>696</v>
      </c>
      <c r="F160" s="66" t="s">
        <v>697</v>
      </c>
      <c r="G160" s="186" t="s">
        <v>13283</v>
      </c>
      <c r="H160" s="29" t="s">
        <v>61</v>
      </c>
      <c r="I160" s="29" t="s">
        <v>61</v>
      </c>
      <c r="J160" s="98">
        <v>45959</v>
      </c>
      <c r="K160" s="98">
        <f t="shared" si="12"/>
        <v>47055</v>
      </c>
      <c r="L160" s="110" t="s">
        <v>62</v>
      </c>
      <c r="M160" s="112" t="str">
        <f t="shared" ca="1" si="13"/>
        <v>Em dia</v>
      </c>
      <c r="N160" s="112"/>
      <c r="O160" s="67">
        <f t="shared" ca="1" si="10"/>
        <v>239</v>
      </c>
      <c r="P160" s="67">
        <f t="shared" ca="1" si="14"/>
        <v>857</v>
      </c>
      <c r="Q160" t="str">
        <f t="shared" si="11"/>
        <v>CPV-07</v>
      </c>
    </row>
    <row r="161" spans="2:17" ht="15" customHeight="1" x14ac:dyDescent="0.35">
      <c r="B161" s="29">
        <v>6</v>
      </c>
      <c r="C161" s="29" t="s">
        <v>18</v>
      </c>
      <c r="D161" s="30">
        <v>8</v>
      </c>
      <c r="E161" s="66" t="s">
        <v>698</v>
      </c>
      <c r="F161" s="66" t="s">
        <v>699</v>
      </c>
      <c r="G161" s="186" t="s">
        <v>13283</v>
      </c>
      <c r="H161" s="29" t="s">
        <v>61</v>
      </c>
      <c r="I161" s="29" t="s">
        <v>61</v>
      </c>
      <c r="J161" s="98">
        <v>45959</v>
      </c>
      <c r="K161" s="98">
        <f t="shared" si="12"/>
        <v>47055</v>
      </c>
      <c r="L161" s="110" t="s">
        <v>62</v>
      </c>
      <c r="M161" s="112" t="str">
        <f t="shared" ca="1" si="13"/>
        <v>Em dia</v>
      </c>
      <c r="N161" s="112"/>
      <c r="O161" s="67">
        <f t="shared" ca="1" si="10"/>
        <v>239</v>
      </c>
      <c r="P161" s="67">
        <f t="shared" ca="1" si="14"/>
        <v>857</v>
      </c>
      <c r="Q161" t="str">
        <f t="shared" si="11"/>
        <v>CPV-08</v>
      </c>
    </row>
    <row r="162" spans="2:17" ht="15" customHeight="1" x14ac:dyDescent="0.35">
      <c r="B162" s="29">
        <v>6</v>
      </c>
      <c r="C162" s="29" t="s">
        <v>18</v>
      </c>
      <c r="D162" s="30">
        <v>9</v>
      </c>
      <c r="E162" s="66" t="s">
        <v>700</v>
      </c>
      <c r="F162" s="66" t="s">
        <v>701</v>
      </c>
      <c r="G162" s="186" t="s">
        <v>13283</v>
      </c>
      <c r="H162" s="29" t="s">
        <v>61</v>
      </c>
      <c r="I162" s="29" t="s">
        <v>61</v>
      </c>
      <c r="J162" s="98">
        <v>45959</v>
      </c>
      <c r="K162" s="98">
        <f t="shared" si="12"/>
        <v>47055</v>
      </c>
      <c r="L162" s="110" t="s">
        <v>62</v>
      </c>
      <c r="M162" s="112" t="str">
        <f t="shared" ca="1" si="13"/>
        <v>Em dia</v>
      </c>
      <c r="N162" s="112"/>
      <c r="O162" s="67">
        <f t="shared" ca="1" si="10"/>
        <v>239</v>
      </c>
      <c r="P162" s="67">
        <f t="shared" ca="1" si="14"/>
        <v>857</v>
      </c>
      <c r="Q162" t="str">
        <f t="shared" si="11"/>
        <v>CPV-09</v>
      </c>
    </row>
    <row r="163" spans="2:17" ht="15" customHeight="1" x14ac:dyDescent="0.35">
      <c r="B163" s="29">
        <v>6</v>
      </c>
      <c r="C163" s="29" t="s">
        <v>18</v>
      </c>
      <c r="D163" s="30">
        <v>10</v>
      </c>
      <c r="E163" s="66" t="s">
        <v>702</v>
      </c>
      <c r="F163" s="66" t="s">
        <v>703</v>
      </c>
      <c r="G163" s="186" t="s">
        <v>13283</v>
      </c>
      <c r="H163" s="29" t="s">
        <v>61</v>
      </c>
      <c r="I163" s="29" t="s">
        <v>61</v>
      </c>
      <c r="J163" s="101">
        <v>45959</v>
      </c>
      <c r="K163" s="98">
        <f t="shared" si="12"/>
        <v>47055</v>
      </c>
      <c r="L163" s="110" t="s">
        <v>62</v>
      </c>
      <c r="M163" s="112" t="str">
        <f t="shared" ca="1" si="13"/>
        <v>Em dia</v>
      </c>
      <c r="N163" s="112"/>
      <c r="O163" s="67">
        <f t="shared" ca="1" si="10"/>
        <v>239</v>
      </c>
      <c r="P163" s="67">
        <f t="shared" ca="1" si="14"/>
        <v>857</v>
      </c>
      <c r="Q163" t="str">
        <f t="shared" si="11"/>
        <v>CPV-10</v>
      </c>
    </row>
    <row r="164" spans="2:17" ht="15" customHeight="1" x14ac:dyDescent="0.35">
      <c r="B164" s="29">
        <v>6</v>
      </c>
      <c r="C164" s="29" t="s">
        <v>18</v>
      </c>
      <c r="D164" s="30">
        <v>11</v>
      </c>
      <c r="E164" s="66" t="s">
        <v>704</v>
      </c>
      <c r="F164" s="66" t="s">
        <v>705</v>
      </c>
      <c r="G164" s="186" t="s">
        <v>13283</v>
      </c>
      <c r="H164" s="29" t="s">
        <v>61</v>
      </c>
      <c r="I164" s="29" t="s">
        <v>61</v>
      </c>
      <c r="J164" s="98">
        <v>46107</v>
      </c>
      <c r="K164" s="98">
        <f t="shared" si="12"/>
        <v>47203</v>
      </c>
      <c r="L164" s="110" t="s">
        <v>62</v>
      </c>
      <c r="M164" s="112" t="str">
        <f t="shared" ca="1" si="13"/>
        <v>Em dia</v>
      </c>
      <c r="N164" s="112"/>
      <c r="O164" s="67">
        <f t="shared" ca="1" si="10"/>
        <v>91</v>
      </c>
      <c r="P164" s="67">
        <f t="shared" ca="1" si="14"/>
        <v>1005</v>
      </c>
      <c r="Q164" t="str">
        <f t="shared" si="11"/>
        <v>CPV-11</v>
      </c>
    </row>
    <row r="165" spans="2:17" ht="15" customHeight="1" x14ac:dyDescent="0.35">
      <c r="B165" s="29">
        <v>6</v>
      </c>
      <c r="C165" s="29" t="s">
        <v>18</v>
      </c>
      <c r="D165" s="30">
        <v>12</v>
      </c>
      <c r="E165" s="66" t="s">
        <v>706</v>
      </c>
      <c r="F165" s="66" t="s">
        <v>707</v>
      </c>
      <c r="G165" s="186" t="s">
        <v>13283</v>
      </c>
      <c r="H165" s="29" t="s">
        <v>61</v>
      </c>
      <c r="I165" s="29" t="s">
        <v>61</v>
      </c>
      <c r="J165" s="98">
        <v>46107</v>
      </c>
      <c r="K165" s="98">
        <f t="shared" si="12"/>
        <v>47203</v>
      </c>
      <c r="L165" s="110" t="s">
        <v>62</v>
      </c>
      <c r="M165" s="112" t="str">
        <f t="shared" ca="1" si="13"/>
        <v>Em dia</v>
      </c>
      <c r="N165" s="112"/>
      <c r="O165" s="67">
        <f t="shared" ca="1" si="10"/>
        <v>91</v>
      </c>
      <c r="P165" s="67">
        <f t="shared" ca="1" si="14"/>
        <v>1005</v>
      </c>
      <c r="Q165" t="str">
        <f t="shared" si="11"/>
        <v>CPV-12</v>
      </c>
    </row>
    <row r="166" spans="2:17" ht="15" customHeight="1" x14ac:dyDescent="0.35">
      <c r="B166" s="29">
        <v>6</v>
      </c>
      <c r="C166" s="29" t="s">
        <v>18</v>
      </c>
      <c r="D166" s="30">
        <v>13</v>
      </c>
      <c r="E166" s="66" t="s">
        <v>708</v>
      </c>
      <c r="F166" s="66" t="s">
        <v>709</v>
      </c>
      <c r="G166" s="186" t="s">
        <v>13283</v>
      </c>
      <c r="H166" s="29" t="s">
        <v>61</v>
      </c>
      <c r="I166" s="29" t="s">
        <v>61</v>
      </c>
      <c r="J166" s="98">
        <v>46107</v>
      </c>
      <c r="K166" s="98">
        <f t="shared" si="12"/>
        <v>47203</v>
      </c>
      <c r="L166" s="110" t="s">
        <v>62</v>
      </c>
      <c r="M166" s="112" t="str">
        <f t="shared" ca="1" si="13"/>
        <v>Em dia</v>
      </c>
      <c r="N166" s="112"/>
      <c r="O166" s="67">
        <f t="shared" ca="1" si="10"/>
        <v>91</v>
      </c>
      <c r="P166" s="67">
        <f t="shared" ca="1" si="14"/>
        <v>1005</v>
      </c>
      <c r="Q166" t="str">
        <f t="shared" si="11"/>
        <v>CPV-13</v>
      </c>
    </row>
    <row r="167" spans="2:17" ht="15" customHeight="1" x14ac:dyDescent="0.35">
      <c r="B167" s="29">
        <v>6</v>
      </c>
      <c r="C167" s="29" t="s">
        <v>18</v>
      </c>
      <c r="D167" s="30">
        <v>14</v>
      </c>
      <c r="E167" s="66" t="s">
        <v>710</v>
      </c>
      <c r="F167" s="66" t="s">
        <v>711</v>
      </c>
      <c r="G167" s="186" t="s">
        <v>13283</v>
      </c>
      <c r="H167" s="29" t="s">
        <v>61</v>
      </c>
      <c r="I167" s="29" t="s">
        <v>61</v>
      </c>
      <c r="J167" s="98">
        <v>45202</v>
      </c>
      <c r="K167" s="98">
        <f t="shared" si="12"/>
        <v>46298</v>
      </c>
      <c r="L167" s="110" t="s">
        <v>62</v>
      </c>
      <c r="M167" s="112" t="str">
        <f t="shared" ca="1" si="13"/>
        <v>Alerta</v>
      </c>
      <c r="N167" s="112"/>
      <c r="O167" s="67">
        <f t="shared" ca="1" si="10"/>
        <v>996</v>
      </c>
      <c r="P167" s="67">
        <f t="shared" ca="1" si="14"/>
        <v>100</v>
      </c>
      <c r="Q167" t="str">
        <f t="shared" si="11"/>
        <v>CPV-14</v>
      </c>
    </row>
    <row r="168" spans="2:17" ht="15" customHeight="1" x14ac:dyDescent="0.35">
      <c r="B168" s="29">
        <v>6</v>
      </c>
      <c r="C168" s="29" t="s">
        <v>18</v>
      </c>
      <c r="D168" s="30">
        <v>15</v>
      </c>
      <c r="E168" s="66" t="s">
        <v>712</v>
      </c>
      <c r="F168" s="66" t="s">
        <v>713</v>
      </c>
      <c r="G168" s="66" t="s">
        <v>13283</v>
      </c>
      <c r="H168" s="29" t="s">
        <v>61</v>
      </c>
      <c r="I168" s="29" t="s">
        <v>61</v>
      </c>
      <c r="J168" s="98">
        <v>46107</v>
      </c>
      <c r="K168" s="98">
        <f t="shared" si="12"/>
        <v>47203</v>
      </c>
      <c r="L168" s="110" t="s">
        <v>62</v>
      </c>
      <c r="M168" s="112" t="str">
        <f t="shared" ca="1" si="13"/>
        <v>Em dia</v>
      </c>
      <c r="N168" s="112"/>
      <c r="O168" s="67">
        <f t="shared" ca="1" si="10"/>
        <v>91</v>
      </c>
      <c r="P168" s="67">
        <f t="shared" ca="1" si="14"/>
        <v>1005</v>
      </c>
      <c r="Q168" t="str">
        <f t="shared" si="11"/>
        <v>CPV-15</v>
      </c>
    </row>
    <row r="169" spans="2:17" ht="15" customHeight="1" x14ac:dyDescent="0.35">
      <c r="B169" s="29">
        <v>6</v>
      </c>
      <c r="C169" s="29" t="s">
        <v>18</v>
      </c>
      <c r="D169" s="30">
        <v>17</v>
      </c>
      <c r="E169" s="66" t="s">
        <v>714</v>
      </c>
      <c r="F169" s="66" t="s">
        <v>715</v>
      </c>
      <c r="G169" s="66" t="s">
        <v>13283</v>
      </c>
      <c r="H169" s="29" t="s">
        <v>61</v>
      </c>
      <c r="I169" s="29" t="s">
        <v>61</v>
      </c>
      <c r="J169" s="98">
        <v>45202</v>
      </c>
      <c r="K169" s="98">
        <f t="shared" si="12"/>
        <v>46298</v>
      </c>
      <c r="L169" s="110" t="s">
        <v>62</v>
      </c>
      <c r="M169" s="112" t="str">
        <f t="shared" ca="1" si="13"/>
        <v>Alerta</v>
      </c>
      <c r="N169" s="112"/>
      <c r="O169" s="67">
        <f t="shared" ca="1" si="10"/>
        <v>996</v>
      </c>
      <c r="P169" s="67">
        <f t="shared" ca="1" si="14"/>
        <v>100</v>
      </c>
      <c r="Q169" t="str">
        <f t="shared" si="11"/>
        <v>CPV-17</v>
      </c>
    </row>
    <row r="170" spans="2:17" ht="15" customHeight="1" x14ac:dyDescent="0.35">
      <c r="B170" s="29">
        <v>6</v>
      </c>
      <c r="C170" s="29" t="s">
        <v>18</v>
      </c>
      <c r="D170" s="30">
        <v>18</v>
      </c>
      <c r="E170" s="66" t="s">
        <v>716</v>
      </c>
      <c r="F170" s="66" t="s">
        <v>717</v>
      </c>
      <c r="G170" s="187" t="s">
        <v>13283</v>
      </c>
      <c r="H170" s="29" t="s">
        <v>61</v>
      </c>
      <c r="I170" s="29" t="s">
        <v>61</v>
      </c>
      <c r="J170" s="98">
        <v>45645</v>
      </c>
      <c r="K170" s="98">
        <f t="shared" si="12"/>
        <v>46741</v>
      </c>
      <c r="L170" s="110" t="s">
        <v>62</v>
      </c>
      <c r="M170" s="112" t="str">
        <f t="shared" ca="1" si="13"/>
        <v>Em dia</v>
      </c>
      <c r="N170" s="112"/>
      <c r="O170" s="67">
        <f t="shared" ca="1" si="10"/>
        <v>553</v>
      </c>
      <c r="P170" s="67">
        <f t="shared" ca="1" si="14"/>
        <v>543</v>
      </c>
      <c r="Q170" t="str">
        <f t="shared" si="11"/>
        <v>CPV-18</v>
      </c>
    </row>
    <row r="171" spans="2:17" ht="15" customHeight="1" x14ac:dyDescent="0.35">
      <c r="B171" s="29">
        <v>6</v>
      </c>
      <c r="C171" s="29" t="s">
        <v>18</v>
      </c>
      <c r="D171" s="30">
        <v>19</v>
      </c>
      <c r="E171" s="66" t="s">
        <v>718</v>
      </c>
      <c r="F171" s="66" t="s">
        <v>719</v>
      </c>
      <c r="G171" s="187" t="s">
        <v>13283</v>
      </c>
      <c r="H171" s="29" t="s">
        <v>61</v>
      </c>
      <c r="I171" s="29" t="s">
        <v>61</v>
      </c>
      <c r="J171" s="98">
        <v>45959</v>
      </c>
      <c r="K171" s="98">
        <f t="shared" si="12"/>
        <v>47055</v>
      </c>
      <c r="L171" s="110" t="s">
        <v>62</v>
      </c>
      <c r="M171" s="112" t="str">
        <f t="shared" ca="1" si="13"/>
        <v>Em dia</v>
      </c>
      <c r="N171" s="112"/>
      <c r="O171" s="67">
        <f t="shared" ca="1" si="10"/>
        <v>239</v>
      </c>
      <c r="P171" s="67">
        <f t="shared" ca="1" si="14"/>
        <v>857</v>
      </c>
      <c r="Q171" t="str">
        <f t="shared" si="11"/>
        <v>CPV-19</v>
      </c>
    </row>
    <row r="172" spans="2:17" ht="15" customHeight="1" x14ac:dyDescent="0.35">
      <c r="B172" s="29">
        <v>6</v>
      </c>
      <c r="C172" s="29" t="s">
        <v>18</v>
      </c>
      <c r="D172" s="30">
        <v>20</v>
      </c>
      <c r="E172" s="66" t="s">
        <v>720</v>
      </c>
      <c r="F172" s="66" t="s">
        <v>721</v>
      </c>
      <c r="G172" s="66" t="s">
        <v>13284</v>
      </c>
      <c r="H172" s="29" t="s">
        <v>61</v>
      </c>
      <c r="I172" s="29" t="s">
        <v>61</v>
      </c>
      <c r="J172" s="98">
        <v>44889</v>
      </c>
      <c r="K172" s="98">
        <f t="shared" si="12"/>
        <v>45985</v>
      </c>
      <c r="L172" s="110" t="s">
        <v>62</v>
      </c>
      <c r="M172" s="112" t="str">
        <f t="shared" ca="1" si="13"/>
        <v>Vencido</v>
      </c>
      <c r="N172" s="112"/>
      <c r="O172" s="67">
        <f t="shared" ca="1" si="10"/>
        <v>1309</v>
      </c>
      <c r="P172" s="67">
        <f t="shared" ca="1" si="14"/>
        <v>-213</v>
      </c>
      <c r="Q172" t="str">
        <f t="shared" si="11"/>
        <v>CPV-20</v>
      </c>
    </row>
    <row r="173" spans="2:17" ht="15" customHeight="1" x14ac:dyDescent="0.35">
      <c r="B173" s="29">
        <v>6</v>
      </c>
      <c r="C173" s="29" t="s">
        <v>18</v>
      </c>
      <c r="D173" s="30">
        <v>21</v>
      </c>
      <c r="E173" s="66" t="s">
        <v>722</v>
      </c>
      <c r="F173" s="66" t="s">
        <v>723</v>
      </c>
      <c r="G173" s="187" t="s">
        <v>13283</v>
      </c>
      <c r="H173" s="29" t="s">
        <v>61</v>
      </c>
      <c r="I173" s="29" t="s">
        <v>61</v>
      </c>
      <c r="J173" s="98">
        <v>45645</v>
      </c>
      <c r="K173" s="98">
        <f t="shared" si="12"/>
        <v>46741</v>
      </c>
      <c r="L173" s="110" t="s">
        <v>62</v>
      </c>
      <c r="M173" s="112" t="str">
        <f t="shared" ca="1" si="13"/>
        <v>Em dia</v>
      </c>
      <c r="N173" s="112"/>
      <c r="O173" s="67">
        <f t="shared" ca="1" si="10"/>
        <v>553</v>
      </c>
      <c r="P173" s="67">
        <f t="shared" ca="1" si="14"/>
        <v>543</v>
      </c>
      <c r="Q173" t="str">
        <f t="shared" si="11"/>
        <v>CPV-21</v>
      </c>
    </row>
    <row r="174" spans="2:17" ht="15" customHeight="1" x14ac:dyDescent="0.35">
      <c r="B174" s="29">
        <v>6</v>
      </c>
      <c r="C174" s="29" t="s">
        <v>18</v>
      </c>
      <c r="D174" s="30">
        <v>22</v>
      </c>
      <c r="E174" s="66" t="s">
        <v>724</v>
      </c>
      <c r="F174" s="66" t="s">
        <v>725</v>
      </c>
      <c r="G174" s="66" t="s">
        <v>13284</v>
      </c>
      <c r="H174" s="29" t="s">
        <v>61</v>
      </c>
      <c r="I174" s="29" t="s">
        <v>61</v>
      </c>
      <c r="J174" s="98">
        <v>44739</v>
      </c>
      <c r="K174" s="98">
        <f t="shared" si="12"/>
        <v>45835</v>
      </c>
      <c r="L174" s="110" t="s">
        <v>62</v>
      </c>
      <c r="M174" s="112" t="str">
        <f t="shared" ca="1" si="13"/>
        <v>Vencido</v>
      </c>
      <c r="N174" s="112"/>
      <c r="O174" s="67">
        <f t="shared" ca="1" si="10"/>
        <v>1459</v>
      </c>
      <c r="P174" s="67">
        <f t="shared" ca="1" si="14"/>
        <v>-363</v>
      </c>
      <c r="Q174" t="str">
        <f t="shared" si="11"/>
        <v>CPV-22</v>
      </c>
    </row>
    <row r="175" spans="2:17" ht="15" customHeight="1" x14ac:dyDescent="0.35">
      <c r="B175" s="29">
        <v>6</v>
      </c>
      <c r="C175" s="29" t="s">
        <v>18</v>
      </c>
      <c r="D175" s="30">
        <v>23</v>
      </c>
      <c r="E175" s="66" t="s">
        <v>726</v>
      </c>
      <c r="F175" s="66" t="s">
        <v>727</v>
      </c>
      <c r="G175" s="187" t="s">
        <v>13284</v>
      </c>
      <c r="H175" s="29" t="s">
        <v>61</v>
      </c>
      <c r="I175" s="29" t="s">
        <v>61</v>
      </c>
      <c r="J175" s="98">
        <v>44374</v>
      </c>
      <c r="K175" s="98">
        <f t="shared" si="12"/>
        <v>45470</v>
      </c>
      <c r="L175" s="110" t="s">
        <v>62</v>
      </c>
      <c r="M175" s="112" t="str">
        <f t="shared" ca="1" si="13"/>
        <v>Vencido</v>
      </c>
      <c r="N175" s="112"/>
      <c r="O175" s="67">
        <f t="shared" ca="1" si="10"/>
        <v>1824</v>
      </c>
      <c r="P175" s="67">
        <f t="shared" ca="1" si="14"/>
        <v>-728</v>
      </c>
      <c r="Q175" t="str">
        <f t="shared" si="11"/>
        <v>CPV-23</v>
      </c>
    </row>
    <row r="176" spans="2:17" ht="15" customHeight="1" x14ac:dyDescent="0.35">
      <c r="B176" s="29">
        <v>6</v>
      </c>
      <c r="C176" s="29" t="s">
        <v>18</v>
      </c>
      <c r="D176" s="30">
        <v>24</v>
      </c>
      <c r="E176" s="66" t="s">
        <v>728</v>
      </c>
      <c r="F176" s="66" t="s">
        <v>729</v>
      </c>
      <c r="G176" s="187" t="s">
        <v>13284</v>
      </c>
      <c r="H176" s="29" t="s">
        <v>61</v>
      </c>
      <c r="I176" s="29" t="s">
        <v>61</v>
      </c>
      <c r="J176" s="98">
        <v>44739</v>
      </c>
      <c r="K176" s="98">
        <f t="shared" si="12"/>
        <v>45835</v>
      </c>
      <c r="L176" s="110" t="s">
        <v>62</v>
      </c>
      <c r="M176" s="112" t="str">
        <f t="shared" ca="1" si="13"/>
        <v>Vencido</v>
      </c>
      <c r="N176" s="112"/>
      <c r="O176" s="67">
        <f t="shared" ca="1" si="10"/>
        <v>1459</v>
      </c>
      <c r="P176" s="67">
        <f t="shared" ca="1" si="14"/>
        <v>-363</v>
      </c>
      <c r="Q176" t="str">
        <f t="shared" si="11"/>
        <v>CPV-24</v>
      </c>
    </row>
    <row r="177" spans="2:17" ht="15" customHeight="1" x14ac:dyDescent="0.35">
      <c r="B177" s="29">
        <v>6</v>
      </c>
      <c r="C177" s="29" t="s">
        <v>18</v>
      </c>
      <c r="D177" s="30">
        <v>25</v>
      </c>
      <c r="E177" s="66" t="s">
        <v>730</v>
      </c>
      <c r="F177" s="66" t="s">
        <v>731</v>
      </c>
      <c r="G177" s="187" t="s">
        <v>13283</v>
      </c>
      <c r="H177" s="29" t="s">
        <v>61</v>
      </c>
      <c r="I177" s="29" t="s">
        <v>61</v>
      </c>
      <c r="J177" s="98">
        <v>46009</v>
      </c>
      <c r="K177" s="98">
        <f t="shared" si="12"/>
        <v>47105</v>
      </c>
      <c r="L177" s="110" t="s">
        <v>62</v>
      </c>
      <c r="M177" s="112" t="str">
        <f t="shared" ca="1" si="13"/>
        <v>Em dia</v>
      </c>
      <c r="N177" s="112"/>
      <c r="O177" s="67">
        <f t="shared" ca="1" si="10"/>
        <v>189</v>
      </c>
      <c r="P177" s="67">
        <f t="shared" ca="1" si="14"/>
        <v>907</v>
      </c>
      <c r="Q177" t="str">
        <f t="shared" si="11"/>
        <v>CPV-25</v>
      </c>
    </row>
    <row r="178" spans="2:17" ht="15" customHeight="1" x14ac:dyDescent="0.35">
      <c r="B178" s="29">
        <v>6</v>
      </c>
      <c r="C178" s="29" t="s">
        <v>18</v>
      </c>
      <c r="D178" s="30">
        <v>26</v>
      </c>
      <c r="E178" s="66" t="s">
        <v>732</v>
      </c>
      <c r="F178" s="66" t="s">
        <v>733</v>
      </c>
      <c r="G178" s="187" t="s">
        <v>13284</v>
      </c>
      <c r="H178" s="29" t="s">
        <v>61</v>
      </c>
      <c r="I178" s="29" t="s">
        <v>61</v>
      </c>
      <c r="J178" s="98">
        <v>44739</v>
      </c>
      <c r="K178" s="98">
        <f t="shared" si="12"/>
        <v>45835</v>
      </c>
      <c r="L178" s="110" t="s">
        <v>62</v>
      </c>
      <c r="M178" s="112" t="str">
        <f t="shared" ca="1" si="13"/>
        <v>Vencido</v>
      </c>
      <c r="N178" s="112"/>
      <c r="O178" s="67">
        <f t="shared" ca="1" si="10"/>
        <v>1459</v>
      </c>
      <c r="P178" s="67">
        <f t="shared" ca="1" si="14"/>
        <v>-363</v>
      </c>
      <c r="Q178" t="str">
        <f t="shared" si="11"/>
        <v>CPV-26</v>
      </c>
    </row>
    <row r="179" spans="2:17" ht="15" customHeight="1" x14ac:dyDescent="0.35">
      <c r="B179" s="29">
        <v>6</v>
      </c>
      <c r="C179" s="29" t="s">
        <v>18</v>
      </c>
      <c r="D179" s="30">
        <v>27</v>
      </c>
      <c r="E179" s="66" t="s">
        <v>734</v>
      </c>
      <c r="F179" s="66" t="s">
        <v>735</v>
      </c>
      <c r="G179" s="187" t="s">
        <v>13284</v>
      </c>
      <c r="H179" s="29" t="s">
        <v>61</v>
      </c>
      <c r="I179" s="29" t="s">
        <v>61</v>
      </c>
      <c r="J179" s="98">
        <v>44739</v>
      </c>
      <c r="K179" s="98">
        <f t="shared" si="12"/>
        <v>45835</v>
      </c>
      <c r="L179" s="110" t="s">
        <v>62</v>
      </c>
      <c r="M179" s="112" t="str">
        <f t="shared" ca="1" si="13"/>
        <v>Vencido</v>
      </c>
      <c r="N179" s="112"/>
      <c r="O179" s="67">
        <f t="shared" ca="1" si="10"/>
        <v>1459</v>
      </c>
      <c r="P179" s="67">
        <f t="shared" ca="1" si="14"/>
        <v>-363</v>
      </c>
      <c r="Q179" t="str">
        <f t="shared" si="11"/>
        <v>CPV-27</v>
      </c>
    </row>
    <row r="180" spans="2:17" ht="15" customHeight="1" x14ac:dyDescent="0.35">
      <c r="B180" s="29">
        <v>6</v>
      </c>
      <c r="C180" s="29" t="s">
        <v>18</v>
      </c>
      <c r="D180" s="30">
        <v>28</v>
      </c>
      <c r="E180" s="66" t="s">
        <v>736</v>
      </c>
      <c r="F180" s="66" t="s">
        <v>737</v>
      </c>
      <c r="G180" s="187" t="s">
        <v>13284</v>
      </c>
      <c r="H180" s="29" t="s">
        <v>61</v>
      </c>
      <c r="I180" s="29" t="s">
        <v>61</v>
      </c>
      <c r="J180" s="98">
        <v>45202</v>
      </c>
      <c r="K180" s="98">
        <f t="shared" si="12"/>
        <v>46298</v>
      </c>
      <c r="L180" s="110" t="s">
        <v>62</v>
      </c>
      <c r="M180" s="112" t="str">
        <f t="shared" ca="1" si="13"/>
        <v>Alerta</v>
      </c>
      <c r="N180" s="112"/>
      <c r="O180" s="67">
        <f t="shared" ca="1" si="10"/>
        <v>996</v>
      </c>
      <c r="P180" s="67">
        <f t="shared" ca="1" si="14"/>
        <v>100</v>
      </c>
      <c r="Q180" t="str">
        <f t="shared" si="11"/>
        <v>CPV-28</v>
      </c>
    </row>
    <row r="181" spans="2:17" ht="15" customHeight="1" x14ac:dyDescent="0.35">
      <c r="B181" s="29">
        <v>6</v>
      </c>
      <c r="C181" s="29" t="s">
        <v>18</v>
      </c>
      <c r="D181" s="30">
        <v>29</v>
      </c>
      <c r="E181" s="66" t="s">
        <v>738</v>
      </c>
      <c r="F181" s="66" t="s">
        <v>739</v>
      </c>
      <c r="G181" s="187" t="s">
        <v>13284</v>
      </c>
      <c r="H181" s="29" t="s">
        <v>61</v>
      </c>
      <c r="I181" s="29" t="s">
        <v>61</v>
      </c>
      <c r="J181" s="98">
        <v>45202</v>
      </c>
      <c r="K181" s="98">
        <f t="shared" si="12"/>
        <v>46298</v>
      </c>
      <c r="L181" s="110" t="s">
        <v>62</v>
      </c>
      <c r="M181" s="112" t="str">
        <f t="shared" ca="1" si="13"/>
        <v>Alerta</v>
      </c>
      <c r="N181" s="112"/>
      <c r="O181" s="67">
        <f t="shared" ca="1" si="10"/>
        <v>996</v>
      </c>
      <c r="P181" s="67">
        <f t="shared" ca="1" si="14"/>
        <v>100</v>
      </c>
      <c r="Q181" t="str">
        <f t="shared" si="11"/>
        <v>CPV-29</v>
      </c>
    </row>
    <row r="182" spans="2:17" ht="15" customHeight="1" x14ac:dyDescent="0.35">
      <c r="B182" s="29">
        <v>6</v>
      </c>
      <c r="C182" s="29" t="s">
        <v>18</v>
      </c>
      <c r="D182" s="30">
        <v>33</v>
      </c>
      <c r="E182" s="66" t="s">
        <v>740</v>
      </c>
      <c r="F182" s="66" t="s">
        <v>741</v>
      </c>
      <c r="G182" s="187" t="s">
        <v>13284</v>
      </c>
      <c r="H182" s="29" t="s">
        <v>61</v>
      </c>
      <c r="I182" s="29" t="s">
        <v>61</v>
      </c>
      <c r="J182" s="98">
        <v>44739</v>
      </c>
      <c r="K182" s="98">
        <f t="shared" si="12"/>
        <v>45835</v>
      </c>
      <c r="L182" s="110" t="s">
        <v>62</v>
      </c>
      <c r="M182" s="112" t="str">
        <f t="shared" ca="1" si="13"/>
        <v>Vencido</v>
      </c>
      <c r="N182" s="112"/>
      <c r="O182" s="67">
        <f t="shared" ca="1" si="10"/>
        <v>1459</v>
      </c>
      <c r="P182" s="67">
        <f t="shared" ca="1" si="14"/>
        <v>-363</v>
      </c>
      <c r="Q182" t="str">
        <f t="shared" si="11"/>
        <v>CPV-33</v>
      </c>
    </row>
    <row r="183" spans="2:17" ht="15" customHeight="1" x14ac:dyDescent="0.35">
      <c r="B183" s="29">
        <v>6</v>
      </c>
      <c r="C183" s="29" t="s">
        <v>18</v>
      </c>
      <c r="D183" s="30">
        <v>40</v>
      </c>
      <c r="E183" s="66" t="s">
        <v>742</v>
      </c>
      <c r="F183" s="66" t="s">
        <v>743</v>
      </c>
      <c r="G183" s="187" t="s">
        <v>13283</v>
      </c>
      <c r="H183" s="29" t="s">
        <v>61</v>
      </c>
      <c r="I183" s="29"/>
      <c r="J183" s="98">
        <v>45202</v>
      </c>
      <c r="K183" s="98">
        <f t="shared" si="12"/>
        <v>46298</v>
      </c>
      <c r="L183" s="110" t="s">
        <v>62</v>
      </c>
      <c r="M183" s="112" t="str">
        <f t="shared" ca="1" si="13"/>
        <v>Alerta</v>
      </c>
      <c r="N183" s="112"/>
      <c r="O183" s="67">
        <f t="shared" ca="1" si="10"/>
        <v>996</v>
      </c>
      <c r="P183" s="67">
        <f t="shared" ca="1" si="14"/>
        <v>100</v>
      </c>
      <c r="Q183" t="str">
        <f t="shared" si="11"/>
        <v>CPV-40</v>
      </c>
    </row>
    <row r="184" spans="2:17" ht="15" customHeight="1" x14ac:dyDescent="0.35">
      <c r="B184" s="29">
        <v>6</v>
      </c>
      <c r="C184" s="29" t="s">
        <v>18</v>
      </c>
      <c r="D184" s="30">
        <v>41</v>
      </c>
      <c r="E184" s="66" t="s">
        <v>744</v>
      </c>
      <c r="F184" s="66" t="s">
        <v>745</v>
      </c>
      <c r="G184" s="187" t="s">
        <v>13283</v>
      </c>
      <c r="H184" s="29" t="s">
        <v>61</v>
      </c>
      <c r="I184" s="29"/>
      <c r="J184" s="98">
        <v>45202</v>
      </c>
      <c r="K184" s="98">
        <f t="shared" si="12"/>
        <v>46298</v>
      </c>
      <c r="L184" s="110" t="s">
        <v>62</v>
      </c>
      <c r="M184" s="112" t="str">
        <f t="shared" ca="1" si="13"/>
        <v>Alerta</v>
      </c>
      <c r="N184" s="112"/>
      <c r="O184" s="67">
        <f t="shared" ca="1" si="10"/>
        <v>996</v>
      </c>
      <c r="P184" s="67">
        <f t="shared" ca="1" si="14"/>
        <v>100</v>
      </c>
      <c r="Q184" t="str">
        <f t="shared" si="11"/>
        <v>CPV-41</v>
      </c>
    </row>
    <row r="185" spans="2:17" ht="15" customHeight="1" x14ac:dyDescent="0.35">
      <c r="B185" s="29">
        <v>6</v>
      </c>
      <c r="C185" s="29" t="s">
        <v>18</v>
      </c>
      <c r="D185" s="30">
        <v>51</v>
      </c>
      <c r="E185" s="66" t="s">
        <v>746</v>
      </c>
      <c r="F185" s="66" t="s">
        <v>747</v>
      </c>
      <c r="G185" s="187" t="s">
        <v>13283</v>
      </c>
      <c r="H185" s="29" t="s">
        <v>61</v>
      </c>
      <c r="I185" s="29"/>
      <c r="J185" s="98">
        <v>45959</v>
      </c>
      <c r="K185" s="98">
        <f t="shared" si="12"/>
        <v>47055</v>
      </c>
      <c r="L185" s="110" t="s">
        <v>62</v>
      </c>
      <c r="M185" s="112" t="str">
        <f t="shared" ca="1" si="13"/>
        <v>Em dia</v>
      </c>
      <c r="N185" s="112"/>
      <c r="O185" s="67">
        <f t="shared" ca="1" si="10"/>
        <v>239</v>
      </c>
      <c r="P185" s="67">
        <f t="shared" ca="1" si="14"/>
        <v>857</v>
      </c>
      <c r="Q185" t="str">
        <f t="shared" si="11"/>
        <v>CPV-51</v>
      </c>
    </row>
    <row r="186" spans="2:17" ht="15" customHeight="1" x14ac:dyDescent="0.35">
      <c r="B186" s="29">
        <v>6</v>
      </c>
      <c r="C186" s="29" t="s">
        <v>18</v>
      </c>
      <c r="D186" s="30">
        <v>58</v>
      </c>
      <c r="E186" s="66" t="s">
        <v>748</v>
      </c>
      <c r="F186" s="66" t="s">
        <v>749</v>
      </c>
      <c r="G186" s="66" t="s">
        <v>13284</v>
      </c>
      <c r="H186" s="29" t="s">
        <v>61</v>
      </c>
      <c r="I186" s="29" t="s">
        <v>61</v>
      </c>
      <c r="J186" s="98">
        <v>44739</v>
      </c>
      <c r="K186" s="98">
        <f t="shared" si="12"/>
        <v>45835</v>
      </c>
      <c r="L186" s="110" t="s">
        <v>62</v>
      </c>
      <c r="M186" s="112" t="str">
        <f t="shared" ca="1" si="13"/>
        <v>Vencido</v>
      </c>
      <c r="N186" s="112"/>
      <c r="O186" s="67">
        <f t="shared" ca="1" si="10"/>
        <v>1459</v>
      </c>
      <c r="P186" s="67">
        <f t="shared" ca="1" si="14"/>
        <v>-363</v>
      </c>
      <c r="Q186" t="str">
        <f t="shared" si="11"/>
        <v>CPV-58</v>
      </c>
    </row>
    <row r="187" spans="2:17" ht="15" customHeight="1" x14ac:dyDescent="0.35">
      <c r="B187" s="29">
        <v>6</v>
      </c>
      <c r="C187" s="29" t="s">
        <v>18</v>
      </c>
      <c r="D187" s="30">
        <v>59</v>
      </c>
      <c r="E187" s="66" t="s">
        <v>750</v>
      </c>
      <c r="F187" s="66" t="s">
        <v>751</v>
      </c>
      <c r="G187" s="187" t="s">
        <v>13283</v>
      </c>
      <c r="H187" s="29" t="s">
        <v>61</v>
      </c>
      <c r="I187" s="29" t="s">
        <v>61</v>
      </c>
      <c r="J187" s="98">
        <v>45462</v>
      </c>
      <c r="K187" s="98">
        <f t="shared" si="12"/>
        <v>46558</v>
      </c>
      <c r="L187" s="110" t="s">
        <v>62</v>
      </c>
      <c r="M187" s="112" t="str">
        <f t="shared" ca="1" si="13"/>
        <v>Alerta</v>
      </c>
      <c r="N187" s="112"/>
      <c r="O187" s="67">
        <f t="shared" ca="1" si="10"/>
        <v>736</v>
      </c>
      <c r="P187" s="67">
        <f t="shared" ca="1" si="14"/>
        <v>360</v>
      </c>
      <c r="Q187" t="str">
        <f t="shared" si="11"/>
        <v>CPV-59</v>
      </c>
    </row>
    <row r="188" spans="2:17" ht="15" customHeight="1" x14ac:dyDescent="0.35">
      <c r="B188" s="29">
        <v>6</v>
      </c>
      <c r="C188" s="29" t="s">
        <v>18</v>
      </c>
      <c r="D188" s="30">
        <v>60</v>
      </c>
      <c r="E188" s="66" t="s">
        <v>752</v>
      </c>
      <c r="F188" s="66" t="s">
        <v>753</v>
      </c>
      <c r="G188" s="187" t="s">
        <v>13284</v>
      </c>
      <c r="H188" s="29" t="s">
        <v>61</v>
      </c>
      <c r="I188" s="29" t="s">
        <v>61</v>
      </c>
      <c r="J188" s="98">
        <v>44819</v>
      </c>
      <c r="K188" s="98">
        <f t="shared" si="12"/>
        <v>45915</v>
      </c>
      <c r="L188" s="110" t="s">
        <v>62</v>
      </c>
      <c r="M188" s="112" t="str">
        <f t="shared" ca="1" si="13"/>
        <v>Vencido</v>
      </c>
      <c r="N188" s="112"/>
      <c r="O188" s="67">
        <f t="shared" ca="1" si="10"/>
        <v>1379</v>
      </c>
      <c r="P188" s="67">
        <f t="shared" ca="1" si="14"/>
        <v>-283</v>
      </c>
      <c r="Q188" t="str">
        <f t="shared" si="11"/>
        <v>CPV-60</v>
      </c>
    </row>
    <row r="189" spans="2:17" ht="15" customHeight="1" x14ac:dyDescent="0.35">
      <c r="B189" s="29">
        <v>6</v>
      </c>
      <c r="C189" s="29" t="s">
        <v>18</v>
      </c>
      <c r="D189" s="30">
        <v>61</v>
      </c>
      <c r="E189" s="66" t="s">
        <v>754</v>
      </c>
      <c r="F189" s="66" t="s">
        <v>755</v>
      </c>
      <c r="G189" s="187" t="s">
        <v>13284</v>
      </c>
      <c r="H189" s="29" t="s">
        <v>61</v>
      </c>
      <c r="I189" s="29" t="s">
        <v>61</v>
      </c>
      <c r="J189" s="98">
        <v>44926</v>
      </c>
      <c r="K189" s="98">
        <f t="shared" si="12"/>
        <v>46022</v>
      </c>
      <c r="L189" s="110" t="s">
        <v>62</v>
      </c>
      <c r="M189" s="112" t="str">
        <f t="shared" ca="1" si="13"/>
        <v>Vencido</v>
      </c>
      <c r="N189" s="112"/>
      <c r="O189" s="67">
        <f t="shared" ca="1" si="10"/>
        <v>1272</v>
      </c>
      <c r="P189" s="67">
        <f t="shared" ca="1" si="14"/>
        <v>-176</v>
      </c>
      <c r="Q189" t="str">
        <f t="shared" si="11"/>
        <v>CPV-61</v>
      </c>
    </row>
    <row r="190" spans="2:17" ht="15" customHeight="1" x14ac:dyDescent="0.35">
      <c r="B190" s="29">
        <v>6</v>
      </c>
      <c r="C190" s="29" t="s">
        <v>18</v>
      </c>
      <c r="D190" s="30">
        <v>62</v>
      </c>
      <c r="E190" s="66" t="s">
        <v>756</v>
      </c>
      <c r="F190" s="66" t="s">
        <v>757</v>
      </c>
      <c r="G190" s="193" t="s">
        <v>13284</v>
      </c>
      <c r="H190" s="29" t="s">
        <v>61</v>
      </c>
      <c r="I190" s="29" t="s">
        <v>61</v>
      </c>
      <c r="J190" s="98">
        <v>44926</v>
      </c>
      <c r="K190" s="98">
        <f t="shared" si="12"/>
        <v>46022</v>
      </c>
      <c r="L190" s="110" t="s">
        <v>62</v>
      </c>
      <c r="M190" s="112" t="str">
        <f t="shared" ca="1" si="13"/>
        <v>Vencido</v>
      </c>
      <c r="N190" s="112"/>
      <c r="O190" s="67">
        <f t="shared" ca="1" si="10"/>
        <v>1272</v>
      </c>
      <c r="P190" s="67">
        <f t="shared" ca="1" si="14"/>
        <v>-176</v>
      </c>
      <c r="Q190" t="str">
        <f t="shared" si="11"/>
        <v>CPV-62</v>
      </c>
    </row>
    <row r="191" spans="2:17" ht="15" customHeight="1" x14ac:dyDescent="0.35">
      <c r="B191" s="29">
        <v>6</v>
      </c>
      <c r="C191" s="29" t="s">
        <v>18</v>
      </c>
      <c r="D191" s="30">
        <v>63</v>
      </c>
      <c r="E191" s="66" t="s">
        <v>758</v>
      </c>
      <c r="F191" s="66" t="s">
        <v>759</v>
      </c>
      <c r="G191" s="193" t="s">
        <v>13308</v>
      </c>
      <c r="H191" s="29" t="s">
        <v>61</v>
      </c>
      <c r="I191" s="29" t="s">
        <v>61</v>
      </c>
      <c r="J191" s="98">
        <v>44838</v>
      </c>
      <c r="K191" s="98">
        <f t="shared" si="12"/>
        <v>45934</v>
      </c>
      <c r="L191" s="110" t="s">
        <v>62</v>
      </c>
      <c r="M191" s="112" t="str">
        <f t="shared" ca="1" si="13"/>
        <v>Vencido</v>
      </c>
      <c r="N191" s="112"/>
      <c r="O191" s="67">
        <f t="shared" ca="1" si="10"/>
        <v>1360</v>
      </c>
      <c r="P191" s="67">
        <f t="shared" ca="1" si="14"/>
        <v>-264</v>
      </c>
      <c r="Q191" t="str">
        <f t="shared" si="11"/>
        <v>CPV-63</v>
      </c>
    </row>
    <row r="192" spans="2:17" ht="15" customHeight="1" x14ac:dyDescent="0.35">
      <c r="B192" s="29">
        <v>6</v>
      </c>
      <c r="C192" s="29" t="s">
        <v>18</v>
      </c>
      <c r="D192" s="30">
        <v>65</v>
      </c>
      <c r="E192" s="66" t="s">
        <v>760</v>
      </c>
      <c r="F192" s="66" t="s">
        <v>761</v>
      </c>
      <c r="G192" s="187" t="s">
        <v>13284</v>
      </c>
      <c r="H192" s="29" t="s">
        <v>61</v>
      </c>
      <c r="I192" s="29" t="s">
        <v>61</v>
      </c>
      <c r="J192" s="98">
        <v>45202</v>
      </c>
      <c r="K192" s="98">
        <f t="shared" si="12"/>
        <v>46298</v>
      </c>
      <c r="L192" s="110" t="s">
        <v>62</v>
      </c>
      <c r="M192" s="112" t="str">
        <f t="shared" ca="1" si="13"/>
        <v>Alerta</v>
      </c>
      <c r="N192" s="112"/>
      <c r="O192" s="67">
        <f t="shared" ca="1" si="10"/>
        <v>996</v>
      </c>
      <c r="P192" s="67">
        <f t="shared" ca="1" si="14"/>
        <v>100</v>
      </c>
      <c r="Q192" t="str">
        <f t="shared" si="11"/>
        <v>CPV-65</v>
      </c>
    </row>
    <row r="193" spans="2:17" ht="15" customHeight="1" x14ac:dyDescent="0.35">
      <c r="B193" s="29">
        <v>6</v>
      </c>
      <c r="C193" s="29" t="s">
        <v>18</v>
      </c>
      <c r="D193" s="30">
        <v>65</v>
      </c>
      <c r="E193" s="66" t="s">
        <v>762</v>
      </c>
      <c r="F193" s="66" t="s">
        <v>763</v>
      </c>
      <c r="G193" s="187" t="s">
        <v>13284</v>
      </c>
      <c r="H193" s="29" t="s">
        <v>61</v>
      </c>
      <c r="I193" s="29" t="s">
        <v>61</v>
      </c>
      <c r="J193" s="98">
        <v>45202</v>
      </c>
      <c r="K193" s="98">
        <f t="shared" si="12"/>
        <v>46298</v>
      </c>
      <c r="L193" s="110" t="s">
        <v>62</v>
      </c>
      <c r="M193" s="112" t="str">
        <f t="shared" ca="1" si="13"/>
        <v>Alerta</v>
      </c>
      <c r="N193" s="112"/>
      <c r="O193" s="67">
        <f t="shared" ca="1" si="10"/>
        <v>996</v>
      </c>
      <c r="P193" s="67">
        <f t="shared" ca="1" si="14"/>
        <v>100</v>
      </c>
      <c r="Q193" t="str">
        <f t="shared" si="11"/>
        <v>CPV-65</v>
      </c>
    </row>
    <row r="194" spans="2:17" ht="15" customHeight="1" x14ac:dyDescent="0.35">
      <c r="B194" s="29">
        <v>6</v>
      </c>
      <c r="C194" s="29" t="s">
        <v>18</v>
      </c>
      <c r="D194" s="30">
        <v>71</v>
      </c>
      <c r="E194" s="66" t="s">
        <v>764</v>
      </c>
      <c r="F194" s="66" t="s">
        <v>765</v>
      </c>
      <c r="G194" s="26" t="s">
        <v>13282</v>
      </c>
      <c r="H194" s="29" t="s">
        <v>61</v>
      </c>
      <c r="I194" s="29" t="s">
        <v>61</v>
      </c>
      <c r="J194" s="98">
        <v>45202</v>
      </c>
      <c r="K194" s="98">
        <f t="shared" si="12"/>
        <v>46298</v>
      </c>
      <c r="L194" s="110" t="s">
        <v>62</v>
      </c>
      <c r="M194" s="112" t="str">
        <f t="shared" ca="1" si="13"/>
        <v>Alerta</v>
      </c>
      <c r="N194" s="112"/>
      <c r="O194" s="67">
        <f t="shared" ca="1" si="10"/>
        <v>996</v>
      </c>
      <c r="P194" s="67">
        <f t="shared" ca="1" si="14"/>
        <v>100</v>
      </c>
      <c r="Q194" t="str">
        <f t="shared" si="11"/>
        <v>CPV-71</v>
      </c>
    </row>
    <row r="195" spans="2:17" ht="15" customHeight="1" x14ac:dyDescent="0.35">
      <c r="B195" s="29">
        <v>6</v>
      </c>
      <c r="C195" s="29" t="s">
        <v>18</v>
      </c>
      <c r="D195" s="30" t="s">
        <v>464</v>
      </c>
      <c r="E195" s="66" t="s">
        <v>766</v>
      </c>
      <c r="F195" s="66" t="s">
        <v>767</v>
      </c>
      <c r="G195" s="187" t="s">
        <v>13284</v>
      </c>
      <c r="H195" s="29" t="s">
        <v>61</v>
      </c>
      <c r="I195" s="29" t="s">
        <v>61</v>
      </c>
      <c r="J195" s="98">
        <v>44838</v>
      </c>
      <c r="K195" s="98">
        <f t="shared" si="12"/>
        <v>45934</v>
      </c>
      <c r="L195" s="110" t="s">
        <v>62</v>
      </c>
      <c r="M195" s="112" t="str">
        <f t="shared" ca="1" si="13"/>
        <v>Vencido</v>
      </c>
      <c r="N195" s="112"/>
      <c r="O195" s="67">
        <f t="shared" ca="1" si="10"/>
        <v>1360</v>
      </c>
      <c r="P195" s="67">
        <f t="shared" ca="1" si="14"/>
        <v>-264</v>
      </c>
      <c r="Q195" t="str">
        <f t="shared" si="11"/>
        <v>CPV-30</v>
      </c>
    </row>
    <row r="196" spans="2:17" ht="15" customHeight="1" x14ac:dyDescent="0.35">
      <c r="B196" s="29">
        <v>6</v>
      </c>
      <c r="C196" s="29" t="s">
        <v>18</v>
      </c>
      <c r="D196" s="30" t="s">
        <v>467</v>
      </c>
      <c r="E196" s="66" t="s">
        <v>768</v>
      </c>
      <c r="F196" s="66" t="s">
        <v>769</v>
      </c>
      <c r="G196" s="187" t="s">
        <v>13284</v>
      </c>
      <c r="H196" s="29" t="s">
        <v>61</v>
      </c>
      <c r="I196" s="29" t="s">
        <v>61</v>
      </c>
      <c r="J196" s="98">
        <v>44838</v>
      </c>
      <c r="K196" s="98">
        <f t="shared" si="12"/>
        <v>45934</v>
      </c>
      <c r="L196" s="110" t="s">
        <v>62</v>
      </c>
      <c r="M196" s="112" t="str">
        <f t="shared" ca="1" si="13"/>
        <v>Vencido</v>
      </c>
      <c r="N196" s="112"/>
      <c r="O196" s="67">
        <f t="shared" ca="1" si="10"/>
        <v>1360</v>
      </c>
      <c r="P196" s="67">
        <f t="shared" ca="1" si="14"/>
        <v>-264</v>
      </c>
      <c r="Q196" t="str">
        <f t="shared" si="11"/>
        <v>CPV-30</v>
      </c>
    </row>
    <row r="197" spans="2:17" ht="15" customHeight="1" x14ac:dyDescent="0.35">
      <c r="B197" s="29">
        <v>6</v>
      </c>
      <c r="C197" s="29" t="s">
        <v>18</v>
      </c>
      <c r="D197" s="30">
        <v>31</v>
      </c>
      <c r="E197" s="66" t="s">
        <v>770</v>
      </c>
      <c r="F197" s="66" t="s">
        <v>771</v>
      </c>
      <c r="G197" s="187" t="s">
        <v>13284</v>
      </c>
      <c r="H197" s="29" t="s">
        <v>61</v>
      </c>
      <c r="I197" s="29" t="s">
        <v>61</v>
      </c>
      <c r="J197" s="98">
        <v>44838</v>
      </c>
      <c r="K197" s="98">
        <f t="shared" si="12"/>
        <v>45934</v>
      </c>
      <c r="L197" s="110" t="s">
        <v>62</v>
      </c>
      <c r="M197" s="112" t="str">
        <f t="shared" ca="1" si="13"/>
        <v>Vencido</v>
      </c>
      <c r="N197" s="112"/>
      <c r="O197" s="67">
        <f t="shared" ref="O197:O260" ca="1" si="15">$O$4-J197</f>
        <v>1360</v>
      </c>
      <c r="P197" s="67">
        <f t="shared" ca="1" si="14"/>
        <v>-264</v>
      </c>
      <c r="Q197" t="str">
        <f t="shared" ref="Q197:Q260" si="16">IF(OR(C197="ARN",C197="SDP"),MID(E197,4,7),MID(E197,4,6))</f>
        <v>CPV-31</v>
      </c>
    </row>
    <row r="198" spans="2:17" ht="15" customHeight="1" x14ac:dyDescent="0.35">
      <c r="B198" s="29">
        <v>6</v>
      </c>
      <c r="C198" s="29" t="s">
        <v>18</v>
      </c>
      <c r="D198" s="30">
        <v>32</v>
      </c>
      <c r="E198" s="66" t="s">
        <v>772</v>
      </c>
      <c r="F198" s="66" t="s">
        <v>773</v>
      </c>
      <c r="G198" s="187" t="s">
        <v>13284</v>
      </c>
      <c r="H198" s="29" t="s">
        <v>61</v>
      </c>
      <c r="I198" s="29" t="s">
        <v>61</v>
      </c>
      <c r="J198" s="98">
        <v>44838</v>
      </c>
      <c r="K198" s="98">
        <f t="shared" ref="K198:K261" si="17">J198+1096</f>
        <v>45934</v>
      </c>
      <c r="L198" s="110" t="s">
        <v>62</v>
      </c>
      <c r="M198" s="112" t="str">
        <f t="shared" ref="M198:M261" ca="1" si="18">IF(O198="","",IF(O198&gt;1095,"Vencido",IF(O198&gt;910,"Alerta",IF(O198&gt;820,"Alerta",IF(O198&gt;730,"Alerta",IF(O198&gt;=0,"Em dia","Vencido"))))))</f>
        <v>Vencido</v>
      </c>
      <c r="N198" s="112"/>
      <c r="O198" s="67">
        <f t="shared" ca="1" si="15"/>
        <v>1360</v>
      </c>
      <c r="P198" s="67">
        <f t="shared" ref="P198:P261" ca="1" si="19">K198-$P$3</f>
        <v>-264</v>
      </c>
      <c r="Q198" t="str">
        <f t="shared" si="16"/>
        <v>CPV-32</v>
      </c>
    </row>
    <row r="199" spans="2:17" ht="15" customHeight="1" x14ac:dyDescent="0.35">
      <c r="B199" s="29">
        <v>6</v>
      </c>
      <c r="C199" s="29" t="s">
        <v>18</v>
      </c>
      <c r="D199" s="30">
        <v>34</v>
      </c>
      <c r="E199" s="66" t="s">
        <v>774</v>
      </c>
      <c r="F199" s="66" t="s">
        <v>775</v>
      </c>
      <c r="G199" s="187" t="s">
        <v>13284</v>
      </c>
      <c r="H199" s="29" t="s">
        <v>61</v>
      </c>
      <c r="I199" s="29" t="s">
        <v>61</v>
      </c>
      <c r="J199" s="98">
        <v>44838</v>
      </c>
      <c r="K199" s="98">
        <f t="shared" si="17"/>
        <v>45934</v>
      </c>
      <c r="L199" s="110" t="s">
        <v>62</v>
      </c>
      <c r="M199" s="112" t="str">
        <f t="shared" ca="1" si="18"/>
        <v>Vencido</v>
      </c>
      <c r="N199" s="112"/>
      <c r="O199" s="67">
        <f t="shared" ca="1" si="15"/>
        <v>1360</v>
      </c>
      <c r="P199" s="67">
        <f t="shared" ca="1" si="19"/>
        <v>-264</v>
      </c>
      <c r="Q199" t="str">
        <f t="shared" si="16"/>
        <v>CPV-34</v>
      </c>
    </row>
    <row r="200" spans="2:17" ht="15" customHeight="1" x14ac:dyDescent="0.35">
      <c r="B200" s="29">
        <v>6</v>
      </c>
      <c r="C200" s="29" t="s">
        <v>18</v>
      </c>
      <c r="D200" s="30">
        <v>35</v>
      </c>
      <c r="E200" s="66" t="s">
        <v>776</v>
      </c>
      <c r="F200" s="66" t="s">
        <v>777</v>
      </c>
      <c r="G200" s="187" t="s">
        <v>13284</v>
      </c>
      <c r="H200" s="29" t="s">
        <v>61</v>
      </c>
      <c r="I200" s="29" t="s">
        <v>61</v>
      </c>
      <c r="J200" s="98">
        <v>45274</v>
      </c>
      <c r="K200" s="98">
        <f t="shared" si="17"/>
        <v>46370</v>
      </c>
      <c r="L200" s="110" t="s">
        <v>62</v>
      </c>
      <c r="M200" s="112" t="str">
        <f t="shared" ca="1" si="18"/>
        <v>Alerta</v>
      </c>
      <c r="N200" s="112"/>
      <c r="O200" s="67">
        <f t="shared" ca="1" si="15"/>
        <v>924</v>
      </c>
      <c r="P200" s="67">
        <f t="shared" ca="1" si="19"/>
        <v>172</v>
      </c>
      <c r="Q200" t="str">
        <f t="shared" si="16"/>
        <v>CPV-35</v>
      </c>
    </row>
    <row r="201" spans="2:17" ht="15" customHeight="1" x14ac:dyDescent="0.35">
      <c r="B201" s="29">
        <v>7</v>
      </c>
      <c r="C201" s="29" t="s">
        <v>26</v>
      </c>
      <c r="D201" s="30">
        <v>0</v>
      </c>
      <c r="E201" s="66" t="s">
        <v>778</v>
      </c>
      <c r="F201" s="65" t="s">
        <v>779</v>
      </c>
      <c r="G201" s="26" t="s">
        <v>13301</v>
      </c>
      <c r="H201" s="29" t="s">
        <v>61</v>
      </c>
      <c r="I201" s="29"/>
      <c r="J201" s="98">
        <v>45202</v>
      </c>
      <c r="K201" s="98">
        <f t="shared" si="17"/>
        <v>46298</v>
      </c>
      <c r="L201" s="110" t="s">
        <v>62</v>
      </c>
      <c r="M201" s="112" t="str">
        <f t="shared" ca="1" si="18"/>
        <v>Alerta</v>
      </c>
      <c r="N201" s="112"/>
      <c r="O201" s="67">
        <f t="shared" ca="1" si="15"/>
        <v>996</v>
      </c>
      <c r="P201" s="67">
        <f t="shared" ca="1" si="19"/>
        <v>100</v>
      </c>
      <c r="Q201" t="str">
        <f t="shared" si="16"/>
        <v>GAR-00</v>
      </c>
    </row>
    <row r="202" spans="2:17" ht="15" customHeight="1" x14ac:dyDescent="0.35">
      <c r="B202" s="29">
        <v>7</v>
      </c>
      <c r="C202" s="29" t="s">
        <v>26</v>
      </c>
      <c r="D202" s="30">
        <v>1</v>
      </c>
      <c r="E202" s="66" t="s">
        <v>780</v>
      </c>
      <c r="F202" s="66" t="s">
        <v>781</v>
      </c>
      <c r="G202" s="187" t="s">
        <v>13284</v>
      </c>
      <c r="H202" s="29" t="s">
        <v>61</v>
      </c>
      <c r="I202" s="29" t="s">
        <v>61</v>
      </c>
      <c r="J202" s="98">
        <v>44739</v>
      </c>
      <c r="K202" s="98">
        <f t="shared" si="17"/>
        <v>45835</v>
      </c>
      <c r="L202" s="110" t="s">
        <v>62</v>
      </c>
      <c r="M202" s="112" t="str">
        <f t="shared" ca="1" si="18"/>
        <v>Vencido</v>
      </c>
      <c r="N202" s="112"/>
      <c r="O202" s="67">
        <f t="shared" ca="1" si="15"/>
        <v>1459</v>
      </c>
      <c r="P202" s="67">
        <f t="shared" ca="1" si="19"/>
        <v>-363</v>
      </c>
      <c r="Q202" t="str">
        <f t="shared" si="16"/>
        <v>GAR-01</v>
      </c>
    </row>
    <row r="203" spans="2:17" ht="15" customHeight="1" x14ac:dyDescent="0.35">
      <c r="B203" s="29">
        <v>7</v>
      </c>
      <c r="C203" s="29" t="s">
        <v>26</v>
      </c>
      <c r="D203" s="30">
        <v>1</v>
      </c>
      <c r="E203" s="66" t="s">
        <v>782</v>
      </c>
      <c r="F203" s="66" t="s">
        <v>783</v>
      </c>
      <c r="G203" s="187" t="s">
        <v>13284</v>
      </c>
      <c r="H203" s="29" t="s">
        <v>61</v>
      </c>
      <c r="I203" s="29" t="s">
        <v>61</v>
      </c>
      <c r="J203" s="98">
        <v>44739</v>
      </c>
      <c r="K203" s="98">
        <f t="shared" si="17"/>
        <v>45835</v>
      </c>
      <c r="L203" s="110" t="s">
        <v>62</v>
      </c>
      <c r="M203" s="112" t="str">
        <f t="shared" ca="1" si="18"/>
        <v>Vencido</v>
      </c>
      <c r="N203" s="112"/>
      <c r="O203" s="67">
        <f t="shared" ca="1" si="15"/>
        <v>1459</v>
      </c>
      <c r="P203" s="67">
        <f t="shared" ca="1" si="19"/>
        <v>-363</v>
      </c>
      <c r="Q203" t="str">
        <f t="shared" si="16"/>
        <v>GAR-01</v>
      </c>
    </row>
    <row r="204" spans="2:17" ht="15" customHeight="1" x14ac:dyDescent="0.35">
      <c r="B204" s="29">
        <v>7</v>
      </c>
      <c r="C204" s="29" t="s">
        <v>26</v>
      </c>
      <c r="D204" s="30">
        <v>2</v>
      </c>
      <c r="E204" s="66" t="s">
        <v>784</v>
      </c>
      <c r="F204" s="66" t="s">
        <v>785</v>
      </c>
      <c r="G204" s="26" t="s">
        <v>13284</v>
      </c>
      <c r="H204" s="29" t="s">
        <v>61</v>
      </c>
      <c r="I204" s="29" t="s">
        <v>61</v>
      </c>
      <c r="J204" s="98">
        <v>44739</v>
      </c>
      <c r="K204" s="98">
        <f t="shared" si="17"/>
        <v>45835</v>
      </c>
      <c r="L204" s="110" t="s">
        <v>62</v>
      </c>
      <c r="M204" s="112" t="str">
        <f t="shared" ca="1" si="18"/>
        <v>Vencido</v>
      </c>
      <c r="N204" s="112"/>
      <c r="O204" s="67">
        <f t="shared" ca="1" si="15"/>
        <v>1459</v>
      </c>
      <c r="P204" s="67">
        <f t="shared" ca="1" si="19"/>
        <v>-363</v>
      </c>
      <c r="Q204" t="str">
        <f t="shared" si="16"/>
        <v>GAR-02</v>
      </c>
    </row>
    <row r="205" spans="2:17" ht="15" customHeight="1" x14ac:dyDescent="0.35">
      <c r="B205" s="29">
        <v>7</v>
      </c>
      <c r="C205" s="29" t="s">
        <v>26</v>
      </c>
      <c r="D205" s="30">
        <v>2</v>
      </c>
      <c r="E205" s="66" t="s">
        <v>786</v>
      </c>
      <c r="F205" s="66" t="s">
        <v>787</v>
      </c>
      <c r="G205" s="26" t="s">
        <v>13284</v>
      </c>
      <c r="H205" s="29" t="s">
        <v>61</v>
      </c>
      <c r="I205" s="29" t="s">
        <v>61</v>
      </c>
      <c r="J205" s="98">
        <v>44739</v>
      </c>
      <c r="K205" s="98">
        <f t="shared" si="17"/>
        <v>45835</v>
      </c>
      <c r="L205" s="110" t="s">
        <v>62</v>
      </c>
      <c r="M205" s="112" t="str">
        <f t="shared" ca="1" si="18"/>
        <v>Vencido</v>
      </c>
      <c r="N205" s="112"/>
      <c r="O205" s="67">
        <f t="shared" ca="1" si="15"/>
        <v>1459</v>
      </c>
      <c r="P205" s="67">
        <f t="shared" ca="1" si="19"/>
        <v>-363</v>
      </c>
      <c r="Q205" t="str">
        <f t="shared" si="16"/>
        <v>GAR-02</v>
      </c>
    </row>
    <row r="206" spans="2:17" ht="15" customHeight="1" x14ac:dyDescent="0.35">
      <c r="B206" s="29">
        <v>7</v>
      </c>
      <c r="C206" s="29" t="s">
        <v>26</v>
      </c>
      <c r="D206" s="30">
        <v>3</v>
      </c>
      <c r="E206" s="66" t="s">
        <v>788</v>
      </c>
      <c r="F206" s="66" t="s">
        <v>789</v>
      </c>
      <c r="G206" s="26" t="s">
        <v>13283</v>
      </c>
      <c r="H206" s="29" t="s">
        <v>61</v>
      </c>
      <c r="I206" s="29" t="s">
        <v>61</v>
      </c>
      <c r="J206" s="98">
        <v>45506</v>
      </c>
      <c r="K206" s="98">
        <f t="shared" si="17"/>
        <v>46602</v>
      </c>
      <c r="L206" s="110" t="s">
        <v>62</v>
      </c>
      <c r="M206" s="112" t="str">
        <f t="shared" ca="1" si="18"/>
        <v>Em dia</v>
      </c>
      <c r="N206" s="112"/>
      <c r="O206" s="67">
        <f t="shared" ca="1" si="15"/>
        <v>692</v>
      </c>
      <c r="P206" s="67">
        <f t="shared" ca="1" si="19"/>
        <v>404</v>
      </c>
      <c r="Q206" t="str">
        <f t="shared" si="16"/>
        <v>GAR-03</v>
      </c>
    </row>
    <row r="207" spans="2:17" ht="15" customHeight="1" x14ac:dyDescent="0.35">
      <c r="B207" s="29">
        <v>7</v>
      </c>
      <c r="C207" s="29" t="s">
        <v>26</v>
      </c>
      <c r="D207" s="30">
        <v>4</v>
      </c>
      <c r="E207" s="66" t="s">
        <v>790</v>
      </c>
      <c r="F207" s="66" t="s">
        <v>791</v>
      </c>
      <c r="G207" s="186" t="s">
        <v>13283</v>
      </c>
      <c r="H207" s="29" t="s">
        <v>61</v>
      </c>
      <c r="I207" s="29" t="s">
        <v>61</v>
      </c>
      <c r="J207" s="98">
        <v>46107</v>
      </c>
      <c r="K207" s="98">
        <f t="shared" si="17"/>
        <v>47203</v>
      </c>
      <c r="L207" s="110" t="s">
        <v>62</v>
      </c>
      <c r="M207" s="112" t="str">
        <f t="shared" ca="1" si="18"/>
        <v>Em dia</v>
      </c>
      <c r="N207" s="112"/>
      <c r="O207" s="67">
        <f t="shared" ca="1" si="15"/>
        <v>91</v>
      </c>
      <c r="P207" s="67">
        <f t="shared" ca="1" si="19"/>
        <v>1005</v>
      </c>
      <c r="Q207" t="str">
        <f t="shared" si="16"/>
        <v>GAR-04</v>
      </c>
    </row>
    <row r="208" spans="2:17" ht="15" customHeight="1" x14ac:dyDescent="0.35">
      <c r="B208" s="29">
        <v>7</v>
      </c>
      <c r="C208" s="29" t="s">
        <v>26</v>
      </c>
      <c r="D208" s="30">
        <v>5</v>
      </c>
      <c r="E208" s="66" t="s">
        <v>792</v>
      </c>
      <c r="F208" s="66" t="s">
        <v>793</v>
      </c>
      <c r="G208" s="186" t="s">
        <v>13283</v>
      </c>
      <c r="H208" s="29" t="s">
        <v>61</v>
      </c>
      <c r="I208" s="29" t="s">
        <v>61</v>
      </c>
      <c r="J208" s="98">
        <v>46107</v>
      </c>
      <c r="K208" s="98">
        <f t="shared" si="17"/>
        <v>47203</v>
      </c>
      <c r="L208" s="110" t="s">
        <v>62</v>
      </c>
      <c r="M208" s="112" t="str">
        <f t="shared" ca="1" si="18"/>
        <v>Em dia</v>
      </c>
      <c r="N208" s="112"/>
      <c r="O208" s="67">
        <f t="shared" ca="1" si="15"/>
        <v>91</v>
      </c>
      <c r="P208" s="67">
        <f t="shared" ca="1" si="19"/>
        <v>1005</v>
      </c>
      <c r="Q208" t="str">
        <f t="shared" si="16"/>
        <v>GAR-05</v>
      </c>
    </row>
    <row r="209" spans="2:17" ht="15" customHeight="1" x14ac:dyDescent="0.35">
      <c r="B209" s="29">
        <v>7</v>
      </c>
      <c r="C209" s="29" t="s">
        <v>26</v>
      </c>
      <c r="D209" s="30">
        <v>6</v>
      </c>
      <c r="E209" s="66" t="s">
        <v>794</v>
      </c>
      <c r="F209" s="66" t="s">
        <v>795</v>
      </c>
      <c r="G209" s="186" t="s">
        <v>13283</v>
      </c>
      <c r="H209" s="29" t="s">
        <v>61</v>
      </c>
      <c r="I209" s="29" t="s">
        <v>61</v>
      </c>
      <c r="J209" s="98">
        <v>46107</v>
      </c>
      <c r="K209" s="98">
        <f t="shared" si="17"/>
        <v>47203</v>
      </c>
      <c r="L209" s="110" t="s">
        <v>62</v>
      </c>
      <c r="M209" s="112" t="str">
        <f t="shared" ca="1" si="18"/>
        <v>Em dia</v>
      </c>
      <c r="N209" s="112"/>
      <c r="O209" s="67">
        <f t="shared" ca="1" si="15"/>
        <v>91</v>
      </c>
      <c r="P209" s="67">
        <f t="shared" ca="1" si="19"/>
        <v>1005</v>
      </c>
      <c r="Q209" t="str">
        <f t="shared" si="16"/>
        <v>GAR-06</v>
      </c>
    </row>
    <row r="210" spans="2:17" ht="15" customHeight="1" x14ac:dyDescent="0.35">
      <c r="B210" s="29">
        <v>7</v>
      </c>
      <c r="C210" s="29" t="s">
        <v>26</v>
      </c>
      <c r="D210" s="30">
        <v>7</v>
      </c>
      <c r="E210" s="66" t="s">
        <v>796</v>
      </c>
      <c r="F210" s="66" t="s">
        <v>797</v>
      </c>
      <c r="G210" s="186" t="s">
        <v>13283</v>
      </c>
      <c r="H210" s="29" t="s">
        <v>61</v>
      </c>
      <c r="I210" s="29" t="s">
        <v>61</v>
      </c>
      <c r="J210" s="98">
        <v>45959</v>
      </c>
      <c r="K210" s="98">
        <f t="shared" si="17"/>
        <v>47055</v>
      </c>
      <c r="L210" s="110" t="s">
        <v>62</v>
      </c>
      <c r="M210" s="112" t="str">
        <f t="shared" ca="1" si="18"/>
        <v>Em dia</v>
      </c>
      <c r="N210" s="112"/>
      <c r="O210" s="67">
        <f t="shared" ca="1" si="15"/>
        <v>239</v>
      </c>
      <c r="P210" s="67">
        <f t="shared" ca="1" si="19"/>
        <v>857</v>
      </c>
      <c r="Q210" t="str">
        <f t="shared" si="16"/>
        <v>GAR-07</v>
      </c>
    </row>
    <row r="211" spans="2:17" ht="15" customHeight="1" x14ac:dyDescent="0.35">
      <c r="B211" s="29">
        <v>7</v>
      </c>
      <c r="C211" s="29" t="s">
        <v>26</v>
      </c>
      <c r="D211" s="30">
        <v>8</v>
      </c>
      <c r="E211" s="66" t="s">
        <v>798</v>
      </c>
      <c r="F211" s="66" t="s">
        <v>799</v>
      </c>
      <c r="G211" s="186" t="s">
        <v>13283</v>
      </c>
      <c r="H211" s="29" t="s">
        <v>61</v>
      </c>
      <c r="I211" s="29" t="s">
        <v>61</v>
      </c>
      <c r="J211" s="98">
        <v>45645</v>
      </c>
      <c r="K211" s="98">
        <f t="shared" si="17"/>
        <v>46741</v>
      </c>
      <c r="L211" s="110" t="s">
        <v>62</v>
      </c>
      <c r="M211" s="112" t="str">
        <f t="shared" ca="1" si="18"/>
        <v>Em dia</v>
      </c>
      <c r="N211" s="112"/>
      <c r="O211" s="67">
        <f t="shared" ca="1" si="15"/>
        <v>553</v>
      </c>
      <c r="P211" s="67">
        <f t="shared" ca="1" si="19"/>
        <v>543</v>
      </c>
      <c r="Q211" t="str">
        <f t="shared" si="16"/>
        <v>GAR-08</v>
      </c>
    </row>
    <row r="212" spans="2:17" ht="15" customHeight="1" x14ac:dyDescent="0.35">
      <c r="B212" s="29">
        <v>7</v>
      </c>
      <c r="C212" s="29" t="s">
        <v>26</v>
      </c>
      <c r="D212" s="30">
        <v>9</v>
      </c>
      <c r="E212" s="66" t="s">
        <v>800</v>
      </c>
      <c r="F212" s="66" t="s">
        <v>801</v>
      </c>
      <c r="G212" s="186" t="s">
        <v>13283</v>
      </c>
      <c r="H212" s="29" t="s">
        <v>61</v>
      </c>
      <c r="I212" s="29" t="s">
        <v>61</v>
      </c>
      <c r="J212" s="98">
        <v>45959</v>
      </c>
      <c r="K212" s="98">
        <f t="shared" si="17"/>
        <v>47055</v>
      </c>
      <c r="L212" s="110" t="s">
        <v>62</v>
      </c>
      <c r="M212" s="112" t="str">
        <f t="shared" ca="1" si="18"/>
        <v>Em dia</v>
      </c>
      <c r="N212" s="112"/>
      <c r="O212" s="67">
        <f t="shared" ca="1" si="15"/>
        <v>239</v>
      </c>
      <c r="P212" s="67">
        <f t="shared" ca="1" si="19"/>
        <v>857</v>
      </c>
      <c r="Q212" t="str">
        <f t="shared" si="16"/>
        <v>GAR-09</v>
      </c>
    </row>
    <row r="213" spans="2:17" ht="15" customHeight="1" x14ac:dyDescent="0.35">
      <c r="B213" s="29">
        <v>7</v>
      </c>
      <c r="C213" s="29" t="s">
        <v>26</v>
      </c>
      <c r="D213" s="30">
        <v>10</v>
      </c>
      <c r="E213" s="66" t="s">
        <v>802</v>
      </c>
      <c r="F213" s="66" t="s">
        <v>803</v>
      </c>
      <c r="G213" s="186" t="s">
        <v>13283</v>
      </c>
      <c r="H213" s="29" t="s">
        <v>61</v>
      </c>
      <c r="I213" s="29" t="s">
        <v>61</v>
      </c>
      <c r="J213" s="101">
        <v>45959</v>
      </c>
      <c r="K213" s="98">
        <f t="shared" si="17"/>
        <v>47055</v>
      </c>
      <c r="L213" s="110" t="s">
        <v>62</v>
      </c>
      <c r="M213" s="112" t="str">
        <f t="shared" ca="1" si="18"/>
        <v>Em dia</v>
      </c>
      <c r="N213" s="112"/>
      <c r="O213" s="67">
        <f t="shared" ca="1" si="15"/>
        <v>239</v>
      </c>
      <c r="P213" s="67">
        <f t="shared" ca="1" si="19"/>
        <v>857</v>
      </c>
      <c r="Q213" t="str">
        <f t="shared" si="16"/>
        <v>GAR-10</v>
      </c>
    </row>
    <row r="214" spans="2:17" ht="15" customHeight="1" x14ac:dyDescent="0.35">
      <c r="B214" s="29">
        <v>7</v>
      </c>
      <c r="C214" s="29" t="s">
        <v>26</v>
      </c>
      <c r="D214" s="30">
        <v>11</v>
      </c>
      <c r="E214" s="66" t="s">
        <v>804</v>
      </c>
      <c r="F214" s="66" t="s">
        <v>805</v>
      </c>
      <c r="G214" s="186" t="s">
        <v>13283</v>
      </c>
      <c r="H214" s="29" t="s">
        <v>61</v>
      </c>
      <c r="I214" s="29" t="s">
        <v>61</v>
      </c>
      <c r="J214" s="98">
        <v>46107</v>
      </c>
      <c r="K214" s="98">
        <f t="shared" si="17"/>
        <v>47203</v>
      </c>
      <c r="L214" s="110" t="s">
        <v>62</v>
      </c>
      <c r="M214" s="112" t="str">
        <f t="shared" ca="1" si="18"/>
        <v>Em dia</v>
      </c>
      <c r="N214" s="112"/>
      <c r="O214" s="67">
        <f t="shared" ca="1" si="15"/>
        <v>91</v>
      </c>
      <c r="P214" s="67">
        <f t="shared" ca="1" si="19"/>
        <v>1005</v>
      </c>
      <c r="Q214" t="str">
        <f t="shared" si="16"/>
        <v>GAR-11</v>
      </c>
    </row>
    <row r="215" spans="2:17" ht="15" customHeight="1" x14ac:dyDescent="0.35">
      <c r="B215" s="29">
        <v>7</v>
      </c>
      <c r="C215" s="29" t="s">
        <v>26</v>
      </c>
      <c r="D215" s="30">
        <v>12</v>
      </c>
      <c r="E215" s="66" t="s">
        <v>806</v>
      </c>
      <c r="F215" s="66" t="s">
        <v>807</v>
      </c>
      <c r="G215" s="186" t="s">
        <v>13283</v>
      </c>
      <c r="H215" s="29" t="s">
        <v>61</v>
      </c>
      <c r="I215" s="29" t="s">
        <v>61</v>
      </c>
      <c r="J215" s="98">
        <v>46107</v>
      </c>
      <c r="K215" s="98">
        <f t="shared" si="17"/>
        <v>47203</v>
      </c>
      <c r="L215" s="110" t="s">
        <v>62</v>
      </c>
      <c r="M215" s="112" t="str">
        <f t="shared" ca="1" si="18"/>
        <v>Em dia</v>
      </c>
      <c r="N215" s="112"/>
      <c r="O215" s="67">
        <f t="shared" ca="1" si="15"/>
        <v>91</v>
      </c>
      <c r="P215" s="67">
        <f t="shared" ca="1" si="19"/>
        <v>1005</v>
      </c>
      <c r="Q215" t="str">
        <f t="shared" si="16"/>
        <v>GAR-12</v>
      </c>
    </row>
    <row r="216" spans="2:17" ht="15" customHeight="1" x14ac:dyDescent="0.35">
      <c r="B216" s="29">
        <v>7</v>
      </c>
      <c r="C216" s="29" t="s">
        <v>26</v>
      </c>
      <c r="D216" s="30">
        <v>13</v>
      </c>
      <c r="E216" s="66" t="s">
        <v>808</v>
      </c>
      <c r="F216" s="66" t="s">
        <v>809</v>
      </c>
      <c r="G216" s="186" t="s">
        <v>13283</v>
      </c>
      <c r="H216" s="29" t="s">
        <v>61</v>
      </c>
      <c r="I216" s="29" t="s">
        <v>61</v>
      </c>
      <c r="J216" s="98">
        <v>46107</v>
      </c>
      <c r="K216" s="98">
        <f t="shared" si="17"/>
        <v>47203</v>
      </c>
      <c r="L216" s="110" t="s">
        <v>62</v>
      </c>
      <c r="M216" s="112" t="str">
        <f t="shared" ca="1" si="18"/>
        <v>Em dia</v>
      </c>
      <c r="N216" s="112"/>
      <c r="O216" s="67">
        <f t="shared" ca="1" si="15"/>
        <v>91</v>
      </c>
      <c r="P216" s="67">
        <f t="shared" ca="1" si="19"/>
        <v>1005</v>
      </c>
      <c r="Q216" t="str">
        <f t="shared" si="16"/>
        <v>GAR-13</v>
      </c>
    </row>
    <row r="217" spans="2:17" ht="15" customHeight="1" x14ac:dyDescent="0.35">
      <c r="B217" s="29">
        <v>7</v>
      </c>
      <c r="C217" s="29" t="s">
        <v>26</v>
      </c>
      <c r="D217" s="30">
        <v>14</v>
      </c>
      <c r="E217" s="66" t="s">
        <v>810</v>
      </c>
      <c r="F217" s="66" t="s">
        <v>811</v>
      </c>
      <c r="G217" s="186" t="s">
        <v>13283</v>
      </c>
      <c r="H217" s="29" t="s">
        <v>61</v>
      </c>
      <c r="I217" s="29" t="s">
        <v>61</v>
      </c>
      <c r="J217" s="98">
        <v>45202</v>
      </c>
      <c r="K217" s="98">
        <f t="shared" si="17"/>
        <v>46298</v>
      </c>
      <c r="L217" s="110" t="s">
        <v>62</v>
      </c>
      <c r="M217" s="112" t="str">
        <f t="shared" ca="1" si="18"/>
        <v>Alerta</v>
      </c>
      <c r="N217" s="112"/>
      <c r="O217" s="67">
        <f t="shared" ca="1" si="15"/>
        <v>996</v>
      </c>
      <c r="P217" s="67">
        <f t="shared" ca="1" si="19"/>
        <v>100</v>
      </c>
      <c r="Q217" t="str">
        <f t="shared" si="16"/>
        <v>GAR-14</v>
      </c>
    </row>
    <row r="218" spans="2:17" ht="15" customHeight="1" x14ac:dyDescent="0.35">
      <c r="B218" s="29">
        <v>7</v>
      </c>
      <c r="C218" s="29" t="s">
        <v>26</v>
      </c>
      <c r="D218" s="30">
        <v>15</v>
      </c>
      <c r="E218" s="66" t="s">
        <v>812</v>
      </c>
      <c r="F218" s="66" t="s">
        <v>813</v>
      </c>
      <c r="G218" s="66" t="s">
        <v>13283</v>
      </c>
      <c r="H218" s="29" t="s">
        <v>61</v>
      </c>
      <c r="I218" s="29" t="s">
        <v>61</v>
      </c>
      <c r="J218" s="98">
        <v>46107</v>
      </c>
      <c r="K218" s="98">
        <f t="shared" si="17"/>
        <v>47203</v>
      </c>
      <c r="L218" s="110" t="s">
        <v>62</v>
      </c>
      <c r="M218" s="112" t="str">
        <f t="shared" ca="1" si="18"/>
        <v>Em dia</v>
      </c>
      <c r="N218" s="112"/>
      <c r="O218" s="67">
        <f t="shared" ca="1" si="15"/>
        <v>91</v>
      </c>
      <c r="P218" s="67">
        <f t="shared" ca="1" si="19"/>
        <v>1005</v>
      </c>
      <c r="Q218" t="str">
        <f t="shared" si="16"/>
        <v>GAR-15</v>
      </c>
    </row>
    <row r="219" spans="2:17" ht="15" customHeight="1" x14ac:dyDescent="0.35">
      <c r="B219" s="29">
        <v>7</v>
      </c>
      <c r="C219" s="29" t="s">
        <v>26</v>
      </c>
      <c r="D219" s="30">
        <v>17</v>
      </c>
      <c r="E219" s="66" t="s">
        <v>814</v>
      </c>
      <c r="F219" s="66" t="s">
        <v>815</v>
      </c>
      <c r="G219" s="66" t="s">
        <v>13283</v>
      </c>
      <c r="H219" s="29" t="s">
        <v>61</v>
      </c>
      <c r="I219" s="29" t="s">
        <v>61</v>
      </c>
      <c r="J219" s="98">
        <v>45202</v>
      </c>
      <c r="K219" s="98">
        <f t="shared" si="17"/>
        <v>46298</v>
      </c>
      <c r="L219" s="110" t="s">
        <v>62</v>
      </c>
      <c r="M219" s="112" t="str">
        <f t="shared" ca="1" si="18"/>
        <v>Alerta</v>
      </c>
      <c r="N219" s="112"/>
      <c r="O219" s="67">
        <f t="shared" ca="1" si="15"/>
        <v>996</v>
      </c>
      <c r="P219" s="67">
        <f t="shared" ca="1" si="19"/>
        <v>100</v>
      </c>
      <c r="Q219" t="str">
        <f t="shared" si="16"/>
        <v>GAR-17</v>
      </c>
    </row>
    <row r="220" spans="2:17" ht="15" customHeight="1" x14ac:dyDescent="0.35">
      <c r="B220" s="29">
        <v>7</v>
      </c>
      <c r="C220" s="29" t="s">
        <v>26</v>
      </c>
      <c r="D220" s="30">
        <v>18</v>
      </c>
      <c r="E220" s="66" t="s">
        <v>816</v>
      </c>
      <c r="F220" s="66" t="s">
        <v>817</v>
      </c>
      <c r="G220" s="187" t="s">
        <v>13283</v>
      </c>
      <c r="H220" s="29" t="s">
        <v>61</v>
      </c>
      <c r="I220" s="29" t="s">
        <v>61</v>
      </c>
      <c r="J220" s="98">
        <v>45645</v>
      </c>
      <c r="K220" s="98">
        <f t="shared" si="17"/>
        <v>46741</v>
      </c>
      <c r="L220" s="110" t="s">
        <v>62</v>
      </c>
      <c r="M220" s="112" t="str">
        <f t="shared" ca="1" si="18"/>
        <v>Em dia</v>
      </c>
      <c r="N220" s="112"/>
      <c r="O220" s="67">
        <f t="shared" ca="1" si="15"/>
        <v>553</v>
      </c>
      <c r="P220" s="67">
        <f t="shared" ca="1" si="19"/>
        <v>543</v>
      </c>
      <c r="Q220" t="str">
        <f t="shared" si="16"/>
        <v>GAR-18</v>
      </c>
    </row>
    <row r="221" spans="2:17" ht="15" customHeight="1" x14ac:dyDescent="0.35">
      <c r="B221" s="29">
        <v>7</v>
      </c>
      <c r="C221" s="29" t="s">
        <v>26</v>
      </c>
      <c r="D221" s="30">
        <v>19</v>
      </c>
      <c r="E221" s="66" t="s">
        <v>818</v>
      </c>
      <c r="F221" s="66" t="s">
        <v>819</v>
      </c>
      <c r="G221" s="187" t="s">
        <v>13283</v>
      </c>
      <c r="H221" s="29" t="s">
        <v>61</v>
      </c>
      <c r="I221" s="29" t="s">
        <v>61</v>
      </c>
      <c r="J221" s="98">
        <v>45959</v>
      </c>
      <c r="K221" s="98">
        <f t="shared" si="17"/>
        <v>47055</v>
      </c>
      <c r="L221" s="110" t="s">
        <v>62</v>
      </c>
      <c r="M221" s="112" t="str">
        <f t="shared" ca="1" si="18"/>
        <v>Em dia</v>
      </c>
      <c r="N221" s="112"/>
      <c r="O221" s="67">
        <f t="shared" ca="1" si="15"/>
        <v>239</v>
      </c>
      <c r="P221" s="67">
        <f t="shared" ca="1" si="19"/>
        <v>857</v>
      </c>
      <c r="Q221" t="str">
        <f t="shared" si="16"/>
        <v>GAR-19</v>
      </c>
    </row>
    <row r="222" spans="2:17" ht="15" customHeight="1" x14ac:dyDescent="0.35">
      <c r="B222" s="29">
        <v>7</v>
      </c>
      <c r="C222" s="29" t="s">
        <v>26</v>
      </c>
      <c r="D222" s="30">
        <v>20</v>
      </c>
      <c r="E222" s="66" t="s">
        <v>820</v>
      </c>
      <c r="F222" s="66" t="s">
        <v>821</v>
      </c>
      <c r="G222" s="66" t="s">
        <v>13284</v>
      </c>
      <c r="H222" s="29" t="s">
        <v>61</v>
      </c>
      <c r="I222" s="29" t="s">
        <v>61</v>
      </c>
      <c r="J222" s="98">
        <v>44889</v>
      </c>
      <c r="K222" s="98">
        <f t="shared" si="17"/>
        <v>45985</v>
      </c>
      <c r="L222" s="110" t="s">
        <v>62</v>
      </c>
      <c r="M222" s="112" t="str">
        <f t="shared" ca="1" si="18"/>
        <v>Vencido</v>
      </c>
      <c r="N222" s="112"/>
      <c r="O222" s="67">
        <f t="shared" ca="1" si="15"/>
        <v>1309</v>
      </c>
      <c r="P222" s="67">
        <f t="shared" ca="1" si="19"/>
        <v>-213</v>
      </c>
      <c r="Q222" t="str">
        <f t="shared" si="16"/>
        <v>GAR-20</v>
      </c>
    </row>
    <row r="223" spans="2:17" ht="15" customHeight="1" x14ac:dyDescent="0.35">
      <c r="B223" s="29">
        <v>7</v>
      </c>
      <c r="C223" s="29" t="s">
        <v>26</v>
      </c>
      <c r="D223" s="30">
        <v>21</v>
      </c>
      <c r="E223" s="66" t="s">
        <v>822</v>
      </c>
      <c r="F223" s="66" t="s">
        <v>823</v>
      </c>
      <c r="G223" s="187" t="s">
        <v>13283</v>
      </c>
      <c r="H223" s="29" t="s">
        <v>61</v>
      </c>
      <c r="I223" s="29" t="s">
        <v>61</v>
      </c>
      <c r="J223" s="98">
        <v>45645</v>
      </c>
      <c r="K223" s="98">
        <f t="shared" si="17"/>
        <v>46741</v>
      </c>
      <c r="L223" s="110" t="s">
        <v>62</v>
      </c>
      <c r="M223" s="112" t="str">
        <f t="shared" ca="1" si="18"/>
        <v>Em dia</v>
      </c>
      <c r="N223" s="112"/>
      <c r="O223" s="67">
        <f t="shared" ca="1" si="15"/>
        <v>553</v>
      </c>
      <c r="P223" s="67">
        <f t="shared" ca="1" si="19"/>
        <v>543</v>
      </c>
      <c r="Q223" t="str">
        <f t="shared" si="16"/>
        <v>GAR-21</v>
      </c>
    </row>
    <row r="224" spans="2:17" ht="15" customHeight="1" x14ac:dyDescent="0.35">
      <c r="B224" s="29">
        <v>7</v>
      </c>
      <c r="C224" s="29" t="s">
        <v>26</v>
      </c>
      <c r="D224" s="30">
        <v>22</v>
      </c>
      <c r="E224" s="66" t="s">
        <v>824</v>
      </c>
      <c r="F224" s="66" t="s">
        <v>825</v>
      </c>
      <c r="G224" s="66" t="s">
        <v>13284</v>
      </c>
      <c r="H224" s="29" t="s">
        <v>61</v>
      </c>
      <c r="I224" s="29" t="s">
        <v>61</v>
      </c>
      <c r="J224" s="98">
        <v>44739</v>
      </c>
      <c r="K224" s="98">
        <f t="shared" si="17"/>
        <v>45835</v>
      </c>
      <c r="L224" s="110" t="s">
        <v>62</v>
      </c>
      <c r="M224" s="112" t="str">
        <f t="shared" ca="1" si="18"/>
        <v>Vencido</v>
      </c>
      <c r="N224" s="112"/>
      <c r="O224" s="67">
        <f t="shared" ca="1" si="15"/>
        <v>1459</v>
      </c>
      <c r="P224" s="67">
        <f t="shared" ca="1" si="19"/>
        <v>-363</v>
      </c>
      <c r="Q224" t="str">
        <f t="shared" si="16"/>
        <v>GAR-22</v>
      </c>
    </row>
    <row r="225" spans="2:17" ht="15" customHeight="1" x14ac:dyDescent="0.35">
      <c r="B225" s="29">
        <v>7</v>
      </c>
      <c r="C225" s="29" t="s">
        <v>26</v>
      </c>
      <c r="D225" s="30">
        <v>23</v>
      </c>
      <c r="E225" s="66" t="s">
        <v>826</v>
      </c>
      <c r="F225" s="66" t="s">
        <v>827</v>
      </c>
      <c r="G225" s="187" t="s">
        <v>13284</v>
      </c>
      <c r="H225" s="29" t="s">
        <v>61</v>
      </c>
      <c r="I225" s="29" t="s">
        <v>61</v>
      </c>
      <c r="J225" s="98">
        <v>44739</v>
      </c>
      <c r="K225" s="98">
        <f t="shared" si="17"/>
        <v>45835</v>
      </c>
      <c r="L225" s="110" t="s">
        <v>62</v>
      </c>
      <c r="M225" s="112" t="str">
        <f t="shared" ca="1" si="18"/>
        <v>Vencido</v>
      </c>
      <c r="N225" s="112"/>
      <c r="O225" s="67">
        <f t="shared" ca="1" si="15"/>
        <v>1459</v>
      </c>
      <c r="P225" s="67">
        <f t="shared" ca="1" si="19"/>
        <v>-363</v>
      </c>
      <c r="Q225" t="str">
        <f t="shared" si="16"/>
        <v>GAR-23</v>
      </c>
    </row>
    <row r="226" spans="2:17" ht="15" customHeight="1" x14ac:dyDescent="0.35">
      <c r="B226" s="29">
        <v>7</v>
      </c>
      <c r="C226" s="29" t="s">
        <v>26</v>
      </c>
      <c r="D226" s="30">
        <v>24</v>
      </c>
      <c r="E226" s="66" t="s">
        <v>828</v>
      </c>
      <c r="F226" s="66" t="s">
        <v>829</v>
      </c>
      <c r="G226" s="187" t="s">
        <v>13284</v>
      </c>
      <c r="H226" s="29" t="s">
        <v>61</v>
      </c>
      <c r="I226" s="29" t="s">
        <v>61</v>
      </c>
      <c r="J226" s="98">
        <v>44739</v>
      </c>
      <c r="K226" s="98">
        <f t="shared" si="17"/>
        <v>45835</v>
      </c>
      <c r="L226" s="110" t="s">
        <v>62</v>
      </c>
      <c r="M226" s="112" t="str">
        <f t="shared" ca="1" si="18"/>
        <v>Vencido</v>
      </c>
      <c r="N226" s="112"/>
      <c r="O226" s="67">
        <f t="shared" ca="1" si="15"/>
        <v>1459</v>
      </c>
      <c r="P226" s="67">
        <f t="shared" ca="1" si="19"/>
        <v>-363</v>
      </c>
      <c r="Q226" t="str">
        <f t="shared" si="16"/>
        <v>GAR-24</v>
      </c>
    </row>
    <row r="227" spans="2:17" ht="15" customHeight="1" x14ac:dyDescent="0.35">
      <c r="B227" s="29">
        <v>7</v>
      </c>
      <c r="C227" s="29" t="s">
        <v>26</v>
      </c>
      <c r="D227" s="30">
        <v>25</v>
      </c>
      <c r="E227" s="66" t="s">
        <v>830</v>
      </c>
      <c r="F227" s="66" t="s">
        <v>831</v>
      </c>
      <c r="G227" s="187" t="s">
        <v>13283</v>
      </c>
      <c r="H227" s="29" t="s">
        <v>61</v>
      </c>
      <c r="I227" s="29" t="s">
        <v>61</v>
      </c>
      <c r="J227" s="98">
        <v>46009</v>
      </c>
      <c r="K227" s="98">
        <f t="shared" si="17"/>
        <v>47105</v>
      </c>
      <c r="L227" s="110" t="s">
        <v>62</v>
      </c>
      <c r="M227" s="112" t="str">
        <f t="shared" ca="1" si="18"/>
        <v>Em dia</v>
      </c>
      <c r="N227" s="112"/>
      <c r="O227" s="67">
        <f t="shared" ca="1" si="15"/>
        <v>189</v>
      </c>
      <c r="P227" s="67">
        <f t="shared" ca="1" si="19"/>
        <v>907</v>
      </c>
      <c r="Q227" t="str">
        <f t="shared" si="16"/>
        <v>GAR-25</v>
      </c>
    </row>
    <row r="228" spans="2:17" ht="15" customHeight="1" x14ac:dyDescent="0.35">
      <c r="B228" s="29">
        <v>7</v>
      </c>
      <c r="C228" s="29" t="s">
        <v>26</v>
      </c>
      <c r="D228" s="30">
        <v>26</v>
      </c>
      <c r="E228" s="66" t="s">
        <v>832</v>
      </c>
      <c r="F228" s="66" t="s">
        <v>833</v>
      </c>
      <c r="G228" s="187" t="s">
        <v>13284</v>
      </c>
      <c r="H228" s="29" t="s">
        <v>61</v>
      </c>
      <c r="I228" s="29" t="s">
        <v>61</v>
      </c>
      <c r="J228" s="98">
        <v>44739</v>
      </c>
      <c r="K228" s="98">
        <f t="shared" si="17"/>
        <v>45835</v>
      </c>
      <c r="L228" s="110" t="s">
        <v>62</v>
      </c>
      <c r="M228" s="112" t="str">
        <f t="shared" ca="1" si="18"/>
        <v>Vencido</v>
      </c>
      <c r="N228" s="112"/>
      <c r="O228" s="67">
        <f t="shared" ca="1" si="15"/>
        <v>1459</v>
      </c>
      <c r="P228" s="67">
        <f t="shared" ca="1" si="19"/>
        <v>-363</v>
      </c>
      <c r="Q228" t="str">
        <f t="shared" si="16"/>
        <v>GAR-26</v>
      </c>
    </row>
    <row r="229" spans="2:17" ht="15" customHeight="1" x14ac:dyDescent="0.35">
      <c r="B229" s="29">
        <v>7</v>
      </c>
      <c r="C229" s="29" t="s">
        <v>26</v>
      </c>
      <c r="D229" s="30">
        <v>27</v>
      </c>
      <c r="E229" s="66" t="s">
        <v>834</v>
      </c>
      <c r="F229" s="66" t="s">
        <v>835</v>
      </c>
      <c r="G229" s="187" t="s">
        <v>13284</v>
      </c>
      <c r="H229" s="29" t="s">
        <v>61</v>
      </c>
      <c r="I229" s="29" t="s">
        <v>61</v>
      </c>
      <c r="J229" s="98">
        <v>44739</v>
      </c>
      <c r="K229" s="98">
        <f t="shared" si="17"/>
        <v>45835</v>
      </c>
      <c r="L229" s="110" t="s">
        <v>62</v>
      </c>
      <c r="M229" s="112" t="str">
        <f t="shared" ca="1" si="18"/>
        <v>Vencido</v>
      </c>
      <c r="N229" s="112"/>
      <c r="O229" s="67">
        <f t="shared" ca="1" si="15"/>
        <v>1459</v>
      </c>
      <c r="P229" s="67">
        <f t="shared" ca="1" si="19"/>
        <v>-363</v>
      </c>
      <c r="Q229" t="str">
        <f t="shared" si="16"/>
        <v>GAR-27</v>
      </c>
    </row>
    <row r="230" spans="2:17" ht="15" customHeight="1" x14ac:dyDescent="0.35">
      <c r="B230" s="29">
        <v>7</v>
      </c>
      <c r="C230" s="29" t="s">
        <v>26</v>
      </c>
      <c r="D230" s="30">
        <v>28</v>
      </c>
      <c r="E230" s="66" t="s">
        <v>836</v>
      </c>
      <c r="F230" s="66" t="s">
        <v>837</v>
      </c>
      <c r="G230" s="187" t="s">
        <v>13284</v>
      </c>
      <c r="H230" s="29" t="s">
        <v>61</v>
      </c>
      <c r="I230" s="29" t="s">
        <v>61</v>
      </c>
      <c r="J230" s="98">
        <v>45202</v>
      </c>
      <c r="K230" s="98">
        <f t="shared" si="17"/>
        <v>46298</v>
      </c>
      <c r="L230" s="110" t="s">
        <v>62</v>
      </c>
      <c r="M230" s="112" t="str">
        <f t="shared" ca="1" si="18"/>
        <v>Alerta</v>
      </c>
      <c r="N230" s="112"/>
      <c r="O230" s="67">
        <f t="shared" ca="1" si="15"/>
        <v>996</v>
      </c>
      <c r="P230" s="67">
        <f t="shared" ca="1" si="19"/>
        <v>100</v>
      </c>
      <c r="Q230" t="str">
        <f t="shared" si="16"/>
        <v>GAR-28</v>
      </c>
    </row>
    <row r="231" spans="2:17" ht="15" customHeight="1" x14ac:dyDescent="0.35">
      <c r="B231" s="29">
        <v>7</v>
      </c>
      <c r="C231" s="29" t="s">
        <v>26</v>
      </c>
      <c r="D231" s="30">
        <v>29</v>
      </c>
      <c r="E231" s="66" t="s">
        <v>838</v>
      </c>
      <c r="F231" s="66" t="s">
        <v>839</v>
      </c>
      <c r="G231" s="187" t="s">
        <v>13284</v>
      </c>
      <c r="H231" s="29" t="s">
        <v>61</v>
      </c>
      <c r="I231" s="29" t="s">
        <v>61</v>
      </c>
      <c r="J231" s="98">
        <v>45202</v>
      </c>
      <c r="K231" s="98">
        <f t="shared" si="17"/>
        <v>46298</v>
      </c>
      <c r="L231" s="110" t="s">
        <v>62</v>
      </c>
      <c r="M231" s="112" t="str">
        <f t="shared" ca="1" si="18"/>
        <v>Alerta</v>
      </c>
      <c r="N231" s="112"/>
      <c r="O231" s="67">
        <f t="shared" ca="1" si="15"/>
        <v>996</v>
      </c>
      <c r="P231" s="67">
        <f t="shared" ca="1" si="19"/>
        <v>100</v>
      </c>
      <c r="Q231" t="str">
        <f t="shared" si="16"/>
        <v>GAR-29</v>
      </c>
    </row>
    <row r="232" spans="2:17" ht="15" customHeight="1" x14ac:dyDescent="0.35">
      <c r="B232" s="29">
        <v>7</v>
      </c>
      <c r="C232" s="29" t="s">
        <v>26</v>
      </c>
      <c r="D232" s="30">
        <v>33</v>
      </c>
      <c r="E232" s="66" t="s">
        <v>840</v>
      </c>
      <c r="F232" s="66" t="s">
        <v>841</v>
      </c>
      <c r="G232" s="187" t="s">
        <v>13284</v>
      </c>
      <c r="H232" s="29" t="s">
        <v>61</v>
      </c>
      <c r="I232" s="29" t="s">
        <v>61</v>
      </c>
      <c r="J232" s="98">
        <v>44739</v>
      </c>
      <c r="K232" s="98">
        <f t="shared" si="17"/>
        <v>45835</v>
      </c>
      <c r="L232" s="110" t="s">
        <v>62</v>
      </c>
      <c r="M232" s="112" t="str">
        <f t="shared" ca="1" si="18"/>
        <v>Vencido</v>
      </c>
      <c r="N232" s="112"/>
      <c r="O232" s="67">
        <f t="shared" ca="1" si="15"/>
        <v>1459</v>
      </c>
      <c r="P232" s="67">
        <f t="shared" ca="1" si="19"/>
        <v>-363</v>
      </c>
      <c r="Q232" t="str">
        <f t="shared" si="16"/>
        <v>GAR-33</v>
      </c>
    </row>
    <row r="233" spans="2:17" ht="15" customHeight="1" x14ac:dyDescent="0.35">
      <c r="B233" s="29">
        <v>7</v>
      </c>
      <c r="C233" s="29" t="s">
        <v>26</v>
      </c>
      <c r="D233" s="30">
        <v>40</v>
      </c>
      <c r="E233" s="66" t="s">
        <v>842</v>
      </c>
      <c r="F233" s="66" t="s">
        <v>843</v>
      </c>
      <c r="G233" s="187" t="s">
        <v>13283</v>
      </c>
      <c r="H233" s="29" t="s">
        <v>61</v>
      </c>
      <c r="I233" s="29"/>
      <c r="J233" s="98">
        <v>45202</v>
      </c>
      <c r="K233" s="98">
        <f t="shared" si="17"/>
        <v>46298</v>
      </c>
      <c r="L233" s="110" t="s">
        <v>62</v>
      </c>
      <c r="M233" s="112" t="str">
        <f t="shared" ca="1" si="18"/>
        <v>Alerta</v>
      </c>
      <c r="N233" s="112"/>
      <c r="O233" s="67">
        <f t="shared" ca="1" si="15"/>
        <v>996</v>
      </c>
      <c r="P233" s="67">
        <f t="shared" ca="1" si="19"/>
        <v>100</v>
      </c>
      <c r="Q233" t="str">
        <f t="shared" si="16"/>
        <v>GAR-40</v>
      </c>
    </row>
    <row r="234" spans="2:17" ht="15" customHeight="1" x14ac:dyDescent="0.35">
      <c r="B234" s="29">
        <v>7</v>
      </c>
      <c r="C234" s="29" t="s">
        <v>26</v>
      </c>
      <c r="D234" s="30">
        <v>41</v>
      </c>
      <c r="E234" s="66" t="s">
        <v>844</v>
      </c>
      <c r="F234" s="66" t="s">
        <v>845</v>
      </c>
      <c r="G234" s="187" t="s">
        <v>13283</v>
      </c>
      <c r="H234" s="29" t="s">
        <v>61</v>
      </c>
      <c r="I234" s="29"/>
      <c r="J234" s="98">
        <v>45202</v>
      </c>
      <c r="K234" s="98">
        <f t="shared" si="17"/>
        <v>46298</v>
      </c>
      <c r="L234" s="110" t="s">
        <v>62</v>
      </c>
      <c r="M234" s="112" t="str">
        <f t="shared" ca="1" si="18"/>
        <v>Alerta</v>
      </c>
      <c r="N234" s="112"/>
      <c r="O234" s="67">
        <f t="shared" ca="1" si="15"/>
        <v>996</v>
      </c>
      <c r="P234" s="67">
        <f t="shared" ca="1" si="19"/>
        <v>100</v>
      </c>
      <c r="Q234" t="str">
        <f t="shared" si="16"/>
        <v>GAR-41</v>
      </c>
    </row>
    <row r="235" spans="2:17" ht="15" customHeight="1" x14ac:dyDescent="0.35">
      <c r="B235" s="29">
        <v>7</v>
      </c>
      <c r="C235" s="29" t="s">
        <v>26</v>
      </c>
      <c r="D235" s="30">
        <v>51</v>
      </c>
      <c r="E235" s="66" t="s">
        <v>846</v>
      </c>
      <c r="F235" s="66" t="s">
        <v>847</v>
      </c>
      <c r="G235" s="187" t="s">
        <v>13283</v>
      </c>
      <c r="H235" s="29" t="s">
        <v>61</v>
      </c>
      <c r="I235" s="29" t="s">
        <v>61</v>
      </c>
      <c r="J235" s="98">
        <v>45959</v>
      </c>
      <c r="K235" s="98">
        <f t="shared" si="17"/>
        <v>47055</v>
      </c>
      <c r="L235" s="110" t="s">
        <v>62</v>
      </c>
      <c r="M235" s="112" t="str">
        <f t="shared" ca="1" si="18"/>
        <v>Em dia</v>
      </c>
      <c r="N235" s="112"/>
      <c r="O235" s="67">
        <f t="shared" ca="1" si="15"/>
        <v>239</v>
      </c>
      <c r="P235" s="67">
        <f t="shared" ca="1" si="19"/>
        <v>857</v>
      </c>
      <c r="Q235" t="str">
        <f t="shared" si="16"/>
        <v>GAR-51</v>
      </c>
    </row>
    <row r="236" spans="2:17" ht="15" customHeight="1" x14ac:dyDescent="0.35">
      <c r="B236" s="29">
        <v>7</v>
      </c>
      <c r="C236" s="29" t="s">
        <v>26</v>
      </c>
      <c r="D236" s="30">
        <v>53</v>
      </c>
      <c r="E236" s="66" t="s">
        <v>848</v>
      </c>
      <c r="F236" s="66" t="s">
        <v>849</v>
      </c>
      <c r="G236" s="187" t="s">
        <v>13283</v>
      </c>
      <c r="H236" s="29" t="s">
        <v>61</v>
      </c>
      <c r="I236" s="29" t="s">
        <v>61</v>
      </c>
      <c r="J236" s="98">
        <v>45743</v>
      </c>
      <c r="K236" s="98">
        <f t="shared" si="17"/>
        <v>46839</v>
      </c>
      <c r="L236" s="110" t="s">
        <v>62</v>
      </c>
      <c r="M236" s="112" t="str">
        <f t="shared" ca="1" si="18"/>
        <v>Em dia</v>
      </c>
      <c r="N236" s="112"/>
      <c r="O236" s="67">
        <f t="shared" ca="1" si="15"/>
        <v>455</v>
      </c>
      <c r="P236" s="67">
        <f t="shared" ca="1" si="19"/>
        <v>641</v>
      </c>
      <c r="Q236" t="str">
        <f t="shared" si="16"/>
        <v>GAR-53</v>
      </c>
    </row>
    <row r="237" spans="2:17" ht="15" customHeight="1" x14ac:dyDescent="0.35">
      <c r="B237" s="29">
        <v>7</v>
      </c>
      <c r="C237" s="29" t="s">
        <v>26</v>
      </c>
      <c r="D237" s="30">
        <v>55</v>
      </c>
      <c r="E237" s="66" t="s">
        <v>850</v>
      </c>
      <c r="F237" s="66" t="s">
        <v>851</v>
      </c>
      <c r="G237" s="187" t="s">
        <v>13283</v>
      </c>
      <c r="H237" s="29" t="s">
        <v>61</v>
      </c>
      <c r="I237" s="29" t="s">
        <v>61</v>
      </c>
      <c r="J237" s="98">
        <v>45202</v>
      </c>
      <c r="K237" s="98">
        <f t="shared" si="17"/>
        <v>46298</v>
      </c>
      <c r="L237" s="110" t="s">
        <v>62</v>
      </c>
      <c r="M237" s="112" t="str">
        <f t="shared" ca="1" si="18"/>
        <v>Alerta</v>
      </c>
      <c r="N237" s="112"/>
      <c r="O237" s="67">
        <f t="shared" ca="1" si="15"/>
        <v>996</v>
      </c>
      <c r="P237" s="67">
        <f t="shared" ca="1" si="19"/>
        <v>100</v>
      </c>
      <c r="Q237" t="str">
        <f t="shared" si="16"/>
        <v>GAR-55</v>
      </c>
    </row>
    <row r="238" spans="2:17" ht="15" customHeight="1" x14ac:dyDescent="0.35">
      <c r="B238" s="29">
        <v>7</v>
      </c>
      <c r="C238" s="29" t="s">
        <v>26</v>
      </c>
      <c r="D238" s="30">
        <v>56</v>
      </c>
      <c r="E238" s="66" t="s">
        <v>852</v>
      </c>
      <c r="F238" s="66" t="s">
        <v>853</v>
      </c>
      <c r="G238" s="66" t="s">
        <v>13283</v>
      </c>
      <c r="H238" s="29" t="s">
        <v>61</v>
      </c>
      <c r="I238" s="29" t="s">
        <v>61</v>
      </c>
      <c r="J238" s="98">
        <v>46107</v>
      </c>
      <c r="K238" s="98">
        <f t="shared" si="17"/>
        <v>47203</v>
      </c>
      <c r="L238" s="110" t="s">
        <v>62</v>
      </c>
      <c r="M238" s="112" t="str">
        <f t="shared" ca="1" si="18"/>
        <v>Em dia</v>
      </c>
      <c r="N238" s="112"/>
      <c r="O238" s="67">
        <f t="shared" ca="1" si="15"/>
        <v>91</v>
      </c>
      <c r="P238" s="67">
        <f t="shared" ca="1" si="19"/>
        <v>1005</v>
      </c>
      <c r="Q238" t="str">
        <f t="shared" si="16"/>
        <v>GAR-56</v>
      </c>
    </row>
    <row r="239" spans="2:17" ht="15" customHeight="1" x14ac:dyDescent="0.35">
      <c r="B239" s="29">
        <v>7</v>
      </c>
      <c r="C239" s="29" t="s">
        <v>26</v>
      </c>
      <c r="D239" s="30">
        <v>57</v>
      </c>
      <c r="E239" s="66" t="s">
        <v>854</v>
      </c>
      <c r="F239" s="66" t="s">
        <v>855</v>
      </c>
      <c r="G239" s="187" t="s">
        <v>13283</v>
      </c>
      <c r="H239" s="29" t="s">
        <v>61</v>
      </c>
      <c r="I239" s="29" t="s">
        <v>61</v>
      </c>
      <c r="J239" s="98">
        <v>46107</v>
      </c>
      <c r="K239" s="98">
        <f t="shared" si="17"/>
        <v>47203</v>
      </c>
      <c r="L239" s="110" t="s">
        <v>62</v>
      </c>
      <c r="M239" s="112" t="str">
        <f t="shared" ca="1" si="18"/>
        <v>Em dia</v>
      </c>
      <c r="N239" s="112"/>
      <c r="O239" s="67">
        <f t="shared" ca="1" si="15"/>
        <v>91</v>
      </c>
      <c r="P239" s="67">
        <f t="shared" ca="1" si="19"/>
        <v>1005</v>
      </c>
      <c r="Q239" t="str">
        <f t="shared" si="16"/>
        <v>GAR-57</v>
      </c>
    </row>
    <row r="240" spans="2:17" ht="15" customHeight="1" x14ac:dyDescent="0.35">
      <c r="B240" s="29">
        <v>7</v>
      </c>
      <c r="C240" s="29" t="s">
        <v>26</v>
      </c>
      <c r="D240" s="30">
        <v>58</v>
      </c>
      <c r="E240" s="66" t="s">
        <v>856</v>
      </c>
      <c r="F240" s="66" t="s">
        <v>857</v>
      </c>
      <c r="G240" s="66" t="s">
        <v>13284</v>
      </c>
      <c r="H240" s="29" t="s">
        <v>61</v>
      </c>
      <c r="I240" s="29" t="s">
        <v>61</v>
      </c>
      <c r="J240" s="98">
        <v>44739</v>
      </c>
      <c r="K240" s="98">
        <f t="shared" si="17"/>
        <v>45835</v>
      </c>
      <c r="L240" s="110" t="s">
        <v>62</v>
      </c>
      <c r="M240" s="112" t="str">
        <f t="shared" ca="1" si="18"/>
        <v>Vencido</v>
      </c>
      <c r="N240" s="112"/>
      <c r="O240" s="67">
        <f t="shared" ca="1" si="15"/>
        <v>1459</v>
      </c>
      <c r="P240" s="67">
        <f t="shared" ca="1" si="19"/>
        <v>-363</v>
      </c>
      <c r="Q240" t="str">
        <f t="shared" si="16"/>
        <v>GAR-58</v>
      </c>
    </row>
    <row r="241" spans="2:17" ht="15" customHeight="1" x14ac:dyDescent="0.35">
      <c r="B241" s="29">
        <v>7</v>
      </c>
      <c r="C241" s="29" t="s">
        <v>26</v>
      </c>
      <c r="D241" s="30">
        <v>59</v>
      </c>
      <c r="E241" s="66" t="s">
        <v>858</v>
      </c>
      <c r="F241" s="66" t="s">
        <v>859</v>
      </c>
      <c r="G241" s="187" t="s">
        <v>13283</v>
      </c>
      <c r="H241" s="29" t="s">
        <v>61</v>
      </c>
      <c r="I241" s="29" t="s">
        <v>61</v>
      </c>
      <c r="J241" s="98">
        <v>45462</v>
      </c>
      <c r="K241" s="98">
        <f t="shared" si="17"/>
        <v>46558</v>
      </c>
      <c r="L241" s="110" t="s">
        <v>62</v>
      </c>
      <c r="M241" s="112" t="str">
        <f t="shared" ca="1" si="18"/>
        <v>Alerta</v>
      </c>
      <c r="N241" s="112"/>
      <c r="O241" s="67">
        <f t="shared" ca="1" si="15"/>
        <v>736</v>
      </c>
      <c r="P241" s="67">
        <f t="shared" ca="1" si="19"/>
        <v>360</v>
      </c>
      <c r="Q241" t="str">
        <f t="shared" si="16"/>
        <v>GAR-59</v>
      </c>
    </row>
    <row r="242" spans="2:17" ht="15" customHeight="1" x14ac:dyDescent="0.35">
      <c r="B242" s="29">
        <v>7</v>
      </c>
      <c r="C242" s="29" t="s">
        <v>26</v>
      </c>
      <c r="D242" s="30">
        <v>60</v>
      </c>
      <c r="E242" s="66" t="s">
        <v>860</v>
      </c>
      <c r="F242" s="66" t="s">
        <v>861</v>
      </c>
      <c r="G242" s="187" t="s">
        <v>13284</v>
      </c>
      <c r="H242" s="29" t="s">
        <v>61</v>
      </c>
      <c r="I242" s="29" t="s">
        <v>61</v>
      </c>
      <c r="J242" s="98">
        <v>44819</v>
      </c>
      <c r="K242" s="98">
        <f t="shared" si="17"/>
        <v>45915</v>
      </c>
      <c r="L242" s="110" t="s">
        <v>62</v>
      </c>
      <c r="M242" s="112" t="str">
        <f t="shared" ca="1" si="18"/>
        <v>Vencido</v>
      </c>
      <c r="N242" s="112"/>
      <c r="O242" s="67">
        <f t="shared" ca="1" si="15"/>
        <v>1379</v>
      </c>
      <c r="P242" s="67">
        <f t="shared" ca="1" si="19"/>
        <v>-283</v>
      </c>
      <c r="Q242" t="str">
        <f t="shared" si="16"/>
        <v>GAR-60</v>
      </c>
    </row>
    <row r="243" spans="2:17" ht="15" customHeight="1" x14ac:dyDescent="0.35">
      <c r="B243" s="29">
        <v>7</v>
      </c>
      <c r="C243" s="29" t="s">
        <v>26</v>
      </c>
      <c r="D243" s="30">
        <v>62</v>
      </c>
      <c r="E243" s="66" t="s">
        <v>862</v>
      </c>
      <c r="F243" s="66" t="s">
        <v>863</v>
      </c>
      <c r="G243" s="193" t="s">
        <v>13308</v>
      </c>
      <c r="H243" s="29" t="s">
        <v>61</v>
      </c>
      <c r="I243" s="29" t="s">
        <v>61</v>
      </c>
      <c r="J243" s="98">
        <v>45202</v>
      </c>
      <c r="K243" s="98">
        <f t="shared" si="17"/>
        <v>46298</v>
      </c>
      <c r="L243" s="110" t="s">
        <v>62</v>
      </c>
      <c r="M243" s="112" t="str">
        <f t="shared" ca="1" si="18"/>
        <v>Alerta</v>
      </c>
      <c r="N243" s="112"/>
      <c r="O243" s="67">
        <f t="shared" ca="1" si="15"/>
        <v>996</v>
      </c>
      <c r="P243" s="67">
        <f t="shared" ca="1" si="19"/>
        <v>100</v>
      </c>
      <c r="Q243" t="str">
        <f t="shared" si="16"/>
        <v>GAR-62</v>
      </c>
    </row>
    <row r="244" spans="2:17" ht="15" customHeight="1" x14ac:dyDescent="0.35">
      <c r="B244" s="29">
        <v>7</v>
      </c>
      <c r="C244" s="29" t="s">
        <v>26</v>
      </c>
      <c r="D244" s="30">
        <v>64</v>
      </c>
      <c r="E244" s="66" t="s">
        <v>864</v>
      </c>
      <c r="F244" s="66" t="s">
        <v>865</v>
      </c>
      <c r="G244" s="187" t="s">
        <v>13284</v>
      </c>
      <c r="H244" s="29" t="s">
        <v>61</v>
      </c>
      <c r="I244" s="29" t="s">
        <v>61</v>
      </c>
      <c r="J244" s="98">
        <v>45202</v>
      </c>
      <c r="K244" s="98">
        <f t="shared" si="17"/>
        <v>46298</v>
      </c>
      <c r="L244" s="110" t="s">
        <v>62</v>
      </c>
      <c r="M244" s="112" t="str">
        <f t="shared" ca="1" si="18"/>
        <v>Alerta</v>
      </c>
      <c r="N244" s="112"/>
      <c r="O244" s="67">
        <f t="shared" ca="1" si="15"/>
        <v>996</v>
      </c>
      <c r="P244" s="67">
        <f t="shared" ca="1" si="19"/>
        <v>100</v>
      </c>
      <c r="Q244" t="str">
        <f t="shared" si="16"/>
        <v>GAR-64</v>
      </c>
    </row>
    <row r="245" spans="2:17" ht="15" customHeight="1" x14ac:dyDescent="0.35">
      <c r="B245" s="29">
        <v>7</v>
      </c>
      <c r="C245" s="29" t="s">
        <v>26</v>
      </c>
      <c r="D245" s="30">
        <v>71</v>
      </c>
      <c r="E245" s="66" t="s">
        <v>866</v>
      </c>
      <c r="F245" s="66" t="s">
        <v>867</v>
      </c>
      <c r="G245" s="26" t="s">
        <v>13282</v>
      </c>
      <c r="H245" s="29" t="s">
        <v>61</v>
      </c>
      <c r="I245" s="29"/>
      <c r="J245" s="98">
        <v>45202</v>
      </c>
      <c r="K245" s="98">
        <f t="shared" si="17"/>
        <v>46298</v>
      </c>
      <c r="L245" s="110" t="s">
        <v>62</v>
      </c>
      <c r="M245" s="112" t="str">
        <f t="shared" ca="1" si="18"/>
        <v>Alerta</v>
      </c>
      <c r="N245" s="112"/>
      <c r="O245" s="67">
        <f t="shared" ca="1" si="15"/>
        <v>996</v>
      </c>
      <c r="P245" s="67">
        <f t="shared" ca="1" si="19"/>
        <v>100</v>
      </c>
      <c r="Q245" t="str">
        <f t="shared" si="16"/>
        <v>GAR-71</v>
      </c>
    </row>
    <row r="246" spans="2:17" ht="15" customHeight="1" x14ac:dyDescent="0.35">
      <c r="B246" s="29">
        <v>7</v>
      </c>
      <c r="C246" s="29" t="s">
        <v>26</v>
      </c>
      <c r="D246" s="30">
        <v>30</v>
      </c>
      <c r="E246" s="66" t="s">
        <v>868</v>
      </c>
      <c r="F246" s="66" t="s">
        <v>869</v>
      </c>
      <c r="G246" s="187" t="s">
        <v>13284</v>
      </c>
      <c r="H246" s="29" t="s">
        <v>61</v>
      </c>
      <c r="I246" s="29" t="s">
        <v>61</v>
      </c>
      <c r="J246" s="98">
        <v>44838</v>
      </c>
      <c r="K246" s="98">
        <f t="shared" si="17"/>
        <v>45934</v>
      </c>
      <c r="L246" s="110" t="s">
        <v>62</v>
      </c>
      <c r="M246" s="112" t="str">
        <f t="shared" ca="1" si="18"/>
        <v>Vencido</v>
      </c>
      <c r="N246" s="112"/>
      <c r="O246" s="67">
        <f t="shared" ca="1" si="15"/>
        <v>1360</v>
      </c>
      <c r="P246" s="67">
        <f t="shared" ca="1" si="19"/>
        <v>-264</v>
      </c>
      <c r="Q246" t="str">
        <f t="shared" si="16"/>
        <v>GAR-30</v>
      </c>
    </row>
    <row r="247" spans="2:17" ht="15" customHeight="1" x14ac:dyDescent="0.35">
      <c r="B247" s="29">
        <v>7</v>
      </c>
      <c r="C247" s="29" t="s">
        <v>26</v>
      </c>
      <c r="D247" s="30">
        <v>31</v>
      </c>
      <c r="E247" s="66" t="s">
        <v>870</v>
      </c>
      <c r="F247" s="66" t="s">
        <v>871</v>
      </c>
      <c r="G247" s="187" t="s">
        <v>13284</v>
      </c>
      <c r="H247" s="29" t="s">
        <v>61</v>
      </c>
      <c r="I247" s="29" t="s">
        <v>61</v>
      </c>
      <c r="J247" s="98">
        <v>44838</v>
      </c>
      <c r="K247" s="98">
        <f t="shared" si="17"/>
        <v>45934</v>
      </c>
      <c r="L247" s="110" t="s">
        <v>62</v>
      </c>
      <c r="M247" s="112" t="str">
        <f t="shared" ca="1" si="18"/>
        <v>Vencido</v>
      </c>
      <c r="N247" s="112"/>
      <c r="O247" s="67">
        <f t="shared" ca="1" si="15"/>
        <v>1360</v>
      </c>
      <c r="P247" s="67">
        <f t="shared" ca="1" si="19"/>
        <v>-264</v>
      </c>
      <c r="Q247" t="str">
        <f t="shared" si="16"/>
        <v>GAR-31</v>
      </c>
    </row>
    <row r="248" spans="2:17" ht="15" customHeight="1" x14ac:dyDescent="0.35">
      <c r="B248" s="29">
        <v>7</v>
      </c>
      <c r="C248" s="29" t="s">
        <v>26</v>
      </c>
      <c r="D248" s="30">
        <v>32</v>
      </c>
      <c r="E248" s="66" t="s">
        <v>872</v>
      </c>
      <c r="F248" s="66" t="s">
        <v>873</v>
      </c>
      <c r="G248" s="187" t="s">
        <v>13284</v>
      </c>
      <c r="H248" s="29" t="s">
        <v>61</v>
      </c>
      <c r="I248" s="29" t="s">
        <v>61</v>
      </c>
      <c r="J248" s="98">
        <v>44838</v>
      </c>
      <c r="K248" s="98">
        <f t="shared" si="17"/>
        <v>45934</v>
      </c>
      <c r="L248" s="110" t="s">
        <v>62</v>
      </c>
      <c r="M248" s="112" t="str">
        <f t="shared" ca="1" si="18"/>
        <v>Vencido</v>
      </c>
      <c r="N248" s="112"/>
      <c r="O248" s="67">
        <f t="shared" ca="1" si="15"/>
        <v>1360</v>
      </c>
      <c r="P248" s="67">
        <f t="shared" ca="1" si="19"/>
        <v>-264</v>
      </c>
      <c r="Q248" t="str">
        <f t="shared" si="16"/>
        <v>GAR-32</v>
      </c>
    </row>
    <row r="249" spans="2:17" ht="15" customHeight="1" x14ac:dyDescent="0.35">
      <c r="B249" s="29">
        <v>7</v>
      </c>
      <c r="C249" s="29" t="s">
        <v>26</v>
      </c>
      <c r="D249" s="30" t="s">
        <v>475</v>
      </c>
      <c r="E249" s="66" t="s">
        <v>874</v>
      </c>
      <c r="F249" s="66" t="s">
        <v>875</v>
      </c>
      <c r="G249" s="187" t="s">
        <v>13284</v>
      </c>
      <c r="H249" s="29" t="s">
        <v>61</v>
      </c>
      <c r="I249" s="29" t="s">
        <v>61</v>
      </c>
      <c r="J249" s="98">
        <v>44838</v>
      </c>
      <c r="K249" s="98">
        <f t="shared" si="17"/>
        <v>45934</v>
      </c>
      <c r="L249" s="110" t="s">
        <v>62</v>
      </c>
      <c r="M249" s="112" t="str">
        <f t="shared" ca="1" si="18"/>
        <v>Vencido</v>
      </c>
      <c r="N249" s="112"/>
      <c r="O249" s="67">
        <f t="shared" ca="1" si="15"/>
        <v>1360</v>
      </c>
      <c r="P249" s="67">
        <f t="shared" ca="1" si="19"/>
        <v>-264</v>
      </c>
      <c r="Q249" t="str">
        <f t="shared" si="16"/>
        <v>GAR-32</v>
      </c>
    </row>
    <row r="250" spans="2:17" ht="15" customHeight="1" x14ac:dyDescent="0.35">
      <c r="B250" s="29">
        <v>7</v>
      </c>
      <c r="C250" s="29" t="s">
        <v>26</v>
      </c>
      <c r="D250" s="30" t="s">
        <v>478</v>
      </c>
      <c r="E250" s="66" t="s">
        <v>876</v>
      </c>
      <c r="F250" s="66" t="s">
        <v>877</v>
      </c>
      <c r="G250" s="187" t="s">
        <v>13284</v>
      </c>
      <c r="H250" s="29" t="s">
        <v>61</v>
      </c>
      <c r="I250" s="29" t="s">
        <v>61</v>
      </c>
      <c r="J250" s="98">
        <v>44838</v>
      </c>
      <c r="K250" s="98">
        <f t="shared" si="17"/>
        <v>45934</v>
      </c>
      <c r="L250" s="110" t="s">
        <v>62</v>
      </c>
      <c r="M250" s="112" t="str">
        <f t="shared" ca="1" si="18"/>
        <v>Vencido</v>
      </c>
      <c r="N250" s="112"/>
      <c r="O250" s="67">
        <f t="shared" ca="1" si="15"/>
        <v>1360</v>
      </c>
      <c r="P250" s="67">
        <f t="shared" ca="1" si="19"/>
        <v>-264</v>
      </c>
      <c r="Q250" t="str">
        <f t="shared" si="16"/>
        <v>GAR-32</v>
      </c>
    </row>
    <row r="251" spans="2:17" ht="15" customHeight="1" x14ac:dyDescent="0.35">
      <c r="B251" s="29">
        <v>7</v>
      </c>
      <c r="C251" s="29" t="s">
        <v>26</v>
      </c>
      <c r="D251" s="30" t="s">
        <v>878</v>
      </c>
      <c r="E251" s="66" t="s">
        <v>879</v>
      </c>
      <c r="F251" s="66" t="s">
        <v>880</v>
      </c>
      <c r="G251" s="187" t="s">
        <v>13284</v>
      </c>
      <c r="H251" s="29" t="s">
        <v>61</v>
      </c>
      <c r="I251" s="29" t="s">
        <v>61</v>
      </c>
      <c r="J251" s="98">
        <v>44838</v>
      </c>
      <c r="K251" s="98">
        <f t="shared" si="17"/>
        <v>45934</v>
      </c>
      <c r="L251" s="110" t="s">
        <v>62</v>
      </c>
      <c r="M251" s="112" t="str">
        <f t="shared" ca="1" si="18"/>
        <v>Vencido</v>
      </c>
      <c r="N251" s="112"/>
      <c r="O251" s="67">
        <f t="shared" ca="1" si="15"/>
        <v>1360</v>
      </c>
      <c r="P251" s="67">
        <f t="shared" ca="1" si="19"/>
        <v>-264</v>
      </c>
      <c r="Q251" t="str">
        <f t="shared" si="16"/>
        <v>GAR-32</v>
      </c>
    </row>
    <row r="252" spans="2:17" ht="15" customHeight="1" x14ac:dyDescent="0.35">
      <c r="B252" s="29">
        <v>7</v>
      </c>
      <c r="C252" s="29" t="s">
        <v>26</v>
      </c>
      <c r="D252" s="30" t="s">
        <v>881</v>
      </c>
      <c r="E252" s="66" t="s">
        <v>882</v>
      </c>
      <c r="F252" s="66" t="s">
        <v>883</v>
      </c>
      <c r="G252" s="187" t="s">
        <v>13284</v>
      </c>
      <c r="H252" s="29" t="s">
        <v>61</v>
      </c>
      <c r="I252" s="29" t="s">
        <v>61</v>
      </c>
      <c r="J252" s="98">
        <v>44838</v>
      </c>
      <c r="K252" s="98">
        <f t="shared" si="17"/>
        <v>45934</v>
      </c>
      <c r="L252" s="110" t="s">
        <v>62</v>
      </c>
      <c r="M252" s="112" t="str">
        <f t="shared" ca="1" si="18"/>
        <v>Vencido</v>
      </c>
      <c r="N252" s="112"/>
      <c r="O252" s="67">
        <f t="shared" ca="1" si="15"/>
        <v>1360</v>
      </c>
      <c r="P252" s="67">
        <f t="shared" ca="1" si="19"/>
        <v>-264</v>
      </c>
      <c r="Q252" t="str">
        <f t="shared" si="16"/>
        <v>GAR-32</v>
      </c>
    </row>
    <row r="253" spans="2:17" ht="15" customHeight="1" x14ac:dyDescent="0.35">
      <c r="B253" s="29">
        <v>7</v>
      </c>
      <c r="C253" s="29" t="s">
        <v>26</v>
      </c>
      <c r="D253" s="30">
        <v>34</v>
      </c>
      <c r="E253" s="66" t="s">
        <v>884</v>
      </c>
      <c r="F253" s="66" t="s">
        <v>885</v>
      </c>
      <c r="G253" s="187" t="s">
        <v>13284</v>
      </c>
      <c r="H253" s="29" t="s">
        <v>61</v>
      </c>
      <c r="I253" s="29" t="s">
        <v>61</v>
      </c>
      <c r="J253" s="98">
        <v>45202</v>
      </c>
      <c r="K253" s="98">
        <f t="shared" si="17"/>
        <v>46298</v>
      </c>
      <c r="L253" s="110" t="s">
        <v>62</v>
      </c>
      <c r="M253" s="112" t="str">
        <f t="shared" ca="1" si="18"/>
        <v>Alerta</v>
      </c>
      <c r="N253" s="112"/>
      <c r="O253" s="67">
        <f t="shared" ca="1" si="15"/>
        <v>996</v>
      </c>
      <c r="P253" s="67">
        <f t="shared" ca="1" si="19"/>
        <v>100</v>
      </c>
      <c r="Q253" t="str">
        <f t="shared" si="16"/>
        <v>GAR-34</v>
      </c>
    </row>
    <row r="254" spans="2:17" ht="15" customHeight="1" x14ac:dyDescent="0.35">
      <c r="B254" s="29">
        <v>7</v>
      </c>
      <c r="C254" s="29" t="s">
        <v>26</v>
      </c>
      <c r="D254" s="30">
        <v>35</v>
      </c>
      <c r="E254" s="66" t="s">
        <v>886</v>
      </c>
      <c r="F254" s="66" t="s">
        <v>887</v>
      </c>
      <c r="G254" s="187" t="s">
        <v>13284</v>
      </c>
      <c r="H254" s="29" t="s">
        <v>371</v>
      </c>
      <c r="I254" s="29" t="s">
        <v>371</v>
      </c>
      <c r="J254" s="98">
        <v>45274</v>
      </c>
      <c r="K254" s="98">
        <f t="shared" si="17"/>
        <v>46370</v>
      </c>
      <c r="L254" s="110" t="s">
        <v>62</v>
      </c>
      <c r="M254" s="112" t="str">
        <f t="shared" ca="1" si="18"/>
        <v>Alerta</v>
      </c>
      <c r="N254" s="112"/>
      <c r="O254" s="67">
        <f t="shared" ca="1" si="15"/>
        <v>924</v>
      </c>
      <c r="P254" s="67">
        <f t="shared" ca="1" si="19"/>
        <v>172</v>
      </c>
      <c r="Q254" t="str">
        <f t="shared" si="16"/>
        <v>GAR-35</v>
      </c>
    </row>
    <row r="255" spans="2:17" ht="15" customHeight="1" x14ac:dyDescent="0.35">
      <c r="B255" s="29">
        <v>7</v>
      </c>
      <c r="C255" s="29" t="s">
        <v>26</v>
      </c>
      <c r="D255" s="30" t="s">
        <v>888</v>
      </c>
      <c r="E255" s="66" t="s">
        <v>889</v>
      </c>
      <c r="F255" s="66" t="s">
        <v>890</v>
      </c>
      <c r="G255" s="187" t="s">
        <v>13284</v>
      </c>
      <c r="H255" s="29" t="s">
        <v>61</v>
      </c>
      <c r="I255" s="29" t="s">
        <v>61</v>
      </c>
      <c r="J255" s="98">
        <v>45274</v>
      </c>
      <c r="K255" s="98">
        <f t="shared" si="17"/>
        <v>46370</v>
      </c>
      <c r="L255" s="110" t="s">
        <v>62</v>
      </c>
      <c r="M255" s="112" t="str">
        <f t="shared" ca="1" si="18"/>
        <v>Alerta</v>
      </c>
      <c r="N255" s="112"/>
      <c r="O255" s="67">
        <f t="shared" ca="1" si="15"/>
        <v>924</v>
      </c>
      <c r="P255" s="67">
        <f t="shared" ca="1" si="19"/>
        <v>172</v>
      </c>
      <c r="Q255" t="str">
        <f t="shared" si="16"/>
        <v>GAR-35</v>
      </c>
    </row>
    <row r="256" spans="2:17" ht="15" customHeight="1" x14ac:dyDescent="0.35">
      <c r="B256" s="29">
        <v>7</v>
      </c>
      <c r="C256" s="29" t="s">
        <v>26</v>
      </c>
      <c r="D256" s="29">
        <v>86</v>
      </c>
      <c r="E256" s="66" t="s">
        <v>891</v>
      </c>
      <c r="F256" s="66" t="s">
        <v>892</v>
      </c>
      <c r="G256" s="187" t="s">
        <v>13284</v>
      </c>
      <c r="H256" s="29" t="s">
        <v>61</v>
      </c>
      <c r="I256" s="29"/>
      <c r="J256" s="98">
        <v>45274</v>
      </c>
      <c r="K256" s="98">
        <f t="shared" si="17"/>
        <v>46370</v>
      </c>
      <c r="L256" s="110" t="s">
        <v>62</v>
      </c>
      <c r="M256" s="112" t="str">
        <f t="shared" ca="1" si="18"/>
        <v>Alerta</v>
      </c>
      <c r="N256" s="112"/>
      <c r="O256" s="67">
        <f t="shared" ca="1" si="15"/>
        <v>924</v>
      </c>
      <c r="P256" s="67">
        <f t="shared" ca="1" si="19"/>
        <v>172</v>
      </c>
      <c r="Q256" t="str">
        <f t="shared" si="16"/>
        <v>GAR-86</v>
      </c>
    </row>
    <row r="257" spans="2:17" ht="15" customHeight="1" x14ac:dyDescent="0.35">
      <c r="B257" s="29">
        <v>7</v>
      </c>
      <c r="C257" s="29" t="s">
        <v>26</v>
      </c>
      <c r="D257" s="29" t="s">
        <v>893</v>
      </c>
      <c r="E257" s="66" t="s">
        <v>894</v>
      </c>
      <c r="F257" s="66" t="s">
        <v>895</v>
      </c>
      <c r="G257" s="187" t="s">
        <v>13284</v>
      </c>
      <c r="H257" s="29" t="s">
        <v>61</v>
      </c>
      <c r="I257" s="29"/>
      <c r="J257" s="98">
        <v>45274</v>
      </c>
      <c r="K257" s="98">
        <f t="shared" si="17"/>
        <v>46370</v>
      </c>
      <c r="L257" s="110" t="s">
        <v>62</v>
      </c>
      <c r="M257" s="112" t="str">
        <f t="shared" ca="1" si="18"/>
        <v>Alerta</v>
      </c>
      <c r="N257" s="112"/>
      <c r="O257" s="67">
        <f t="shared" ca="1" si="15"/>
        <v>924</v>
      </c>
      <c r="P257" s="67">
        <f t="shared" ca="1" si="19"/>
        <v>172</v>
      </c>
      <c r="Q257" t="str">
        <f t="shared" si="16"/>
        <v>GAR-86</v>
      </c>
    </row>
    <row r="258" spans="2:17" ht="15" customHeight="1" x14ac:dyDescent="0.35">
      <c r="B258" s="29">
        <v>7</v>
      </c>
      <c r="C258" s="29" t="s">
        <v>26</v>
      </c>
      <c r="D258" s="30">
        <v>63</v>
      </c>
      <c r="E258" s="66" t="s">
        <v>896</v>
      </c>
      <c r="F258" s="66" t="s">
        <v>897</v>
      </c>
      <c r="G258" s="193" t="s">
        <v>13284</v>
      </c>
      <c r="H258" s="29" t="s">
        <v>61</v>
      </c>
      <c r="I258" s="29" t="s">
        <v>61</v>
      </c>
      <c r="J258" s="98">
        <v>44838</v>
      </c>
      <c r="K258" s="98">
        <f t="shared" si="17"/>
        <v>45934</v>
      </c>
      <c r="L258" s="110" t="s">
        <v>62</v>
      </c>
      <c r="M258" s="112" t="str">
        <f t="shared" ca="1" si="18"/>
        <v>Vencido</v>
      </c>
      <c r="N258" s="112"/>
      <c r="O258" s="67">
        <f t="shared" ca="1" si="15"/>
        <v>1360</v>
      </c>
      <c r="P258" s="67">
        <f t="shared" ca="1" si="19"/>
        <v>-264</v>
      </c>
      <c r="Q258" t="str">
        <f t="shared" si="16"/>
        <v>GAR-63</v>
      </c>
    </row>
    <row r="259" spans="2:17" ht="15" customHeight="1" x14ac:dyDescent="0.35">
      <c r="B259" s="29">
        <v>8</v>
      </c>
      <c r="C259" s="29" t="s">
        <v>23</v>
      </c>
      <c r="D259" s="30">
        <v>0</v>
      </c>
      <c r="E259" s="66" t="s">
        <v>898</v>
      </c>
      <c r="F259" s="65" t="s">
        <v>899</v>
      </c>
      <c r="G259" s="26" t="s">
        <v>13301</v>
      </c>
      <c r="H259" s="29" t="s">
        <v>61</v>
      </c>
      <c r="I259" s="29"/>
      <c r="J259" s="98">
        <v>45202</v>
      </c>
      <c r="K259" s="98">
        <f t="shared" si="17"/>
        <v>46298</v>
      </c>
      <c r="L259" s="110" t="s">
        <v>62</v>
      </c>
      <c r="M259" s="112" t="str">
        <f t="shared" ca="1" si="18"/>
        <v>Alerta</v>
      </c>
      <c r="N259" s="112"/>
      <c r="O259" s="67">
        <f t="shared" ca="1" si="15"/>
        <v>996</v>
      </c>
      <c r="P259" s="67">
        <f t="shared" ca="1" si="19"/>
        <v>100</v>
      </c>
      <c r="Q259" t="str">
        <f t="shared" si="16"/>
        <v>ILS-00</v>
      </c>
    </row>
    <row r="260" spans="2:17" ht="15" customHeight="1" x14ac:dyDescent="0.35">
      <c r="B260" s="29">
        <v>8</v>
      </c>
      <c r="C260" s="29" t="s">
        <v>23</v>
      </c>
      <c r="D260" s="30">
        <v>1</v>
      </c>
      <c r="E260" s="66" t="s">
        <v>900</v>
      </c>
      <c r="F260" s="66" t="s">
        <v>901</v>
      </c>
      <c r="G260" s="187" t="s">
        <v>13284</v>
      </c>
      <c r="H260" s="29" t="s">
        <v>61</v>
      </c>
      <c r="I260" s="29" t="s">
        <v>61</v>
      </c>
      <c r="J260" s="98">
        <v>44739</v>
      </c>
      <c r="K260" s="98">
        <f t="shared" si="17"/>
        <v>45835</v>
      </c>
      <c r="L260" s="110" t="s">
        <v>62</v>
      </c>
      <c r="M260" s="112" t="str">
        <f t="shared" ca="1" si="18"/>
        <v>Vencido</v>
      </c>
      <c r="N260" s="112"/>
      <c r="O260" s="67">
        <f t="shared" ca="1" si="15"/>
        <v>1459</v>
      </c>
      <c r="P260" s="67">
        <f t="shared" ca="1" si="19"/>
        <v>-363</v>
      </c>
      <c r="Q260" t="str">
        <f t="shared" si="16"/>
        <v>ILS-01</v>
      </c>
    </row>
    <row r="261" spans="2:17" ht="15" customHeight="1" x14ac:dyDescent="0.35">
      <c r="B261" s="29">
        <v>8</v>
      </c>
      <c r="C261" s="29" t="s">
        <v>23</v>
      </c>
      <c r="D261" s="30">
        <v>2</v>
      </c>
      <c r="E261" s="66" t="s">
        <v>902</v>
      </c>
      <c r="F261" s="66" t="s">
        <v>903</v>
      </c>
      <c r="G261" s="26" t="s">
        <v>13284</v>
      </c>
      <c r="H261" s="29" t="s">
        <v>61</v>
      </c>
      <c r="I261" s="29" t="s">
        <v>61</v>
      </c>
      <c r="J261" s="98">
        <v>44739</v>
      </c>
      <c r="K261" s="98">
        <f t="shared" si="17"/>
        <v>45835</v>
      </c>
      <c r="L261" s="110" t="s">
        <v>62</v>
      </c>
      <c r="M261" s="112" t="str">
        <f t="shared" ca="1" si="18"/>
        <v>Vencido</v>
      </c>
      <c r="N261" s="112"/>
      <c r="O261" s="67">
        <f t="shared" ref="O261:O324" ca="1" si="20">$O$4-J261</f>
        <v>1459</v>
      </c>
      <c r="P261" s="67">
        <f t="shared" ca="1" si="19"/>
        <v>-363</v>
      </c>
      <c r="Q261" t="str">
        <f t="shared" ref="Q261:Q324" si="21">IF(OR(C261="ARN",C261="SDP"),MID(E261,4,7),MID(E261,4,6))</f>
        <v>ILS-02</v>
      </c>
    </row>
    <row r="262" spans="2:17" ht="15" customHeight="1" x14ac:dyDescent="0.35">
      <c r="B262" s="29">
        <v>8</v>
      </c>
      <c r="C262" s="29" t="s">
        <v>23</v>
      </c>
      <c r="D262" s="30">
        <v>3</v>
      </c>
      <c r="E262" s="66" t="s">
        <v>904</v>
      </c>
      <c r="F262" s="66" t="s">
        <v>905</v>
      </c>
      <c r="G262" s="26" t="s">
        <v>13283</v>
      </c>
      <c r="H262" s="29" t="s">
        <v>61</v>
      </c>
      <c r="I262" s="29" t="s">
        <v>61</v>
      </c>
      <c r="J262" s="98">
        <v>45506</v>
      </c>
      <c r="K262" s="98">
        <f t="shared" ref="K262:K325" si="22">J262+1096</f>
        <v>46602</v>
      </c>
      <c r="L262" s="110" t="s">
        <v>62</v>
      </c>
      <c r="M262" s="112" t="str">
        <f t="shared" ref="M262:M325" ca="1" si="23">IF(O262="","",IF(O262&gt;1095,"Vencido",IF(O262&gt;910,"Alerta",IF(O262&gt;820,"Alerta",IF(O262&gt;730,"Alerta",IF(O262&gt;=0,"Em dia","Vencido"))))))</f>
        <v>Em dia</v>
      </c>
      <c r="N262" s="112"/>
      <c r="O262" s="67">
        <f t="shared" ca="1" si="20"/>
        <v>692</v>
      </c>
      <c r="P262" s="67">
        <f t="shared" ref="P262:P325" ca="1" si="24">K262-$P$3</f>
        <v>404</v>
      </c>
      <c r="Q262" t="str">
        <f t="shared" si="21"/>
        <v>ILS-03</v>
      </c>
    </row>
    <row r="263" spans="2:17" ht="15" customHeight="1" x14ac:dyDescent="0.35">
      <c r="B263" s="29">
        <v>8</v>
      </c>
      <c r="C263" s="29" t="s">
        <v>23</v>
      </c>
      <c r="D263" s="30">
        <v>4</v>
      </c>
      <c r="E263" s="66" t="s">
        <v>906</v>
      </c>
      <c r="F263" s="66" t="s">
        <v>907</v>
      </c>
      <c r="G263" s="186" t="s">
        <v>13283</v>
      </c>
      <c r="H263" s="29" t="s">
        <v>61</v>
      </c>
      <c r="I263" s="29" t="s">
        <v>61</v>
      </c>
      <c r="J263" s="98">
        <v>46104</v>
      </c>
      <c r="K263" s="98">
        <f t="shared" si="22"/>
        <v>47200</v>
      </c>
      <c r="L263" s="110" t="s">
        <v>62</v>
      </c>
      <c r="M263" s="112" t="str">
        <f t="shared" ca="1" si="23"/>
        <v>Em dia</v>
      </c>
      <c r="N263" s="112"/>
      <c r="O263" s="67">
        <f t="shared" ca="1" si="20"/>
        <v>94</v>
      </c>
      <c r="P263" s="67">
        <f t="shared" ca="1" si="24"/>
        <v>1002</v>
      </c>
      <c r="Q263" t="str">
        <f t="shared" si="21"/>
        <v>ILS-04</v>
      </c>
    </row>
    <row r="264" spans="2:17" ht="15" customHeight="1" x14ac:dyDescent="0.35">
      <c r="B264" s="29">
        <v>8</v>
      </c>
      <c r="C264" s="29" t="s">
        <v>23</v>
      </c>
      <c r="D264" s="30">
        <v>5</v>
      </c>
      <c r="E264" s="66" t="s">
        <v>908</v>
      </c>
      <c r="F264" s="66" t="s">
        <v>909</v>
      </c>
      <c r="G264" s="186" t="s">
        <v>13283</v>
      </c>
      <c r="H264" s="29" t="s">
        <v>61</v>
      </c>
      <c r="I264" s="29" t="s">
        <v>61</v>
      </c>
      <c r="J264" s="98">
        <v>46104</v>
      </c>
      <c r="K264" s="98">
        <f t="shared" si="22"/>
        <v>47200</v>
      </c>
      <c r="L264" s="110" t="s">
        <v>62</v>
      </c>
      <c r="M264" s="112" t="str">
        <f t="shared" ca="1" si="23"/>
        <v>Em dia</v>
      </c>
      <c r="N264" s="112"/>
      <c r="O264" s="67">
        <f t="shared" ca="1" si="20"/>
        <v>94</v>
      </c>
      <c r="P264" s="67">
        <f t="shared" ca="1" si="24"/>
        <v>1002</v>
      </c>
      <c r="Q264" t="str">
        <f t="shared" si="21"/>
        <v>ILS-05</v>
      </c>
    </row>
    <row r="265" spans="2:17" ht="15" customHeight="1" x14ac:dyDescent="0.35">
      <c r="B265" s="29">
        <v>8</v>
      </c>
      <c r="C265" s="29" t="s">
        <v>23</v>
      </c>
      <c r="D265" s="30">
        <v>6</v>
      </c>
      <c r="E265" s="66" t="s">
        <v>910</v>
      </c>
      <c r="F265" s="66" t="s">
        <v>911</v>
      </c>
      <c r="G265" s="186" t="s">
        <v>13283</v>
      </c>
      <c r="H265" s="29" t="s">
        <v>61</v>
      </c>
      <c r="I265" s="29" t="s">
        <v>61</v>
      </c>
      <c r="J265" s="98">
        <v>46104</v>
      </c>
      <c r="K265" s="98">
        <f t="shared" si="22"/>
        <v>47200</v>
      </c>
      <c r="L265" s="110" t="s">
        <v>62</v>
      </c>
      <c r="M265" s="112" t="str">
        <f t="shared" ca="1" si="23"/>
        <v>Em dia</v>
      </c>
      <c r="N265" s="112"/>
      <c r="O265" s="67">
        <f t="shared" ca="1" si="20"/>
        <v>94</v>
      </c>
      <c r="P265" s="67">
        <f t="shared" ca="1" si="24"/>
        <v>1002</v>
      </c>
      <c r="Q265" t="str">
        <f t="shared" si="21"/>
        <v>ILS-06</v>
      </c>
    </row>
    <row r="266" spans="2:17" ht="15" customHeight="1" x14ac:dyDescent="0.35">
      <c r="B266" s="29">
        <v>8</v>
      </c>
      <c r="C266" s="29" t="s">
        <v>23</v>
      </c>
      <c r="D266" s="30">
        <v>7</v>
      </c>
      <c r="E266" s="66" t="s">
        <v>912</v>
      </c>
      <c r="F266" s="66" t="s">
        <v>913</v>
      </c>
      <c r="G266" s="186" t="s">
        <v>13283</v>
      </c>
      <c r="H266" s="29" t="s">
        <v>61</v>
      </c>
      <c r="I266" s="29" t="s">
        <v>61</v>
      </c>
      <c r="J266" s="98">
        <v>45959</v>
      </c>
      <c r="K266" s="98">
        <f t="shared" si="22"/>
        <v>47055</v>
      </c>
      <c r="L266" s="110" t="s">
        <v>62</v>
      </c>
      <c r="M266" s="112" t="str">
        <f t="shared" ca="1" si="23"/>
        <v>Em dia</v>
      </c>
      <c r="N266" s="112"/>
      <c r="O266" s="67">
        <f t="shared" ca="1" si="20"/>
        <v>239</v>
      </c>
      <c r="P266" s="67">
        <f t="shared" ca="1" si="24"/>
        <v>857</v>
      </c>
      <c r="Q266" t="str">
        <f t="shared" si="21"/>
        <v>ILS-07</v>
      </c>
    </row>
    <row r="267" spans="2:17" ht="15" customHeight="1" x14ac:dyDescent="0.35">
      <c r="B267" s="29">
        <v>8</v>
      </c>
      <c r="C267" s="29" t="s">
        <v>23</v>
      </c>
      <c r="D267" s="30">
        <v>8</v>
      </c>
      <c r="E267" s="66" t="s">
        <v>914</v>
      </c>
      <c r="F267" s="66" t="s">
        <v>915</v>
      </c>
      <c r="G267" s="186" t="s">
        <v>13283</v>
      </c>
      <c r="H267" s="29" t="s">
        <v>61</v>
      </c>
      <c r="I267" s="29" t="s">
        <v>371</v>
      </c>
      <c r="J267" s="98">
        <v>45645</v>
      </c>
      <c r="K267" s="98">
        <f t="shared" si="22"/>
        <v>46741</v>
      </c>
      <c r="L267" s="110" t="s">
        <v>62</v>
      </c>
      <c r="M267" s="112" t="str">
        <f t="shared" ca="1" si="23"/>
        <v>Em dia</v>
      </c>
      <c r="N267" s="112"/>
      <c r="O267" s="67">
        <f t="shared" ca="1" si="20"/>
        <v>553</v>
      </c>
      <c r="P267" s="67">
        <f t="shared" ca="1" si="24"/>
        <v>543</v>
      </c>
      <c r="Q267" t="str">
        <f t="shared" si="21"/>
        <v>ILS-08</v>
      </c>
    </row>
    <row r="268" spans="2:17" ht="15" customHeight="1" x14ac:dyDescent="0.35">
      <c r="B268" s="29">
        <v>8</v>
      </c>
      <c r="C268" s="29" t="s">
        <v>23</v>
      </c>
      <c r="D268" s="30">
        <v>9</v>
      </c>
      <c r="E268" s="66" t="s">
        <v>916</v>
      </c>
      <c r="F268" s="66" t="s">
        <v>917</v>
      </c>
      <c r="G268" s="186" t="s">
        <v>13283</v>
      </c>
      <c r="H268" s="29" t="s">
        <v>61</v>
      </c>
      <c r="I268" s="29" t="s">
        <v>61</v>
      </c>
      <c r="J268" s="98">
        <v>45959</v>
      </c>
      <c r="K268" s="98">
        <f t="shared" si="22"/>
        <v>47055</v>
      </c>
      <c r="L268" s="110" t="s">
        <v>62</v>
      </c>
      <c r="M268" s="112" t="str">
        <f t="shared" ca="1" si="23"/>
        <v>Em dia</v>
      </c>
      <c r="N268" s="112"/>
      <c r="O268" s="67">
        <f t="shared" ca="1" si="20"/>
        <v>239</v>
      </c>
      <c r="P268" s="67">
        <f t="shared" ca="1" si="24"/>
        <v>857</v>
      </c>
      <c r="Q268" t="str">
        <f t="shared" si="21"/>
        <v>ILS-09</v>
      </c>
    </row>
    <row r="269" spans="2:17" ht="15" customHeight="1" x14ac:dyDescent="0.35">
      <c r="B269" s="29">
        <v>8</v>
      </c>
      <c r="C269" s="29" t="s">
        <v>23</v>
      </c>
      <c r="D269" s="30">
        <v>10</v>
      </c>
      <c r="E269" s="66" t="s">
        <v>918</v>
      </c>
      <c r="F269" s="66" t="s">
        <v>919</v>
      </c>
      <c r="G269" s="186" t="s">
        <v>13283</v>
      </c>
      <c r="H269" s="29" t="s">
        <v>61</v>
      </c>
      <c r="I269" s="29" t="s">
        <v>61</v>
      </c>
      <c r="J269" s="101">
        <v>45959</v>
      </c>
      <c r="K269" s="98">
        <f t="shared" si="22"/>
        <v>47055</v>
      </c>
      <c r="L269" s="110" t="s">
        <v>62</v>
      </c>
      <c r="M269" s="112" t="str">
        <f t="shared" ca="1" si="23"/>
        <v>Em dia</v>
      </c>
      <c r="N269" s="112"/>
      <c r="O269" s="67">
        <f t="shared" ca="1" si="20"/>
        <v>239</v>
      </c>
      <c r="P269" s="67">
        <f t="shared" ca="1" si="24"/>
        <v>857</v>
      </c>
      <c r="Q269" t="str">
        <f t="shared" si="21"/>
        <v>ILS-10</v>
      </c>
    </row>
    <row r="270" spans="2:17" ht="15" customHeight="1" x14ac:dyDescent="0.35">
      <c r="B270" s="29">
        <v>8</v>
      </c>
      <c r="C270" s="29" t="s">
        <v>23</v>
      </c>
      <c r="D270" s="30">
        <v>11</v>
      </c>
      <c r="E270" s="66" t="s">
        <v>920</v>
      </c>
      <c r="F270" s="66" t="s">
        <v>921</v>
      </c>
      <c r="G270" s="186" t="s">
        <v>13283</v>
      </c>
      <c r="H270" s="29" t="s">
        <v>61</v>
      </c>
      <c r="I270" s="29" t="s">
        <v>61</v>
      </c>
      <c r="J270" s="98">
        <v>46104</v>
      </c>
      <c r="K270" s="98">
        <f t="shared" si="22"/>
        <v>47200</v>
      </c>
      <c r="L270" s="110" t="s">
        <v>62</v>
      </c>
      <c r="M270" s="112" t="str">
        <f t="shared" ca="1" si="23"/>
        <v>Em dia</v>
      </c>
      <c r="N270" s="112"/>
      <c r="O270" s="67">
        <f t="shared" ca="1" si="20"/>
        <v>94</v>
      </c>
      <c r="P270" s="67">
        <f t="shared" ca="1" si="24"/>
        <v>1002</v>
      </c>
      <c r="Q270" t="str">
        <f t="shared" si="21"/>
        <v>ILS-11</v>
      </c>
    </row>
    <row r="271" spans="2:17" ht="15" customHeight="1" x14ac:dyDescent="0.35">
      <c r="B271" s="29">
        <v>8</v>
      </c>
      <c r="C271" s="29" t="s">
        <v>23</v>
      </c>
      <c r="D271" s="30">
        <v>12</v>
      </c>
      <c r="E271" s="66" t="s">
        <v>922</v>
      </c>
      <c r="F271" s="66" t="s">
        <v>923</v>
      </c>
      <c r="G271" s="186" t="s">
        <v>13283</v>
      </c>
      <c r="H271" s="29" t="s">
        <v>61</v>
      </c>
      <c r="I271" s="29" t="s">
        <v>61</v>
      </c>
      <c r="J271" s="98">
        <v>46104</v>
      </c>
      <c r="K271" s="98">
        <f t="shared" si="22"/>
        <v>47200</v>
      </c>
      <c r="L271" s="110" t="s">
        <v>62</v>
      </c>
      <c r="M271" s="112" t="str">
        <f t="shared" ca="1" si="23"/>
        <v>Em dia</v>
      </c>
      <c r="N271" s="112"/>
      <c r="O271" s="67">
        <f t="shared" ca="1" si="20"/>
        <v>94</v>
      </c>
      <c r="P271" s="67">
        <f t="shared" ca="1" si="24"/>
        <v>1002</v>
      </c>
      <c r="Q271" t="str">
        <f t="shared" si="21"/>
        <v>ILS-12</v>
      </c>
    </row>
    <row r="272" spans="2:17" ht="15" customHeight="1" x14ac:dyDescent="0.35">
      <c r="B272" s="29">
        <v>8</v>
      </c>
      <c r="C272" s="29" t="s">
        <v>23</v>
      </c>
      <c r="D272" s="30">
        <v>13</v>
      </c>
      <c r="E272" s="66" t="s">
        <v>924</v>
      </c>
      <c r="F272" s="66" t="s">
        <v>925</v>
      </c>
      <c r="G272" s="186" t="s">
        <v>13283</v>
      </c>
      <c r="H272" s="29" t="s">
        <v>61</v>
      </c>
      <c r="I272" s="29" t="s">
        <v>61</v>
      </c>
      <c r="J272" s="98">
        <v>46104</v>
      </c>
      <c r="K272" s="98">
        <f t="shared" si="22"/>
        <v>47200</v>
      </c>
      <c r="L272" s="110" t="s">
        <v>62</v>
      </c>
      <c r="M272" s="112" t="str">
        <f t="shared" ca="1" si="23"/>
        <v>Em dia</v>
      </c>
      <c r="N272" s="112"/>
      <c r="O272" s="67">
        <f t="shared" ca="1" si="20"/>
        <v>94</v>
      </c>
      <c r="P272" s="67">
        <f t="shared" ca="1" si="24"/>
        <v>1002</v>
      </c>
      <c r="Q272" t="str">
        <f t="shared" si="21"/>
        <v>ILS-13</v>
      </c>
    </row>
    <row r="273" spans="2:17" ht="15" customHeight="1" x14ac:dyDescent="0.35">
      <c r="B273" s="29">
        <v>8</v>
      </c>
      <c r="C273" s="29" t="s">
        <v>23</v>
      </c>
      <c r="D273" s="30">
        <v>14</v>
      </c>
      <c r="E273" s="66" t="s">
        <v>926</v>
      </c>
      <c r="F273" s="66" t="s">
        <v>927</v>
      </c>
      <c r="G273" s="186" t="s">
        <v>13283</v>
      </c>
      <c r="H273" s="29" t="s">
        <v>61</v>
      </c>
      <c r="I273" s="29" t="s">
        <v>61</v>
      </c>
      <c r="J273" s="98">
        <v>45202</v>
      </c>
      <c r="K273" s="98">
        <f t="shared" si="22"/>
        <v>46298</v>
      </c>
      <c r="L273" s="110" t="s">
        <v>62</v>
      </c>
      <c r="M273" s="112" t="str">
        <f t="shared" ca="1" si="23"/>
        <v>Alerta</v>
      </c>
      <c r="N273" s="112"/>
      <c r="O273" s="67">
        <f t="shared" ca="1" si="20"/>
        <v>996</v>
      </c>
      <c r="P273" s="67">
        <f t="shared" ca="1" si="24"/>
        <v>100</v>
      </c>
      <c r="Q273" t="str">
        <f t="shared" si="21"/>
        <v>ILS-14</v>
      </c>
    </row>
    <row r="274" spans="2:17" ht="15" customHeight="1" x14ac:dyDescent="0.35">
      <c r="B274" s="29">
        <v>8</v>
      </c>
      <c r="C274" s="29" t="s">
        <v>23</v>
      </c>
      <c r="D274" s="30">
        <v>15</v>
      </c>
      <c r="E274" s="66" t="s">
        <v>928</v>
      </c>
      <c r="F274" s="66" t="s">
        <v>929</v>
      </c>
      <c r="G274" s="66" t="s">
        <v>13283</v>
      </c>
      <c r="H274" s="29" t="s">
        <v>61</v>
      </c>
      <c r="I274" s="29" t="s">
        <v>61</v>
      </c>
      <c r="J274" s="98">
        <v>46104</v>
      </c>
      <c r="K274" s="98">
        <f t="shared" si="22"/>
        <v>47200</v>
      </c>
      <c r="L274" s="110" t="s">
        <v>62</v>
      </c>
      <c r="M274" s="112" t="str">
        <f t="shared" ca="1" si="23"/>
        <v>Em dia</v>
      </c>
      <c r="N274" s="112"/>
      <c r="O274" s="67">
        <f t="shared" ca="1" si="20"/>
        <v>94</v>
      </c>
      <c r="P274" s="67">
        <f t="shared" ca="1" si="24"/>
        <v>1002</v>
      </c>
      <c r="Q274" t="str">
        <f t="shared" si="21"/>
        <v>ILS-15</v>
      </c>
    </row>
    <row r="275" spans="2:17" ht="15" customHeight="1" x14ac:dyDescent="0.35">
      <c r="B275" s="29">
        <v>8</v>
      </c>
      <c r="C275" s="29" t="s">
        <v>23</v>
      </c>
      <c r="D275" s="30">
        <v>16</v>
      </c>
      <c r="E275" s="66" t="s">
        <v>930</v>
      </c>
      <c r="F275" s="66" t="s">
        <v>931</v>
      </c>
      <c r="G275" s="66" t="s">
        <v>13283</v>
      </c>
      <c r="H275" s="29" t="s">
        <v>61</v>
      </c>
      <c r="I275" s="29" t="s">
        <v>61</v>
      </c>
      <c r="J275" s="98">
        <v>46104</v>
      </c>
      <c r="K275" s="98">
        <f t="shared" si="22"/>
        <v>47200</v>
      </c>
      <c r="L275" s="110" t="s">
        <v>62</v>
      </c>
      <c r="M275" s="112" t="str">
        <f t="shared" ca="1" si="23"/>
        <v>Em dia</v>
      </c>
      <c r="N275" s="112"/>
      <c r="O275" s="67">
        <f t="shared" ca="1" si="20"/>
        <v>94</v>
      </c>
      <c r="P275" s="67">
        <f t="shared" ca="1" si="24"/>
        <v>1002</v>
      </c>
      <c r="Q275" t="str">
        <f t="shared" si="21"/>
        <v>ILS-16</v>
      </c>
    </row>
    <row r="276" spans="2:17" ht="15" customHeight="1" x14ac:dyDescent="0.35">
      <c r="B276" s="29">
        <v>8</v>
      </c>
      <c r="C276" s="29" t="s">
        <v>23</v>
      </c>
      <c r="D276" s="30">
        <v>17</v>
      </c>
      <c r="E276" s="66" t="s">
        <v>932</v>
      </c>
      <c r="F276" s="66" t="s">
        <v>933</v>
      </c>
      <c r="G276" s="66" t="s">
        <v>13283</v>
      </c>
      <c r="H276" s="29" t="s">
        <v>61</v>
      </c>
      <c r="I276" s="29" t="s">
        <v>61</v>
      </c>
      <c r="J276" s="98">
        <v>45202</v>
      </c>
      <c r="K276" s="98">
        <f t="shared" si="22"/>
        <v>46298</v>
      </c>
      <c r="L276" s="110" t="s">
        <v>62</v>
      </c>
      <c r="M276" s="112" t="str">
        <f t="shared" ca="1" si="23"/>
        <v>Alerta</v>
      </c>
      <c r="N276" s="112"/>
      <c r="O276" s="67">
        <f t="shared" ca="1" si="20"/>
        <v>996</v>
      </c>
      <c r="P276" s="67">
        <f t="shared" ca="1" si="24"/>
        <v>100</v>
      </c>
      <c r="Q276" t="str">
        <f t="shared" si="21"/>
        <v>ILS-17</v>
      </c>
    </row>
    <row r="277" spans="2:17" ht="15" customHeight="1" x14ac:dyDescent="0.35">
      <c r="B277" s="29">
        <v>8</v>
      </c>
      <c r="C277" s="29" t="s">
        <v>23</v>
      </c>
      <c r="D277" s="30">
        <v>18</v>
      </c>
      <c r="E277" s="66" t="s">
        <v>934</v>
      </c>
      <c r="F277" s="66" t="s">
        <v>935</v>
      </c>
      <c r="G277" s="187" t="s">
        <v>13283</v>
      </c>
      <c r="H277" s="29" t="s">
        <v>61</v>
      </c>
      <c r="I277" s="29" t="s">
        <v>61</v>
      </c>
      <c r="J277" s="98">
        <v>45645</v>
      </c>
      <c r="K277" s="98">
        <f t="shared" si="22"/>
        <v>46741</v>
      </c>
      <c r="L277" s="110" t="s">
        <v>62</v>
      </c>
      <c r="M277" s="112" t="str">
        <f t="shared" ca="1" si="23"/>
        <v>Em dia</v>
      </c>
      <c r="N277" s="112"/>
      <c r="O277" s="67">
        <f t="shared" ca="1" si="20"/>
        <v>553</v>
      </c>
      <c r="P277" s="67">
        <f t="shared" ca="1" si="24"/>
        <v>543</v>
      </c>
      <c r="Q277" t="str">
        <f t="shared" si="21"/>
        <v>ILS-18</v>
      </c>
    </row>
    <row r="278" spans="2:17" ht="15" customHeight="1" x14ac:dyDescent="0.35">
      <c r="B278" s="29">
        <v>8</v>
      </c>
      <c r="C278" s="29" t="s">
        <v>23</v>
      </c>
      <c r="D278" s="30">
        <v>19</v>
      </c>
      <c r="E278" s="66" t="s">
        <v>936</v>
      </c>
      <c r="F278" s="66" t="s">
        <v>937</v>
      </c>
      <c r="G278" s="187" t="s">
        <v>13283</v>
      </c>
      <c r="H278" s="29" t="s">
        <v>61</v>
      </c>
      <c r="I278" s="29" t="s">
        <v>61</v>
      </c>
      <c r="J278" s="98">
        <v>45959</v>
      </c>
      <c r="K278" s="98">
        <f t="shared" si="22"/>
        <v>47055</v>
      </c>
      <c r="L278" s="110" t="s">
        <v>62</v>
      </c>
      <c r="M278" s="112" t="str">
        <f t="shared" ca="1" si="23"/>
        <v>Em dia</v>
      </c>
      <c r="N278" s="112"/>
      <c r="O278" s="67">
        <f t="shared" ca="1" si="20"/>
        <v>239</v>
      </c>
      <c r="P278" s="67">
        <f t="shared" ca="1" si="24"/>
        <v>857</v>
      </c>
      <c r="Q278" t="str">
        <f t="shared" si="21"/>
        <v>ILS-19</v>
      </c>
    </row>
    <row r="279" spans="2:17" ht="15" customHeight="1" x14ac:dyDescent="0.35">
      <c r="B279" s="29">
        <v>8</v>
      </c>
      <c r="C279" s="29" t="s">
        <v>23</v>
      </c>
      <c r="D279" s="30">
        <v>20</v>
      </c>
      <c r="E279" s="66" t="s">
        <v>938</v>
      </c>
      <c r="F279" s="66" t="s">
        <v>939</v>
      </c>
      <c r="G279" s="66" t="s">
        <v>13284</v>
      </c>
      <c r="H279" s="29" t="s">
        <v>61</v>
      </c>
      <c r="I279" s="29" t="s">
        <v>61</v>
      </c>
      <c r="J279" s="98">
        <v>44889</v>
      </c>
      <c r="K279" s="98">
        <f t="shared" si="22"/>
        <v>45985</v>
      </c>
      <c r="L279" s="110" t="s">
        <v>62</v>
      </c>
      <c r="M279" s="112" t="str">
        <f t="shared" ca="1" si="23"/>
        <v>Vencido</v>
      </c>
      <c r="N279" s="112"/>
      <c r="O279" s="67">
        <f t="shared" ca="1" si="20"/>
        <v>1309</v>
      </c>
      <c r="P279" s="67">
        <f t="shared" ca="1" si="24"/>
        <v>-213</v>
      </c>
      <c r="Q279" t="str">
        <f t="shared" si="21"/>
        <v>ILS-20</v>
      </c>
    </row>
    <row r="280" spans="2:17" ht="15" customHeight="1" x14ac:dyDescent="0.35">
      <c r="B280" s="29">
        <v>8</v>
      </c>
      <c r="C280" s="29" t="s">
        <v>23</v>
      </c>
      <c r="D280" s="30">
        <v>21</v>
      </c>
      <c r="E280" s="66" t="s">
        <v>940</v>
      </c>
      <c r="F280" s="66" t="s">
        <v>941</v>
      </c>
      <c r="G280" s="187" t="s">
        <v>13283</v>
      </c>
      <c r="H280" s="29" t="s">
        <v>61</v>
      </c>
      <c r="I280" s="29" t="s">
        <v>61</v>
      </c>
      <c r="J280" s="98">
        <v>45645</v>
      </c>
      <c r="K280" s="98">
        <f t="shared" si="22"/>
        <v>46741</v>
      </c>
      <c r="L280" s="110" t="s">
        <v>62</v>
      </c>
      <c r="M280" s="112" t="str">
        <f t="shared" ca="1" si="23"/>
        <v>Em dia</v>
      </c>
      <c r="N280" s="112"/>
      <c r="O280" s="67">
        <f t="shared" ca="1" si="20"/>
        <v>553</v>
      </c>
      <c r="P280" s="67">
        <f t="shared" ca="1" si="24"/>
        <v>543</v>
      </c>
      <c r="Q280" t="str">
        <f t="shared" si="21"/>
        <v>ILS-21</v>
      </c>
    </row>
    <row r="281" spans="2:17" ht="15" customHeight="1" x14ac:dyDescent="0.35">
      <c r="B281" s="29">
        <v>8</v>
      </c>
      <c r="C281" s="29" t="s">
        <v>23</v>
      </c>
      <c r="D281" s="30" t="s">
        <v>944</v>
      </c>
      <c r="E281" s="66" t="s">
        <v>945</v>
      </c>
      <c r="F281" s="66" t="s">
        <v>946</v>
      </c>
      <c r="G281" s="187" t="s">
        <v>13284</v>
      </c>
      <c r="H281" s="29" t="s">
        <v>61</v>
      </c>
      <c r="I281" s="29" t="s">
        <v>61</v>
      </c>
      <c r="J281" s="98">
        <v>44739</v>
      </c>
      <c r="K281" s="98">
        <f t="shared" si="22"/>
        <v>45835</v>
      </c>
      <c r="L281" s="110" t="s">
        <v>62</v>
      </c>
      <c r="M281" s="112" t="str">
        <f t="shared" ca="1" si="23"/>
        <v>Vencido</v>
      </c>
      <c r="N281" s="112"/>
      <c r="O281" s="67">
        <f t="shared" ca="1" si="20"/>
        <v>1459</v>
      </c>
      <c r="P281" s="67">
        <f t="shared" ca="1" si="24"/>
        <v>-363</v>
      </c>
      <c r="Q281" t="str">
        <f t="shared" si="21"/>
        <v>ILS-22</v>
      </c>
    </row>
    <row r="282" spans="2:17" ht="15" customHeight="1" x14ac:dyDescent="0.35">
      <c r="B282" s="29">
        <v>8</v>
      </c>
      <c r="C282" s="29" t="s">
        <v>23</v>
      </c>
      <c r="D282" s="30">
        <v>22</v>
      </c>
      <c r="E282" s="66" t="s">
        <v>942</v>
      </c>
      <c r="F282" s="66" t="s">
        <v>943</v>
      </c>
      <c r="G282" s="66" t="s">
        <v>13284</v>
      </c>
      <c r="H282" s="29" t="s">
        <v>61</v>
      </c>
      <c r="I282" s="29" t="s">
        <v>61</v>
      </c>
      <c r="J282" s="98">
        <v>44739</v>
      </c>
      <c r="K282" s="98">
        <f t="shared" si="22"/>
        <v>45835</v>
      </c>
      <c r="L282" s="110" t="s">
        <v>62</v>
      </c>
      <c r="M282" s="112" t="str">
        <f t="shared" ca="1" si="23"/>
        <v>Vencido</v>
      </c>
      <c r="N282" s="112"/>
      <c r="O282" s="67">
        <f t="shared" ca="1" si="20"/>
        <v>1459</v>
      </c>
      <c r="P282" s="67">
        <f t="shared" ca="1" si="24"/>
        <v>-363</v>
      </c>
      <c r="Q282" t="str">
        <f t="shared" si="21"/>
        <v>ILS-22</v>
      </c>
    </row>
    <row r="283" spans="2:17" ht="15" customHeight="1" x14ac:dyDescent="0.35">
      <c r="B283" s="29">
        <v>8</v>
      </c>
      <c r="C283" s="29" t="s">
        <v>23</v>
      </c>
      <c r="D283" s="30">
        <v>23</v>
      </c>
      <c r="E283" s="66" t="s">
        <v>947</v>
      </c>
      <c r="F283" s="66" t="s">
        <v>948</v>
      </c>
      <c r="G283" s="187" t="s">
        <v>13284</v>
      </c>
      <c r="H283" s="29" t="s">
        <v>61</v>
      </c>
      <c r="I283" s="29" t="s">
        <v>61</v>
      </c>
      <c r="J283" s="98">
        <v>45202</v>
      </c>
      <c r="K283" s="98">
        <f t="shared" si="22"/>
        <v>46298</v>
      </c>
      <c r="L283" s="110" t="s">
        <v>62</v>
      </c>
      <c r="M283" s="112" t="str">
        <f t="shared" ca="1" si="23"/>
        <v>Alerta</v>
      </c>
      <c r="N283" s="112"/>
      <c r="O283" s="67">
        <f t="shared" ca="1" si="20"/>
        <v>996</v>
      </c>
      <c r="P283" s="67">
        <f t="shared" ca="1" si="24"/>
        <v>100</v>
      </c>
      <c r="Q283" t="str">
        <f t="shared" si="21"/>
        <v>ILS-23</v>
      </c>
    </row>
    <row r="284" spans="2:17" ht="15" customHeight="1" x14ac:dyDescent="0.35">
      <c r="B284" s="29">
        <v>8</v>
      </c>
      <c r="C284" s="29" t="s">
        <v>23</v>
      </c>
      <c r="D284" s="30">
        <v>24</v>
      </c>
      <c r="E284" s="66" t="s">
        <v>949</v>
      </c>
      <c r="F284" s="66" t="s">
        <v>950</v>
      </c>
      <c r="G284" s="187" t="s">
        <v>13284</v>
      </c>
      <c r="H284" s="29" t="s">
        <v>61</v>
      </c>
      <c r="I284" s="29" t="s">
        <v>61</v>
      </c>
      <c r="J284" s="98">
        <v>44739</v>
      </c>
      <c r="K284" s="98">
        <f t="shared" si="22"/>
        <v>45835</v>
      </c>
      <c r="L284" s="110" t="s">
        <v>62</v>
      </c>
      <c r="M284" s="112" t="str">
        <f t="shared" ca="1" si="23"/>
        <v>Vencido</v>
      </c>
      <c r="N284" s="112"/>
      <c r="O284" s="67">
        <f t="shared" ca="1" si="20"/>
        <v>1459</v>
      </c>
      <c r="P284" s="67">
        <f t="shared" ca="1" si="24"/>
        <v>-363</v>
      </c>
      <c r="Q284" t="str">
        <f t="shared" si="21"/>
        <v>ILS-24</v>
      </c>
    </row>
    <row r="285" spans="2:17" ht="15" customHeight="1" x14ac:dyDescent="0.35">
      <c r="B285" s="29">
        <v>8</v>
      </c>
      <c r="C285" s="29" t="s">
        <v>23</v>
      </c>
      <c r="D285" s="30">
        <v>25</v>
      </c>
      <c r="E285" s="66" t="s">
        <v>951</v>
      </c>
      <c r="F285" s="66" t="s">
        <v>952</v>
      </c>
      <c r="G285" s="187" t="s">
        <v>13283</v>
      </c>
      <c r="H285" s="29" t="s">
        <v>61</v>
      </c>
      <c r="I285" s="29" t="s">
        <v>61</v>
      </c>
      <c r="J285" s="98">
        <v>46009</v>
      </c>
      <c r="K285" s="98">
        <f t="shared" si="22"/>
        <v>47105</v>
      </c>
      <c r="L285" s="110" t="s">
        <v>62</v>
      </c>
      <c r="M285" s="112" t="str">
        <f t="shared" ca="1" si="23"/>
        <v>Em dia</v>
      </c>
      <c r="N285" s="112"/>
      <c r="O285" s="67">
        <f t="shared" ca="1" si="20"/>
        <v>189</v>
      </c>
      <c r="P285" s="67">
        <f t="shared" ca="1" si="24"/>
        <v>907</v>
      </c>
      <c r="Q285" t="str">
        <f t="shared" si="21"/>
        <v>ILS-25</v>
      </c>
    </row>
    <row r="286" spans="2:17" ht="15" customHeight="1" x14ac:dyDescent="0.35">
      <c r="B286" s="29">
        <v>8</v>
      </c>
      <c r="C286" s="29" t="s">
        <v>23</v>
      </c>
      <c r="D286" s="30">
        <v>26</v>
      </c>
      <c r="E286" s="66" t="s">
        <v>953</v>
      </c>
      <c r="F286" s="66" t="s">
        <v>954</v>
      </c>
      <c r="G286" s="187" t="s">
        <v>13284</v>
      </c>
      <c r="H286" s="29" t="s">
        <v>61</v>
      </c>
      <c r="I286" s="29" t="s">
        <v>61</v>
      </c>
      <c r="J286" s="98">
        <v>44739</v>
      </c>
      <c r="K286" s="98">
        <f t="shared" si="22"/>
        <v>45835</v>
      </c>
      <c r="L286" s="110" t="s">
        <v>62</v>
      </c>
      <c r="M286" s="112" t="str">
        <f t="shared" ca="1" si="23"/>
        <v>Vencido</v>
      </c>
      <c r="N286" s="112"/>
      <c r="O286" s="67">
        <f t="shared" ca="1" si="20"/>
        <v>1459</v>
      </c>
      <c r="P286" s="67">
        <f t="shared" ca="1" si="24"/>
        <v>-363</v>
      </c>
      <c r="Q286" t="str">
        <f t="shared" si="21"/>
        <v>ILS-26</v>
      </c>
    </row>
    <row r="287" spans="2:17" ht="15" customHeight="1" x14ac:dyDescent="0.35">
      <c r="B287" s="29">
        <v>8</v>
      </c>
      <c r="C287" s="29" t="s">
        <v>23</v>
      </c>
      <c r="D287" s="30">
        <v>27</v>
      </c>
      <c r="E287" s="66" t="s">
        <v>955</v>
      </c>
      <c r="F287" s="66" t="s">
        <v>956</v>
      </c>
      <c r="G287" s="187" t="s">
        <v>13284</v>
      </c>
      <c r="H287" s="29" t="s">
        <v>61</v>
      </c>
      <c r="I287" s="29" t="s">
        <v>61</v>
      </c>
      <c r="J287" s="98">
        <v>44739</v>
      </c>
      <c r="K287" s="98">
        <f t="shared" si="22"/>
        <v>45835</v>
      </c>
      <c r="L287" s="110" t="s">
        <v>62</v>
      </c>
      <c r="M287" s="112" t="str">
        <f t="shared" ca="1" si="23"/>
        <v>Vencido</v>
      </c>
      <c r="N287" s="112"/>
      <c r="O287" s="67">
        <f t="shared" ca="1" si="20"/>
        <v>1459</v>
      </c>
      <c r="P287" s="67">
        <f t="shared" ca="1" si="24"/>
        <v>-363</v>
      </c>
      <c r="Q287" t="str">
        <f t="shared" si="21"/>
        <v>ILS-27</v>
      </c>
    </row>
    <row r="288" spans="2:17" ht="15" customHeight="1" x14ac:dyDescent="0.35">
      <c r="B288" s="29">
        <v>8</v>
      </c>
      <c r="C288" s="29" t="s">
        <v>23</v>
      </c>
      <c r="D288" s="30">
        <v>28</v>
      </c>
      <c r="E288" s="66" t="s">
        <v>957</v>
      </c>
      <c r="F288" s="66" t="s">
        <v>958</v>
      </c>
      <c r="G288" s="187" t="s">
        <v>13284</v>
      </c>
      <c r="H288" s="29" t="s">
        <v>61</v>
      </c>
      <c r="I288" s="29" t="s">
        <v>61</v>
      </c>
      <c r="J288" s="98">
        <v>45202</v>
      </c>
      <c r="K288" s="98">
        <f t="shared" si="22"/>
        <v>46298</v>
      </c>
      <c r="L288" s="110" t="s">
        <v>62</v>
      </c>
      <c r="M288" s="112" t="str">
        <f t="shared" ca="1" si="23"/>
        <v>Alerta</v>
      </c>
      <c r="N288" s="112"/>
      <c r="O288" s="67">
        <f t="shared" ca="1" si="20"/>
        <v>996</v>
      </c>
      <c r="P288" s="67">
        <f t="shared" ca="1" si="24"/>
        <v>100</v>
      </c>
      <c r="Q288" t="str">
        <f t="shared" si="21"/>
        <v>ILS-28</v>
      </c>
    </row>
    <row r="289" spans="2:17" ht="15" customHeight="1" x14ac:dyDescent="0.35">
      <c r="B289" s="29">
        <v>8</v>
      </c>
      <c r="C289" s="29" t="s">
        <v>23</v>
      </c>
      <c r="D289" s="30">
        <v>29</v>
      </c>
      <c r="E289" s="66" t="s">
        <v>959</v>
      </c>
      <c r="F289" s="66" t="s">
        <v>960</v>
      </c>
      <c r="G289" s="187" t="s">
        <v>13284</v>
      </c>
      <c r="H289" s="29" t="s">
        <v>61</v>
      </c>
      <c r="I289" s="29" t="s">
        <v>61</v>
      </c>
      <c r="J289" s="98">
        <v>45202</v>
      </c>
      <c r="K289" s="98">
        <f t="shared" si="22"/>
        <v>46298</v>
      </c>
      <c r="L289" s="110" t="s">
        <v>62</v>
      </c>
      <c r="M289" s="112" t="str">
        <f t="shared" ca="1" si="23"/>
        <v>Alerta</v>
      </c>
      <c r="N289" s="112"/>
      <c r="O289" s="67">
        <f t="shared" ca="1" si="20"/>
        <v>996</v>
      </c>
      <c r="P289" s="67">
        <f t="shared" ca="1" si="24"/>
        <v>100</v>
      </c>
      <c r="Q289" t="str">
        <f t="shared" si="21"/>
        <v>ILS-29</v>
      </c>
    </row>
    <row r="290" spans="2:17" ht="15" customHeight="1" x14ac:dyDescent="0.35">
      <c r="B290" s="29">
        <v>8</v>
      </c>
      <c r="C290" s="29" t="s">
        <v>23</v>
      </c>
      <c r="D290" s="30">
        <v>30</v>
      </c>
      <c r="E290" s="66" t="s">
        <v>991</v>
      </c>
      <c r="F290" s="66" t="s">
        <v>992</v>
      </c>
      <c r="G290" s="187" t="s">
        <v>13284</v>
      </c>
      <c r="H290" s="29" t="s">
        <v>61</v>
      </c>
      <c r="I290" s="29" t="s">
        <v>61</v>
      </c>
      <c r="J290" s="98">
        <v>44838</v>
      </c>
      <c r="K290" s="98">
        <f t="shared" si="22"/>
        <v>45934</v>
      </c>
      <c r="L290" s="110" t="s">
        <v>62</v>
      </c>
      <c r="M290" s="112" t="str">
        <f t="shared" ca="1" si="23"/>
        <v>Vencido</v>
      </c>
      <c r="N290" s="112"/>
      <c r="O290" s="67">
        <f t="shared" ca="1" si="20"/>
        <v>1360</v>
      </c>
      <c r="P290" s="67">
        <f t="shared" ca="1" si="24"/>
        <v>-264</v>
      </c>
      <c r="Q290" t="str">
        <f t="shared" si="21"/>
        <v>ILS-30</v>
      </c>
    </row>
    <row r="291" spans="2:17" ht="15" customHeight="1" x14ac:dyDescent="0.35">
      <c r="B291" s="29">
        <v>8</v>
      </c>
      <c r="C291" s="29" t="s">
        <v>23</v>
      </c>
      <c r="D291" s="30">
        <v>31</v>
      </c>
      <c r="E291" s="66" t="s">
        <v>993</v>
      </c>
      <c r="F291" s="66" t="s">
        <v>994</v>
      </c>
      <c r="G291" s="187" t="s">
        <v>13284</v>
      </c>
      <c r="H291" s="29" t="s">
        <v>61</v>
      </c>
      <c r="I291" s="29" t="s">
        <v>61</v>
      </c>
      <c r="J291" s="98">
        <v>44838</v>
      </c>
      <c r="K291" s="98">
        <f t="shared" si="22"/>
        <v>45934</v>
      </c>
      <c r="L291" s="110" t="s">
        <v>62</v>
      </c>
      <c r="M291" s="112" t="str">
        <f t="shared" ca="1" si="23"/>
        <v>Vencido</v>
      </c>
      <c r="N291" s="112"/>
      <c r="O291" s="67">
        <f t="shared" ca="1" si="20"/>
        <v>1360</v>
      </c>
      <c r="P291" s="67">
        <f t="shared" ca="1" si="24"/>
        <v>-264</v>
      </c>
      <c r="Q291" t="str">
        <f t="shared" si="21"/>
        <v>ILS-31</v>
      </c>
    </row>
    <row r="292" spans="2:17" ht="15" customHeight="1" x14ac:dyDescent="0.35">
      <c r="B292" s="29">
        <v>8</v>
      </c>
      <c r="C292" s="29" t="s">
        <v>23</v>
      </c>
      <c r="D292" s="30" t="s">
        <v>475</v>
      </c>
      <c r="E292" s="66" t="s">
        <v>995</v>
      </c>
      <c r="F292" s="66" t="s">
        <v>996</v>
      </c>
      <c r="G292" s="187" t="s">
        <v>13284</v>
      </c>
      <c r="H292" s="29" t="s">
        <v>61</v>
      </c>
      <c r="I292" s="29" t="s">
        <v>61</v>
      </c>
      <c r="J292" s="98">
        <v>44838</v>
      </c>
      <c r="K292" s="98">
        <f t="shared" si="22"/>
        <v>45934</v>
      </c>
      <c r="L292" s="110" t="s">
        <v>62</v>
      </c>
      <c r="M292" s="112" t="str">
        <f t="shared" ca="1" si="23"/>
        <v>Vencido</v>
      </c>
      <c r="N292" s="112"/>
      <c r="O292" s="67">
        <f t="shared" ca="1" si="20"/>
        <v>1360</v>
      </c>
      <c r="P292" s="67">
        <f t="shared" ca="1" si="24"/>
        <v>-264</v>
      </c>
      <c r="Q292" t="str">
        <f t="shared" si="21"/>
        <v>ILS-32</v>
      </c>
    </row>
    <row r="293" spans="2:17" ht="15" customHeight="1" x14ac:dyDescent="0.35">
      <c r="B293" s="29">
        <v>8</v>
      </c>
      <c r="C293" s="29" t="s">
        <v>23</v>
      </c>
      <c r="D293" s="30" t="s">
        <v>478</v>
      </c>
      <c r="E293" s="66" t="s">
        <v>997</v>
      </c>
      <c r="F293" s="66" t="s">
        <v>998</v>
      </c>
      <c r="G293" s="187" t="s">
        <v>13284</v>
      </c>
      <c r="H293" s="29" t="s">
        <v>61</v>
      </c>
      <c r="I293" s="29" t="s">
        <v>61</v>
      </c>
      <c r="J293" s="98">
        <v>44838</v>
      </c>
      <c r="K293" s="98">
        <f t="shared" si="22"/>
        <v>45934</v>
      </c>
      <c r="L293" s="110" t="s">
        <v>62</v>
      </c>
      <c r="M293" s="112" t="str">
        <f t="shared" ca="1" si="23"/>
        <v>Vencido</v>
      </c>
      <c r="N293" s="112"/>
      <c r="O293" s="67">
        <f t="shared" ca="1" si="20"/>
        <v>1360</v>
      </c>
      <c r="P293" s="67">
        <f t="shared" ca="1" si="24"/>
        <v>-264</v>
      </c>
      <c r="Q293" t="str">
        <f t="shared" si="21"/>
        <v>ILS-32</v>
      </c>
    </row>
    <row r="294" spans="2:17" ht="15" customHeight="1" x14ac:dyDescent="0.35">
      <c r="B294" s="29">
        <v>8</v>
      </c>
      <c r="C294" s="29" t="s">
        <v>23</v>
      </c>
      <c r="D294" s="30" t="s">
        <v>878</v>
      </c>
      <c r="E294" s="66" t="s">
        <v>999</v>
      </c>
      <c r="F294" s="66" t="s">
        <v>1000</v>
      </c>
      <c r="G294" s="187" t="s">
        <v>13284</v>
      </c>
      <c r="H294" s="29" t="s">
        <v>61</v>
      </c>
      <c r="I294" s="29" t="s">
        <v>61</v>
      </c>
      <c r="J294" s="98">
        <v>44838</v>
      </c>
      <c r="K294" s="98">
        <f t="shared" si="22"/>
        <v>45934</v>
      </c>
      <c r="L294" s="110" t="s">
        <v>62</v>
      </c>
      <c r="M294" s="112" t="str">
        <f t="shared" ca="1" si="23"/>
        <v>Vencido</v>
      </c>
      <c r="N294" s="112"/>
      <c r="O294" s="67">
        <f t="shared" ca="1" si="20"/>
        <v>1360</v>
      </c>
      <c r="P294" s="67">
        <f t="shared" ca="1" si="24"/>
        <v>-264</v>
      </c>
      <c r="Q294" t="str">
        <f t="shared" si="21"/>
        <v>ILS-32</v>
      </c>
    </row>
    <row r="295" spans="2:17" ht="15" customHeight="1" x14ac:dyDescent="0.35">
      <c r="B295" s="29">
        <v>8</v>
      </c>
      <c r="C295" s="29" t="s">
        <v>23</v>
      </c>
      <c r="D295" s="30" t="s">
        <v>881</v>
      </c>
      <c r="E295" s="66" t="s">
        <v>1001</v>
      </c>
      <c r="F295" s="66" t="s">
        <v>1002</v>
      </c>
      <c r="G295" s="187" t="s">
        <v>13284</v>
      </c>
      <c r="H295" s="29" t="s">
        <v>61</v>
      </c>
      <c r="I295" s="29" t="s">
        <v>61</v>
      </c>
      <c r="J295" s="98">
        <v>44838</v>
      </c>
      <c r="K295" s="98">
        <f t="shared" si="22"/>
        <v>45934</v>
      </c>
      <c r="L295" s="110" t="s">
        <v>62</v>
      </c>
      <c r="M295" s="112" t="str">
        <f t="shared" ca="1" si="23"/>
        <v>Vencido</v>
      </c>
      <c r="N295" s="112"/>
      <c r="O295" s="67">
        <f t="shared" ca="1" si="20"/>
        <v>1360</v>
      </c>
      <c r="P295" s="67">
        <f t="shared" ca="1" si="24"/>
        <v>-264</v>
      </c>
      <c r="Q295" t="str">
        <f t="shared" si="21"/>
        <v>ILS-32</v>
      </c>
    </row>
    <row r="296" spans="2:17" ht="15" customHeight="1" x14ac:dyDescent="0.35">
      <c r="B296" s="29">
        <v>8</v>
      </c>
      <c r="C296" s="29" t="s">
        <v>23</v>
      </c>
      <c r="D296" s="30" t="s">
        <v>1003</v>
      </c>
      <c r="E296" s="66" t="s">
        <v>1004</v>
      </c>
      <c r="F296" s="66" t="s">
        <v>1005</v>
      </c>
      <c r="G296" s="187" t="s">
        <v>13284</v>
      </c>
      <c r="H296" s="29" t="s">
        <v>61</v>
      </c>
      <c r="I296" s="29" t="s">
        <v>61</v>
      </c>
      <c r="J296" s="98">
        <v>44838</v>
      </c>
      <c r="K296" s="98">
        <f t="shared" si="22"/>
        <v>45934</v>
      </c>
      <c r="L296" s="110" t="s">
        <v>62</v>
      </c>
      <c r="M296" s="112" t="str">
        <f t="shared" ca="1" si="23"/>
        <v>Vencido</v>
      </c>
      <c r="N296" s="112"/>
      <c r="O296" s="67">
        <f t="shared" ca="1" si="20"/>
        <v>1360</v>
      </c>
      <c r="P296" s="67">
        <f t="shared" ca="1" si="24"/>
        <v>-264</v>
      </c>
      <c r="Q296" t="str">
        <f t="shared" si="21"/>
        <v>ILS-32</v>
      </c>
    </row>
    <row r="297" spans="2:17" ht="15" customHeight="1" x14ac:dyDescent="0.35">
      <c r="B297" s="29">
        <v>8</v>
      </c>
      <c r="C297" s="29" t="s">
        <v>23</v>
      </c>
      <c r="D297" s="30" t="s">
        <v>1006</v>
      </c>
      <c r="E297" s="66" t="s">
        <v>1007</v>
      </c>
      <c r="F297" s="66" t="s">
        <v>1008</v>
      </c>
      <c r="G297" s="187" t="s">
        <v>13284</v>
      </c>
      <c r="H297" s="29" t="s">
        <v>61</v>
      </c>
      <c r="I297" s="29" t="s">
        <v>61</v>
      </c>
      <c r="J297" s="98">
        <v>44838</v>
      </c>
      <c r="K297" s="98">
        <f t="shared" si="22"/>
        <v>45934</v>
      </c>
      <c r="L297" s="110" t="s">
        <v>62</v>
      </c>
      <c r="M297" s="112" t="str">
        <f t="shared" ca="1" si="23"/>
        <v>Vencido</v>
      </c>
      <c r="N297" s="112"/>
      <c r="O297" s="67">
        <f t="shared" ca="1" si="20"/>
        <v>1360</v>
      </c>
      <c r="P297" s="67">
        <f t="shared" ca="1" si="24"/>
        <v>-264</v>
      </c>
      <c r="Q297" t="str">
        <f t="shared" si="21"/>
        <v>ILS-32</v>
      </c>
    </row>
    <row r="298" spans="2:17" ht="15" customHeight="1" x14ac:dyDescent="0.35">
      <c r="B298" s="29">
        <v>8</v>
      </c>
      <c r="C298" s="29" t="s">
        <v>23</v>
      </c>
      <c r="D298" s="30" t="s">
        <v>1009</v>
      </c>
      <c r="E298" s="66" t="s">
        <v>1010</v>
      </c>
      <c r="F298" s="66" t="s">
        <v>1011</v>
      </c>
      <c r="G298" s="187" t="s">
        <v>13284</v>
      </c>
      <c r="H298" s="29" t="s">
        <v>61</v>
      </c>
      <c r="I298" s="29" t="s">
        <v>61</v>
      </c>
      <c r="J298" s="98">
        <v>44838</v>
      </c>
      <c r="K298" s="98">
        <f t="shared" si="22"/>
        <v>45934</v>
      </c>
      <c r="L298" s="110" t="s">
        <v>62</v>
      </c>
      <c r="M298" s="112" t="str">
        <f t="shared" ca="1" si="23"/>
        <v>Vencido</v>
      </c>
      <c r="N298" s="112"/>
      <c r="O298" s="67">
        <f t="shared" ca="1" si="20"/>
        <v>1360</v>
      </c>
      <c r="P298" s="67">
        <f t="shared" ca="1" si="24"/>
        <v>-264</v>
      </c>
      <c r="Q298" t="str">
        <f t="shared" si="21"/>
        <v>ILS-32</v>
      </c>
    </row>
    <row r="299" spans="2:17" ht="15" customHeight="1" x14ac:dyDescent="0.35">
      <c r="B299" s="29">
        <v>8</v>
      </c>
      <c r="C299" s="29" t="s">
        <v>23</v>
      </c>
      <c r="D299" s="30">
        <v>33</v>
      </c>
      <c r="E299" s="66" t="s">
        <v>961</v>
      </c>
      <c r="F299" s="66" t="s">
        <v>962</v>
      </c>
      <c r="G299" s="187" t="s">
        <v>13284</v>
      </c>
      <c r="H299" s="29" t="s">
        <v>61</v>
      </c>
      <c r="I299" s="29" t="s">
        <v>61</v>
      </c>
      <c r="J299" s="98">
        <v>44739</v>
      </c>
      <c r="K299" s="98">
        <f t="shared" si="22"/>
        <v>45835</v>
      </c>
      <c r="L299" s="110" t="s">
        <v>62</v>
      </c>
      <c r="M299" s="112" t="str">
        <f t="shared" ca="1" si="23"/>
        <v>Vencido</v>
      </c>
      <c r="N299" s="112"/>
      <c r="O299" s="67">
        <f t="shared" ca="1" si="20"/>
        <v>1459</v>
      </c>
      <c r="P299" s="67">
        <f t="shared" ca="1" si="24"/>
        <v>-363</v>
      </c>
      <c r="Q299" t="str">
        <f t="shared" si="21"/>
        <v>ILS-33</v>
      </c>
    </row>
    <row r="300" spans="2:17" ht="15" customHeight="1" x14ac:dyDescent="0.35">
      <c r="B300" s="29">
        <v>8</v>
      </c>
      <c r="C300" s="29" t="s">
        <v>23</v>
      </c>
      <c r="D300" s="30">
        <v>34</v>
      </c>
      <c r="E300" s="66" t="s">
        <v>1012</v>
      </c>
      <c r="F300" s="66" t="s">
        <v>1013</v>
      </c>
      <c r="G300" s="187" t="s">
        <v>13284</v>
      </c>
      <c r="H300" s="29" t="s">
        <v>61</v>
      </c>
      <c r="I300" s="29" t="s">
        <v>61</v>
      </c>
      <c r="J300" s="98">
        <v>45202</v>
      </c>
      <c r="K300" s="98">
        <f t="shared" si="22"/>
        <v>46298</v>
      </c>
      <c r="L300" s="110" t="s">
        <v>62</v>
      </c>
      <c r="M300" s="112" t="str">
        <f t="shared" ca="1" si="23"/>
        <v>Alerta</v>
      </c>
      <c r="N300" s="112"/>
      <c r="O300" s="67">
        <f t="shared" ca="1" si="20"/>
        <v>996</v>
      </c>
      <c r="P300" s="67">
        <f t="shared" ca="1" si="24"/>
        <v>100</v>
      </c>
      <c r="Q300" t="str">
        <f t="shared" si="21"/>
        <v>ILS-34</v>
      </c>
    </row>
    <row r="301" spans="2:17" ht="15" customHeight="1" x14ac:dyDescent="0.35">
      <c r="B301" s="29">
        <v>8</v>
      </c>
      <c r="C301" s="29" t="s">
        <v>23</v>
      </c>
      <c r="D301" s="30">
        <v>35</v>
      </c>
      <c r="E301" s="66" t="s">
        <v>1022</v>
      </c>
      <c r="F301" s="66" t="s">
        <v>1023</v>
      </c>
      <c r="G301" s="187" t="s">
        <v>13284</v>
      </c>
      <c r="H301" s="29" t="s">
        <v>61</v>
      </c>
      <c r="I301" s="29" t="s">
        <v>61</v>
      </c>
      <c r="J301" s="98">
        <v>45274</v>
      </c>
      <c r="K301" s="98">
        <f t="shared" si="22"/>
        <v>46370</v>
      </c>
      <c r="L301" s="110" t="s">
        <v>62</v>
      </c>
      <c r="M301" s="112" t="str">
        <f t="shared" ca="1" si="23"/>
        <v>Alerta</v>
      </c>
      <c r="N301" s="112"/>
      <c r="O301" s="67">
        <f t="shared" ca="1" si="20"/>
        <v>924</v>
      </c>
      <c r="P301" s="67">
        <f t="shared" ca="1" si="24"/>
        <v>172</v>
      </c>
      <c r="Q301" t="str">
        <f t="shared" si="21"/>
        <v>ILS-35</v>
      </c>
    </row>
    <row r="302" spans="2:17" ht="15" customHeight="1" x14ac:dyDescent="0.35">
      <c r="B302" s="29">
        <v>8</v>
      </c>
      <c r="C302" s="29" t="s">
        <v>23</v>
      </c>
      <c r="D302" s="30">
        <v>40</v>
      </c>
      <c r="E302" s="66" t="s">
        <v>963</v>
      </c>
      <c r="F302" s="66" t="s">
        <v>964</v>
      </c>
      <c r="G302" s="187" t="s">
        <v>13283</v>
      </c>
      <c r="H302" s="29" t="s">
        <v>61</v>
      </c>
      <c r="I302" s="29"/>
      <c r="J302" s="98">
        <v>45202</v>
      </c>
      <c r="K302" s="98">
        <f t="shared" si="22"/>
        <v>46298</v>
      </c>
      <c r="L302" s="110" t="s">
        <v>62</v>
      </c>
      <c r="M302" s="112" t="str">
        <f t="shared" ca="1" si="23"/>
        <v>Alerta</v>
      </c>
      <c r="N302" s="112"/>
      <c r="O302" s="67">
        <f t="shared" ca="1" si="20"/>
        <v>996</v>
      </c>
      <c r="P302" s="67">
        <f t="shared" ca="1" si="24"/>
        <v>100</v>
      </c>
      <c r="Q302" t="str">
        <f t="shared" si="21"/>
        <v>ILS-40</v>
      </c>
    </row>
    <row r="303" spans="2:17" ht="15" customHeight="1" x14ac:dyDescent="0.35">
      <c r="B303" s="29">
        <v>8</v>
      </c>
      <c r="C303" s="29" t="s">
        <v>23</v>
      </c>
      <c r="D303" s="30">
        <v>41</v>
      </c>
      <c r="E303" s="66" t="s">
        <v>965</v>
      </c>
      <c r="F303" s="66" t="s">
        <v>966</v>
      </c>
      <c r="G303" s="187" t="s">
        <v>13283</v>
      </c>
      <c r="H303" s="29" t="s">
        <v>61</v>
      </c>
      <c r="I303" s="29"/>
      <c r="J303" s="98">
        <v>45202</v>
      </c>
      <c r="K303" s="98">
        <f t="shared" si="22"/>
        <v>46298</v>
      </c>
      <c r="L303" s="110" t="s">
        <v>62</v>
      </c>
      <c r="M303" s="112" t="str">
        <f t="shared" ca="1" si="23"/>
        <v>Alerta</v>
      </c>
      <c r="N303" s="112"/>
      <c r="O303" s="67">
        <f t="shared" ca="1" si="20"/>
        <v>996</v>
      </c>
      <c r="P303" s="67">
        <f t="shared" ca="1" si="24"/>
        <v>100</v>
      </c>
      <c r="Q303" t="str">
        <f t="shared" si="21"/>
        <v>ILS-41</v>
      </c>
    </row>
    <row r="304" spans="2:17" ht="15" customHeight="1" x14ac:dyDescent="0.35">
      <c r="B304" s="29">
        <v>8</v>
      </c>
      <c r="C304" s="29" t="s">
        <v>23</v>
      </c>
      <c r="D304" s="30">
        <v>51</v>
      </c>
      <c r="E304" s="66" t="s">
        <v>967</v>
      </c>
      <c r="F304" s="66" t="s">
        <v>968</v>
      </c>
      <c r="G304" s="187" t="s">
        <v>13283</v>
      </c>
      <c r="H304" s="29" t="s">
        <v>61</v>
      </c>
      <c r="I304" s="29" t="s">
        <v>61</v>
      </c>
      <c r="J304" s="98">
        <v>45959</v>
      </c>
      <c r="K304" s="98">
        <f t="shared" si="22"/>
        <v>47055</v>
      </c>
      <c r="L304" s="110" t="s">
        <v>62</v>
      </c>
      <c r="M304" s="112" t="str">
        <f t="shared" ca="1" si="23"/>
        <v>Em dia</v>
      </c>
      <c r="N304" s="112"/>
      <c r="O304" s="67">
        <f t="shared" ca="1" si="20"/>
        <v>239</v>
      </c>
      <c r="P304" s="67">
        <f t="shared" ca="1" si="24"/>
        <v>857</v>
      </c>
      <c r="Q304" t="str">
        <f t="shared" si="21"/>
        <v>ILS-51</v>
      </c>
    </row>
    <row r="305" spans="2:17" ht="15" customHeight="1" x14ac:dyDescent="0.35">
      <c r="B305" s="29">
        <v>8</v>
      </c>
      <c r="C305" s="29" t="s">
        <v>23</v>
      </c>
      <c r="D305" s="30">
        <v>55</v>
      </c>
      <c r="E305" s="66" t="s">
        <v>969</v>
      </c>
      <c r="F305" s="66" t="s">
        <v>970</v>
      </c>
      <c r="G305" s="187" t="s">
        <v>13283</v>
      </c>
      <c r="H305" s="29" t="s">
        <v>61</v>
      </c>
      <c r="I305" s="29" t="s">
        <v>61</v>
      </c>
      <c r="J305" s="98">
        <v>45202</v>
      </c>
      <c r="K305" s="98">
        <f t="shared" si="22"/>
        <v>46298</v>
      </c>
      <c r="L305" s="110" t="s">
        <v>62</v>
      </c>
      <c r="M305" s="112" t="str">
        <f t="shared" ca="1" si="23"/>
        <v>Alerta</v>
      </c>
      <c r="N305" s="112"/>
      <c r="O305" s="67">
        <f t="shared" ca="1" si="20"/>
        <v>996</v>
      </c>
      <c r="P305" s="67">
        <f t="shared" ca="1" si="24"/>
        <v>100</v>
      </c>
      <c r="Q305" t="str">
        <f t="shared" si="21"/>
        <v>ILS-55</v>
      </c>
    </row>
    <row r="306" spans="2:17" ht="15" customHeight="1" x14ac:dyDescent="0.35">
      <c r="B306" s="29">
        <v>8</v>
      </c>
      <c r="C306" s="29" t="s">
        <v>23</v>
      </c>
      <c r="D306" s="30">
        <v>56</v>
      </c>
      <c r="E306" s="66" t="s">
        <v>971</v>
      </c>
      <c r="F306" s="66" t="s">
        <v>972</v>
      </c>
      <c r="G306" s="66" t="s">
        <v>13283</v>
      </c>
      <c r="H306" s="29" t="s">
        <v>61</v>
      </c>
      <c r="I306" s="29" t="s">
        <v>61</v>
      </c>
      <c r="J306" s="98">
        <v>46104</v>
      </c>
      <c r="K306" s="98">
        <f t="shared" si="22"/>
        <v>47200</v>
      </c>
      <c r="L306" s="110" t="s">
        <v>62</v>
      </c>
      <c r="M306" s="112" t="str">
        <f t="shared" ca="1" si="23"/>
        <v>Em dia</v>
      </c>
      <c r="N306" s="112"/>
      <c r="O306" s="67">
        <f t="shared" ca="1" si="20"/>
        <v>94</v>
      </c>
      <c r="P306" s="67">
        <f t="shared" ca="1" si="24"/>
        <v>1002</v>
      </c>
      <c r="Q306" t="str">
        <f t="shared" si="21"/>
        <v>ILS-56</v>
      </c>
    </row>
    <row r="307" spans="2:17" ht="15" customHeight="1" x14ac:dyDescent="0.35">
      <c r="B307" s="29">
        <v>8</v>
      </c>
      <c r="C307" s="29" t="s">
        <v>23</v>
      </c>
      <c r="D307" s="30">
        <v>58</v>
      </c>
      <c r="E307" s="66" t="s">
        <v>973</v>
      </c>
      <c r="F307" s="66" t="s">
        <v>974</v>
      </c>
      <c r="G307" s="66" t="s">
        <v>13284</v>
      </c>
      <c r="H307" s="29" t="s">
        <v>61</v>
      </c>
      <c r="I307" s="29" t="s">
        <v>61</v>
      </c>
      <c r="J307" s="98">
        <v>44739</v>
      </c>
      <c r="K307" s="98">
        <f t="shared" si="22"/>
        <v>45835</v>
      </c>
      <c r="L307" s="110" t="s">
        <v>62</v>
      </c>
      <c r="M307" s="112" t="str">
        <f t="shared" ca="1" si="23"/>
        <v>Vencido</v>
      </c>
      <c r="N307" s="112"/>
      <c r="O307" s="67">
        <f t="shared" ca="1" si="20"/>
        <v>1459</v>
      </c>
      <c r="P307" s="67">
        <f t="shared" ca="1" si="24"/>
        <v>-363</v>
      </c>
      <c r="Q307" t="str">
        <f t="shared" si="21"/>
        <v>ILS-58</v>
      </c>
    </row>
    <row r="308" spans="2:17" ht="15" customHeight="1" x14ac:dyDescent="0.35">
      <c r="B308" s="29">
        <v>8</v>
      </c>
      <c r="C308" s="29" t="s">
        <v>23</v>
      </c>
      <c r="D308" s="30">
        <v>59</v>
      </c>
      <c r="E308" s="66" t="s">
        <v>975</v>
      </c>
      <c r="F308" s="66" t="s">
        <v>976</v>
      </c>
      <c r="G308" s="187" t="s">
        <v>13283</v>
      </c>
      <c r="H308" s="29" t="s">
        <v>61</v>
      </c>
      <c r="I308" s="29" t="s">
        <v>61</v>
      </c>
      <c r="J308" s="98">
        <v>45462</v>
      </c>
      <c r="K308" s="98">
        <f t="shared" si="22"/>
        <v>46558</v>
      </c>
      <c r="L308" s="110" t="s">
        <v>62</v>
      </c>
      <c r="M308" s="112" t="str">
        <f t="shared" ca="1" si="23"/>
        <v>Alerta</v>
      </c>
      <c r="N308" s="112"/>
      <c r="O308" s="67">
        <f t="shared" ca="1" si="20"/>
        <v>736</v>
      </c>
      <c r="P308" s="67">
        <f t="shared" ca="1" si="24"/>
        <v>360</v>
      </c>
      <c r="Q308" t="str">
        <f t="shared" si="21"/>
        <v>ILS-59</v>
      </c>
    </row>
    <row r="309" spans="2:17" ht="15" customHeight="1" x14ac:dyDescent="0.35">
      <c r="B309" s="29">
        <v>8</v>
      </c>
      <c r="C309" s="29" t="s">
        <v>23</v>
      </c>
      <c r="D309" s="30">
        <v>60</v>
      </c>
      <c r="E309" s="66" t="s">
        <v>977</v>
      </c>
      <c r="F309" s="66" t="s">
        <v>978</v>
      </c>
      <c r="G309" s="187" t="s">
        <v>13284</v>
      </c>
      <c r="H309" s="29" t="s">
        <v>61</v>
      </c>
      <c r="I309" s="29" t="s">
        <v>61</v>
      </c>
      <c r="J309" s="98">
        <v>44819</v>
      </c>
      <c r="K309" s="98">
        <f t="shared" si="22"/>
        <v>45915</v>
      </c>
      <c r="L309" s="110" t="s">
        <v>62</v>
      </c>
      <c r="M309" s="112" t="str">
        <f t="shared" ca="1" si="23"/>
        <v>Vencido</v>
      </c>
      <c r="N309" s="112"/>
      <c r="O309" s="67">
        <f t="shared" ca="1" si="20"/>
        <v>1379</v>
      </c>
      <c r="P309" s="67">
        <f t="shared" ca="1" si="24"/>
        <v>-283</v>
      </c>
      <c r="Q309" t="str">
        <f t="shared" si="21"/>
        <v>ILS-60</v>
      </c>
    </row>
    <row r="310" spans="2:17" ht="15" customHeight="1" x14ac:dyDescent="0.35">
      <c r="B310" s="29">
        <v>8</v>
      </c>
      <c r="C310" s="29" t="s">
        <v>23</v>
      </c>
      <c r="D310" s="30">
        <v>61</v>
      </c>
      <c r="E310" s="66" t="s">
        <v>979</v>
      </c>
      <c r="F310" s="66" t="s">
        <v>980</v>
      </c>
      <c r="G310" s="187" t="s">
        <v>13284</v>
      </c>
      <c r="H310" s="29" t="s">
        <v>61</v>
      </c>
      <c r="I310" s="29" t="s">
        <v>61</v>
      </c>
      <c r="J310" s="98">
        <v>44926</v>
      </c>
      <c r="K310" s="98">
        <f t="shared" si="22"/>
        <v>46022</v>
      </c>
      <c r="L310" s="110" t="s">
        <v>62</v>
      </c>
      <c r="M310" s="112" t="str">
        <f t="shared" ca="1" si="23"/>
        <v>Vencido</v>
      </c>
      <c r="N310" s="112"/>
      <c r="O310" s="67">
        <f t="shared" ca="1" si="20"/>
        <v>1272</v>
      </c>
      <c r="P310" s="67">
        <f t="shared" ca="1" si="24"/>
        <v>-176</v>
      </c>
      <c r="Q310" t="str">
        <f t="shared" si="21"/>
        <v>ILS-61</v>
      </c>
    </row>
    <row r="311" spans="2:17" ht="15" customHeight="1" x14ac:dyDescent="0.35">
      <c r="B311" s="29">
        <v>8</v>
      </c>
      <c r="C311" s="29" t="s">
        <v>23</v>
      </c>
      <c r="D311" s="30">
        <v>62</v>
      </c>
      <c r="E311" s="66" t="s">
        <v>981</v>
      </c>
      <c r="F311" s="66" t="s">
        <v>982</v>
      </c>
      <c r="G311" s="187" t="s">
        <v>13284</v>
      </c>
      <c r="H311" s="29" t="s">
        <v>61</v>
      </c>
      <c r="I311" s="29" t="s">
        <v>61</v>
      </c>
      <c r="J311" s="98">
        <v>44926</v>
      </c>
      <c r="K311" s="98">
        <f t="shared" si="22"/>
        <v>46022</v>
      </c>
      <c r="L311" s="110" t="s">
        <v>62</v>
      </c>
      <c r="M311" s="112" t="str">
        <f t="shared" ca="1" si="23"/>
        <v>Vencido</v>
      </c>
      <c r="N311" s="112"/>
      <c r="O311" s="67">
        <f t="shared" ca="1" si="20"/>
        <v>1272</v>
      </c>
      <c r="P311" s="67">
        <f t="shared" ca="1" si="24"/>
        <v>-176</v>
      </c>
      <c r="Q311" t="str">
        <f t="shared" si="21"/>
        <v>ILS-62</v>
      </c>
    </row>
    <row r="312" spans="2:17" ht="15" customHeight="1" x14ac:dyDescent="0.35">
      <c r="B312" s="29">
        <v>8</v>
      </c>
      <c r="C312" s="29" t="s">
        <v>23</v>
      </c>
      <c r="D312" s="30" t="s">
        <v>1014</v>
      </c>
      <c r="E312" s="66" t="s">
        <v>1015</v>
      </c>
      <c r="F312" s="66" t="s">
        <v>1016</v>
      </c>
      <c r="G312" s="187" t="s">
        <v>13284</v>
      </c>
      <c r="H312" s="29" t="s">
        <v>61</v>
      </c>
      <c r="I312" s="29" t="s">
        <v>61</v>
      </c>
      <c r="J312" s="98">
        <v>44838</v>
      </c>
      <c r="K312" s="98">
        <f t="shared" si="22"/>
        <v>45934</v>
      </c>
      <c r="L312" s="110" t="s">
        <v>62</v>
      </c>
      <c r="M312" s="112" t="str">
        <f t="shared" ca="1" si="23"/>
        <v>Vencido</v>
      </c>
      <c r="N312" s="112"/>
      <c r="O312" s="67">
        <f t="shared" ca="1" si="20"/>
        <v>1360</v>
      </c>
      <c r="P312" s="67">
        <f t="shared" ca="1" si="24"/>
        <v>-264</v>
      </c>
      <c r="Q312" t="str">
        <f t="shared" si="21"/>
        <v>ILS-63</v>
      </c>
    </row>
    <row r="313" spans="2:17" ht="15" customHeight="1" x14ac:dyDescent="0.35">
      <c r="B313" s="29">
        <v>8</v>
      </c>
      <c r="C313" s="29" t="s">
        <v>23</v>
      </c>
      <c r="D313" s="30" t="s">
        <v>1017</v>
      </c>
      <c r="E313" s="66" t="s">
        <v>1018</v>
      </c>
      <c r="F313" s="66" t="s">
        <v>1019</v>
      </c>
      <c r="G313" s="187" t="s">
        <v>13284</v>
      </c>
      <c r="H313" s="29" t="s">
        <v>61</v>
      </c>
      <c r="I313" s="29" t="s">
        <v>61</v>
      </c>
      <c r="J313" s="98">
        <v>44838</v>
      </c>
      <c r="K313" s="98">
        <f t="shared" si="22"/>
        <v>45934</v>
      </c>
      <c r="L313" s="110" t="s">
        <v>62</v>
      </c>
      <c r="M313" s="112" t="str">
        <f t="shared" ca="1" si="23"/>
        <v>Vencido</v>
      </c>
      <c r="N313" s="112"/>
      <c r="O313" s="67">
        <f t="shared" ca="1" si="20"/>
        <v>1360</v>
      </c>
      <c r="P313" s="67">
        <f t="shared" ca="1" si="24"/>
        <v>-264</v>
      </c>
      <c r="Q313" t="str">
        <f t="shared" si="21"/>
        <v>ILS-63</v>
      </c>
    </row>
    <row r="314" spans="2:17" ht="15.65" customHeight="1" x14ac:dyDescent="0.35">
      <c r="B314" s="29">
        <v>8</v>
      </c>
      <c r="C314" s="29" t="s">
        <v>23</v>
      </c>
      <c r="D314" s="30">
        <v>65</v>
      </c>
      <c r="E314" s="66" t="s">
        <v>983</v>
      </c>
      <c r="F314" s="66" t="s">
        <v>984</v>
      </c>
      <c r="G314" s="187" t="s">
        <v>13284</v>
      </c>
      <c r="H314" s="29" t="s">
        <v>61</v>
      </c>
      <c r="I314" s="29" t="s">
        <v>61</v>
      </c>
      <c r="J314" s="98">
        <v>45202</v>
      </c>
      <c r="K314" s="98">
        <f t="shared" si="22"/>
        <v>46298</v>
      </c>
      <c r="L314" s="110" t="s">
        <v>62</v>
      </c>
      <c r="M314" s="112" t="str">
        <f t="shared" ca="1" si="23"/>
        <v>Alerta</v>
      </c>
      <c r="N314" s="112"/>
      <c r="O314" s="67">
        <f t="shared" ca="1" si="20"/>
        <v>996</v>
      </c>
      <c r="P314" s="67">
        <f t="shared" ca="1" si="24"/>
        <v>100</v>
      </c>
      <c r="Q314" t="str">
        <f t="shared" si="21"/>
        <v>ILS-65</v>
      </c>
    </row>
    <row r="315" spans="2:17" ht="15" customHeight="1" x14ac:dyDescent="0.35">
      <c r="B315" s="29">
        <v>8</v>
      </c>
      <c r="C315" s="29" t="s">
        <v>23</v>
      </c>
      <c r="D315" s="30">
        <v>67</v>
      </c>
      <c r="E315" s="66" t="s">
        <v>985</v>
      </c>
      <c r="F315" s="66" t="s">
        <v>986</v>
      </c>
      <c r="G315" s="187" t="s">
        <v>13284</v>
      </c>
      <c r="H315" s="29" t="s">
        <v>61</v>
      </c>
      <c r="I315" s="29" t="s">
        <v>61</v>
      </c>
      <c r="J315" s="98">
        <v>45202</v>
      </c>
      <c r="K315" s="98">
        <f t="shared" si="22"/>
        <v>46298</v>
      </c>
      <c r="L315" s="110" t="s">
        <v>62</v>
      </c>
      <c r="M315" s="112" t="str">
        <f t="shared" ca="1" si="23"/>
        <v>Alerta</v>
      </c>
      <c r="N315" s="112"/>
      <c r="O315" s="67">
        <f t="shared" ca="1" si="20"/>
        <v>996</v>
      </c>
      <c r="P315" s="67">
        <f t="shared" ca="1" si="24"/>
        <v>100</v>
      </c>
      <c r="Q315" t="str">
        <f t="shared" si="21"/>
        <v>ILS-67</v>
      </c>
    </row>
    <row r="316" spans="2:17" ht="15" customHeight="1" x14ac:dyDescent="0.35">
      <c r="B316" s="29">
        <v>8</v>
      </c>
      <c r="C316" s="29" t="s">
        <v>23</v>
      </c>
      <c r="D316" s="30">
        <v>68</v>
      </c>
      <c r="E316" s="66" t="s">
        <v>987</v>
      </c>
      <c r="F316" s="66" t="s">
        <v>988</v>
      </c>
      <c r="G316" s="187" t="s">
        <v>13284</v>
      </c>
      <c r="H316" s="29" t="s">
        <v>61</v>
      </c>
      <c r="I316" s="29" t="s">
        <v>61</v>
      </c>
      <c r="J316" s="98">
        <v>45202</v>
      </c>
      <c r="K316" s="98">
        <f t="shared" si="22"/>
        <v>46298</v>
      </c>
      <c r="L316" s="110" t="s">
        <v>62</v>
      </c>
      <c r="M316" s="112" t="str">
        <f t="shared" ca="1" si="23"/>
        <v>Alerta</v>
      </c>
      <c r="N316" s="112"/>
      <c r="O316" s="67">
        <f t="shared" ca="1" si="20"/>
        <v>996</v>
      </c>
      <c r="P316" s="67">
        <f t="shared" ca="1" si="24"/>
        <v>100</v>
      </c>
      <c r="Q316" t="str">
        <f t="shared" si="21"/>
        <v>ILS-68</v>
      </c>
    </row>
    <row r="317" spans="2:17" ht="15" customHeight="1" x14ac:dyDescent="0.35">
      <c r="B317" s="29">
        <v>8</v>
      </c>
      <c r="C317" s="29" t="s">
        <v>23</v>
      </c>
      <c r="D317" s="30">
        <v>71</v>
      </c>
      <c r="E317" s="66" t="s">
        <v>989</v>
      </c>
      <c r="F317" s="66" t="s">
        <v>990</v>
      </c>
      <c r="G317" s="26" t="s">
        <v>13282</v>
      </c>
      <c r="H317" s="29" t="s">
        <v>61</v>
      </c>
      <c r="I317" s="29" t="s">
        <v>61</v>
      </c>
      <c r="J317" s="98">
        <v>45202</v>
      </c>
      <c r="K317" s="98">
        <f t="shared" si="22"/>
        <v>46298</v>
      </c>
      <c r="L317" s="110" t="s">
        <v>62</v>
      </c>
      <c r="M317" s="112" t="str">
        <f t="shared" ca="1" si="23"/>
        <v>Alerta</v>
      </c>
      <c r="N317" s="112"/>
      <c r="O317" s="67">
        <f t="shared" ca="1" si="20"/>
        <v>996</v>
      </c>
      <c r="P317" s="67">
        <f t="shared" ca="1" si="24"/>
        <v>100</v>
      </c>
      <c r="Q317" t="str">
        <f t="shared" si="21"/>
        <v>ILS-71</v>
      </c>
    </row>
    <row r="318" spans="2:17" ht="15" customHeight="1" x14ac:dyDescent="0.35">
      <c r="B318" s="29">
        <v>8</v>
      </c>
      <c r="C318" s="29" t="s">
        <v>23</v>
      </c>
      <c r="D318" s="30">
        <v>72</v>
      </c>
      <c r="E318" s="66" t="s">
        <v>1026</v>
      </c>
      <c r="F318" s="66" t="s">
        <v>1027</v>
      </c>
      <c r="G318" s="187" t="s">
        <v>13284</v>
      </c>
      <c r="H318" s="29" t="s">
        <v>61</v>
      </c>
      <c r="I318" s="29" t="s">
        <v>61</v>
      </c>
      <c r="J318" s="98">
        <v>44739</v>
      </c>
      <c r="K318" s="98">
        <f t="shared" si="22"/>
        <v>45835</v>
      </c>
      <c r="L318" s="110" t="s">
        <v>62</v>
      </c>
      <c r="M318" s="112" t="str">
        <f t="shared" ca="1" si="23"/>
        <v>Vencido</v>
      </c>
      <c r="N318" s="112"/>
      <c r="O318" s="67">
        <f t="shared" ca="1" si="20"/>
        <v>1459</v>
      </c>
      <c r="P318" s="67">
        <f t="shared" ca="1" si="24"/>
        <v>-363</v>
      </c>
      <c r="Q318" t="str">
        <f t="shared" si="21"/>
        <v>ILS-72</v>
      </c>
    </row>
    <row r="319" spans="2:17" ht="15" customHeight="1" x14ac:dyDescent="0.35">
      <c r="B319" s="29">
        <v>8</v>
      </c>
      <c r="C319" s="29" t="s">
        <v>23</v>
      </c>
      <c r="D319" s="30">
        <v>84</v>
      </c>
      <c r="E319" s="66" t="s">
        <v>1020</v>
      </c>
      <c r="F319" s="66" t="s">
        <v>1021</v>
      </c>
      <c r="G319" s="187" t="s">
        <v>13284</v>
      </c>
      <c r="H319" s="29" t="s">
        <v>61</v>
      </c>
      <c r="I319" s="29"/>
      <c r="J319" s="98">
        <v>45274</v>
      </c>
      <c r="K319" s="98">
        <f t="shared" si="22"/>
        <v>46370</v>
      </c>
      <c r="L319" s="110" t="s">
        <v>62</v>
      </c>
      <c r="M319" s="112" t="str">
        <f t="shared" ca="1" si="23"/>
        <v>Alerta</v>
      </c>
      <c r="N319" s="112"/>
      <c r="O319" s="67">
        <f t="shared" ca="1" si="20"/>
        <v>924</v>
      </c>
      <c r="P319" s="67">
        <f t="shared" ca="1" si="24"/>
        <v>172</v>
      </c>
      <c r="Q319" t="str">
        <f t="shared" si="21"/>
        <v>ILS-84</v>
      </c>
    </row>
    <row r="320" spans="2:17" ht="15" customHeight="1" x14ac:dyDescent="0.35">
      <c r="B320" s="29">
        <v>8</v>
      </c>
      <c r="C320" s="29" t="s">
        <v>23</v>
      </c>
      <c r="D320" s="30">
        <v>87</v>
      </c>
      <c r="E320" s="66" t="s">
        <v>1024</v>
      </c>
      <c r="F320" s="66" t="s">
        <v>1025</v>
      </c>
      <c r="G320" s="187" t="s">
        <v>13284</v>
      </c>
      <c r="H320" s="29" t="s">
        <v>371</v>
      </c>
      <c r="I320" s="29" t="s">
        <v>371</v>
      </c>
      <c r="J320" s="98">
        <v>45531</v>
      </c>
      <c r="K320" s="98">
        <f t="shared" si="22"/>
        <v>46627</v>
      </c>
      <c r="L320" s="110" t="s">
        <v>155</v>
      </c>
      <c r="M320" s="112" t="str">
        <f t="shared" ca="1" si="23"/>
        <v>Em dia</v>
      </c>
      <c r="N320" s="112"/>
      <c r="O320" s="67">
        <f t="shared" ca="1" si="20"/>
        <v>667</v>
      </c>
      <c r="P320" s="67">
        <f t="shared" ca="1" si="24"/>
        <v>429</v>
      </c>
      <c r="Q320" t="str">
        <f t="shared" si="21"/>
        <v>ILS-87</v>
      </c>
    </row>
    <row r="321" spans="2:17" ht="15" customHeight="1" x14ac:dyDescent="0.35">
      <c r="B321" s="29">
        <v>9</v>
      </c>
      <c r="C321" s="29" t="s">
        <v>24</v>
      </c>
      <c r="D321" s="30">
        <v>0</v>
      </c>
      <c r="E321" s="66" t="s">
        <v>1028</v>
      </c>
      <c r="F321" s="65" t="s">
        <v>1029</v>
      </c>
      <c r="G321" s="26" t="s">
        <v>13301</v>
      </c>
      <c r="H321" s="29" t="s">
        <v>61</v>
      </c>
      <c r="I321" s="29"/>
      <c r="J321" s="98">
        <v>45202</v>
      </c>
      <c r="K321" s="98">
        <f t="shared" si="22"/>
        <v>46298</v>
      </c>
      <c r="L321" s="110" t="s">
        <v>62</v>
      </c>
      <c r="M321" s="112" t="str">
        <f t="shared" ca="1" si="23"/>
        <v>Alerta</v>
      </c>
      <c r="N321" s="112"/>
      <c r="O321" s="67">
        <f t="shared" ca="1" si="20"/>
        <v>996</v>
      </c>
      <c r="P321" s="67">
        <f t="shared" ca="1" si="24"/>
        <v>100</v>
      </c>
      <c r="Q321" t="str">
        <f t="shared" si="21"/>
        <v>JUP-00</v>
      </c>
    </row>
    <row r="322" spans="2:17" ht="15" customHeight="1" x14ac:dyDescent="0.35">
      <c r="B322" s="29">
        <v>9</v>
      </c>
      <c r="C322" s="29" t="s">
        <v>24</v>
      </c>
      <c r="D322" s="30">
        <v>1</v>
      </c>
      <c r="E322" s="66" t="s">
        <v>1030</v>
      </c>
      <c r="F322" s="66" t="s">
        <v>1031</v>
      </c>
      <c r="G322" s="187" t="s">
        <v>13284</v>
      </c>
      <c r="H322" s="29" t="s">
        <v>61</v>
      </c>
      <c r="I322" s="29" t="s">
        <v>61</v>
      </c>
      <c r="J322" s="98">
        <v>44739</v>
      </c>
      <c r="K322" s="98">
        <f t="shared" si="22"/>
        <v>45835</v>
      </c>
      <c r="L322" s="110" t="s">
        <v>62</v>
      </c>
      <c r="M322" s="112" t="str">
        <f t="shared" ca="1" si="23"/>
        <v>Vencido</v>
      </c>
      <c r="N322" s="112"/>
      <c r="O322" s="67">
        <f t="shared" ca="1" si="20"/>
        <v>1459</v>
      </c>
      <c r="P322" s="67">
        <f t="shared" ca="1" si="24"/>
        <v>-363</v>
      </c>
      <c r="Q322" t="str">
        <f t="shared" si="21"/>
        <v>JUP-01</v>
      </c>
    </row>
    <row r="323" spans="2:17" ht="15" customHeight="1" x14ac:dyDescent="0.35">
      <c r="B323" s="29">
        <v>9</v>
      </c>
      <c r="C323" s="29" t="s">
        <v>24</v>
      </c>
      <c r="D323" s="30">
        <v>2</v>
      </c>
      <c r="E323" s="66" t="s">
        <v>1032</v>
      </c>
      <c r="F323" s="66" t="s">
        <v>1033</v>
      </c>
      <c r="G323" s="26" t="s">
        <v>13284</v>
      </c>
      <c r="H323" s="29" t="s">
        <v>61</v>
      </c>
      <c r="I323" s="29" t="s">
        <v>61</v>
      </c>
      <c r="J323" s="98">
        <v>45959</v>
      </c>
      <c r="K323" s="98">
        <f t="shared" si="22"/>
        <v>47055</v>
      </c>
      <c r="L323" s="110" t="s">
        <v>62</v>
      </c>
      <c r="M323" s="112" t="str">
        <f t="shared" ca="1" si="23"/>
        <v>Em dia</v>
      </c>
      <c r="N323" s="112"/>
      <c r="O323" s="67">
        <f t="shared" ca="1" si="20"/>
        <v>239</v>
      </c>
      <c r="P323" s="67">
        <f t="shared" ca="1" si="24"/>
        <v>857</v>
      </c>
      <c r="Q323" t="str">
        <f t="shared" si="21"/>
        <v>JUP-02</v>
      </c>
    </row>
    <row r="324" spans="2:17" ht="15" customHeight="1" x14ac:dyDescent="0.35">
      <c r="B324" s="29">
        <v>9</v>
      </c>
      <c r="C324" s="29" t="s">
        <v>24</v>
      </c>
      <c r="D324" s="30">
        <v>3</v>
      </c>
      <c r="E324" s="66" t="s">
        <v>1034</v>
      </c>
      <c r="F324" s="66" t="s">
        <v>1035</v>
      </c>
      <c r="G324" s="26" t="s">
        <v>13283</v>
      </c>
      <c r="H324" s="29" t="s">
        <v>61</v>
      </c>
      <c r="I324" s="29" t="s">
        <v>61</v>
      </c>
      <c r="J324" s="98">
        <v>45506</v>
      </c>
      <c r="K324" s="98">
        <f t="shared" si="22"/>
        <v>46602</v>
      </c>
      <c r="L324" s="110" t="s">
        <v>62</v>
      </c>
      <c r="M324" s="112" t="str">
        <f t="shared" ca="1" si="23"/>
        <v>Em dia</v>
      </c>
      <c r="N324" s="112"/>
      <c r="O324" s="67">
        <f t="shared" ca="1" si="20"/>
        <v>692</v>
      </c>
      <c r="P324" s="67">
        <f t="shared" ca="1" si="24"/>
        <v>404</v>
      </c>
      <c r="Q324" t="str">
        <f t="shared" si="21"/>
        <v>JUP-03</v>
      </c>
    </row>
    <row r="325" spans="2:17" ht="15" customHeight="1" x14ac:dyDescent="0.35">
      <c r="B325" s="29">
        <v>9</v>
      </c>
      <c r="C325" s="29" t="s">
        <v>24</v>
      </c>
      <c r="D325" s="30">
        <v>4</v>
      </c>
      <c r="E325" s="66" t="s">
        <v>1036</v>
      </c>
      <c r="F325" s="66" t="s">
        <v>1037</v>
      </c>
      <c r="G325" s="186" t="s">
        <v>13283</v>
      </c>
      <c r="H325" s="29" t="s">
        <v>61</v>
      </c>
      <c r="I325" s="29" t="s">
        <v>61</v>
      </c>
      <c r="J325" s="98">
        <v>45202</v>
      </c>
      <c r="K325" s="98">
        <f t="shared" si="22"/>
        <v>46298</v>
      </c>
      <c r="L325" s="110" t="s">
        <v>62</v>
      </c>
      <c r="M325" s="112" t="str">
        <f t="shared" ca="1" si="23"/>
        <v>Alerta</v>
      </c>
      <c r="N325" s="112"/>
      <c r="O325" s="67">
        <f t="shared" ref="O325:O387" ca="1" si="25">$O$4-J325</f>
        <v>996</v>
      </c>
      <c r="P325" s="67">
        <f t="shared" ca="1" si="24"/>
        <v>100</v>
      </c>
      <c r="Q325" t="str">
        <f t="shared" ref="Q325:Q388" si="26">IF(OR(C325="ARN",C325="SDP"),MID(E325,4,7),MID(E325,4,6))</f>
        <v>JUP-04</v>
      </c>
    </row>
    <row r="326" spans="2:17" ht="15" customHeight="1" x14ac:dyDescent="0.35">
      <c r="B326" s="29">
        <v>9</v>
      </c>
      <c r="C326" s="29" t="s">
        <v>24</v>
      </c>
      <c r="D326" s="30">
        <v>5</v>
      </c>
      <c r="E326" s="66" t="s">
        <v>1038</v>
      </c>
      <c r="F326" s="66" t="s">
        <v>1039</v>
      </c>
      <c r="G326" s="186" t="s">
        <v>13283</v>
      </c>
      <c r="H326" s="29" t="s">
        <v>61</v>
      </c>
      <c r="I326" s="29" t="s">
        <v>61</v>
      </c>
      <c r="J326" s="98">
        <v>46104</v>
      </c>
      <c r="K326" s="98">
        <f t="shared" ref="K326:K388" si="27">J326+1096</f>
        <v>47200</v>
      </c>
      <c r="L326" s="110" t="s">
        <v>62</v>
      </c>
      <c r="M326" s="112" t="str">
        <f t="shared" ref="M326:M389" ca="1" si="28">IF(O326="","",IF(O326&gt;1095,"Vencido",IF(O326&gt;910,"Alerta",IF(O326&gt;820,"Alerta",IF(O326&gt;730,"Alerta",IF(O326&gt;=0,"Em dia","Vencido"))))))</f>
        <v>Em dia</v>
      </c>
      <c r="N326" s="112"/>
      <c r="O326" s="67">
        <f t="shared" ca="1" si="25"/>
        <v>94</v>
      </c>
      <c r="P326" s="67">
        <f t="shared" ref="P326:P389" ca="1" si="29">K326-$P$3</f>
        <v>1002</v>
      </c>
      <c r="Q326" t="str">
        <f t="shared" si="26"/>
        <v>JUP-05</v>
      </c>
    </row>
    <row r="327" spans="2:17" ht="15" customHeight="1" x14ac:dyDescent="0.35">
      <c r="B327" s="29">
        <v>9</v>
      </c>
      <c r="C327" s="29" t="s">
        <v>24</v>
      </c>
      <c r="D327" s="30">
        <v>6</v>
      </c>
      <c r="E327" s="66" t="s">
        <v>1040</v>
      </c>
      <c r="F327" s="66" t="s">
        <v>1041</v>
      </c>
      <c r="G327" s="186" t="s">
        <v>13283</v>
      </c>
      <c r="H327" s="29" t="s">
        <v>61</v>
      </c>
      <c r="I327" s="29" t="s">
        <v>61</v>
      </c>
      <c r="J327" s="98">
        <v>46104</v>
      </c>
      <c r="K327" s="98">
        <f t="shared" si="27"/>
        <v>47200</v>
      </c>
      <c r="L327" s="110" t="s">
        <v>62</v>
      </c>
      <c r="M327" s="112" t="str">
        <f t="shared" ca="1" si="28"/>
        <v>Em dia</v>
      </c>
      <c r="N327" s="112"/>
      <c r="O327" s="67">
        <f t="shared" ca="1" si="25"/>
        <v>94</v>
      </c>
      <c r="P327" s="67">
        <f t="shared" ca="1" si="29"/>
        <v>1002</v>
      </c>
      <c r="Q327" t="str">
        <f t="shared" si="26"/>
        <v>JUP-06</v>
      </c>
    </row>
    <row r="328" spans="2:17" ht="15" customHeight="1" x14ac:dyDescent="0.35">
      <c r="B328" s="29">
        <v>9</v>
      </c>
      <c r="C328" s="29" t="s">
        <v>24</v>
      </c>
      <c r="D328" s="30">
        <v>7</v>
      </c>
      <c r="E328" s="66" t="s">
        <v>1042</v>
      </c>
      <c r="F328" s="66" t="s">
        <v>1043</v>
      </c>
      <c r="G328" s="186" t="s">
        <v>13283</v>
      </c>
      <c r="H328" s="29" t="s">
        <v>61</v>
      </c>
      <c r="I328" s="29" t="s">
        <v>61</v>
      </c>
      <c r="J328" s="98">
        <v>45959</v>
      </c>
      <c r="K328" s="98">
        <f t="shared" si="27"/>
        <v>47055</v>
      </c>
      <c r="L328" s="110" t="s">
        <v>62</v>
      </c>
      <c r="M328" s="112" t="str">
        <f t="shared" ca="1" si="28"/>
        <v>Em dia</v>
      </c>
      <c r="N328" s="112"/>
      <c r="O328" s="67">
        <f t="shared" ca="1" si="25"/>
        <v>239</v>
      </c>
      <c r="P328" s="67">
        <f t="shared" ca="1" si="29"/>
        <v>857</v>
      </c>
      <c r="Q328" t="str">
        <f t="shared" si="26"/>
        <v>JUP-07</v>
      </c>
    </row>
    <row r="329" spans="2:17" ht="15" customHeight="1" x14ac:dyDescent="0.35">
      <c r="B329" s="29">
        <v>9</v>
      </c>
      <c r="C329" s="29" t="s">
        <v>24</v>
      </c>
      <c r="D329" s="30">
        <v>8</v>
      </c>
      <c r="E329" s="66" t="s">
        <v>1044</v>
      </c>
      <c r="F329" s="66" t="s">
        <v>1045</v>
      </c>
      <c r="G329" s="186" t="s">
        <v>13283</v>
      </c>
      <c r="H329" s="29" t="s">
        <v>61</v>
      </c>
      <c r="I329" s="29" t="s">
        <v>61</v>
      </c>
      <c r="J329" s="98">
        <v>45645</v>
      </c>
      <c r="K329" s="98">
        <f t="shared" si="27"/>
        <v>46741</v>
      </c>
      <c r="L329" s="110" t="s">
        <v>62</v>
      </c>
      <c r="M329" s="112" t="str">
        <f t="shared" ca="1" si="28"/>
        <v>Em dia</v>
      </c>
      <c r="N329" s="112"/>
      <c r="O329" s="67">
        <f t="shared" ca="1" si="25"/>
        <v>553</v>
      </c>
      <c r="P329" s="67">
        <f t="shared" ca="1" si="29"/>
        <v>543</v>
      </c>
      <c r="Q329" t="str">
        <f t="shared" si="26"/>
        <v>JUP-08</v>
      </c>
    </row>
    <row r="330" spans="2:17" ht="15" customHeight="1" x14ac:dyDescent="0.35">
      <c r="B330" s="29">
        <v>9</v>
      </c>
      <c r="C330" s="29" t="s">
        <v>24</v>
      </c>
      <c r="D330" s="30">
        <v>9</v>
      </c>
      <c r="E330" s="66" t="s">
        <v>1046</v>
      </c>
      <c r="F330" s="66" t="s">
        <v>1047</v>
      </c>
      <c r="G330" s="186" t="s">
        <v>13283</v>
      </c>
      <c r="H330" s="29" t="s">
        <v>61</v>
      </c>
      <c r="I330" s="29" t="s">
        <v>61</v>
      </c>
      <c r="J330" s="98">
        <v>45959</v>
      </c>
      <c r="K330" s="98">
        <f t="shared" si="27"/>
        <v>47055</v>
      </c>
      <c r="L330" s="110" t="s">
        <v>62</v>
      </c>
      <c r="M330" s="112" t="str">
        <f t="shared" ca="1" si="28"/>
        <v>Em dia</v>
      </c>
      <c r="N330" s="112"/>
      <c r="O330" s="67">
        <f t="shared" ca="1" si="25"/>
        <v>239</v>
      </c>
      <c r="P330" s="67">
        <f t="shared" ca="1" si="29"/>
        <v>857</v>
      </c>
      <c r="Q330" t="str">
        <f t="shared" si="26"/>
        <v>JUP-09</v>
      </c>
    </row>
    <row r="331" spans="2:17" ht="15" customHeight="1" x14ac:dyDescent="0.35">
      <c r="B331" s="29">
        <v>9</v>
      </c>
      <c r="C331" s="29" t="s">
        <v>24</v>
      </c>
      <c r="D331" s="30">
        <v>10</v>
      </c>
      <c r="E331" s="66" t="s">
        <v>1048</v>
      </c>
      <c r="F331" s="66" t="s">
        <v>1049</v>
      </c>
      <c r="G331" s="186" t="s">
        <v>13283</v>
      </c>
      <c r="H331" s="29" t="s">
        <v>61</v>
      </c>
      <c r="I331" s="29" t="s">
        <v>61</v>
      </c>
      <c r="J331" s="101">
        <v>45959</v>
      </c>
      <c r="K331" s="98">
        <f t="shared" si="27"/>
        <v>47055</v>
      </c>
      <c r="L331" s="110" t="s">
        <v>62</v>
      </c>
      <c r="M331" s="112" t="str">
        <f t="shared" ca="1" si="28"/>
        <v>Em dia</v>
      </c>
      <c r="N331" s="112"/>
      <c r="O331" s="67">
        <f t="shared" ca="1" si="25"/>
        <v>239</v>
      </c>
      <c r="P331" s="67">
        <f t="shared" ca="1" si="29"/>
        <v>857</v>
      </c>
      <c r="Q331" t="str">
        <f t="shared" si="26"/>
        <v>JUP-10</v>
      </c>
    </row>
    <row r="332" spans="2:17" ht="15" customHeight="1" x14ac:dyDescent="0.35">
      <c r="B332" s="29">
        <v>9</v>
      </c>
      <c r="C332" s="29" t="s">
        <v>24</v>
      </c>
      <c r="D332" s="30">
        <v>11</v>
      </c>
      <c r="E332" s="66" t="s">
        <v>1050</v>
      </c>
      <c r="F332" s="66" t="s">
        <v>1051</v>
      </c>
      <c r="G332" s="186" t="s">
        <v>13283</v>
      </c>
      <c r="H332" s="29" t="s">
        <v>61</v>
      </c>
      <c r="I332" s="29" t="s">
        <v>61</v>
      </c>
      <c r="J332" s="98">
        <v>46104</v>
      </c>
      <c r="K332" s="98">
        <f t="shared" si="27"/>
        <v>47200</v>
      </c>
      <c r="L332" s="110" t="s">
        <v>62</v>
      </c>
      <c r="M332" s="112" t="str">
        <f t="shared" ca="1" si="28"/>
        <v>Em dia</v>
      </c>
      <c r="N332" s="112"/>
      <c r="O332" s="67">
        <f t="shared" ca="1" si="25"/>
        <v>94</v>
      </c>
      <c r="P332" s="67">
        <f t="shared" ca="1" si="29"/>
        <v>1002</v>
      </c>
      <c r="Q332" t="str">
        <f t="shared" si="26"/>
        <v>JUP-11</v>
      </c>
    </row>
    <row r="333" spans="2:17" ht="15" customHeight="1" x14ac:dyDescent="0.35">
      <c r="B333" s="29">
        <v>9</v>
      </c>
      <c r="C333" s="29" t="s">
        <v>24</v>
      </c>
      <c r="D333" s="30">
        <v>12</v>
      </c>
      <c r="E333" s="66" t="s">
        <v>1052</v>
      </c>
      <c r="F333" s="66" t="s">
        <v>1053</v>
      </c>
      <c r="G333" s="186" t="s">
        <v>13283</v>
      </c>
      <c r="H333" s="29" t="s">
        <v>61</v>
      </c>
      <c r="I333" s="29" t="s">
        <v>61</v>
      </c>
      <c r="J333" s="98">
        <v>46104</v>
      </c>
      <c r="K333" s="98">
        <f t="shared" si="27"/>
        <v>47200</v>
      </c>
      <c r="L333" s="110" t="s">
        <v>62</v>
      </c>
      <c r="M333" s="112" t="str">
        <f t="shared" ca="1" si="28"/>
        <v>Em dia</v>
      </c>
      <c r="N333" s="112"/>
      <c r="O333" s="67">
        <f t="shared" ca="1" si="25"/>
        <v>94</v>
      </c>
      <c r="P333" s="67">
        <f t="shared" ca="1" si="29"/>
        <v>1002</v>
      </c>
      <c r="Q333" t="str">
        <f t="shared" si="26"/>
        <v>JUP-12</v>
      </c>
    </row>
    <row r="334" spans="2:17" ht="15" customHeight="1" x14ac:dyDescent="0.35">
      <c r="B334" s="29">
        <v>9</v>
      </c>
      <c r="C334" s="29" t="s">
        <v>24</v>
      </c>
      <c r="D334" s="30">
        <v>13</v>
      </c>
      <c r="E334" s="66" t="s">
        <v>1054</v>
      </c>
      <c r="F334" s="66" t="s">
        <v>1055</v>
      </c>
      <c r="G334" s="186" t="s">
        <v>13283</v>
      </c>
      <c r="H334" s="29" t="s">
        <v>61</v>
      </c>
      <c r="I334" s="29" t="s">
        <v>61</v>
      </c>
      <c r="J334" s="98">
        <v>46104</v>
      </c>
      <c r="K334" s="98">
        <f t="shared" si="27"/>
        <v>47200</v>
      </c>
      <c r="L334" s="110" t="s">
        <v>62</v>
      </c>
      <c r="M334" s="112" t="str">
        <f t="shared" ca="1" si="28"/>
        <v>Em dia</v>
      </c>
      <c r="N334" s="112"/>
      <c r="O334" s="67">
        <f t="shared" ca="1" si="25"/>
        <v>94</v>
      </c>
      <c r="P334" s="67">
        <f t="shared" ca="1" si="29"/>
        <v>1002</v>
      </c>
      <c r="Q334" t="str">
        <f t="shared" si="26"/>
        <v>JUP-13</v>
      </c>
    </row>
    <row r="335" spans="2:17" ht="15" customHeight="1" x14ac:dyDescent="0.35">
      <c r="B335" s="29">
        <v>9</v>
      </c>
      <c r="C335" s="29" t="s">
        <v>24</v>
      </c>
      <c r="D335" s="30">
        <v>14</v>
      </c>
      <c r="E335" s="66" t="s">
        <v>1056</v>
      </c>
      <c r="F335" s="66" t="s">
        <v>1057</v>
      </c>
      <c r="G335" s="186" t="s">
        <v>13283</v>
      </c>
      <c r="H335" s="29" t="s">
        <v>61</v>
      </c>
      <c r="I335" s="29" t="s">
        <v>61</v>
      </c>
      <c r="J335" s="98">
        <v>45202</v>
      </c>
      <c r="K335" s="98">
        <f t="shared" si="27"/>
        <v>46298</v>
      </c>
      <c r="L335" s="110" t="s">
        <v>62</v>
      </c>
      <c r="M335" s="112" t="str">
        <f t="shared" ca="1" si="28"/>
        <v>Alerta</v>
      </c>
      <c r="N335" s="112"/>
      <c r="O335" s="67">
        <f t="shared" ca="1" si="25"/>
        <v>996</v>
      </c>
      <c r="P335" s="67">
        <f t="shared" ca="1" si="29"/>
        <v>100</v>
      </c>
      <c r="Q335" t="str">
        <f t="shared" si="26"/>
        <v>JUP-14</v>
      </c>
    </row>
    <row r="336" spans="2:17" ht="15" customHeight="1" x14ac:dyDescent="0.35">
      <c r="B336" s="29">
        <v>9</v>
      </c>
      <c r="C336" s="29" t="s">
        <v>24</v>
      </c>
      <c r="D336" s="30">
        <v>15</v>
      </c>
      <c r="E336" s="66" t="s">
        <v>1058</v>
      </c>
      <c r="F336" s="66" t="s">
        <v>1059</v>
      </c>
      <c r="G336" s="66" t="s">
        <v>13283</v>
      </c>
      <c r="H336" s="29" t="s">
        <v>61</v>
      </c>
      <c r="I336" s="29" t="s">
        <v>61</v>
      </c>
      <c r="J336" s="98">
        <v>46104</v>
      </c>
      <c r="K336" s="98">
        <f t="shared" si="27"/>
        <v>47200</v>
      </c>
      <c r="L336" s="110" t="s">
        <v>62</v>
      </c>
      <c r="M336" s="112" t="str">
        <f t="shared" ca="1" si="28"/>
        <v>Em dia</v>
      </c>
      <c r="N336" s="112"/>
      <c r="O336" s="67">
        <f t="shared" ca="1" si="25"/>
        <v>94</v>
      </c>
      <c r="P336" s="67">
        <f t="shared" ca="1" si="29"/>
        <v>1002</v>
      </c>
      <c r="Q336" t="str">
        <f t="shared" si="26"/>
        <v>JUP-15</v>
      </c>
    </row>
    <row r="337" spans="2:17" ht="15" customHeight="1" x14ac:dyDescent="0.35">
      <c r="B337" s="29">
        <v>9</v>
      </c>
      <c r="C337" s="29" t="s">
        <v>24</v>
      </c>
      <c r="D337" s="30">
        <v>16</v>
      </c>
      <c r="E337" s="66" t="s">
        <v>1060</v>
      </c>
      <c r="F337" s="66" t="s">
        <v>1061</v>
      </c>
      <c r="G337" s="66" t="s">
        <v>13283</v>
      </c>
      <c r="H337" s="29" t="s">
        <v>61</v>
      </c>
      <c r="I337" s="29" t="s">
        <v>61</v>
      </c>
      <c r="J337" s="98">
        <v>46104</v>
      </c>
      <c r="K337" s="98">
        <f t="shared" si="27"/>
        <v>47200</v>
      </c>
      <c r="L337" s="110" t="s">
        <v>62</v>
      </c>
      <c r="M337" s="112" t="str">
        <f t="shared" ca="1" si="28"/>
        <v>Em dia</v>
      </c>
      <c r="N337" s="112"/>
      <c r="O337" s="67">
        <f t="shared" ca="1" si="25"/>
        <v>94</v>
      </c>
      <c r="P337" s="67">
        <f t="shared" ca="1" si="29"/>
        <v>1002</v>
      </c>
      <c r="Q337" t="str">
        <f t="shared" si="26"/>
        <v>JUP-16</v>
      </c>
    </row>
    <row r="338" spans="2:17" ht="15" customHeight="1" x14ac:dyDescent="0.35">
      <c r="B338" s="29">
        <v>9</v>
      </c>
      <c r="C338" s="29" t="s">
        <v>24</v>
      </c>
      <c r="D338" s="30">
        <v>17</v>
      </c>
      <c r="E338" s="66" t="s">
        <v>1062</v>
      </c>
      <c r="F338" s="66" t="s">
        <v>1063</v>
      </c>
      <c r="G338" s="66" t="s">
        <v>13283</v>
      </c>
      <c r="H338" s="29" t="s">
        <v>61</v>
      </c>
      <c r="I338" s="29" t="s">
        <v>61</v>
      </c>
      <c r="J338" s="98">
        <v>45202</v>
      </c>
      <c r="K338" s="98">
        <f t="shared" si="27"/>
        <v>46298</v>
      </c>
      <c r="L338" s="110" t="s">
        <v>62</v>
      </c>
      <c r="M338" s="112" t="str">
        <f t="shared" ca="1" si="28"/>
        <v>Alerta</v>
      </c>
      <c r="N338" s="112"/>
      <c r="O338" s="67">
        <f t="shared" ca="1" si="25"/>
        <v>996</v>
      </c>
      <c r="P338" s="67">
        <f t="shared" ca="1" si="29"/>
        <v>100</v>
      </c>
      <c r="Q338" t="str">
        <f t="shared" si="26"/>
        <v>JUP-17</v>
      </c>
    </row>
    <row r="339" spans="2:17" ht="15" customHeight="1" x14ac:dyDescent="0.35">
      <c r="B339" s="29">
        <v>9</v>
      </c>
      <c r="C339" s="29" t="s">
        <v>24</v>
      </c>
      <c r="D339" s="30">
        <v>18</v>
      </c>
      <c r="E339" s="66" t="s">
        <v>1064</v>
      </c>
      <c r="F339" s="66" t="s">
        <v>1065</v>
      </c>
      <c r="G339" s="187" t="s">
        <v>13283</v>
      </c>
      <c r="H339" s="29" t="s">
        <v>61</v>
      </c>
      <c r="I339" s="29" t="s">
        <v>61</v>
      </c>
      <c r="J339" s="98">
        <v>45645</v>
      </c>
      <c r="K339" s="98">
        <f t="shared" si="27"/>
        <v>46741</v>
      </c>
      <c r="L339" s="110" t="s">
        <v>62</v>
      </c>
      <c r="M339" s="112" t="str">
        <f t="shared" ca="1" si="28"/>
        <v>Em dia</v>
      </c>
      <c r="N339" s="112"/>
      <c r="O339" s="67">
        <f t="shared" ca="1" si="25"/>
        <v>553</v>
      </c>
      <c r="P339" s="67">
        <f t="shared" ca="1" si="29"/>
        <v>543</v>
      </c>
      <c r="Q339" t="str">
        <f t="shared" si="26"/>
        <v>JUP-18</v>
      </c>
    </row>
    <row r="340" spans="2:17" ht="15" customHeight="1" x14ac:dyDescent="0.35">
      <c r="B340" s="29">
        <v>9</v>
      </c>
      <c r="C340" s="29" t="s">
        <v>24</v>
      </c>
      <c r="D340" s="30">
        <v>19</v>
      </c>
      <c r="E340" s="66" t="s">
        <v>1066</v>
      </c>
      <c r="F340" s="66" t="s">
        <v>1067</v>
      </c>
      <c r="G340" s="187" t="s">
        <v>13283</v>
      </c>
      <c r="H340" s="29" t="s">
        <v>61</v>
      </c>
      <c r="I340" s="29" t="s">
        <v>61</v>
      </c>
      <c r="J340" s="98">
        <v>45959</v>
      </c>
      <c r="K340" s="98">
        <f t="shared" si="27"/>
        <v>47055</v>
      </c>
      <c r="L340" s="110" t="s">
        <v>62</v>
      </c>
      <c r="M340" s="112" t="str">
        <f t="shared" ca="1" si="28"/>
        <v>Em dia</v>
      </c>
      <c r="N340" s="112"/>
      <c r="O340" s="67">
        <f t="shared" ca="1" si="25"/>
        <v>239</v>
      </c>
      <c r="P340" s="67">
        <f t="shared" ca="1" si="29"/>
        <v>857</v>
      </c>
      <c r="Q340" t="str">
        <f t="shared" si="26"/>
        <v>JUP-19</v>
      </c>
    </row>
    <row r="341" spans="2:17" ht="15" customHeight="1" x14ac:dyDescent="0.35">
      <c r="B341" s="29">
        <v>9</v>
      </c>
      <c r="C341" s="29" t="s">
        <v>24</v>
      </c>
      <c r="D341" s="30">
        <v>20</v>
      </c>
      <c r="E341" s="66" t="s">
        <v>1068</v>
      </c>
      <c r="F341" s="66" t="s">
        <v>1069</v>
      </c>
      <c r="G341" s="66" t="s">
        <v>13284</v>
      </c>
      <c r="H341" s="29" t="s">
        <v>61</v>
      </c>
      <c r="I341" s="29" t="s">
        <v>61</v>
      </c>
      <c r="J341" s="98">
        <v>44889</v>
      </c>
      <c r="K341" s="98">
        <f t="shared" si="27"/>
        <v>45985</v>
      </c>
      <c r="L341" s="110" t="s">
        <v>62</v>
      </c>
      <c r="M341" s="112" t="str">
        <f t="shared" ca="1" si="28"/>
        <v>Vencido</v>
      </c>
      <c r="N341" s="112"/>
      <c r="O341" s="67">
        <f t="shared" ca="1" si="25"/>
        <v>1309</v>
      </c>
      <c r="P341" s="67">
        <f t="shared" ca="1" si="29"/>
        <v>-213</v>
      </c>
      <c r="Q341" t="str">
        <f t="shared" si="26"/>
        <v>JUP-20</v>
      </c>
    </row>
    <row r="342" spans="2:17" ht="15" customHeight="1" x14ac:dyDescent="0.35">
      <c r="B342" s="29">
        <v>9</v>
      </c>
      <c r="C342" s="29" t="s">
        <v>24</v>
      </c>
      <c r="D342" s="30">
        <v>21</v>
      </c>
      <c r="E342" s="66" t="s">
        <v>1070</v>
      </c>
      <c r="F342" s="66" t="s">
        <v>1071</v>
      </c>
      <c r="G342" s="187" t="s">
        <v>13283</v>
      </c>
      <c r="H342" s="29" t="s">
        <v>61</v>
      </c>
      <c r="I342" s="29" t="s">
        <v>61</v>
      </c>
      <c r="J342" s="98">
        <v>45645</v>
      </c>
      <c r="K342" s="98">
        <f t="shared" si="27"/>
        <v>46741</v>
      </c>
      <c r="L342" s="110" t="s">
        <v>62</v>
      </c>
      <c r="M342" s="112" t="str">
        <f t="shared" ca="1" si="28"/>
        <v>Em dia</v>
      </c>
      <c r="N342" s="112"/>
      <c r="O342" s="67">
        <f t="shared" ca="1" si="25"/>
        <v>553</v>
      </c>
      <c r="P342" s="67">
        <f t="shared" ca="1" si="29"/>
        <v>543</v>
      </c>
      <c r="Q342" t="str">
        <f t="shared" si="26"/>
        <v>JUP-21</v>
      </c>
    </row>
    <row r="343" spans="2:17" ht="15" customHeight="1" x14ac:dyDescent="0.35">
      <c r="B343" s="29">
        <v>9</v>
      </c>
      <c r="C343" s="29" t="s">
        <v>24</v>
      </c>
      <c r="D343" s="30">
        <v>22</v>
      </c>
      <c r="E343" s="66" t="s">
        <v>1072</v>
      </c>
      <c r="F343" s="66" t="s">
        <v>1073</v>
      </c>
      <c r="G343" s="66" t="s">
        <v>13284</v>
      </c>
      <c r="H343" s="29" t="s">
        <v>61</v>
      </c>
      <c r="I343" s="29" t="s">
        <v>61</v>
      </c>
      <c r="J343" s="98">
        <v>44739</v>
      </c>
      <c r="K343" s="98">
        <f t="shared" si="27"/>
        <v>45835</v>
      </c>
      <c r="L343" s="110" t="s">
        <v>62</v>
      </c>
      <c r="M343" s="112" t="str">
        <f t="shared" ca="1" si="28"/>
        <v>Vencido</v>
      </c>
      <c r="N343" s="112"/>
      <c r="O343" s="67">
        <f t="shared" ca="1" si="25"/>
        <v>1459</v>
      </c>
      <c r="P343" s="67">
        <f t="shared" ca="1" si="29"/>
        <v>-363</v>
      </c>
      <c r="Q343" t="str">
        <f t="shared" si="26"/>
        <v>JUP-22</v>
      </c>
    </row>
    <row r="344" spans="2:17" ht="15" customHeight="1" x14ac:dyDescent="0.35">
      <c r="B344" s="29">
        <v>9</v>
      </c>
      <c r="C344" s="29" t="s">
        <v>24</v>
      </c>
      <c r="D344" s="30">
        <v>23</v>
      </c>
      <c r="E344" s="66" t="s">
        <v>1074</v>
      </c>
      <c r="F344" s="66" t="s">
        <v>1075</v>
      </c>
      <c r="G344" s="187" t="s">
        <v>13284</v>
      </c>
      <c r="H344" s="29" t="s">
        <v>61</v>
      </c>
      <c r="I344" s="29" t="s">
        <v>61</v>
      </c>
      <c r="J344" s="98">
        <v>44739</v>
      </c>
      <c r="K344" s="98">
        <f t="shared" si="27"/>
        <v>45835</v>
      </c>
      <c r="L344" s="110" t="s">
        <v>62</v>
      </c>
      <c r="M344" s="112" t="str">
        <f t="shared" ca="1" si="28"/>
        <v>Vencido</v>
      </c>
      <c r="N344" s="112"/>
      <c r="O344" s="67">
        <f t="shared" ca="1" si="25"/>
        <v>1459</v>
      </c>
      <c r="P344" s="67">
        <f t="shared" ca="1" si="29"/>
        <v>-363</v>
      </c>
      <c r="Q344" t="str">
        <f t="shared" si="26"/>
        <v>JUP-23</v>
      </c>
    </row>
    <row r="345" spans="2:17" ht="15" customHeight="1" x14ac:dyDescent="0.35">
      <c r="B345" s="29">
        <v>9</v>
      </c>
      <c r="C345" s="29" t="s">
        <v>24</v>
      </c>
      <c r="D345" s="30">
        <v>24</v>
      </c>
      <c r="E345" s="66" t="s">
        <v>1076</v>
      </c>
      <c r="F345" s="66" t="s">
        <v>1077</v>
      </c>
      <c r="G345" s="187" t="s">
        <v>13284</v>
      </c>
      <c r="H345" s="29" t="s">
        <v>61</v>
      </c>
      <c r="I345" s="29" t="s">
        <v>61</v>
      </c>
      <c r="J345" s="98">
        <v>44739</v>
      </c>
      <c r="K345" s="98">
        <f t="shared" si="27"/>
        <v>45835</v>
      </c>
      <c r="L345" s="110" t="s">
        <v>62</v>
      </c>
      <c r="M345" s="112" t="str">
        <f t="shared" ca="1" si="28"/>
        <v>Vencido</v>
      </c>
      <c r="N345" s="112"/>
      <c r="O345" s="67">
        <f t="shared" ca="1" si="25"/>
        <v>1459</v>
      </c>
      <c r="P345" s="67">
        <f t="shared" ca="1" si="29"/>
        <v>-363</v>
      </c>
      <c r="Q345" t="str">
        <f t="shared" si="26"/>
        <v>JUP-24</v>
      </c>
    </row>
    <row r="346" spans="2:17" ht="15" customHeight="1" x14ac:dyDescent="0.35">
      <c r="B346" s="29">
        <v>9</v>
      </c>
      <c r="C346" s="29" t="s">
        <v>24</v>
      </c>
      <c r="D346" s="30">
        <v>25</v>
      </c>
      <c r="E346" s="66" t="s">
        <v>1078</v>
      </c>
      <c r="F346" s="66" t="s">
        <v>1079</v>
      </c>
      <c r="G346" s="187" t="s">
        <v>13283</v>
      </c>
      <c r="H346" s="29" t="s">
        <v>61</v>
      </c>
      <c r="I346" s="29" t="s">
        <v>61</v>
      </c>
      <c r="J346" s="98">
        <v>46009</v>
      </c>
      <c r="K346" s="98">
        <f t="shared" si="27"/>
        <v>47105</v>
      </c>
      <c r="L346" s="110" t="s">
        <v>62</v>
      </c>
      <c r="M346" s="112" t="str">
        <f t="shared" ca="1" si="28"/>
        <v>Em dia</v>
      </c>
      <c r="N346" s="112"/>
      <c r="O346" s="67">
        <f t="shared" ca="1" si="25"/>
        <v>189</v>
      </c>
      <c r="P346" s="67">
        <f t="shared" ca="1" si="29"/>
        <v>907</v>
      </c>
      <c r="Q346" t="str">
        <f t="shared" si="26"/>
        <v>JUP-25</v>
      </c>
    </row>
    <row r="347" spans="2:17" ht="15" customHeight="1" x14ac:dyDescent="0.35">
      <c r="B347" s="29">
        <v>9</v>
      </c>
      <c r="C347" s="29" t="s">
        <v>24</v>
      </c>
      <c r="D347" s="30">
        <v>26</v>
      </c>
      <c r="E347" s="66" t="s">
        <v>1080</v>
      </c>
      <c r="F347" s="66" t="s">
        <v>1081</v>
      </c>
      <c r="G347" s="187" t="s">
        <v>13284</v>
      </c>
      <c r="H347" s="29" t="s">
        <v>61</v>
      </c>
      <c r="I347" s="29" t="s">
        <v>61</v>
      </c>
      <c r="J347" s="98">
        <v>44739</v>
      </c>
      <c r="K347" s="98">
        <f t="shared" si="27"/>
        <v>45835</v>
      </c>
      <c r="L347" s="110" t="s">
        <v>62</v>
      </c>
      <c r="M347" s="112" t="str">
        <f t="shared" ca="1" si="28"/>
        <v>Vencido</v>
      </c>
      <c r="N347" s="112"/>
      <c r="O347" s="67">
        <f t="shared" ca="1" si="25"/>
        <v>1459</v>
      </c>
      <c r="P347" s="67">
        <f t="shared" ca="1" si="29"/>
        <v>-363</v>
      </c>
      <c r="Q347" t="str">
        <f t="shared" si="26"/>
        <v>JUP-26</v>
      </c>
    </row>
    <row r="348" spans="2:17" ht="15" customHeight="1" x14ac:dyDescent="0.35">
      <c r="B348" s="29">
        <v>9</v>
      </c>
      <c r="C348" s="29" t="s">
        <v>24</v>
      </c>
      <c r="D348" s="30">
        <v>27</v>
      </c>
      <c r="E348" s="66" t="s">
        <v>1082</v>
      </c>
      <c r="F348" s="66" t="s">
        <v>1083</v>
      </c>
      <c r="G348" s="187" t="s">
        <v>13284</v>
      </c>
      <c r="H348" s="29" t="s">
        <v>61</v>
      </c>
      <c r="I348" s="29" t="s">
        <v>61</v>
      </c>
      <c r="J348" s="98">
        <v>44739</v>
      </c>
      <c r="K348" s="98">
        <f t="shared" si="27"/>
        <v>45835</v>
      </c>
      <c r="L348" s="110" t="s">
        <v>62</v>
      </c>
      <c r="M348" s="112" t="str">
        <f t="shared" ca="1" si="28"/>
        <v>Vencido</v>
      </c>
      <c r="N348" s="112"/>
      <c r="O348" s="67">
        <f t="shared" ca="1" si="25"/>
        <v>1459</v>
      </c>
      <c r="P348" s="67">
        <f t="shared" ca="1" si="29"/>
        <v>-363</v>
      </c>
      <c r="Q348" t="str">
        <f t="shared" si="26"/>
        <v>JUP-27</v>
      </c>
    </row>
    <row r="349" spans="2:17" ht="15" customHeight="1" x14ac:dyDescent="0.35">
      <c r="B349" s="29">
        <v>9</v>
      </c>
      <c r="C349" s="29" t="s">
        <v>24</v>
      </c>
      <c r="D349" s="30">
        <v>28</v>
      </c>
      <c r="E349" s="66" t="s">
        <v>1084</v>
      </c>
      <c r="F349" s="66" t="s">
        <v>1085</v>
      </c>
      <c r="G349" s="187" t="s">
        <v>13284</v>
      </c>
      <c r="H349" s="29" t="s">
        <v>61</v>
      </c>
      <c r="I349" s="29" t="s">
        <v>61</v>
      </c>
      <c r="J349" s="98">
        <v>45202</v>
      </c>
      <c r="K349" s="98">
        <f t="shared" si="27"/>
        <v>46298</v>
      </c>
      <c r="L349" s="110" t="s">
        <v>62</v>
      </c>
      <c r="M349" s="112" t="str">
        <f t="shared" ca="1" si="28"/>
        <v>Alerta</v>
      </c>
      <c r="N349" s="112"/>
      <c r="O349" s="67">
        <f t="shared" ca="1" si="25"/>
        <v>996</v>
      </c>
      <c r="P349" s="67">
        <f t="shared" ca="1" si="29"/>
        <v>100</v>
      </c>
      <c r="Q349" t="str">
        <f t="shared" si="26"/>
        <v>JUP-28</v>
      </c>
    </row>
    <row r="350" spans="2:17" ht="15" customHeight="1" x14ac:dyDescent="0.35">
      <c r="B350" s="29">
        <v>9</v>
      </c>
      <c r="C350" s="29" t="s">
        <v>24</v>
      </c>
      <c r="D350" s="30">
        <v>29</v>
      </c>
      <c r="E350" s="66" t="s">
        <v>1086</v>
      </c>
      <c r="F350" s="66" t="s">
        <v>1087</v>
      </c>
      <c r="G350" s="187" t="s">
        <v>13284</v>
      </c>
      <c r="H350" s="29" t="s">
        <v>61</v>
      </c>
      <c r="I350" s="29" t="s">
        <v>61</v>
      </c>
      <c r="J350" s="98">
        <v>45202</v>
      </c>
      <c r="K350" s="98">
        <f t="shared" si="27"/>
        <v>46298</v>
      </c>
      <c r="L350" s="110" t="s">
        <v>62</v>
      </c>
      <c r="M350" s="112" t="str">
        <f t="shared" ca="1" si="28"/>
        <v>Alerta</v>
      </c>
      <c r="N350" s="112"/>
      <c r="O350" s="67">
        <f t="shared" ca="1" si="25"/>
        <v>996</v>
      </c>
      <c r="P350" s="67">
        <f t="shared" ca="1" si="29"/>
        <v>100</v>
      </c>
      <c r="Q350" t="str">
        <f t="shared" si="26"/>
        <v>JUP-29</v>
      </c>
    </row>
    <row r="351" spans="2:17" ht="15" customHeight="1" x14ac:dyDescent="0.35">
      <c r="B351" s="29">
        <v>9</v>
      </c>
      <c r="C351" s="29" t="s">
        <v>24</v>
      </c>
      <c r="D351" s="30">
        <v>33</v>
      </c>
      <c r="E351" s="66" t="s">
        <v>1088</v>
      </c>
      <c r="F351" s="66" t="s">
        <v>1089</v>
      </c>
      <c r="G351" s="187" t="s">
        <v>13284</v>
      </c>
      <c r="H351" s="29" t="s">
        <v>61</v>
      </c>
      <c r="I351" s="29" t="s">
        <v>61</v>
      </c>
      <c r="J351" s="98">
        <v>44739</v>
      </c>
      <c r="K351" s="98">
        <f t="shared" si="27"/>
        <v>45835</v>
      </c>
      <c r="L351" s="110" t="s">
        <v>62</v>
      </c>
      <c r="M351" s="112" t="str">
        <f t="shared" ca="1" si="28"/>
        <v>Vencido</v>
      </c>
      <c r="N351" s="112"/>
      <c r="O351" s="67">
        <f t="shared" ca="1" si="25"/>
        <v>1459</v>
      </c>
      <c r="P351" s="67">
        <f t="shared" ca="1" si="29"/>
        <v>-363</v>
      </c>
      <c r="Q351" t="str">
        <f t="shared" si="26"/>
        <v>JUP-33</v>
      </c>
    </row>
    <row r="352" spans="2:17" ht="15" customHeight="1" x14ac:dyDescent="0.35">
      <c r="B352" s="29">
        <v>9</v>
      </c>
      <c r="C352" s="29" t="s">
        <v>24</v>
      </c>
      <c r="D352" s="30">
        <v>40</v>
      </c>
      <c r="E352" s="66" t="s">
        <v>1090</v>
      </c>
      <c r="F352" s="66" t="s">
        <v>1091</v>
      </c>
      <c r="G352" s="187" t="s">
        <v>13283</v>
      </c>
      <c r="H352" s="29" t="s">
        <v>61</v>
      </c>
      <c r="I352" s="29"/>
      <c r="J352" s="98">
        <v>45202</v>
      </c>
      <c r="K352" s="98">
        <f t="shared" si="27"/>
        <v>46298</v>
      </c>
      <c r="L352" s="110" t="s">
        <v>62</v>
      </c>
      <c r="M352" s="112" t="str">
        <f t="shared" ca="1" si="28"/>
        <v>Alerta</v>
      </c>
      <c r="N352" s="112"/>
      <c r="O352" s="67">
        <f t="shared" ca="1" si="25"/>
        <v>996</v>
      </c>
      <c r="P352" s="67">
        <f t="shared" ca="1" si="29"/>
        <v>100</v>
      </c>
      <c r="Q352" t="str">
        <f t="shared" si="26"/>
        <v>JUP-40</v>
      </c>
    </row>
    <row r="353" spans="2:17" ht="15" customHeight="1" x14ac:dyDescent="0.35">
      <c r="B353" s="29">
        <v>9</v>
      </c>
      <c r="C353" s="29" t="s">
        <v>24</v>
      </c>
      <c r="D353" s="30">
        <v>41</v>
      </c>
      <c r="E353" s="66" t="s">
        <v>1092</v>
      </c>
      <c r="F353" s="66" t="s">
        <v>1093</v>
      </c>
      <c r="G353" s="187" t="s">
        <v>13283</v>
      </c>
      <c r="H353" s="29" t="s">
        <v>61</v>
      </c>
      <c r="I353" s="29"/>
      <c r="J353" s="98">
        <v>45202</v>
      </c>
      <c r="K353" s="98">
        <f t="shared" si="27"/>
        <v>46298</v>
      </c>
      <c r="L353" s="110" t="s">
        <v>62</v>
      </c>
      <c r="M353" s="112" t="str">
        <f t="shared" ca="1" si="28"/>
        <v>Alerta</v>
      </c>
      <c r="N353" s="112"/>
      <c r="O353" s="67">
        <f t="shared" ca="1" si="25"/>
        <v>996</v>
      </c>
      <c r="P353" s="67">
        <f t="shared" ca="1" si="29"/>
        <v>100</v>
      </c>
      <c r="Q353" t="str">
        <f t="shared" si="26"/>
        <v>JUP-41</v>
      </c>
    </row>
    <row r="354" spans="2:17" ht="15" customHeight="1" x14ac:dyDescent="0.35">
      <c r="B354" s="29">
        <v>9</v>
      </c>
      <c r="C354" s="29" t="s">
        <v>24</v>
      </c>
      <c r="D354" s="30">
        <v>51</v>
      </c>
      <c r="E354" s="66" t="s">
        <v>1094</v>
      </c>
      <c r="F354" s="66" t="s">
        <v>1095</v>
      </c>
      <c r="G354" s="187" t="s">
        <v>13283</v>
      </c>
      <c r="H354" s="29" t="s">
        <v>61</v>
      </c>
      <c r="I354" s="29" t="s">
        <v>371</v>
      </c>
      <c r="J354" s="98">
        <v>45959</v>
      </c>
      <c r="K354" s="98">
        <f t="shared" si="27"/>
        <v>47055</v>
      </c>
      <c r="L354" s="110" t="s">
        <v>62</v>
      </c>
      <c r="M354" s="112" t="str">
        <f t="shared" ca="1" si="28"/>
        <v>Em dia</v>
      </c>
      <c r="N354" s="112"/>
      <c r="O354" s="67">
        <f t="shared" ca="1" si="25"/>
        <v>239</v>
      </c>
      <c r="P354" s="67">
        <f t="shared" ca="1" si="29"/>
        <v>857</v>
      </c>
      <c r="Q354" t="str">
        <f t="shared" si="26"/>
        <v>JUP-51</v>
      </c>
    </row>
    <row r="355" spans="2:17" ht="15" customHeight="1" x14ac:dyDescent="0.35">
      <c r="B355" s="29">
        <v>9</v>
      </c>
      <c r="C355" s="29" t="s">
        <v>24</v>
      </c>
      <c r="D355" s="30">
        <v>55</v>
      </c>
      <c r="E355" s="66" t="s">
        <v>1096</v>
      </c>
      <c r="F355" s="66" t="s">
        <v>1097</v>
      </c>
      <c r="G355" s="187" t="s">
        <v>13283</v>
      </c>
      <c r="H355" s="29" t="s">
        <v>61</v>
      </c>
      <c r="I355" s="29" t="s">
        <v>61</v>
      </c>
      <c r="J355" s="98">
        <v>46104</v>
      </c>
      <c r="K355" s="98">
        <f t="shared" si="27"/>
        <v>47200</v>
      </c>
      <c r="L355" s="110" t="s">
        <v>62</v>
      </c>
      <c r="M355" s="112" t="str">
        <f t="shared" ca="1" si="28"/>
        <v>Em dia</v>
      </c>
      <c r="N355" s="112"/>
      <c r="O355" s="67">
        <f t="shared" ca="1" si="25"/>
        <v>94</v>
      </c>
      <c r="P355" s="67">
        <f t="shared" ca="1" si="29"/>
        <v>1002</v>
      </c>
      <c r="Q355" t="str">
        <f t="shared" si="26"/>
        <v>JUP-55</v>
      </c>
    </row>
    <row r="356" spans="2:17" ht="15" customHeight="1" x14ac:dyDescent="0.35">
      <c r="B356" s="29">
        <v>9</v>
      </c>
      <c r="C356" s="29" t="s">
        <v>24</v>
      </c>
      <c r="D356" s="30">
        <v>56</v>
      </c>
      <c r="E356" s="66" t="s">
        <v>1098</v>
      </c>
      <c r="F356" s="66" t="s">
        <v>1099</v>
      </c>
      <c r="G356" s="66" t="s">
        <v>13283</v>
      </c>
      <c r="H356" s="29" t="s">
        <v>61</v>
      </c>
      <c r="I356" s="29" t="s">
        <v>61</v>
      </c>
      <c r="J356" s="98">
        <v>46104</v>
      </c>
      <c r="K356" s="98">
        <f t="shared" si="27"/>
        <v>47200</v>
      </c>
      <c r="L356" s="110" t="s">
        <v>62</v>
      </c>
      <c r="M356" s="112" t="str">
        <f t="shared" ca="1" si="28"/>
        <v>Em dia</v>
      </c>
      <c r="N356" s="112"/>
      <c r="O356" s="67">
        <f t="shared" ca="1" si="25"/>
        <v>94</v>
      </c>
      <c r="P356" s="67">
        <f t="shared" ca="1" si="29"/>
        <v>1002</v>
      </c>
      <c r="Q356" t="str">
        <f t="shared" si="26"/>
        <v>JUP-56</v>
      </c>
    </row>
    <row r="357" spans="2:17" ht="15" customHeight="1" x14ac:dyDescent="0.35">
      <c r="B357" s="29">
        <v>9</v>
      </c>
      <c r="C357" s="29" t="s">
        <v>24</v>
      </c>
      <c r="D357" s="30">
        <v>58</v>
      </c>
      <c r="E357" s="66" t="s">
        <v>1100</v>
      </c>
      <c r="F357" s="66" t="s">
        <v>1101</v>
      </c>
      <c r="G357" s="66" t="s">
        <v>13284</v>
      </c>
      <c r="H357" s="29" t="s">
        <v>61</v>
      </c>
      <c r="I357" s="29" t="s">
        <v>61</v>
      </c>
      <c r="J357" s="98">
        <v>44739</v>
      </c>
      <c r="K357" s="98">
        <f t="shared" si="27"/>
        <v>45835</v>
      </c>
      <c r="L357" s="110" t="s">
        <v>62</v>
      </c>
      <c r="M357" s="112" t="str">
        <f t="shared" ca="1" si="28"/>
        <v>Vencido</v>
      </c>
      <c r="N357" s="112"/>
      <c r="O357" s="67">
        <f t="shared" ca="1" si="25"/>
        <v>1459</v>
      </c>
      <c r="P357" s="67">
        <f t="shared" ca="1" si="29"/>
        <v>-363</v>
      </c>
      <c r="Q357" t="str">
        <f t="shared" si="26"/>
        <v>JUP-58</v>
      </c>
    </row>
    <row r="358" spans="2:17" ht="15" customHeight="1" x14ac:dyDescent="0.35">
      <c r="B358" s="29">
        <v>9</v>
      </c>
      <c r="C358" s="29" t="s">
        <v>24</v>
      </c>
      <c r="D358" s="30">
        <v>59</v>
      </c>
      <c r="E358" s="66" t="s">
        <v>1102</v>
      </c>
      <c r="F358" s="66" t="s">
        <v>1103</v>
      </c>
      <c r="G358" s="187" t="s">
        <v>13283</v>
      </c>
      <c r="H358" s="29" t="s">
        <v>61</v>
      </c>
      <c r="I358" s="29" t="s">
        <v>61</v>
      </c>
      <c r="J358" s="98">
        <v>45462</v>
      </c>
      <c r="K358" s="98">
        <f t="shared" si="27"/>
        <v>46558</v>
      </c>
      <c r="L358" s="110" t="s">
        <v>62</v>
      </c>
      <c r="M358" s="112" t="str">
        <f t="shared" ca="1" si="28"/>
        <v>Alerta</v>
      </c>
      <c r="N358" s="112"/>
      <c r="O358" s="67">
        <f t="shared" ca="1" si="25"/>
        <v>736</v>
      </c>
      <c r="P358" s="67">
        <f t="shared" ca="1" si="29"/>
        <v>360</v>
      </c>
      <c r="Q358" t="str">
        <f t="shared" si="26"/>
        <v>JUP-59</v>
      </c>
    </row>
    <row r="359" spans="2:17" ht="15" customHeight="1" x14ac:dyDescent="0.35">
      <c r="B359" s="29">
        <v>9</v>
      </c>
      <c r="C359" s="29" t="s">
        <v>24</v>
      </c>
      <c r="D359" s="30">
        <v>60</v>
      </c>
      <c r="E359" s="66" t="s">
        <v>1104</v>
      </c>
      <c r="F359" s="66" t="s">
        <v>1105</v>
      </c>
      <c r="G359" s="187" t="s">
        <v>13284</v>
      </c>
      <c r="H359" s="29" t="s">
        <v>61</v>
      </c>
      <c r="I359" s="29" t="s">
        <v>61</v>
      </c>
      <c r="J359" s="98">
        <v>44819</v>
      </c>
      <c r="K359" s="98">
        <f t="shared" si="27"/>
        <v>45915</v>
      </c>
      <c r="L359" s="110" t="s">
        <v>62</v>
      </c>
      <c r="M359" s="112" t="str">
        <f t="shared" ca="1" si="28"/>
        <v>Vencido</v>
      </c>
      <c r="N359" s="112"/>
      <c r="O359" s="67">
        <f t="shared" ca="1" si="25"/>
        <v>1379</v>
      </c>
      <c r="P359" s="67">
        <f t="shared" ca="1" si="29"/>
        <v>-283</v>
      </c>
      <c r="Q359" t="str">
        <f t="shared" si="26"/>
        <v>JUP-60</v>
      </c>
    </row>
    <row r="360" spans="2:17" ht="15" customHeight="1" x14ac:dyDescent="0.35">
      <c r="B360" s="29">
        <v>9</v>
      </c>
      <c r="C360" s="29" t="s">
        <v>24</v>
      </c>
      <c r="D360" s="30">
        <v>62</v>
      </c>
      <c r="E360" s="66" t="s">
        <v>1106</v>
      </c>
      <c r="F360" s="66" t="s">
        <v>1107</v>
      </c>
      <c r="G360" s="187" t="s">
        <v>13284</v>
      </c>
      <c r="H360" s="29" t="s">
        <v>61</v>
      </c>
      <c r="I360" s="29" t="s">
        <v>61</v>
      </c>
      <c r="J360" s="98">
        <v>44914</v>
      </c>
      <c r="K360" s="98">
        <f t="shared" si="27"/>
        <v>46010</v>
      </c>
      <c r="L360" s="110" t="s">
        <v>62</v>
      </c>
      <c r="M360" s="112" t="str">
        <f t="shared" ca="1" si="28"/>
        <v>Vencido</v>
      </c>
      <c r="N360" s="112"/>
      <c r="O360" s="67">
        <f t="shared" ca="1" si="25"/>
        <v>1284</v>
      </c>
      <c r="P360" s="67">
        <f t="shared" ca="1" si="29"/>
        <v>-188</v>
      </c>
      <c r="Q360" t="str">
        <f t="shared" si="26"/>
        <v>JUP-62</v>
      </c>
    </row>
    <row r="361" spans="2:17" ht="15" customHeight="1" x14ac:dyDescent="0.35">
      <c r="B361" s="29">
        <v>9</v>
      </c>
      <c r="C361" s="29" t="s">
        <v>24</v>
      </c>
      <c r="D361" s="30" t="s">
        <v>1014</v>
      </c>
      <c r="E361" s="66" t="s">
        <v>1108</v>
      </c>
      <c r="F361" s="66" t="s">
        <v>1109</v>
      </c>
      <c r="G361" s="187" t="s">
        <v>13284</v>
      </c>
      <c r="H361" s="29" t="s">
        <v>61</v>
      </c>
      <c r="I361" s="29" t="s">
        <v>61</v>
      </c>
      <c r="J361" s="98">
        <v>44838</v>
      </c>
      <c r="K361" s="98">
        <f t="shared" si="27"/>
        <v>45934</v>
      </c>
      <c r="L361" s="110" t="s">
        <v>62</v>
      </c>
      <c r="M361" s="112" t="str">
        <f t="shared" ca="1" si="28"/>
        <v>Vencido</v>
      </c>
      <c r="N361" s="112"/>
      <c r="O361" s="67">
        <f t="shared" ca="1" si="25"/>
        <v>1360</v>
      </c>
      <c r="P361" s="67">
        <f t="shared" ca="1" si="29"/>
        <v>-264</v>
      </c>
      <c r="Q361" t="str">
        <f t="shared" si="26"/>
        <v>JUP-63</v>
      </c>
    </row>
    <row r="362" spans="2:17" ht="15" customHeight="1" x14ac:dyDescent="0.35">
      <c r="B362" s="29">
        <v>9</v>
      </c>
      <c r="C362" s="29" t="s">
        <v>24</v>
      </c>
      <c r="D362" s="30" t="s">
        <v>1017</v>
      </c>
      <c r="E362" s="66" t="s">
        <v>1110</v>
      </c>
      <c r="F362" s="66" t="s">
        <v>1111</v>
      </c>
      <c r="G362" s="187" t="s">
        <v>13284</v>
      </c>
      <c r="H362" s="29" t="s">
        <v>61</v>
      </c>
      <c r="I362" s="29" t="s">
        <v>61</v>
      </c>
      <c r="J362" s="98">
        <v>44838</v>
      </c>
      <c r="K362" s="98">
        <f t="shared" si="27"/>
        <v>45934</v>
      </c>
      <c r="L362" s="110" t="s">
        <v>62</v>
      </c>
      <c r="M362" s="112" t="str">
        <f t="shared" ca="1" si="28"/>
        <v>Vencido</v>
      </c>
      <c r="N362" s="112"/>
      <c r="O362" s="67">
        <f t="shared" ca="1" si="25"/>
        <v>1360</v>
      </c>
      <c r="P362" s="67">
        <f t="shared" ca="1" si="29"/>
        <v>-264</v>
      </c>
      <c r="Q362" t="str">
        <f t="shared" si="26"/>
        <v>JUP-63</v>
      </c>
    </row>
    <row r="363" spans="2:17" ht="15" customHeight="1" x14ac:dyDescent="0.35">
      <c r="B363" s="29">
        <v>9</v>
      </c>
      <c r="C363" s="29" t="s">
        <v>24</v>
      </c>
      <c r="D363" s="30" t="s">
        <v>1112</v>
      </c>
      <c r="E363" s="66" t="s">
        <v>1113</v>
      </c>
      <c r="F363" s="66" t="s">
        <v>1114</v>
      </c>
      <c r="G363" s="187" t="s">
        <v>13284</v>
      </c>
      <c r="H363" s="29" t="s">
        <v>61</v>
      </c>
      <c r="I363" s="29" t="s">
        <v>61</v>
      </c>
      <c r="J363" s="98">
        <v>44838</v>
      </c>
      <c r="K363" s="98">
        <f t="shared" si="27"/>
        <v>45934</v>
      </c>
      <c r="L363" s="110" t="s">
        <v>62</v>
      </c>
      <c r="M363" s="112" t="str">
        <f t="shared" ca="1" si="28"/>
        <v>Vencido</v>
      </c>
      <c r="N363" s="112"/>
      <c r="O363" s="67">
        <f t="shared" ca="1" si="25"/>
        <v>1360</v>
      </c>
      <c r="P363" s="67">
        <f t="shared" ca="1" si="29"/>
        <v>-264</v>
      </c>
      <c r="Q363" t="str">
        <f t="shared" si="26"/>
        <v>JUP-63</v>
      </c>
    </row>
    <row r="364" spans="2:17" ht="15" customHeight="1" x14ac:dyDescent="0.35">
      <c r="B364" s="29">
        <v>9</v>
      </c>
      <c r="C364" s="29" t="s">
        <v>24</v>
      </c>
      <c r="D364" s="30">
        <v>64</v>
      </c>
      <c r="E364" s="66" t="s">
        <v>1115</v>
      </c>
      <c r="F364" s="66" t="s">
        <v>1116</v>
      </c>
      <c r="G364" s="187" t="s">
        <v>13284</v>
      </c>
      <c r="H364" s="29" t="s">
        <v>61</v>
      </c>
      <c r="I364" s="29" t="s">
        <v>61</v>
      </c>
      <c r="J364" s="98">
        <v>45202</v>
      </c>
      <c r="K364" s="98">
        <f t="shared" si="27"/>
        <v>46298</v>
      </c>
      <c r="L364" s="110" t="s">
        <v>62</v>
      </c>
      <c r="M364" s="112" t="str">
        <f t="shared" ca="1" si="28"/>
        <v>Alerta</v>
      </c>
      <c r="N364" s="112"/>
      <c r="O364" s="67">
        <f t="shared" ca="1" si="25"/>
        <v>996</v>
      </c>
      <c r="P364" s="67">
        <f t="shared" ca="1" si="29"/>
        <v>100</v>
      </c>
      <c r="Q364" t="str">
        <f t="shared" si="26"/>
        <v>JUP-64</v>
      </c>
    </row>
    <row r="365" spans="2:17" ht="15" customHeight="1" x14ac:dyDescent="0.35">
      <c r="B365" s="29">
        <v>9</v>
      </c>
      <c r="C365" s="29" t="s">
        <v>24</v>
      </c>
      <c r="D365" s="30">
        <v>65</v>
      </c>
      <c r="E365" s="66" t="s">
        <v>1117</v>
      </c>
      <c r="F365" s="66" t="s">
        <v>1118</v>
      </c>
      <c r="G365" s="187" t="s">
        <v>13284</v>
      </c>
      <c r="H365" s="29" t="s">
        <v>61</v>
      </c>
      <c r="I365" s="29" t="s">
        <v>61</v>
      </c>
      <c r="J365" s="98">
        <v>45202</v>
      </c>
      <c r="K365" s="98">
        <f t="shared" si="27"/>
        <v>46298</v>
      </c>
      <c r="L365" s="110" t="s">
        <v>62</v>
      </c>
      <c r="M365" s="112" t="str">
        <f t="shared" ca="1" si="28"/>
        <v>Alerta</v>
      </c>
      <c r="N365" s="112"/>
      <c r="O365" s="67">
        <f t="shared" ca="1" si="25"/>
        <v>996</v>
      </c>
      <c r="P365" s="67">
        <f t="shared" ca="1" si="29"/>
        <v>100</v>
      </c>
      <c r="Q365" t="str">
        <f t="shared" si="26"/>
        <v>JUP-65</v>
      </c>
    </row>
    <row r="366" spans="2:17" ht="15" customHeight="1" x14ac:dyDescent="0.35">
      <c r="B366" s="29">
        <v>9</v>
      </c>
      <c r="C366" s="29" t="s">
        <v>24</v>
      </c>
      <c r="D366" s="30">
        <v>66</v>
      </c>
      <c r="E366" s="66" t="s">
        <v>1119</v>
      </c>
      <c r="F366" s="66" t="s">
        <v>1120</v>
      </c>
      <c r="G366" s="187" t="s">
        <v>13284</v>
      </c>
      <c r="H366" s="29" t="s">
        <v>61</v>
      </c>
      <c r="I366" s="29" t="s">
        <v>61</v>
      </c>
      <c r="J366" s="98">
        <v>45202</v>
      </c>
      <c r="K366" s="98">
        <f t="shared" si="27"/>
        <v>46298</v>
      </c>
      <c r="L366" s="110" t="s">
        <v>62</v>
      </c>
      <c r="M366" s="112" t="str">
        <f t="shared" ca="1" si="28"/>
        <v>Alerta</v>
      </c>
      <c r="N366" s="112"/>
      <c r="O366" s="67">
        <f t="shared" ca="1" si="25"/>
        <v>996</v>
      </c>
      <c r="P366" s="67">
        <f t="shared" ca="1" si="29"/>
        <v>100</v>
      </c>
      <c r="Q366" t="str">
        <f t="shared" si="26"/>
        <v>JUP-66</v>
      </c>
    </row>
    <row r="367" spans="2:17" ht="15" customHeight="1" x14ac:dyDescent="0.35">
      <c r="B367" s="29">
        <v>9</v>
      </c>
      <c r="C367" s="29" t="s">
        <v>24</v>
      </c>
      <c r="D367" s="30">
        <v>67</v>
      </c>
      <c r="E367" s="66" t="s">
        <v>1121</v>
      </c>
      <c r="F367" s="66" t="s">
        <v>1122</v>
      </c>
      <c r="G367" s="187" t="s">
        <v>13284</v>
      </c>
      <c r="H367" s="29" t="s">
        <v>61</v>
      </c>
      <c r="I367" s="29" t="s">
        <v>61</v>
      </c>
      <c r="J367" s="98">
        <v>45202</v>
      </c>
      <c r="K367" s="98">
        <f t="shared" si="27"/>
        <v>46298</v>
      </c>
      <c r="L367" s="110" t="s">
        <v>62</v>
      </c>
      <c r="M367" s="112" t="str">
        <f t="shared" ca="1" si="28"/>
        <v>Alerta</v>
      </c>
      <c r="N367" s="112"/>
      <c r="O367" s="67">
        <f t="shared" ca="1" si="25"/>
        <v>996</v>
      </c>
      <c r="P367" s="67">
        <f t="shared" ca="1" si="29"/>
        <v>100</v>
      </c>
      <c r="Q367" t="str">
        <f t="shared" si="26"/>
        <v>JUP-67</v>
      </c>
    </row>
    <row r="368" spans="2:17" ht="15" customHeight="1" x14ac:dyDescent="0.35">
      <c r="B368" s="29">
        <v>9</v>
      </c>
      <c r="C368" s="29" t="s">
        <v>24</v>
      </c>
      <c r="D368" s="30">
        <v>68</v>
      </c>
      <c r="E368" s="66" t="s">
        <v>1123</v>
      </c>
      <c r="F368" s="66" t="s">
        <v>1124</v>
      </c>
      <c r="G368" s="187" t="s">
        <v>13284</v>
      </c>
      <c r="H368" s="29" t="s">
        <v>61</v>
      </c>
      <c r="I368" s="29" t="s">
        <v>61</v>
      </c>
      <c r="J368" s="98">
        <v>45202</v>
      </c>
      <c r="K368" s="98">
        <f t="shared" si="27"/>
        <v>46298</v>
      </c>
      <c r="L368" s="110" t="s">
        <v>62</v>
      </c>
      <c r="M368" s="112" t="str">
        <f t="shared" ca="1" si="28"/>
        <v>Alerta</v>
      </c>
      <c r="N368" s="112"/>
      <c r="O368" s="67">
        <f t="shared" ca="1" si="25"/>
        <v>996</v>
      </c>
      <c r="P368" s="67">
        <f t="shared" ca="1" si="29"/>
        <v>100</v>
      </c>
      <c r="Q368" t="str">
        <f t="shared" si="26"/>
        <v>JUP-68</v>
      </c>
    </row>
    <row r="369" spans="2:17" ht="15.65" customHeight="1" x14ac:dyDescent="0.35">
      <c r="B369" s="29">
        <v>9</v>
      </c>
      <c r="C369" s="29" t="s">
        <v>24</v>
      </c>
      <c r="D369" s="30">
        <v>71</v>
      </c>
      <c r="E369" s="66" t="s">
        <v>1125</v>
      </c>
      <c r="F369" s="66" t="s">
        <v>1126</v>
      </c>
      <c r="G369" s="26" t="s">
        <v>13282</v>
      </c>
      <c r="H369" s="29" t="s">
        <v>61</v>
      </c>
      <c r="I369" s="29" t="s">
        <v>61</v>
      </c>
      <c r="J369" s="98">
        <v>45202</v>
      </c>
      <c r="K369" s="98">
        <f t="shared" si="27"/>
        <v>46298</v>
      </c>
      <c r="L369" s="110" t="s">
        <v>62</v>
      </c>
      <c r="M369" s="112" t="str">
        <f t="shared" ca="1" si="28"/>
        <v>Alerta</v>
      </c>
      <c r="N369" s="112"/>
      <c r="O369" s="67">
        <f t="shared" ca="1" si="25"/>
        <v>996</v>
      </c>
      <c r="P369" s="67">
        <f t="shared" ca="1" si="29"/>
        <v>100</v>
      </c>
      <c r="Q369" t="str">
        <f t="shared" si="26"/>
        <v>JUP-71</v>
      </c>
    </row>
    <row r="370" spans="2:17" ht="15" customHeight="1" x14ac:dyDescent="0.35">
      <c r="B370" s="29">
        <v>9</v>
      </c>
      <c r="C370" s="29" t="s">
        <v>24</v>
      </c>
      <c r="D370" s="30" t="s">
        <v>464</v>
      </c>
      <c r="E370" s="66" t="s">
        <v>1127</v>
      </c>
      <c r="F370" s="66" t="s">
        <v>1128</v>
      </c>
      <c r="G370" s="187" t="s">
        <v>13284</v>
      </c>
      <c r="H370" s="29" t="s">
        <v>61</v>
      </c>
      <c r="I370" s="29" t="s">
        <v>61</v>
      </c>
      <c r="J370" s="98">
        <v>44838</v>
      </c>
      <c r="K370" s="98">
        <f t="shared" si="27"/>
        <v>45934</v>
      </c>
      <c r="L370" s="110" t="s">
        <v>62</v>
      </c>
      <c r="M370" s="112" t="str">
        <f t="shared" ca="1" si="28"/>
        <v>Vencido</v>
      </c>
      <c r="N370" s="112"/>
      <c r="O370" s="67">
        <f t="shared" ca="1" si="25"/>
        <v>1360</v>
      </c>
      <c r="P370" s="67">
        <f t="shared" ca="1" si="29"/>
        <v>-264</v>
      </c>
      <c r="Q370" t="str">
        <f t="shared" si="26"/>
        <v>JUP-30</v>
      </c>
    </row>
    <row r="371" spans="2:17" ht="15" customHeight="1" x14ac:dyDescent="0.35">
      <c r="B371" s="29">
        <v>9</v>
      </c>
      <c r="C371" s="29" t="s">
        <v>24</v>
      </c>
      <c r="D371" s="30" t="s">
        <v>467</v>
      </c>
      <c r="E371" s="66" t="s">
        <v>1129</v>
      </c>
      <c r="F371" s="66" t="s">
        <v>1130</v>
      </c>
      <c r="G371" s="187" t="s">
        <v>13284</v>
      </c>
      <c r="H371" s="29" t="s">
        <v>61</v>
      </c>
      <c r="I371" s="29" t="s">
        <v>61</v>
      </c>
      <c r="J371" s="98">
        <v>44838</v>
      </c>
      <c r="K371" s="98">
        <f t="shared" si="27"/>
        <v>45934</v>
      </c>
      <c r="L371" s="110" t="s">
        <v>62</v>
      </c>
      <c r="M371" s="112" t="str">
        <f t="shared" ca="1" si="28"/>
        <v>Vencido</v>
      </c>
      <c r="N371" s="112"/>
      <c r="O371" s="67">
        <f t="shared" ca="1" si="25"/>
        <v>1360</v>
      </c>
      <c r="P371" s="67">
        <f t="shared" ca="1" si="29"/>
        <v>-264</v>
      </c>
      <c r="Q371" t="str">
        <f t="shared" si="26"/>
        <v>JUP-30</v>
      </c>
    </row>
    <row r="372" spans="2:17" ht="15" customHeight="1" x14ac:dyDescent="0.35">
      <c r="B372" s="29">
        <v>9</v>
      </c>
      <c r="C372" s="29" t="s">
        <v>24</v>
      </c>
      <c r="D372" s="30" t="s">
        <v>475</v>
      </c>
      <c r="E372" s="66" t="s">
        <v>1131</v>
      </c>
      <c r="F372" s="66" t="s">
        <v>1132</v>
      </c>
      <c r="G372" s="187" t="s">
        <v>13284</v>
      </c>
      <c r="H372" s="29" t="s">
        <v>61</v>
      </c>
      <c r="I372" s="29" t="s">
        <v>61</v>
      </c>
      <c r="J372" s="98">
        <v>44838</v>
      </c>
      <c r="K372" s="98">
        <f t="shared" si="27"/>
        <v>45934</v>
      </c>
      <c r="L372" s="110" t="s">
        <v>62</v>
      </c>
      <c r="M372" s="112" t="str">
        <f t="shared" ca="1" si="28"/>
        <v>Vencido</v>
      </c>
      <c r="N372" s="112"/>
      <c r="O372" s="67">
        <f t="shared" ca="1" si="25"/>
        <v>1360</v>
      </c>
      <c r="P372" s="67">
        <f t="shared" ca="1" si="29"/>
        <v>-264</v>
      </c>
      <c r="Q372" t="str">
        <f t="shared" si="26"/>
        <v>JUP-32</v>
      </c>
    </row>
    <row r="373" spans="2:17" ht="15" customHeight="1" x14ac:dyDescent="0.35">
      <c r="B373" s="29">
        <v>9</v>
      </c>
      <c r="C373" s="29" t="s">
        <v>24</v>
      </c>
      <c r="D373" s="30" t="s">
        <v>478</v>
      </c>
      <c r="E373" s="66" t="s">
        <v>1133</v>
      </c>
      <c r="F373" s="66" t="s">
        <v>1134</v>
      </c>
      <c r="G373" s="187" t="s">
        <v>13284</v>
      </c>
      <c r="H373" s="29" t="s">
        <v>61</v>
      </c>
      <c r="I373" s="29" t="s">
        <v>61</v>
      </c>
      <c r="J373" s="98">
        <v>44838</v>
      </c>
      <c r="K373" s="98">
        <f t="shared" si="27"/>
        <v>45934</v>
      </c>
      <c r="L373" s="110" t="s">
        <v>62</v>
      </c>
      <c r="M373" s="112" t="str">
        <f t="shared" ca="1" si="28"/>
        <v>Vencido</v>
      </c>
      <c r="N373" s="112"/>
      <c r="O373" s="67">
        <f t="shared" ca="1" si="25"/>
        <v>1360</v>
      </c>
      <c r="P373" s="67">
        <f t="shared" ca="1" si="29"/>
        <v>-264</v>
      </c>
      <c r="Q373" t="str">
        <f t="shared" si="26"/>
        <v>JUP-32</v>
      </c>
    </row>
    <row r="374" spans="2:17" ht="15" customHeight="1" x14ac:dyDescent="0.35">
      <c r="B374" s="29">
        <v>9</v>
      </c>
      <c r="C374" s="29" t="s">
        <v>24</v>
      </c>
      <c r="D374" s="30" t="s">
        <v>878</v>
      </c>
      <c r="E374" s="66" t="s">
        <v>1135</v>
      </c>
      <c r="F374" s="66" t="s">
        <v>1136</v>
      </c>
      <c r="G374" s="187" t="s">
        <v>13284</v>
      </c>
      <c r="H374" s="29" t="s">
        <v>61</v>
      </c>
      <c r="I374" s="29" t="s">
        <v>61</v>
      </c>
      <c r="J374" s="98">
        <v>44838</v>
      </c>
      <c r="K374" s="98">
        <f t="shared" si="27"/>
        <v>45934</v>
      </c>
      <c r="L374" s="110" t="s">
        <v>62</v>
      </c>
      <c r="M374" s="112" t="str">
        <f t="shared" ca="1" si="28"/>
        <v>Vencido</v>
      </c>
      <c r="N374" s="112"/>
      <c r="O374" s="67">
        <f t="shared" ca="1" si="25"/>
        <v>1360</v>
      </c>
      <c r="P374" s="67">
        <f t="shared" ca="1" si="29"/>
        <v>-264</v>
      </c>
      <c r="Q374" t="str">
        <f t="shared" si="26"/>
        <v>JUP-32</v>
      </c>
    </row>
    <row r="375" spans="2:17" ht="15" customHeight="1" x14ac:dyDescent="0.35">
      <c r="B375" s="29">
        <v>9</v>
      </c>
      <c r="C375" s="29" t="s">
        <v>24</v>
      </c>
      <c r="D375" s="30" t="s">
        <v>881</v>
      </c>
      <c r="E375" s="66" t="s">
        <v>1137</v>
      </c>
      <c r="F375" s="66" t="s">
        <v>1138</v>
      </c>
      <c r="G375" s="187" t="s">
        <v>13284</v>
      </c>
      <c r="H375" s="29" t="s">
        <v>61</v>
      </c>
      <c r="I375" s="29" t="s">
        <v>61</v>
      </c>
      <c r="J375" s="98">
        <v>44838</v>
      </c>
      <c r="K375" s="98">
        <f t="shared" si="27"/>
        <v>45934</v>
      </c>
      <c r="L375" s="110" t="s">
        <v>62</v>
      </c>
      <c r="M375" s="112" t="str">
        <f t="shared" ca="1" si="28"/>
        <v>Vencido</v>
      </c>
      <c r="N375" s="112"/>
      <c r="O375" s="67">
        <f t="shared" ca="1" si="25"/>
        <v>1360</v>
      </c>
      <c r="P375" s="67">
        <f t="shared" ca="1" si="29"/>
        <v>-264</v>
      </c>
      <c r="Q375" t="str">
        <f t="shared" si="26"/>
        <v>JUP-32</v>
      </c>
    </row>
    <row r="376" spans="2:17" ht="15" customHeight="1" x14ac:dyDescent="0.35">
      <c r="B376" s="29">
        <v>9</v>
      </c>
      <c r="C376" s="29" t="s">
        <v>24</v>
      </c>
      <c r="D376" s="30">
        <v>31</v>
      </c>
      <c r="E376" s="66" t="s">
        <v>1139</v>
      </c>
      <c r="F376" s="66" t="s">
        <v>1140</v>
      </c>
      <c r="G376" s="187" t="s">
        <v>13284</v>
      </c>
      <c r="H376" s="29" t="s">
        <v>61</v>
      </c>
      <c r="I376" s="29" t="s">
        <v>61</v>
      </c>
      <c r="J376" s="98">
        <v>44838</v>
      </c>
      <c r="K376" s="98">
        <f t="shared" si="27"/>
        <v>45934</v>
      </c>
      <c r="L376" s="110" t="s">
        <v>62</v>
      </c>
      <c r="M376" s="112" t="str">
        <f t="shared" ca="1" si="28"/>
        <v>Vencido</v>
      </c>
      <c r="N376" s="112"/>
      <c r="O376" s="67">
        <f t="shared" ca="1" si="25"/>
        <v>1360</v>
      </c>
      <c r="P376" s="67">
        <f t="shared" ca="1" si="29"/>
        <v>-264</v>
      </c>
      <c r="Q376" t="str">
        <f t="shared" si="26"/>
        <v>JUP-31</v>
      </c>
    </row>
    <row r="377" spans="2:17" ht="15" customHeight="1" x14ac:dyDescent="0.35">
      <c r="B377" s="29">
        <v>9</v>
      </c>
      <c r="C377" s="29" t="s">
        <v>24</v>
      </c>
      <c r="D377" s="30">
        <v>32</v>
      </c>
      <c r="E377" s="66" t="s">
        <v>1141</v>
      </c>
      <c r="F377" s="66" t="s">
        <v>1142</v>
      </c>
      <c r="G377" s="187" t="s">
        <v>13284</v>
      </c>
      <c r="H377" s="29" t="s">
        <v>61</v>
      </c>
      <c r="I377" s="29" t="s">
        <v>61</v>
      </c>
      <c r="J377" s="98">
        <v>45202</v>
      </c>
      <c r="K377" s="98">
        <f t="shared" si="27"/>
        <v>46298</v>
      </c>
      <c r="L377" s="110" t="s">
        <v>62</v>
      </c>
      <c r="M377" s="112" t="str">
        <f t="shared" ca="1" si="28"/>
        <v>Alerta</v>
      </c>
      <c r="N377" s="112"/>
      <c r="O377" s="67">
        <f t="shared" ca="1" si="25"/>
        <v>996</v>
      </c>
      <c r="P377" s="67">
        <f t="shared" ca="1" si="29"/>
        <v>100</v>
      </c>
      <c r="Q377" t="str">
        <f t="shared" si="26"/>
        <v>JUP-32</v>
      </c>
    </row>
    <row r="378" spans="2:17" ht="15" customHeight="1" x14ac:dyDescent="0.35">
      <c r="B378" s="29">
        <v>9</v>
      </c>
      <c r="C378" s="29" t="s">
        <v>24</v>
      </c>
      <c r="D378" s="30">
        <v>34</v>
      </c>
      <c r="E378" s="66" t="s">
        <v>1143</v>
      </c>
      <c r="F378" s="66" t="s">
        <v>1144</v>
      </c>
      <c r="G378" s="187" t="s">
        <v>13284</v>
      </c>
      <c r="H378" s="29" t="s">
        <v>61</v>
      </c>
      <c r="I378" s="29" t="s">
        <v>61</v>
      </c>
      <c r="J378" s="98">
        <v>45202</v>
      </c>
      <c r="K378" s="98">
        <f t="shared" si="27"/>
        <v>46298</v>
      </c>
      <c r="L378" s="110" t="s">
        <v>62</v>
      </c>
      <c r="M378" s="112" t="str">
        <f t="shared" ca="1" si="28"/>
        <v>Alerta</v>
      </c>
      <c r="N378" s="112"/>
      <c r="O378" s="67">
        <f t="shared" ca="1" si="25"/>
        <v>996</v>
      </c>
      <c r="P378" s="67">
        <f t="shared" ca="1" si="29"/>
        <v>100</v>
      </c>
      <c r="Q378" t="str">
        <f t="shared" si="26"/>
        <v>JUP-34</v>
      </c>
    </row>
    <row r="379" spans="2:17" ht="15" customHeight="1" x14ac:dyDescent="0.35">
      <c r="B379" s="29">
        <v>9</v>
      </c>
      <c r="C379" s="29" t="s">
        <v>24</v>
      </c>
      <c r="D379" s="30">
        <v>72</v>
      </c>
      <c r="E379" s="66" t="s">
        <v>1145</v>
      </c>
      <c r="F379" s="66" t="s">
        <v>1146</v>
      </c>
      <c r="G379" s="187" t="s">
        <v>13284</v>
      </c>
      <c r="H379" s="29" t="s">
        <v>61</v>
      </c>
      <c r="I379" s="29" t="s">
        <v>61</v>
      </c>
      <c r="J379" s="98">
        <v>44858</v>
      </c>
      <c r="K379" s="98">
        <f t="shared" si="27"/>
        <v>45954</v>
      </c>
      <c r="L379" s="110" t="s">
        <v>62</v>
      </c>
      <c r="M379" s="112" t="str">
        <f t="shared" ca="1" si="28"/>
        <v>Vencido</v>
      </c>
      <c r="N379" s="112"/>
      <c r="O379" s="67">
        <f t="shared" ca="1" si="25"/>
        <v>1340</v>
      </c>
      <c r="P379" s="67">
        <f t="shared" ca="1" si="29"/>
        <v>-244</v>
      </c>
      <c r="Q379" t="str">
        <f t="shared" si="26"/>
        <v>JUP-72</v>
      </c>
    </row>
    <row r="380" spans="2:17" ht="15" customHeight="1" x14ac:dyDescent="0.35">
      <c r="B380" s="29">
        <v>1</v>
      </c>
      <c r="C380" s="29" t="s">
        <v>13</v>
      </c>
      <c r="D380" s="30">
        <v>0</v>
      </c>
      <c r="E380" s="66" t="s">
        <v>1147</v>
      </c>
      <c r="F380" s="65" t="s">
        <v>1148</v>
      </c>
      <c r="G380" s="26" t="s">
        <v>13301</v>
      </c>
      <c r="H380" s="29" t="s">
        <v>61</v>
      </c>
      <c r="I380" s="29"/>
      <c r="J380" s="98">
        <v>45202</v>
      </c>
      <c r="K380" s="98">
        <f t="shared" si="27"/>
        <v>46298</v>
      </c>
      <c r="L380" s="110" t="s">
        <v>62</v>
      </c>
      <c r="M380" s="112" t="str">
        <f t="shared" ca="1" si="28"/>
        <v>Alerta</v>
      </c>
      <c r="N380" s="112"/>
      <c r="O380" s="67">
        <f t="shared" ca="1" si="25"/>
        <v>996</v>
      </c>
      <c r="P380" s="67">
        <f t="shared" ca="1" si="29"/>
        <v>100</v>
      </c>
      <c r="Q380" t="str">
        <f t="shared" si="26"/>
        <v>JUR-00</v>
      </c>
    </row>
    <row r="381" spans="2:17" ht="15" customHeight="1" x14ac:dyDescent="0.35">
      <c r="B381" s="29">
        <v>1</v>
      </c>
      <c r="C381" s="29" t="s">
        <v>13</v>
      </c>
      <c r="D381" s="30">
        <v>1</v>
      </c>
      <c r="E381" s="66" t="s">
        <v>1149</v>
      </c>
      <c r="F381" s="66" t="s">
        <v>1150</v>
      </c>
      <c r="G381" s="187" t="s">
        <v>13284</v>
      </c>
      <c r="H381" s="29" t="s">
        <v>61</v>
      </c>
      <c r="I381" s="29" t="s">
        <v>61</v>
      </c>
      <c r="J381" s="98">
        <v>44739</v>
      </c>
      <c r="K381" s="98">
        <f t="shared" si="27"/>
        <v>45835</v>
      </c>
      <c r="L381" s="110" t="s">
        <v>62</v>
      </c>
      <c r="M381" s="112" t="str">
        <f t="shared" ca="1" si="28"/>
        <v>Vencido</v>
      </c>
      <c r="N381" s="112"/>
      <c r="O381" s="67">
        <f t="shared" ca="1" si="25"/>
        <v>1459</v>
      </c>
      <c r="P381" s="67">
        <f t="shared" ca="1" si="29"/>
        <v>-363</v>
      </c>
      <c r="Q381" t="str">
        <f t="shared" si="26"/>
        <v>JUR-01</v>
      </c>
    </row>
    <row r="382" spans="2:17" ht="15" customHeight="1" x14ac:dyDescent="0.35">
      <c r="B382" s="29">
        <v>1</v>
      </c>
      <c r="C382" s="29" t="s">
        <v>13</v>
      </c>
      <c r="D382" s="30">
        <v>2</v>
      </c>
      <c r="E382" s="66" t="s">
        <v>1151</v>
      </c>
      <c r="F382" s="66" t="s">
        <v>1152</v>
      </c>
      <c r="G382" s="26" t="s">
        <v>13284</v>
      </c>
      <c r="H382" s="29" t="s">
        <v>61</v>
      </c>
      <c r="I382" s="29" t="s">
        <v>61</v>
      </c>
      <c r="J382" s="98">
        <v>44739</v>
      </c>
      <c r="K382" s="98">
        <f t="shared" si="27"/>
        <v>45835</v>
      </c>
      <c r="L382" s="110" t="s">
        <v>62</v>
      </c>
      <c r="M382" s="112" t="str">
        <f t="shared" ca="1" si="28"/>
        <v>Vencido</v>
      </c>
      <c r="N382" s="112"/>
      <c r="O382" s="67">
        <f t="shared" ca="1" si="25"/>
        <v>1459</v>
      </c>
      <c r="P382" s="67">
        <f t="shared" ca="1" si="29"/>
        <v>-363</v>
      </c>
      <c r="Q382" t="str">
        <f t="shared" si="26"/>
        <v>JUR-02</v>
      </c>
    </row>
    <row r="383" spans="2:17" ht="15" customHeight="1" x14ac:dyDescent="0.35">
      <c r="B383" s="29">
        <v>1</v>
      </c>
      <c r="C383" s="29" t="s">
        <v>13</v>
      </c>
      <c r="D383" s="30">
        <v>3</v>
      </c>
      <c r="E383" s="66" t="s">
        <v>1153</v>
      </c>
      <c r="F383" s="66" t="s">
        <v>1154</v>
      </c>
      <c r="G383" s="26" t="s">
        <v>13283</v>
      </c>
      <c r="H383" s="29" t="s">
        <v>61</v>
      </c>
      <c r="I383" s="29" t="s">
        <v>61</v>
      </c>
      <c r="J383" s="98">
        <v>45506</v>
      </c>
      <c r="K383" s="98">
        <f t="shared" si="27"/>
        <v>46602</v>
      </c>
      <c r="L383" s="110" t="s">
        <v>62</v>
      </c>
      <c r="M383" s="112" t="str">
        <f t="shared" ca="1" si="28"/>
        <v>Em dia</v>
      </c>
      <c r="N383" s="112"/>
      <c r="O383" s="67">
        <f t="shared" ca="1" si="25"/>
        <v>692</v>
      </c>
      <c r="P383" s="67">
        <f t="shared" ca="1" si="29"/>
        <v>404</v>
      </c>
      <c r="Q383" t="str">
        <f t="shared" si="26"/>
        <v>JUR-03</v>
      </c>
    </row>
    <row r="384" spans="2:17" ht="15" customHeight="1" x14ac:dyDescent="0.35">
      <c r="B384" s="29">
        <v>1</v>
      </c>
      <c r="C384" s="29" t="s">
        <v>13</v>
      </c>
      <c r="D384" s="30">
        <v>4</v>
      </c>
      <c r="E384" s="66" t="s">
        <v>1155</v>
      </c>
      <c r="F384" s="66" t="s">
        <v>1156</v>
      </c>
      <c r="G384" s="186" t="s">
        <v>13283</v>
      </c>
      <c r="H384" s="29" t="s">
        <v>61</v>
      </c>
      <c r="I384" s="29" t="s">
        <v>61</v>
      </c>
      <c r="J384" s="98">
        <v>46104</v>
      </c>
      <c r="K384" s="98">
        <f t="shared" si="27"/>
        <v>47200</v>
      </c>
      <c r="L384" s="110" t="s">
        <v>62</v>
      </c>
      <c r="M384" s="112" t="str">
        <f t="shared" ca="1" si="28"/>
        <v>Em dia</v>
      </c>
      <c r="N384" s="112"/>
      <c r="O384" s="67">
        <f t="shared" ca="1" si="25"/>
        <v>94</v>
      </c>
      <c r="P384" s="67">
        <f t="shared" ca="1" si="29"/>
        <v>1002</v>
      </c>
      <c r="Q384" t="str">
        <f t="shared" si="26"/>
        <v>JUR-04</v>
      </c>
    </row>
    <row r="385" spans="2:17" ht="15" customHeight="1" x14ac:dyDescent="0.35">
      <c r="B385" s="29">
        <v>1</v>
      </c>
      <c r="C385" s="29" t="s">
        <v>13</v>
      </c>
      <c r="D385" s="30">
        <v>5</v>
      </c>
      <c r="E385" s="66" t="s">
        <v>1157</v>
      </c>
      <c r="F385" s="66" t="s">
        <v>1158</v>
      </c>
      <c r="G385" s="186" t="s">
        <v>13283</v>
      </c>
      <c r="H385" s="29" t="s">
        <v>61</v>
      </c>
      <c r="I385" s="29" t="s">
        <v>61</v>
      </c>
      <c r="J385" s="98">
        <v>46104</v>
      </c>
      <c r="K385" s="98">
        <f t="shared" si="27"/>
        <v>47200</v>
      </c>
      <c r="L385" s="110" t="s">
        <v>62</v>
      </c>
      <c r="M385" s="112" t="str">
        <f t="shared" ca="1" si="28"/>
        <v>Em dia</v>
      </c>
      <c r="N385" s="112"/>
      <c r="O385" s="67">
        <f t="shared" ca="1" si="25"/>
        <v>94</v>
      </c>
      <c r="P385" s="67">
        <f t="shared" ca="1" si="29"/>
        <v>1002</v>
      </c>
      <c r="Q385" t="str">
        <f t="shared" si="26"/>
        <v>JUR-05</v>
      </c>
    </row>
    <row r="386" spans="2:17" ht="15" customHeight="1" x14ac:dyDescent="0.35">
      <c r="B386" s="29">
        <v>1</v>
      </c>
      <c r="C386" s="29" t="s">
        <v>13</v>
      </c>
      <c r="D386" s="30">
        <v>6</v>
      </c>
      <c r="E386" s="66" t="s">
        <v>1159</v>
      </c>
      <c r="F386" s="66" t="s">
        <v>1160</v>
      </c>
      <c r="G386" s="186" t="s">
        <v>13283</v>
      </c>
      <c r="H386" s="29" t="s">
        <v>61</v>
      </c>
      <c r="I386" s="29" t="s">
        <v>61</v>
      </c>
      <c r="J386" s="98">
        <v>46104</v>
      </c>
      <c r="K386" s="98">
        <f t="shared" si="27"/>
        <v>47200</v>
      </c>
      <c r="L386" s="110" t="s">
        <v>62</v>
      </c>
      <c r="M386" s="112" t="str">
        <f t="shared" ca="1" si="28"/>
        <v>Em dia</v>
      </c>
      <c r="N386" s="112"/>
      <c r="O386" s="67">
        <f t="shared" ca="1" si="25"/>
        <v>94</v>
      </c>
      <c r="P386" s="67">
        <f t="shared" ca="1" si="29"/>
        <v>1002</v>
      </c>
      <c r="Q386" t="str">
        <f t="shared" si="26"/>
        <v>JUR-06</v>
      </c>
    </row>
    <row r="387" spans="2:17" ht="15" customHeight="1" x14ac:dyDescent="0.35">
      <c r="B387" s="29">
        <v>1</v>
      </c>
      <c r="C387" s="29" t="s">
        <v>13</v>
      </c>
      <c r="D387" s="30">
        <v>7</v>
      </c>
      <c r="E387" s="66" t="s">
        <v>1161</v>
      </c>
      <c r="F387" s="66" t="s">
        <v>1162</v>
      </c>
      <c r="G387" s="186" t="s">
        <v>13283</v>
      </c>
      <c r="H387" s="29" t="s">
        <v>61</v>
      </c>
      <c r="I387" s="29" t="s">
        <v>61</v>
      </c>
      <c r="J387" s="98">
        <v>45959</v>
      </c>
      <c r="K387" s="98">
        <f t="shared" si="27"/>
        <v>47055</v>
      </c>
      <c r="L387" s="110" t="s">
        <v>62</v>
      </c>
      <c r="M387" s="112" t="str">
        <f t="shared" ca="1" si="28"/>
        <v>Em dia</v>
      </c>
      <c r="N387" s="112"/>
      <c r="O387" s="67">
        <f t="shared" ca="1" si="25"/>
        <v>239</v>
      </c>
      <c r="P387" s="67">
        <f t="shared" ca="1" si="29"/>
        <v>857</v>
      </c>
      <c r="Q387" t="str">
        <f t="shared" si="26"/>
        <v>JUR-07</v>
      </c>
    </row>
    <row r="388" spans="2:17" ht="15" customHeight="1" x14ac:dyDescent="0.35">
      <c r="B388" s="29">
        <v>1</v>
      </c>
      <c r="C388" s="29" t="s">
        <v>13</v>
      </c>
      <c r="D388" s="30">
        <v>8</v>
      </c>
      <c r="E388" s="66" t="s">
        <v>1163</v>
      </c>
      <c r="F388" s="66" t="s">
        <v>1164</v>
      </c>
      <c r="G388" s="186" t="s">
        <v>13283</v>
      </c>
      <c r="H388" s="29" t="s">
        <v>61</v>
      </c>
      <c r="I388" s="29" t="s">
        <v>61</v>
      </c>
      <c r="J388" s="98">
        <v>45645</v>
      </c>
      <c r="K388" s="98">
        <f t="shared" si="27"/>
        <v>46741</v>
      </c>
      <c r="L388" s="110" t="s">
        <v>62</v>
      </c>
      <c r="M388" s="112" t="str">
        <f t="shared" ca="1" si="28"/>
        <v>Em dia</v>
      </c>
      <c r="N388" s="112"/>
      <c r="O388" s="67">
        <f t="shared" ref="O388:O451" ca="1" si="30">$O$4-J388</f>
        <v>553</v>
      </c>
      <c r="P388" s="67">
        <f t="shared" ca="1" si="29"/>
        <v>543</v>
      </c>
      <c r="Q388" t="str">
        <f t="shared" si="26"/>
        <v>JUR-08</v>
      </c>
    </row>
    <row r="389" spans="2:17" ht="15" customHeight="1" x14ac:dyDescent="0.35">
      <c r="B389" s="29">
        <v>1</v>
      </c>
      <c r="C389" s="29" t="s">
        <v>13</v>
      </c>
      <c r="D389" s="30">
        <v>9</v>
      </c>
      <c r="E389" s="66" t="s">
        <v>1165</v>
      </c>
      <c r="F389" s="66" t="s">
        <v>1166</v>
      </c>
      <c r="G389" s="186" t="s">
        <v>13283</v>
      </c>
      <c r="H389" s="29" t="s">
        <v>61</v>
      </c>
      <c r="I389" s="29" t="s">
        <v>61</v>
      </c>
      <c r="J389" s="98">
        <v>45959</v>
      </c>
      <c r="K389" s="98">
        <f t="shared" ref="K389:K452" si="31">J389+1096</f>
        <v>47055</v>
      </c>
      <c r="L389" s="110" t="s">
        <v>62</v>
      </c>
      <c r="M389" s="112" t="str">
        <f t="shared" ca="1" si="28"/>
        <v>Em dia</v>
      </c>
      <c r="N389" s="112"/>
      <c r="O389" s="67">
        <f t="shared" ca="1" si="30"/>
        <v>239</v>
      </c>
      <c r="P389" s="67">
        <f t="shared" ca="1" si="29"/>
        <v>857</v>
      </c>
      <c r="Q389" t="str">
        <f t="shared" ref="Q389:Q452" si="32">IF(OR(C389="ARN",C389="SDP"),MID(E389,4,7),MID(E389,4,6))</f>
        <v>JUR-09</v>
      </c>
    </row>
    <row r="390" spans="2:17" ht="15" customHeight="1" x14ac:dyDescent="0.35">
      <c r="B390" s="29">
        <v>1</v>
      </c>
      <c r="C390" s="29" t="s">
        <v>13</v>
      </c>
      <c r="D390" s="30">
        <v>10</v>
      </c>
      <c r="E390" s="66" t="s">
        <v>1167</v>
      </c>
      <c r="F390" s="66" t="s">
        <v>1168</v>
      </c>
      <c r="G390" s="186" t="s">
        <v>13283</v>
      </c>
      <c r="H390" s="29" t="s">
        <v>61</v>
      </c>
      <c r="I390" s="29" t="s">
        <v>61</v>
      </c>
      <c r="J390" s="101">
        <v>45959</v>
      </c>
      <c r="K390" s="98">
        <f t="shared" si="31"/>
        <v>47055</v>
      </c>
      <c r="L390" s="110" t="s">
        <v>62</v>
      </c>
      <c r="M390" s="112" t="str">
        <f t="shared" ref="M390:M453" ca="1" si="33">IF(O390="","",IF(O390&gt;1095,"Vencido",IF(O390&gt;910,"Alerta",IF(O390&gt;820,"Alerta",IF(O390&gt;730,"Alerta",IF(O390&gt;=0,"Em dia","Vencido"))))))</f>
        <v>Em dia</v>
      </c>
      <c r="N390" s="112"/>
      <c r="O390" s="67">
        <f t="shared" ca="1" si="30"/>
        <v>239</v>
      </c>
      <c r="P390" s="67">
        <f t="shared" ref="P390:P453" ca="1" si="34">K390-$P$3</f>
        <v>857</v>
      </c>
      <c r="Q390" t="str">
        <f t="shared" si="32"/>
        <v>JUR-10</v>
      </c>
    </row>
    <row r="391" spans="2:17" ht="15" customHeight="1" x14ac:dyDescent="0.35">
      <c r="B391" s="29">
        <v>1</v>
      </c>
      <c r="C391" s="29" t="s">
        <v>13</v>
      </c>
      <c r="D391" s="30">
        <v>11</v>
      </c>
      <c r="E391" s="66" t="s">
        <v>1169</v>
      </c>
      <c r="F391" s="66" t="s">
        <v>1170</v>
      </c>
      <c r="G391" s="186" t="s">
        <v>13283</v>
      </c>
      <c r="H391" s="29" t="s">
        <v>61</v>
      </c>
      <c r="I391" s="29" t="s">
        <v>61</v>
      </c>
      <c r="J391" s="98">
        <v>46104</v>
      </c>
      <c r="K391" s="98">
        <f t="shared" si="31"/>
        <v>47200</v>
      </c>
      <c r="L391" s="110" t="s">
        <v>62</v>
      </c>
      <c r="M391" s="112" t="str">
        <f t="shared" ca="1" si="33"/>
        <v>Em dia</v>
      </c>
      <c r="N391" s="112"/>
      <c r="O391" s="67">
        <f t="shared" ca="1" si="30"/>
        <v>94</v>
      </c>
      <c r="P391" s="67">
        <f t="shared" ca="1" si="34"/>
        <v>1002</v>
      </c>
      <c r="Q391" t="str">
        <f t="shared" si="32"/>
        <v>JUR-11</v>
      </c>
    </row>
    <row r="392" spans="2:17" ht="15" customHeight="1" x14ac:dyDescent="0.35">
      <c r="B392" s="29">
        <v>1</v>
      </c>
      <c r="C392" s="29" t="s">
        <v>13</v>
      </c>
      <c r="D392" s="30">
        <v>12</v>
      </c>
      <c r="E392" s="66" t="s">
        <v>1171</v>
      </c>
      <c r="F392" s="66" t="s">
        <v>1172</v>
      </c>
      <c r="G392" s="186" t="s">
        <v>13283</v>
      </c>
      <c r="H392" s="29" t="s">
        <v>61</v>
      </c>
      <c r="I392" s="29" t="s">
        <v>61</v>
      </c>
      <c r="J392" s="98">
        <v>46104</v>
      </c>
      <c r="K392" s="98">
        <f t="shared" si="31"/>
        <v>47200</v>
      </c>
      <c r="L392" s="110" t="s">
        <v>62</v>
      </c>
      <c r="M392" s="112" t="str">
        <f t="shared" ca="1" si="33"/>
        <v>Em dia</v>
      </c>
      <c r="N392" s="112"/>
      <c r="O392" s="67">
        <f t="shared" ca="1" si="30"/>
        <v>94</v>
      </c>
      <c r="P392" s="67">
        <f t="shared" ca="1" si="34"/>
        <v>1002</v>
      </c>
      <c r="Q392" t="str">
        <f t="shared" si="32"/>
        <v>JUR-12</v>
      </c>
    </row>
    <row r="393" spans="2:17" ht="15" customHeight="1" x14ac:dyDescent="0.35">
      <c r="B393" s="29">
        <v>1</v>
      </c>
      <c r="C393" s="29" t="s">
        <v>13</v>
      </c>
      <c r="D393" s="30">
        <v>13</v>
      </c>
      <c r="E393" s="66" t="s">
        <v>1173</v>
      </c>
      <c r="F393" s="66" t="s">
        <v>1174</v>
      </c>
      <c r="G393" s="186" t="s">
        <v>13283</v>
      </c>
      <c r="H393" s="29" t="s">
        <v>61</v>
      </c>
      <c r="I393" s="29" t="s">
        <v>61</v>
      </c>
      <c r="J393" s="98">
        <v>46104</v>
      </c>
      <c r="K393" s="98">
        <f t="shared" si="31"/>
        <v>47200</v>
      </c>
      <c r="L393" s="110" t="s">
        <v>62</v>
      </c>
      <c r="M393" s="112" t="str">
        <f t="shared" ca="1" si="33"/>
        <v>Em dia</v>
      </c>
      <c r="N393" s="112"/>
      <c r="O393" s="67">
        <f t="shared" ca="1" si="30"/>
        <v>94</v>
      </c>
      <c r="P393" s="67">
        <f t="shared" ca="1" si="34"/>
        <v>1002</v>
      </c>
      <c r="Q393" t="str">
        <f t="shared" si="32"/>
        <v>JUR-13</v>
      </c>
    </row>
    <row r="394" spans="2:17" ht="15" customHeight="1" x14ac:dyDescent="0.35">
      <c r="B394" s="29">
        <v>1</v>
      </c>
      <c r="C394" s="29" t="s">
        <v>13</v>
      </c>
      <c r="D394" s="30">
        <v>14</v>
      </c>
      <c r="E394" s="66" t="s">
        <v>1175</v>
      </c>
      <c r="F394" s="66" t="s">
        <v>1176</v>
      </c>
      <c r="G394" s="186" t="s">
        <v>13283</v>
      </c>
      <c r="H394" s="29" t="s">
        <v>61</v>
      </c>
      <c r="I394" s="29" t="s">
        <v>61</v>
      </c>
      <c r="J394" s="98">
        <v>45202</v>
      </c>
      <c r="K394" s="98">
        <f t="shared" si="31"/>
        <v>46298</v>
      </c>
      <c r="L394" s="110" t="s">
        <v>62</v>
      </c>
      <c r="M394" s="112" t="str">
        <f t="shared" ca="1" si="33"/>
        <v>Alerta</v>
      </c>
      <c r="N394" s="112"/>
      <c r="O394" s="67">
        <f t="shared" ca="1" si="30"/>
        <v>996</v>
      </c>
      <c r="P394" s="67">
        <f t="shared" ca="1" si="34"/>
        <v>100</v>
      </c>
      <c r="Q394" t="str">
        <f t="shared" si="32"/>
        <v>JUR-14</v>
      </c>
    </row>
    <row r="395" spans="2:17" ht="15" customHeight="1" x14ac:dyDescent="0.35">
      <c r="B395" s="29">
        <v>1</v>
      </c>
      <c r="C395" s="29" t="s">
        <v>13</v>
      </c>
      <c r="D395" s="30">
        <v>15</v>
      </c>
      <c r="E395" s="66" t="s">
        <v>1177</v>
      </c>
      <c r="F395" s="66" t="s">
        <v>1178</v>
      </c>
      <c r="G395" s="66" t="s">
        <v>13283</v>
      </c>
      <c r="H395" s="29" t="s">
        <v>61</v>
      </c>
      <c r="I395" s="29" t="s">
        <v>61</v>
      </c>
      <c r="J395" s="98">
        <v>46104</v>
      </c>
      <c r="K395" s="98">
        <f t="shared" si="31"/>
        <v>47200</v>
      </c>
      <c r="L395" s="110" t="s">
        <v>62</v>
      </c>
      <c r="M395" s="112" t="str">
        <f t="shared" ca="1" si="33"/>
        <v>Em dia</v>
      </c>
      <c r="N395" s="112"/>
      <c r="O395" s="67">
        <f t="shared" ca="1" si="30"/>
        <v>94</v>
      </c>
      <c r="P395" s="67">
        <f t="shared" ca="1" si="34"/>
        <v>1002</v>
      </c>
      <c r="Q395" t="str">
        <f t="shared" si="32"/>
        <v>JUR-15</v>
      </c>
    </row>
    <row r="396" spans="2:17" ht="15" customHeight="1" x14ac:dyDescent="0.35">
      <c r="B396" s="29">
        <v>1</v>
      </c>
      <c r="C396" s="29" t="s">
        <v>13</v>
      </c>
      <c r="D396" s="30">
        <v>17</v>
      </c>
      <c r="E396" s="66" t="s">
        <v>1179</v>
      </c>
      <c r="F396" s="66" t="s">
        <v>1180</v>
      </c>
      <c r="G396" s="66" t="s">
        <v>13283</v>
      </c>
      <c r="H396" s="29" t="s">
        <v>61</v>
      </c>
      <c r="I396" s="29" t="s">
        <v>61</v>
      </c>
      <c r="J396" s="98">
        <v>45202</v>
      </c>
      <c r="K396" s="98">
        <f t="shared" si="31"/>
        <v>46298</v>
      </c>
      <c r="L396" s="110" t="s">
        <v>62</v>
      </c>
      <c r="M396" s="112" t="str">
        <f t="shared" ca="1" si="33"/>
        <v>Alerta</v>
      </c>
      <c r="N396" s="112"/>
      <c r="O396" s="67">
        <f t="shared" ca="1" si="30"/>
        <v>996</v>
      </c>
      <c r="P396" s="67">
        <f t="shared" ca="1" si="34"/>
        <v>100</v>
      </c>
      <c r="Q396" t="str">
        <f t="shared" si="32"/>
        <v>JUR-17</v>
      </c>
    </row>
    <row r="397" spans="2:17" ht="15" customHeight="1" x14ac:dyDescent="0.35">
      <c r="B397" s="29">
        <v>1</v>
      </c>
      <c r="C397" s="29" t="s">
        <v>13</v>
      </c>
      <c r="D397" s="30">
        <v>18</v>
      </c>
      <c r="E397" s="66" t="s">
        <v>1181</v>
      </c>
      <c r="F397" s="66" t="s">
        <v>1182</v>
      </c>
      <c r="G397" s="187" t="s">
        <v>13283</v>
      </c>
      <c r="H397" s="29" t="s">
        <v>61</v>
      </c>
      <c r="I397" s="29" t="s">
        <v>61</v>
      </c>
      <c r="J397" s="98">
        <v>45645</v>
      </c>
      <c r="K397" s="98">
        <f t="shared" si="31"/>
        <v>46741</v>
      </c>
      <c r="L397" s="110" t="s">
        <v>62</v>
      </c>
      <c r="M397" s="112" t="str">
        <f t="shared" ca="1" si="33"/>
        <v>Em dia</v>
      </c>
      <c r="N397" s="112"/>
      <c r="O397" s="67">
        <f t="shared" ca="1" si="30"/>
        <v>553</v>
      </c>
      <c r="P397" s="67">
        <f t="shared" ca="1" si="34"/>
        <v>543</v>
      </c>
      <c r="Q397" t="str">
        <f t="shared" si="32"/>
        <v>JUR-18</v>
      </c>
    </row>
    <row r="398" spans="2:17" ht="15" customHeight="1" x14ac:dyDescent="0.35">
      <c r="B398" s="29">
        <v>1</v>
      </c>
      <c r="C398" s="29" t="s">
        <v>13</v>
      </c>
      <c r="D398" s="30">
        <v>19</v>
      </c>
      <c r="E398" s="66" t="s">
        <v>1183</v>
      </c>
      <c r="F398" s="66" t="s">
        <v>1184</v>
      </c>
      <c r="G398" s="187" t="s">
        <v>13283</v>
      </c>
      <c r="H398" s="29" t="s">
        <v>61</v>
      </c>
      <c r="I398" s="29" t="s">
        <v>61</v>
      </c>
      <c r="J398" s="98">
        <v>45959</v>
      </c>
      <c r="K398" s="98">
        <f t="shared" si="31"/>
        <v>47055</v>
      </c>
      <c r="L398" s="110" t="s">
        <v>62</v>
      </c>
      <c r="M398" s="112" t="str">
        <f t="shared" ca="1" si="33"/>
        <v>Em dia</v>
      </c>
      <c r="N398" s="112"/>
      <c r="O398" s="67">
        <f t="shared" ca="1" si="30"/>
        <v>239</v>
      </c>
      <c r="P398" s="67">
        <f t="shared" ca="1" si="34"/>
        <v>857</v>
      </c>
      <c r="Q398" t="str">
        <f t="shared" si="32"/>
        <v>JUR-19</v>
      </c>
    </row>
    <row r="399" spans="2:17" ht="15" customHeight="1" x14ac:dyDescent="0.35">
      <c r="B399" s="29">
        <v>1</v>
      </c>
      <c r="C399" s="29" t="s">
        <v>13</v>
      </c>
      <c r="D399" s="30">
        <v>20</v>
      </c>
      <c r="E399" s="66" t="s">
        <v>1185</v>
      </c>
      <c r="F399" s="66" t="s">
        <v>1186</v>
      </c>
      <c r="G399" s="66" t="s">
        <v>13284</v>
      </c>
      <c r="H399" s="29" t="s">
        <v>61</v>
      </c>
      <c r="I399" s="29" t="s">
        <v>61</v>
      </c>
      <c r="J399" s="98">
        <v>44889</v>
      </c>
      <c r="K399" s="98">
        <f t="shared" si="31"/>
        <v>45985</v>
      </c>
      <c r="L399" s="110" t="s">
        <v>62</v>
      </c>
      <c r="M399" s="112" t="str">
        <f t="shared" ca="1" si="33"/>
        <v>Vencido</v>
      </c>
      <c r="N399" s="112"/>
      <c r="O399" s="67">
        <f t="shared" ca="1" si="30"/>
        <v>1309</v>
      </c>
      <c r="P399" s="67">
        <f t="shared" ca="1" si="34"/>
        <v>-213</v>
      </c>
      <c r="Q399" t="str">
        <f t="shared" si="32"/>
        <v>JUR-20</v>
      </c>
    </row>
    <row r="400" spans="2:17" ht="15" customHeight="1" x14ac:dyDescent="0.35">
      <c r="B400" s="29">
        <v>1</v>
      </c>
      <c r="C400" s="29" t="s">
        <v>13</v>
      </c>
      <c r="D400" s="30">
        <v>21</v>
      </c>
      <c r="E400" s="66" t="s">
        <v>1187</v>
      </c>
      <c r="F400" s="66" t="s">
        <v>1188</v>
      </c>
      <c r="G400" s="187" t="s">
        <v>13283</v>
      </c>
      <c r="H400" s="29" t="s">
        <v>61</v>
      </c>
      <c r="I400" s="29" t="s">
        <v>61</v>
      </c>
      <c r="J400" s="98">
        <v>45645</v>
      </c>
      <c r="K400" s="98">
        <f t="shared" si="31"/>
        <v>46741</v>
      </c>
      <c r="L400" s="110" t="s">
        <v>62</v>
      </c>
      <c r="M400" s="112" t="str">
        <f t="shared" ca="1" si="33"/>
        <v>Em dia</v>
      </c>
      <c r="N400" s="112"/>
      <c r="O400" s="67">
        <f t="shared" ca="1" si="30"/>
        <v>553</v>
      </c>
      <c r="P400" s="67">
        <f t="shared" ca="1" si="34"/>
        <v>543</v>
      </c>
      <c r="Q400" t="str">
        <f t="shared" si="32"/>
        <v>JUR-21</v>
      </c>
    </row>
    <row r="401" spans="2:17" ht="15" customHeight="1" x14ac:dyDescent="0.35">
      <c r="B401" s="29">
        <v>1</v>
      </c>
      <c r="C401" s="29" t="s">
        <v>13</v>
      </c>
      <c r="D401" s="30">
        <v>22</v>
      </c>
      <c r="E401" s="66" t="s">
        <v>1189</v>
      </c>
      <c r="F401" s="66" t="s">
        <v>1190</v>
      </c>
      <c r="G401" s="66" t="s">
        <v>13284</v>
      </c>
      <c r="H401" s="29" t="s">
        <v>61</v>
      </c>
      <c r="I401" s="29" t="s">
        <v>61</v>
      </c>
      <c r="J401" s="98">
        <v>44739</v>
      </c>
      <c r="K401" s="98">
        <f t="shared" si="31"/>
        <v>45835</v>
      </c>
      <c r="L401" s="110" t="s">
        <v>62</v>
      </c>
      <c r="M401" s="112" t="str">
        <f t="shared" ca="1" si="33"/>
        <v>Vencido</v>
      </c>
      <c r="N401" s="112"/>
      <c r="O401" s="67">
        <f t="shared" ca="1" si="30"/>
        <v>1459</v>
      </c>
      <c r="P401" s="67">
        <f t="shared" ca="1" si="34"/>
        <v>-363</v>
      </c>
      <c r="Q401" t="str">
        <f t="shared" si="32"/>
        <v>JUR-22</v>
      </c>
    </row>
    <row r="402" spans="2:17" ht="15" customHeight="1" x14ac:dyDescent="0.35">
      <c r="B402" s="29">
        <v>1</v>
      </c>
      <c r="C402" s="29" t="s">
        <v>13</v>
      </c>
      <c r="D402" s="30">
        <v>23</v>
      </c>
      <c r="E402" s="66" t="s">
        <v>1191</v>
      </c>
      <c r="F402" s="66" t="s">
        <v>1192</v>
      </c>
      <c r="G402" s="187" t="s">
        <v>13284</v>
      </c>
      <c r="H402" s="29" t="s">
        <v>61</v>
      </c>
      <c r="I402" s="29" t="s">
        <v>61</v>
      </c>
      <c r="J402" s="98">
        <v>44739</v>
      </c>
      <c r="K402" s="98">
        <f t="shared" si="31"/>
        <v>45835</v>
      </c>
      <c r="L402" s="110" t="s">
        <v>62</v>
      </c>
      <c r="M402" s="112" t="str">
        <f t="shared" ca="1" si="33"/>
        <v>Vencido</v>
      </c>
      <c r="N402" s="112"/>
      <c r="O402" s="67">
        <f t="shared" ca="1" si="30"/>
        <v>1459</v>
      </c>
      <c r="P402" s="67">
        <f t="shared" ca="1" si="34"/>
        <v>-363</v>
      </c>
      <c r="Q402" t="str">
        <f t="shared" si="32"/>
        <v>JUR-23</v>
      </c>
    </row>
    <row r="403" spans="2:17" ht="15" customHeight="1" x14ac:dyDescent="0.35">
      <c r="B403" s="29">
        <v>1</v>
      </c>
      <c r="C403" s="29" t="s">
        <v>13</v>
      </c>
      <c r="D403" s="30">
        <v>24</v>
      </c>
      <c r="E403" s="66" t="s">
        <v>1193</v>
      </c>
      <c r="F403" s="66" t="s">
        <v>1194</v>
      </c>
      <c r="G403" s="187" t="s">
        <v>13284</v>
      </c>
      <c r="H403" s="29" t="s">
        <v>61</v>
      </c>
      <c r="I403" s="29" t="s">
        <v>61</v>
      </c>
      <c r="J403" s="98">
        <v>44739</v>
      </c>
      <c r="K403" s="98">
        <f t="shared" si="31"/>
        <v>45835</v>
      </c>
      <c r="L403" s="110" t="s">
        <v>62</v>
      </c>
      <c r="M403" s="112" t="str">
        <f t="shared" ca="1" si="33"/>
        <v>Vencido</v>
      </c>
      <c r="N403" s="112"/>
      <c r="O403" s="67">
        <f t="shared" ca="1" si="30"/>
        <v>1459</v>
      </c>
      <c r="P403" s="67">
        <f t="shared" ca="1" si="34"/>
        <v>-363</v>
      </c>
      <c r="Q403" t="str">
        <f t="shared" si="32"/>
        <v>JUR-24</v>
      </c>
    </row>
    <row r="404" spans="2:17" ht="15" customHeight="1" x14ac:dyDescent="0.35">
      <c r="B404" s="29">
        <v>1</v>
      </c>
      <c r="C404" s="29" t="s">
        <v>13</v>
      </c>
      <c r="D404" s="30">
        <v>25</v>
      </c>
      <c r="E404" s="66" t="s">
        <v>1195</v>
      </c>
      <c r="F404" s="66" t="s">
        <v>1196</v>
      </c>
      <c r="G404" s="187" t="s">
        <v>13283</v>
      </c>
      <c r="H404" s="29" t="s">
        <v>61</v>
      </c>
      <c r="I404" s="29" t="s">
        <v>61</v>
      </c>
      <c r="J404" s="98">
        <v>46009</v>
      </c>
      <c r="K404" s="98">
        <f t="shared" si="31"/>
        <v>47105</v>
      </c>
      <c r="L404" s="110" t="s">
        <v>62</v>
      </c>
      <c r="M404" s="112" t="str">
        <f t="shared" ca="1" si="33"/>
        <v>Em dia</v>
      </c>
      <c r="N404" s="112"/>
      <c r="O404" s="67">
        <f t="shared" ca="1" si="30"/>
        <v>189</v>
      </c>
      <c r="P404" s="67">
        <f t="shared" ca="1" si="34"/>
        <v>907</v>
      </c>
      <c r="Q404" t="str">
        <f t="shared" si="32"/>
        <v>JUR-25</v>
      </c>
    </row>
    <row r="405" spans="2:17" ht="15" customHeight="1" x14ac:dyDescent="0.35">
      <c r="B405" s="29">
        <v>1</v>
      </c>
      <c r="C405" s="29" t="s">
        <v>13</v>
      </c>
      <c r="D405" s="30">
        <v>26</v>
      </c>
      <c r="E405" s="66" t="s">
        <v>1197</v>
      </c>
      <c r="F405" s="66" t="s">
        <v>1198</v>
      </c>
      <c r="G405" s="187" t="s">
        <v>13284</v>
      </c>
      <c r="H405" s="29" t="s">
        <v>61</v>
      </c>
      <c r="I405" s="29" t="s">
        <v>61</v>
      </c>
      <c r="J405" s="98">
        <v>44739</v>
      </c>
      <c r="K405" s="98">
        <f t="shared" si="31"/>
        <v>45835</v>
      </c>
      <c r="L405" s="110" t="s">
        <v>62</v>
      </c>
      <c r="M405" s="112" t="str">
        <f t="shared" ca="1" si="33"/>
        <v>Vencido</v>
      </c>
      <c r="N405" s="112"/>
      <c r="O405" s="67">
        <f t="shared" ca="1" si="30"/>
        <v>1459</v>
      </c>
      <c r="P405" s="67">
        <f t="shared" ca="1" si="34"/>
        <v>-363</v>
      </c>
      <c r="Q405" t="str">
        <f t="shared" si="32"/>
        <v>JUR-26</v>
      </c>
    </row>
    <row r="406" spans="2:17" ht="15" customHeight="1" x14ac:dyDescent="0.35">
      <c r="B406" s="29">
        <v>1</v>
      </c>
      <c r="C406" s="29" t="s">
        <v>13</v>
      </c>
      <c r="D406" s="30">
        <v>27</v>
      </c>
      <c r="E406" s="66" t="s">
        <v>1199</v>
      </c>
      <c r="F406" s="66" t="s">
        <v>1200</v>
      </c>
      <c r="G406" s="187" t="s">
        <v>13284</v>
      </c>
      <c r="H406" s="29" t="s">
        <v>61</v>
      </c>
      <c r="I406" s="29" t="s">
        <v>61</v>
      </c>
      <c r="J406" s="98">
        <v>44739</v>
      </c>
      <c r="K406" s="98">
        <f t="shared" si="31"/>
        <v>45835</v>
      </c>
      <c r="L406" s="110" t="s">
        <v>62</v>
      </c>
      <c r="M406" s="112" t="str">
        <f t="shared" ca="1" si="33"/>
        <v>Vencido</v>
      </c>
      <c r="N406" s="112"/>
      <c r="O406" s="67">
        <f t="shared" ca="1" si="30"/>
        <v>1459</v>
      </c>
      <c r="P406" s="67">
        <f t="shared" ca="1" si="34"/>
        <v>-363</v>
      </c>
      <c r="Q406" t="str">
        <f t="shared" si="32"/>
        <v>JUR-27</v>
      </c>
    </row>
    <row r="407" spans="2:17" ht="15" customHeight="1" x14ac:dyDescent="0.35">
      <c r="B407" s="29">
        <v>1</v>
      </c>
      <c r="C407" s="29" t="s">
        <v>13</v>
      </c>
      <c r="D407" s="30">
        <v>28</v>
      </c>
      <c r="E407" s="66" t="s">
        <v>1201</v>
      </c>
      <c r="F407" s="66" t="s">
        <v>1202</v>
      </c>
      <c r="G407" s="187" t="s">
        <v>13284</v>
      </c>
      <c r="H407" s="29" t="s">
        <v>61</v>
      </c>
      <c r="I407" s="29" t="s">
        <v>61</v>
      </c>
      <c r="J407" s="98">
        <v>45202</v>
      </c>
      <c r="K407" s="98">
        <f t="shared" si="31"/>
        <v>46298</v>
      </c>
      <c r="L407" s="110" t="s">
        <v>62</v>
      </c>
      <c r="M407" s="112" t="str">
        <f t="shared" ca="1" si="33"/>
        <v>Alerta</v>
      </c>
      <c r="N407" s="112"/>
      <c r="O407" s="67">
        <f t="shared" ca="1" si="30"/>
        <v>996</v>
      </c>
      <c r="P407" s="67">
        <f t="shared" ca="1" si="34"/>
        <v>100</v>
      </c>
      <c r="Q407" t="str">
        <f t="shared" si="32"/>
        <v>JUR-28</v>
      </c>
    </row>
    <row r="408" spans="2:17" ht="15" customHeight="1" x14ac:dyDescent="0.35">
      <c r="B408" s="29">
        <v>1</v>
      </c>
      <c r="C408" s="29" t="s">
        <v>13</v>
      </c>
      <c r="D408" s="30" t="s">
        <v>464</v>
      </c>
      <c r="E408" s="66" t="s">
        <v>1203</v>
      </c>
      <c r="F408" s="66" t="s">
        <v>1204</v>
      </c>
      <c r="G408" s="187" t="s">
        <v>13284</v>
      </c>
      <c r="H408" s="29" t="s">
        <v>61</v>
      </c>
      <c r="I408" s="29" t="s">
        <v>61</v>
      </c>
      <c r="J408" s="98">
        <v>44838</v>
      </c>
      <c r="K408" s="98">
        <f t="shared" si="31"/>
        <v>45934</v>
      </c>
      <c r="L408" s="110" t="s">
        <v>62</v>
      </c>
      <c r="M408" s="112" t="str">
        <f t="shared" ca="1" si="33"/>
        <v>Vencido</v>
      </c>
      <c r="N408" s="112"/>
      <c r="O408" s="67">
        <f t="shared" ca="1" si="30"/>
        <v>1360</v>
      </c>
      <c r="P408" s="67">
        <f t="shared" ca="1" si="34"/>
        <v>-264</v>
      </c>
      <c r="Q408" t="str">
        <f t="shared" si="32"/>
        <v>JUR-30</v>
      </c>
    </row>
    <row r="409" spans="2:17" ht="15" customHeight="1" x14ac:dyDescent="0.35">
      <c r="B409" s="29">
        <v>1</v>
      </c>
      <c r="C409" s="29" t="s">
        <v>13</v>
      </c>
      <c r="D409" s="30" t="s">
        <v>467</v>
      </c>
      <c r="E409" s="66" t="s">
        <v>1205</v>
      </c>
      <c r="F409" s="66" t="s">
        <v>1206</v>
      </c>
      <c r="G409" s="187" t="s">
        <v>13284</v>
      </c>
      <c r="H409" s="29" t="s">
        <v>61</v>
      </c>
      <c r="I409" s="29" t="s">
        <v>61</v>
      </c>
      <c r="J409" s="98">
        <v>44838</v>
      </c>
      <c r="K409" s="98">
        <f t="shared" si="31"/>
        <v>45934</v>
      </c>
      <c r="L409" s="110" t="s">
        <v>62</v>
      </c>
      <c r="M409" s="112" t="str">
        <f t="shared" ca="1" si="33"/>
        <v>Vencido</v>
      </c>
      <c r="N409" s="112"/>
      <c r="O409" s="67">
        <f t="shared" ca="1" si="30"/>
        <v>1360</v>
      </c>
      <c r="P409" s="67">
        <f t="shared" ca="1" si="34"/>
        <v>-264</v>
      </c>
      <c r="Q409" t="str">
        <f t="shared" si="32"/>
        <v>JUR-30</v>
      </c>
    </row>
    <row r="410" spans="2:17" ht="15" customHeight="1" x14ac:dyDescent="0.35">
      <c r="B410" s="29">
        <v>1</v>
      </c>
      <c r="C410" s="29" t="s">
        <v>13</v>
      </c>
      <c r="D410" s="30">
        <v>29</v>
      </c>
      <c r="E410" s="66" t="s">
        <v>1207</v>
      </c>
      <c r="F410" s="66" t="s">
        <v>1208</v>
      </c>
      <c r="G410" s="187" t="s">
        <v>13284</v>
      </c>
      <c r="H410" s="29" t="s">
        <v>61</v>
      </c>
      <c r="I410" s="29" t="s">
        <v>61</v>
      </c>
      <c r="J410" s="98">
        <v>45202</v>
      </c>
      <c r="K410" s="98">
        <f t="shared" si="31"/>
        <v>46298</v>
      </c>
      <c r="L410" s="110" t="s">
        <v>62</v>
      </c>
      <c r="M410" s="112" t="str">
        <f t="shared" ca="1" si="33"/>
        <v>Alerta</v>
      </c>
      <c r="N410" s="112"/>
      <c r="O410" s="67">
        <f t="shared" ca="1" si="30"/>
        <v>996</v>
      </c>
      <c r="P410" s="67">
        <f t="shared" ca="1" si="34"/>
        <v>100</v>
      </c>
      <c r="Q410" t="str">
        <f t="shared" si="32"/>
        <v>JUR-29</v>
      </c>
    </row>
    <row r="411" spans="2:17" ht="15" customHeight="1" x14ac:dyDescent="0.35">
      <c r="B411" s="29">
        <v>1</v>
      </c>
      <c r="C411" s="29" t="s">
        <v>13</v>
      </c>
      <c r="D411" s="30">
        <v>33</v>
      </c>
      <c r="E411" s="66" t="s">
        <v>1209</v>
      </c>
      <c r="F411" s="66" t="s">
        <v>1210</v>
      </c>
      <c r="G411" s="187" t="s">
        <v>13284</v>
      </c>
      <c r="H411" s="29" t="s">
        <v>61</v>
      </c>
      <c r="I411" s="29" t="s">
        <v>61</v>
      </c>
      <c r="J411" s="98">
        <v>44739</v>
      </c>
      <c r="K411" s="98">
        <f t="shared" si="31"/>
        <v>45835</v>
      </c>
      <c r="L411" s="110" t="s">
        <v>62</v>
      </c>
      <c r="M411" s="112" t="str">
        <f t="shared" ca="1" si="33"/>
        <v>Vencido</v>
      </c>
      <c r="N411" s="112"/>
      <c r="O411" s="67">
        <f t="shared" ca="1" si="30"/>
        <v>1459</v>
      </c>
      <c r="P411" s="67">
        <f t="shared" ca="1" si="34"/>
        <v>-363</v>
      </c>
      <c r="Q411" t="str">
        <f t="shared" si="32"/>
        <v>JUR-33</v>
      </c>
    </row>
    <row r="412" spans="2:17" ht="15" customHeight="1" x14ac:dyDescent="0.35">
      <c r="B412" s="29">
        <v>1</v>
      </c>
      <c r="C412" s="29" t="s">
        <v>13</v>
      </c>
      <c r="D412" s="30">
        <v>40</v>
      </c>
      <c r="E412" s="66" t="s">
        <v>1211</v>
      </c>
      <c r="F412" s="66" t="s">
        <v>1212</v>
      </c>
      <c r="G412" s="187" t="s">
        <v>13283</v>
      </c>
      <c r="H412" s="29" t="s">
        <v>61</v>
      </c>
      <c r="I412" s="29"/>
      <c r="J412" s="98">
        <v>45202</v>
      </c>
      <c r="K412" s="98">
        <f t="shared" si="31"/>
        <v>46298</v>
      </c>
      <c r="L412" s="110" t="s">
        <v>62</v>
      </c>
      <c r="M412" s="112" t="str">
        <f t="shared" ca="1" si="33"/>
        <v>Alerta</v>
      </c>
      <c r="N412" s="112"/>
      <c r="O412" s="67">
        <f t="shared" ca="1" si="30"/>
        <v>996</v>
      </c>
      <c r="P412" s="67">
        <f t="shared" ca="1" si="34"/>
        <v>100</v>
      </c>
      <c r="Q412" t="str">
        <f t="shared" si="32"/>
        <v>JUR-40</v>
      </c>
    </row>
    <row r="413" spans="2:17" ht="15" customHeight="1" x14ac:dyDescent="0.35">
      <c r="B413" s="29">
        <v>1</v>
      </c>
      <c r="C413" s="29" t="s">
        <v>13</v>
      </c>
      <c r="D413" s="30">
        <v>41</v>
      </c>
      <c r="E413" s="66" t="s">
        <v>1213</v>
      </c>
      <c r="F413" s="66" t="s">
        <v>1214</v>
      </c>
      <c r="G413" s="187" t="s">
        <v>13283</v>
      </c>
      <c r="H413" s="29" t="s">
        <v>61</v>
      </c>
      <c r="I413" s="29"/>
      <c r="J413" s="98">
        <v>45202</v>
      </c>
      <c r="K413" s="98">
        <f t="shared" si="31"/>
        <v>46298</v>
      </c>
      <c r="L413" s="110" t="s">
        <v>62</v>
      </c>
      <c r="M413" s="112" t="str">
        <f t="shared" ca="1" si="33"/>
        <v>Alerta</v>
      </c>
      <c r="N413" s="112"/>
      <c r="O413" s="67">
        <f t="shared" ca="1" si="30"/>
        <v>996</v>
      </c>
      <c r="P413" s="67">
        <f t="shared" ca="1" si="34"/>
        <v>100</v>
      </c>
      <c r="Q413" t="str">
        <f t="shared" si="32"/>
        <v>JUR-41</v>
      </c>
    </row>
    <row r="414" spans="2:17" ht="15" customHeight="1" x14ac:dyDescent="0.35">
      <c r="B414" s="29">
        <v>1</v>
      </c>
      <c r="C414" s="29" t="s">
        <v>13</v>
      </c>
      <c r="D414" s="30">
        <v>51</v>
      </c>
      <c r="E414" s="66" t="s">
        <v>1215</v>
      </c>
      <c r="F414" s="66" t="s">
        <v>1216</v>
      </c>
      <c r="G414" s="187" t="s">
        <v>13283</v>
      </c>
      <c r="H414" s="29" t="s">
        <v>61</v>
      </c>
      <c r="I414" s="29" t="s">
        <v>61</v>
      </c>
      <c r="J414" s="98">
        <v>45959</v>
      </c>
      <c r="K414" s="98">
        <f t="shared" si="31"/>
        <v>47055</v>
      </c>
      <c r="L414" s="110" t="s">
        <v>62</v>
      </c>
      <c r="M414" s="112" t="str">
        <f t="shared" ca="1" si="33"/>
        <v>Em dia</v>
      </c>
      <c r="N414" s="112"/>
      <c r="O414" s="67">
        <f t="shared" ca="1" si="30"/>
        <v>239</v>
      </c>
      <c r="P414" s="67">
        <f t="shared" ca="1" si="34"/>
        <v>857</v>
      </c>
      <c r="Q414" t="str">
        <f t="shared" si="32"/>
        <v>JUR-51</v>
      </c>
    </row>
    <row r="415" spans="2:17" ht="15" customHeight="1" x14ac:dyDescent="0.35">
      <c r="B415" s="29">
        <v>1</v>
      </c>
      <c r="C415" s="29" t="s">
        <v>13</v>
      </c>
      <c r="D415" s="30">
        <v>58</v>
      </c>
      <c r="E415" s="66" t="s">
        <v>1217</v>
      </c>
      <c r="F415" s="66" t="s">
        <v>1218</v>
      </c>
      <c r="G415" s="66" t="s">
        <v>13284</v>
      </c>
      <c r="H415" s="29" t="s">
        <v>61</v>
      </c>
      <c r="I415" s="29" t="s">
        <v>61</v>
      </c>
      <c r="J415" s="98">
        <v>44739</v>
      </c>
      <c r="K415" s="98">
        <f t="shared" si="31"/>
        <v>45835</v>
      </c>
      <c r="L415" s="110" t="s">
        <v>62</v>
      </c>
      <c r="M415" s="112" t="str">
        <f t="shared" ca="1" si="33"/>
        <v>Vencido</v>
      </c>
      <c r="N415" s="112"/>
      <c r="O415" s="67">
        <f t="shared" ca="1" si="30"/>
        <v>1459</v>
      </c>
      <c r="P415" s="67">
        <f t="shared" ca="1" si="34"/>
        <v>-363</v>
      </c>
      <c r="Q415" t="str">
        <f t="shared" si="32"/>
        <v>JUR-58</v>
      </c>
    </row>
    <row r="416" spans="2:17" ht="15" customHeight="1" x14ac:dyDescent="0.35">
      <c r="B416" s="29">
        <v>1</v>
      </c>
      <c r="C416" s="29" t="s">
        <v>13</v>
      </c>
      <c r="D416" s="30">
        <v>59</v>
      </c>
      <c r="E416" s="66" t="s">
        <v>1219</v>
      </c>
      <c r="F416" s="66" t="s">
        <v>1220</v>
      </c>
      <c r="G416" s="187" t="s">
        <v>13283</v>
      </c>
      <c r="H416" s="29" t="s">
        <v>61</v>
      </c>
      <c r="I416" s="29" t="s">
        <v>61</v>
      </c>
      <c r="J416" s="98">
        <v>45462</v>
      </c>
      <c r="K416" s="98">
        <f t="shared" si="31"/>
        <v>46558</v>
      </c>
      <c r="L416" s="110" t="s">
        <v>62</v>
      </c>
      <c r="M416" s="112" t="str">
        <f t="shared" ca="1" si="33"/>
        <v>Alerta</v>
      </c>
      <c r="N416" s="112"/>
      <c r="O416" s="67">
        <f t="shared" ca="1" si="30"/>
        <v>736</v>
      </c>
      <c r="P416" s="67">
        <f t="shared" ca="1" si="34"/>
        <v>360</v>
      </c>
      <c r="Q416" t="str">
        <f t="shared" si="32"/>
        <v>JUR-59</v>
      </c>
    </row>
    <row r="417" spans="2:17" ht="15" customHeight="1" x14ac:dyDescent="0.35">
      <c r="B417" s="29">
        <v>1</v>
      </c>
      <c r="C417" s="29" t="s">
        <v>13</v>
      </c>
      <c r="D417" s="30">
        <v>60</v>
      </c>
      <c r="E417" s="66" t="s">
        <v>1221</v>
      </c>
      <c r="F417" s="66" t="s">
        <v>1222</v>
      </c>
      <c r="G417" s="187" t="s">
        <v>13284</v>
      </c>
      <c r="H417" s="29" t="s">
        <v>61</v>
      </c>
      <c r="I417" s="29" t="s">
        <v>61</v>
      </c>
      <c r="J417" s="98">
        <v>44819</v>
      </c>
      <c r="K417" s="98">
        <f t="shared" si="31"/>
        <v>45915</v>
      </c>
      <c r="L417" s="110" t="s">
        <v>62</v>
      </c>
      <c r="M417" s="112" t="str">
        <f t="shared" ca="1" si="33"/>
        <v>Vencido</v>
      </c>
      <c r="N417" s="112"/>
      <c r="O417" s="67">
        <f t="shared" ca="1" si="30"/>
        <v>1379</v>
      </c>
      <c r="P417" s="67">
        <f t="shared" ca="1" si="34"/>
        <v>-283</v>
      </c>
      <c r="Q417" t="str">
        <f t="shared" si="32"/>
        <v>JUR-60</v>
      </c>
    </row>
    <row r="418" spans="2:17" ht="15" customHeight="1" x14ac:dyDescent="0.35">
      <c r="B418" s="29">
        <v>1</v>
      </c>
      <c r="C418" s="29" t="s">
        <v>13</v>
      </c>
      <c r="D418" s="30">
        <v>61</v>
      </c>
      <c r="E418" s="66" t="s">
        <v>1223</v>
      </c>
      <c r="F418" s="66" t="s">
        <v>1224</v>
      </c>
      <c r="G418" s="187" t="s">
        <v>13284</v>
      </c>
      <c r="H418" s="29" t="s">
        <v>61</v>
      </c>
      <c r="I418" s="29" t="s">
        <v>61</v>
      </c>
      <c r="J418" s="98">
        <v>45202</v>
      </c>
      <c r="K418" s="98">
        <f t="shared" si="31"/>
        <v>46298</v>
      </c>
      <c r="L418" s="110" t="s">
        <v>62</v>
      </c>
      <c r="M418" s="112" t="str">
        <f t="shared" ca="1" si="33"/>
        <v>Alerta</v>
      </c>
      <c r="N418" s="112"/>
      <c r="O418" s="67">
        <f t="shared" ca="1" si="30"/>
        <v>996</v>
      </c>
      <c r="P418" s="67">
        <f t="shared" ca="1" si="34"/>
        <v>100</v>
      </c>
      <c r="Q418" t="str">
        <f t="shared" si="32"/>
        <v>JUR-61</v>
      </c>
    </row>
    <row r="419" spans="2:17" ht="15" customHeight="1" x14ac:dyDescent="0.35">
      <c r="B419" s="29">
        <v>1</v>
      </c>
      <c r="C419" s="29" t="s">
        <v>13</v>
      </c>
      <c r="D419" s="30">
        <v>62</v>
      </c>
      <c r="E419" s="66" t="s">
        <v>1225</v>
      </c>
      <c r="F419" s="66" t="s">
        <v>1226</v>
      </c>
      <c r="G419" s="187" t="s">
        <v>13284</v>
      </c>
      <c r="H419" s="29" t="s">
        <v>61</v>
      </c>
      <c r="I419" s="29" t="s">
        <v>61</v>
      </c>
      <c r="J419" s="98">
        <v>44926</v>
      </c>
      <c r="K419" s="98">
        <f t="shared" si="31"/>
        <v>46022</v>
      </c>
      <c r="L419" s="110" t="s">
        <v>62</v>
      </c>
      <c r="M419" s="112" t="str">
        <f t="shared" ca="1" si="33"/>
        <v>Vencido</v>
      </c>
      <c r="N419" s="112"/>
      <c r="O419" s="67">
        <f t="shared" ca="1" si="30"/>
        <v>1272</v>
      </c>
      <c r="P419" s="67">
        <f t="shared" ca="1" si="34"/>
        <v>-176</v>
      </c>
      <c r="Q419" t="str">
        <f t="shared" si="32"/>
        <v>JUR-62</v>
      </c>
    </row>
    <row r="420" spans="2:17" ht="15" customHeight="1" x14ac:dyDescent="0.35">
      <c r="B420" s="29">
        <v>1</v>
      </c>
      <c r="C420" s="29" t="s">
        <v>13</v>
      </c>
      <c r="D420" s="30">
        <v>65</v>
      </c>
      <c r="E420" s="66" t="s">
        <v>1227</v>
      </c>
      <c r="F420" s="66" t="s">
        <v>1228</v>
      </c>
      <c r="G420" s="187" t="s">
        <v>13284</v>
      </c>
      <c r="H420" s="29" t="s">
        <v>61</v>
      </c>
      <c r="I420" s="29" t="s">
        <v>61</v>
      </c>
      <c r="J420" s="98">
        <v>45202</v>
      </c>
      <c r="K420" s="98">
        <f t="shared" si="31"/>
        <v>46298</v>
      </c>
      <c r="L420" s="110" t="s">
        <v>62</v>
      </c>
      <c r="M420" s="112" t="str">
        <f t="shared" ca="1" si="33"/>
        <v>Alerta</v>
      </c>
      <c r="N420" s="112"/>
      <c r="O420" s="67">
        <f t="shared" ca="1" si="30"/>
        <v>996</v>
      </c>
      <c r="P420" s="67">
        <f t="shared" ca="1" si="34"/>
        <v>100</v>
      </c>
      <c r="Q420" t="str">
        <f t="shared" si="32"/>
        <v>JUR-65</v>
      </c>
    </row>
    <row r="421" spans="2:17" ht="15" customHeight="1" x14ac:dyDescent="0.35">
      <c r="B421" s="29">
        <v>1</v>
      </c>
      <c r="C421" s="29" t="s">
        <v>13</v>
      </c>
      <c r="D421" s="30">
        <v>65</v>
      </c>
      <c r="E421" s="66" t="s">
        <v>1229</v>
      </c>
      <c r="F421" s="66" t="s">
        <v>1230</v>
      </c>
      <c r="G421" s="187" t="s">
        <v>13284</v>
      </c>
      <c r="H421" s="29" t="s">
        <v>61</v>
      </c>
      <c r="I421" s="29" t="s">
        <v>61</v>
      </c>
      <c r="J421" s="98">
        <v>45202</v>
      </c>
      <c r="K421" s="98">
        <f t="shared" si="31"/>
        <v>46298</v>
      </c>
      <c r="L421" s="110" t="s">
        <v>62</v>
      </c>
      <c r="M421" s="112" t="str">
        <f t="shared" ca="1" si="33"/>
        <v>Alerta</v>
      </c>
      <c r="N421" s="112"/>
      <c r="O421" s="67">
        <f t="shared" ca="1" si="30"/>
        <v>996</v>
      </c>
      <c r="P421" s="67">
        <f t="shared" ca="1" si="34"/>
        <v>100</v>
      </c>
      <c r="Q421" t="str">
        <f t="shared" si="32"/>
        <v>JUR-65</v>
      </c>
    </row>
    <row r="422" spans="2:17" ht="15" customHeight="1" x14ac:dyDescent="0.35">
      <c r="B422" s="29">
        <v>1</v>
      </c>
      <c r="C422" s="29" t="s">
        <v>13</v>
      </c>
      <c r="D422" s="30">
        <v>67</v>
      </c>
      <c r="E422" s="66" t="s">
        <v>1231</v>
      </c>
      <c r="F422" s="66" t="s">
        <v>1232</v>
      </c>
      <c r="G422" s="187" t="s">
        <v>13284</v>
      </c>
      <c r="H422" s="29" t="s">
        <v>61</v>
      </c>
      <c r="I422" s="29" t="s">
        <v>61</v>
      </c>
      <c r="J422" s="98">
        <v>45202</v>
      </c>
      <c r="K422" s="98">
        <f t="shared" si="31"/>
        <v>46298</v>
      </c>
      <c r="L422" s="110" t="s">
        <v>62</v>
      </c>
      <c r="M422" s="112" t="str">
        <f t="shared" ca="1" si="33"/>
        <v>Alerta</v>
      </c>
      <c r="N422" s="112"/>
      <c r="O422" s="67">
        <f t="shared" ca="1" si="30"/>
        <v>996</v>
      </c>
      <c r="P422" s="67">
        <f t="shared" ca="1" si="34"/>
        <v>100</v>
      </c>
      <c r="Q422" t="str">
        <f t="shared" si="32"/>
        <v>JUR-67</v>
      </c>
    </row>
    <row r="423" spans="2:17" ht="15" customHeight="1" x14ac:dyDescent="0.35">
      <c r="B423" s="29">
        <v>1</v>
      </c>
      <c r="C423" s="29" t="s">
        <v>13</v>
      </c>
      <c r="D423" s="30">
        <v>71</v>
      </c>
      <c r="E423" s="66" t="s">
        <v>1233</v>
      </c>
      <c r="F423" s="66" t="s">
        <v>1234</v>
      </c>
      <c r="G423" s="26" t="s">
        <v>13282</v>
      </c>
      <c r="H423" s="29" t="s">
        <v>61</v>
      </c>
      <c r="I423" s="29" t="s">
        <v>61</v>
      </c>
      <c r="J423" s="98">
        <v>45202</v>
      </c>
      <c r="K423" s="98">
        <f t="shared" si="31"/>
        <v>46298</v>
      </c>
      <c r="L423" s="110" t="s">
        <v>62</v>
      </c>
      <c r="M423" s="112" t="str">
        <f t="shared" ca="1" si="33"/>
        <v>Alerta</v>
      </c>
      <c r="N423" s="112"/>
      <c r="O423" s="67">
        <f t="shared" ca="1" si="30"/>
        <v>996</v>
      </c>
      <c r="P423" s="67">
        <f t="shared" ca="1" si="34"/>
        <v>100</v>
      </c>
      <c r="Q423" t="str">
        <f t="shared" si="32"/>
        <v>JUR-71</v>
      </c>
    </row>
    <row r="424" spans="2:17" ht="15" customHeight="1" x14ac:dyDescent="0.35">
      <c r="B424" s="29">
        <v>1</v>
      </c>
      <c r="C424" s="29" t="s">
        <v>13</v>
      </c>
      <c r="D424" s="30">
        <v>30</v>
      </c>
      <c r="E424" s="66" t="s">
        <v>1235</v>
      </c>
      <c r="F424" s="66" t="s">
        <v>1236</v>
      </c>
      <c r="G424" s="187" t="s">
        <v>13284</v>
      </c>
      <c r="H424" s="29" t="s">
        <v>61</v>
      </c>
      <c r="I424" s="29" t="s">
        <v>61</v>
      </c>
      <c r="J424" s="98">
        <v>44838</v>
      </c>
      <c r="K424" s="98">
        <f t="shared" si="31"/>
        <v>45934</v>
      </c>
      <c r="L424" s="110" t="s">
        <v>62</v>
      </c>
      <c r="M424" s="112" t="str">
        <f t="shared" ca="1" si="33"/>
        <v>Vencido</v>
      </c>
      <c r="N424" s="112"/>
      <c r="O424" s="67">
        <f t="shared" ca="1" si="30"/>
        <v>1360</v>
      </c>
      <c r="P424" s="67">
        <f t="shared" ca="1" si="34"/>
        <v>-264</v>
      </c>
      <c r="Q424" t="str">
        <f t="shared" si="32"/>
        <v>JUR-30</v>
      </c>
    </row>
    <row r="425" spans="2:17" ht="15" customHeight="1" x14ac:dyDescent="0.35">
      <c r="B425" s="29">
        <v>1</v>
      </c>
      <c r="C425" s="29" t="s">
        <v>13</v>
      </c>
      <c r="D425" s="30">
        <v>31</v>
      </c>
      <c r="E425" s="66" t="s">
        <v>1237</v>
      </c>
      <c r="F425" s="66" t="s">
        <v>1238</v>
      </c>
      <c r="G425" s="187" t="s">
        <v>13284</v>
      </c>
      <c r="H425" s="29" t="s">
        <v>61</v>
      </c>
      <c r="I425" s="29" t="s">
        <v>61</v>
      </c>
      <c r="J425" s="98">
        <v>44838</v>
      </c>
      <c r="K425" s="98">
        <f t="shared" si="31"/>
        <v>45934</v>
      </c>
      <c r="L425" s="110" t="s">
        <v>62</v>
      </c>
      <c r="M425" s="112" t="str">
        <f t="shared" ca="1" si="33"/>
        <v>Vencido</v>
      </c>
      <c r="N425" s="112"/>
      <c r="O425" s="67">
        <f t="shared" ca="1" si="30"/>
        <v>1360</v>
      </c>
      <c r="P425" s="67">
        <f t="shared" ca="1" si="34"/>
        <v>-264</v>
      </c>
      <c r="Q425" t="str">
        <f t="shared" si="32"/>
        <v>JUR-31</v>
      </c>
    </row>
    <row r="426" spans="2:17" ht="15" customHeight="1" x14ac:dyDescent="0.35">
      <c r="B426" s="29">
        <v>1</v>
      </c>
      <c r="C426" s="29" t="s">
        <v>13</v>
      </c>
      <c r="D426" s="30">
        <v>32</v>
      </c>
      <c r="E426" s="66" t="s">
        <v>1239</v>
      </c>
      <c r="F426" s="66" t="s">
        <v>1240</v>
      </c>
      <c r="G426" s="187" t="s">
        <v>13284</v>
      </c>
      <c r="H426" s="29" t="s">
        <v>61</v>
      </c>
      <c r="I426" s="29" t="s">
        <v>61</v>
      </c>
      <c r="J426" s="98">
        <v>44838</v>
      </c>
      <c r="K426" s="98">
        <f t="shared" si="31"/>
        <v>45934</v>
      </c>
      <c r="L426" s="110" t="s">
        <v>62</v>
      </c>
      <c r="M426" s="112" t="str">
        <f t="shared" ca="1" si="33"/>
        <v>Vencido</v>
      </c>
      <c r="N426" s="112"/>
      <c r="O426" s="67">
        <f t="shared" ca="1" si="30"/>
        <v>1360</v>
      </c>
      <c r="P426" s="67">
        <f t="shared" ca="1" si="34"/>
        <v>-264</v>
      </c>
      <c r="Q426" t="str">
        <f t="shared" si="32"/>
        <v>JUR-32</v>
      </c>
    </row>
    <row r="427" spans="2:17" ht="15" customHeight="1" x14ac:dyDescent="0.35">
      <c r="B427" s="29">
        <v>1</v>
      </c>
      <c r="C427" s="29" t="s">
        <v>13</v>
      </c>
      <c r="D427" s="30">
        <v>34</v>
      </c>
      <c r="E427" s="66" t="s">
        <v>1241</v>
      </c>
      <c r="F427" s="66" t="s">
        <v>1242</v>
      </c>
      <c r="G427" s="187" t="s">
        <v>13284</v>
      </c>
      <c r="H427" s="29" t="s">
        <v>61</v>
      </c>
      <c r="I427" s="29" t="s">
        <v>61</v>
      </c>
      <c r="J427" s="98">
        <v>45202</v>
      </c>
      <c r="K427" s="98">
        <f t="shared" si="31"/>
        <v>46298</v>
      </c>
      <c r="L427" s="110" t="s">
        <v>62</v>
      </c>
      <c r="M427" s="112" t="str">
        <f t="shared" ca="1" si="33"/>
        <v>Alerta</v>
      </c>
      <c r="N427" s="112"/>
      <c r="O427" s="67">
        <f t="shared" ca="1" si="30"/>
        <v>996</v>
      </c>
      <c r="P427" s="67">
        <f t="shared" ca="1" si="34"/>
        <v>100</v>
      </c>
      <c r="Q427" t="str">
        <f t="shared" si="32"/>
        <v>JUR-34</v>
      </c>
    </row>
    <row r="428" spans="2:17" ht="15" customHeight="1" x14ac:dyDescent="0.35">
      <c r="B428" s="29">
        <v>1</v>
      </c>
      <c r="C428" s="29" t="s">
        <v>13</v>
      </c>
      <c r="D428" s="30">
        <v>35</v>
      </c>
      <c r="E428" s="66" t="s">
        <v>1243</v>
      </c>
      <c r="F428" s="66" t="s">
        <v>1244</v>
      </c>
      <c r="G428" s="187" t="s">
        <v>13284</v>
      </c>
      <c r="H428" s="29" t="s">
        <v>61</v>
      </c>
      <c r="I428" s="29" t="s">
        <v>61</v>
      </c>
      <c r="J428" s="98">
        <v>45274</v>
      </c>
      <c r="K428" s="98">
        <f t="shared" si="31"/>
        <v>46370</v>
      </c>
      <c r="L428" s="110" t="s">
        <v>62</v>
      </c>
      <c r="M428" s="112" t="str">
        <f t="shared" ca="1" si="33"/>
        <v>Alerta</v>
      </c>
      <c r="N428" s="112"/>
      <c r="O428" s="67">
        <f t="shared" ca="1" si="30"/>
        <v>924</v>
      </c>
      <c r="P428" s="67">
        <f t="shared" ca="1" si="34"/>
        <v>172</v>
      </c>
      <c r="Q428" t="str">
        <f t="shared" si="32"/>
        <v>JUR-35</v>
      </c>
    </row>
    <row r="429" spans="2:17" ht="15" customHeight="1" x14ac:dyDescent="0.35">
      <c r="B429" s="29">
        <v>1</v>
      </c>
      <c r="C429" s="29" t="s">
        <v>13</v>
      </c>
      <c r="D429" s="30">
        <v>63</v>
      </c>
      <c r="E429" s="66" t="s">
        <v>1245</v>
      </c>
      <c r="F429" s="66" t="s">
        <v>1246</v>
      </c>
      <c r="G429" s="187" t="s">
        <v>13284</v>
      </c>
      <c r="H429" s="29" t="s">
        <v>61</v>
      </c>
      <c r="I429" s="29" t="s">
        <v>61</v>
      </c>
      <c r="J429" s="98">
        <v>44838</v>
      </c>
      <c r="K429" s="98">
        <f t="shared" si="31"/>
        <v>45934</v>
      </c>
      <c r="L429" s="110" t="s">
        <v>62</v>
      </c>
      <c r="M429" s="112" t="str">
        <f t="shared" ca="1" si="33"/>
        <v>Vencido</v>
      </c>
      <c r="N429" s="112"/>
      <c r="O429" s="67">
        <f t="shared" ca="1" si="30"/>
        <v>1360</v>
      </c>
      <c r="P429" s="67">
        <f t="shared" ca="1" si="34"/>
        <v>-264</v>
      </c>
      <c r="Q429" t="str">
        <f t="shared" si="32"/>
        <v>JUR-63</v>
      </c>
    </row>
    <row r="430" spans="2:17" ht="15" customHeight="1" x14ac:dyDescent="0.35">
      <c r="B430" s="29">
        <v>10</v>
      </c>
      <c r="C430" s="29" t="s">
        <v>21</v>
      </c>
      <c r="D430" s="30">
        <v>0</v>
      </c>
      <c r="E430" s="66" t="s">
        <v>1247</v>
      </c>
      <c r="F430" s="65" t="s">
        <v>1248</v>
      </c>
      <c r="G430" s="26" t="s">
        <v>13301</v>
      </c>
      <c r="H430" s="29" t="s">
        <v>61</v>
      </c>
      <c r="I430" s="29"/>
      <c r="J430" s="98">
        <v>45202</v>
      </c>
      <c r="K430" s="98">
        <f t="shared" si="31"/>
        <v>46298</v>
      </c>
      <c r="L430" s="110" t="s">
        <v>62</v>
      </c>
      <c r="M430" s="112" t="str">
        <f t="shared" ca="1" si="33"/>
        <v>Alerta</v>
      </c>
      <c r="N430" s="112"/>
      <c r="O430" s="67">
        <f t="shared" ca="1" si="30"/>
        <v>996</v>
      </c>
      <c r="P430" s="67">
        <f t="shared" ca="1" si="34"/>
        <v>100</v>
      </c>
      <c r="Q430" t="str">
        <f t="shared" si="32"/>
        <v>PLM-00</v>
      </c>
    </row>
    <row r="431" spans="2:17" ht="15" customHeight="1" x14ac:dyDescent="0.35">
      <c r="B431" s="29">
        <v>10</v>
      </c>
      <c r="C431" s="29" t="s">
        <v>21</v>
      </c>
      <c r="D431" s="30">
        <v>1</v>
      </c>
      <c r="E431" s="66" t="s">
        <v>1249</v>
      </c>
      <c r="F431" s="66" t="s">
        <v>1250</v>
      </c>
      <c r="G431" s="187" t="s">
        <v>13284</v>
      </c>
      <c r="H431" s="29" t="s">
        <v>61</v>
      </c>
      <c r="I431" s="29" t="s">
        <v>61</v>
      </c>
      <c r="J431" s="98">
        <v>44739</v>
      </c>
      <c r="K431" s="98">
        <f t="shared" si="31"/>
        <v>45835</v>
      </c>
      <c r="L431" s="110" t="s">
        <v>62</v>
      </c>
      <c r="M431" s="112" t="str">
        <f t="shared" ca="1" si="33"/>
        <v>Vencido</v>
      </c>
      <c r="N431" s="112"/>
      <c r="O431" s="67">
        <f t="shared" ca="1" si="30"/>
        <v>1459</v>
      </c>
      <c r="P431" s="67">
        <f t="shared" ca="1" si="34"/>
        <v>-363</v>
      </c>
      <c r="Q431" t="str">
        <f t="shared" si="32"/>
        <v>PLM-01</v>
      </c>
    </row>
    <row r="432" spans="2:17" ht="15" customHeight="1" x14ac:dyDescent="0.35">
      <c r="B432" s="29">
        <v>10</v>
      </c>
      <c r="C432" s="29" t="s">
        <v>21</v>
      </c>
      <c r="D432" s="30">
        <v>2</v>
      </c>
      <c r="E432" s="66" t="s">
        <v>1251</v>
      </c>
      <c r="F432" s="66" t="s">
        <v>1252</v>
      </c>
      <c r="G432" s="26" t="s">
        <v>13284</v>
      </c>
      <c r="H432" s="29" t="s">
        <v>61</v>
      </c>
      <c r="I432" s="29" t="s">
        <v>61</v>
      </c>
      <c r="J432" s="98">
        <v>44739</v>
      </c>
      <c r="K432" s="98">
        <f t="shared" si="31"/>
        <v>45835</v>
      </c>
      <c r="L432" s="110" t="s">
        <v>62</v>
      </c>
      <c r="M432" s="112" t="str">
        <f t="shared" ca="1" si="33"/>
        <v>Vencido</v>
      </c>
      <c r="N432" s="112"/>
      <c r="O432" s="67">
        <f t="shared" ca="1" si="30"/>
        <v>1459</v>
      </c>
      <c r="P432" s="67">
        <f t="shared" ca="1" si="34"/>
        <v>-363</v>
      </c>
      <c r="Q432" t="str">
        <f t="shared" si="32"/>
        <v>PLM-02</v>
      </c>
    </row>
    <row r="433" spans="2:17" ht="15" customHeight="1" x14ac:dyDescent="0.35">
      <c r="B433" s="29">
        <v>10</v>
      </c>
      <c r="C433" s="29" t="s">
        <v>21</v>
      </c>
      <c r="D433" s="30">
        <v>3</v>
      </c>
      <c r="E433" s="66" t="s">
        <v>1253</v>
      </c>
      <c r="F433" s="66" t="s">
        <v>1254</v>
      </c>
      <c r="G433" s="26" t="s">
        <v>13283</v>
      </c>
      <c r="H433" s="29" t="s">
        <v>61</v>
      </c>
      <c r="I433" s="29" t="s">
        <v>61</v>
      </c>
      <c r="J433" s="98">
        <v>45506</v>
      </c>
      <c r="K433" s="98">
        <f t="shared" si="31"/>
        <v>46602</v>
      </c>
      <c r="L433" s="110" t="s">
        <v>62</v>
      </c>
      <c r="M433" s="112" t="str">
        <f t="shared" ca="1" si="33"/>
        <v>Em dia</v>
      </c>
      <c r="N433" s="112"/>
      <c r="O433" s="67">
        <f t="shared" ca="1" si="30"/>
        <v>692</v>
      </c>
      <c r="P433" s="67">
        <f t="shared" ca="1" si="34"/>
        <v>404</v>
      </c>
      <c r="Q433" t="str">
        <f t="shared" si="32"/>
        <v>PLM-03</v>
      </c>
    </row>
    <row r="434" spans="2:17" ht="15" customHeight="1" x14ac:dyDescent="0.35">
      <c r="B434" s="29">
        <v>10</v>
      </c>
      <c r="C434" s="29" t="s">
        <v>21</v>
      </c>
      <c r="D434" s="30">
        <v>4</v>
      </c>
      <c r="E434" s="66" t="s">
        <v>1255</v>
      </c>
      <c r="F434" s="66" t="s">
        <v>1256</v>
      </c>
      <c r="G434" s="186" t="s">
        <v>13283</v>
      </c>
      <c r="H434" s="29" t="s">
        <v>61</v>
      </c>
      <c r="I434" s="29" t="s">
        <v>61</v>
      </c>
      <c r="J434" s="98">
        <v>46104</v>
      </c>
      <c r="K434" s="98">
        <f t="shared" si="31"/>
        <v>47200</v>
      </c>
      <c r="L434" s="110" t="s">
        <v>62</v>
      </c>
      <c r="M434" s="112" t="str">
        <f t="shared" ca="1" si="33"/>
        <v>Em dia</v>
      </c>
      <c r="N434" s="112"/>
      <c r="O434" s="67">
        <f t="shared" ca="1" si="30"/>
        <v>94</v>
      </c>
      <c r="P434" s="67">
        <f t="shared" ca="1" si="34"/>
        <v>1002</v>
      </c>
      <c r="Q434" t="str">
        <f t="shared" si="32"/>
        <v>PLM-04</v>
      </c>
    </row>
    <row r="435" spans="2:17" ht="15" customHeight="1" x14ac:dyDescent="0.35">
      <c r="B435" s="29">
        <v>10</v>
      </c>
      <c r="C435" s="29" t="s">
        <v>21</v>
      </c>
      <c r="D435" s="30">
        <v>5</v>
      </c>
      <c r="E435" s="66" t="s">
        <v>1257</v>
      </c>
      <c r="F435" s="66" t="s">
        <v>1258</v>
      </c>
      <c r="G435" s="186" t="s">
        <v>13283</v>
      </c>
      <c r="H435" s="29" t="s">
        <v>61</v>
      </c>
      <c r="I435" s="29" t="s">
        <v>61</v>
      </c>
      <c r="J435" s="98">
        <v>46104</v>
      </c>
      <c r="K435" s="98">
        <f t="shared" si="31"/>
        <v>47200</v>
      </c>
      <c r="L435" s="110" t="s">
        <v>62</v>
      </c>
      <c r="M435" s="112" t="str">
        <f t="shared" ca="1" si="33"/>
        <v>Em dia</v>
      </c>
      <c r="N435" s="112"/>
      <c r="O435" s="67">
        <f t="shared" ca="1" si="30"/>
        <v>94</v>
      </c>
      <c r="P435" s="67">
        <f t="shared" ca="1" si="34"/>
        <v>1002</v>
      </c>
      <c r="Q435" t="str">
        <f t="shared" si="32"/>
        <v>PLM-05</v>
      </c>
    </row>
    <row r="436" spans="2:17" ht="15" customHeight="1" x14ac:dyDescent="0.35">
      <c r="B436" s="29">
        <v>10</v>
      </c>
      <c r="C436" s="29" t="s">
        <v>21</v>
      </c>
      <c r="D436" s="30">
        <v>6</v>
      </c>
      <c r="E436" s="66" t="s">
        <v>1259</v>
      </c>
      <c r="F436" s="66" t="s">
        <v>1260</v>
      </c>
      <c r="G436" s="186" t="s">
        <v>13283</v>
      </c>
      <c r="H436" s="29" t="s">
        <v>61</v>
      </c>
      <c r="I436" s="29" t="s">
        <v>61</v>
      </c>
      <c r="J436" s="98">
        <v>46104</v>
      </c>
      <c r="K436" s="98">
        <f t="shared" si="31"/>
        <v>47200</v>
      </c>
      <c r="L436" s="110" t="s">
        <v>62</v>
      </c>
      <c r="M436" s="112" t="str">
        <f t="shared" ca="1" si="33"/>
        <v>Em dia</v>
      </c>
      <c r="N436" s="112"/>
      <c r="O436" s="67">
        <f t="shared" ca="1" si="30"/>
        <v>94</v>
      </c>
      <c r="P436" s="67">
        <f t="shared" ca="1" si="34"/>
        <v>1002</v>
      </c>
      <c r="Q436" t="str">
        <f t="shared" si="32"/>
        <v>PLM-06</v>
      </c>
    </row>
    <row r="437" spans="2:17" ht="15" customHeight="1" x14ac:dyDescent="0.35">
      <c r="B437" s="29">
        <v>10</v>
      </c>
      <c r="C437" s="29" t="s">
        <v>21</v>
      </c>
      <c r="D437" s="30">
        <v>7</v>
      </c>
      <c r="E437" s="66" t="s">
        <v>1261</v>
      </c>
      <c r="F437" s="66" t="s">
        <v>1262</v>
      </c>
      <c r="G437" s="186" t="s">
        <v>13283</v>
      </c>
      <c r="H437" s="29" t="s">
        <v>61</v>
      </c>
      <c r="I437" s="29" t="s">
        <v>61</v>
      </c>
      <c r="J437" s="98">
        <v>45959</v>
      </c>
      <c r="K437" s="98">
        <f t="shared" si="31"/>
        <v>47055</v>
      </c>
      <c r="L437" s="110" t="s">
        <v>62</v>
      </c>
      <c r="M437" s="112" t="str">
        <f t="shared" ca="1" si="33"/>
        <v>Em dia</v>
      </c>
      <c r="N437" s="112"/>
      <c r="O437" s="67">
        <f t="shared" ca="1" si="30"/>
        <v>239</v>
      </c>
      <c r="P437" s="67">
        <f t="shared" ca="1" si="34"/>
        <v>857</v>
      </c>
      <c r="Q437" t="str">
        <f t="shared" si="32"/>
        <v>PLM-07</v>
      </c>
    </row>
    <row r="438" spans="2:17" ht="15" customHeight="1" x14ac:dyDescent="0.35">
      <c r="B438" s="29">
        <v>10</v>
      </c>
      <c r="C438" s="29" t="s">
        <v>21</v>
      </c>
      <c r="D438" s="30">
        <v>8</v>
      </c>
      <c r="E438" s="66" t="s">
        <v>1263</v>
      </c>
      <c r="F438" s="66" t="s">
        <v>1264</v>
      </c>
      <c r="G438" s="186" t="s">
        <v>13283</v>
      </c>
      <c r="H438" s="29" t="s">
        <v>61</v>
      </c>
      <c r="I438" s="29" t="s">
        <v>61</v>
      </c>
      <c r="J438" s="98">
        <v>45645</v>
      </c>
      <c r="K438" s="98">
        <f t="shared" si="31"/>
        <v>46741</v>
      </c>
      <c r="L438" s="110" t="s">
        <v>62</v>
      </c>
      <c r="M438" s="112" t="str">
        <f t="shared" ca="1" si="33"/>
        <v>Em dia</v>
      </c>
      <c r="N438" s="112"/>
      <c r="O438" s="67">
        <f t="shared" ca="1" si="30"/>
        <v>553</v>
      </c>
      <c r="P438" s="67">
        <f t="shared" ca="1" si="34"/>
        <v>543</v>
      </c>
      <c r="Q438" t="str">
        <f t="shared" si="32"/>
        <v>PLM-08</v>
      </c>
    </row>
    <row r="439" spans="2:17" ht="15" customHeight="1" x14ac:dyDescent="0.35">
      <c r="B439" s="29">
        <v>10</v>
      </c>
      <c r="C439" s="29" t="s">
        <v>21</v>
      </c>
      <c r="D439" s="30">
        <v>9</v>
      </c>
      <c r="E439" s="66" t="s">
        <v>1265</v>
      </c>
      <c r="F439" s="66" t="s">
        <v>1266</v>
      </c>
      <c r="G439" s="186" t="s">
        <v>13283</v>
      </c>
      <c r="H439" s="29" t="s">
        <v>61</v>
      </c>
      <c r="I439" s="29" t="s">
        <v>61</v>
      </c>
      <c r="J439" s="98">
        <v>45959</v>
      </c>
      <c r="K439" s="98">
        <f t="shared" si="31"/>
        <v>47055</v>
      </c>
      <c r="L439" s="110" t="s">
        <v>62</v>
      </c>
      <c r="M439" s="112" t="str">
        <f t="shared" ca="1" si="33"/>
        <v>Em dia</v>
      </c>
      <c r="N439" s="112"/>
      <c r="O439" s="67">
        <f t="shared" ca="1" si="30"/>
        <v>239</v>
      </c>
      <c r="P439" s="67">
        <f t="shared" ca="1" si="34"/>
        <v>857</v>
      </c>
      <c r="Q439" t="str">
        <f t="shared" si="32"/>
        <v>PLM-09</v>
      </c>
    </row>
    <row r="440" spans="2:17" ht="15" customHeight="1" x14ac:dyDescent="0.35">
      <c r="B440" s="29">
        <v>10</v>
      </c>
      <c r="C440" s="29" t="s">
        <v>21</v>
      </c>
      <c r="D440" s="30">
        <v>10</v>
      </c>
      <c r="E440" s="66" t="s">
        <v>1267</v>
      </c>
      <c r="F440" s="66" t="s">
        <v>1268</v>
      </c>
      <c r="G440" s="186" t="s">
        <v>13283</v>
      </c>
      <c r="H440" s="29" t="s">
        <v>61</v>
      </c>
      <c r="I440" s="29" t="s">
        <v>61</v>
      </c>
      <c r="J440" s="101">
        <v>45959</v>
      </c>
      <c r="K440" s="98">
        <f t="shared" si="31"/>
        <v>47055</v>
      </c>
      <c r="L440" s="110" t="s">
        <v>62</v>
      </c>
      <c r="M440" s="112" t="str">
        <f t="shared" ca="1" si="33"/>
        <v>Em dia</v>
      </c>
      <c r="N440" s="112"/>
      <c r="O440" s="67">
        <f t="shared" ca="1" si="30"/>
        <v>239</v>
      </c>
      <c r="P440" s="67">
        <f t="shared" ca="1" si="34"/>
        <v>857</v>
      </c>
      <c r="Q440" t="str">
        <f t="shared" si="32"/>
        <v>PLM-10</v>
      </c>
    </row>
    <row r="441" spans="2:17" ht="15" customHeight="1" x14ac:dyDescent="0.35">
      <c r="B441" s="29">
        <v>10</v>
      </c>
      <c r="C441" s="29" t="s">
        <v>21</v>
      </c>
      <c r="D441" s="30">
        <v>11</v>
      </c>
      <c r="E441" s="66" t="s">
        <v>1269</v>
      </c>
      <c r="F441" s="66" t="s">
        <v>1270</v>
      </c>
      <c r="G441" s="186" t="s">
        <v>13283</v>
      </c>
      <c r="H441" s="29" t="s">
        <v>61</v>
      </c>
      <c r="I441" s="29" t="s">
        <v>61</v>
      </c>
      <c r="J441" s="98">
        <v>46104</v>
      </c>
      <c r="K441" s="98">
        <f t="shared" si="31"/>
        <v>47200</v>
      </c>
      <c r="L441" s="110" t="s">
        <v>62</v>
      </c>
      <c r="M441" s="112" t="str">
        <f t="shared" ca="1" si="33"/>
        <v>Em dia</v>
      </c>
      <c r="N441" s="112"/>
      <c r="O441" s="67">
        <f t="shared" ca="1" si="30"/>
        <v>94</v>
      </c>
      <c r="P441" s="67">
        <f t="shared" ca="1" si="34"/>
        <v>1002</v>
      </c>
      <c r="Q441" t="str">
        <f t="shared" si="32"/>
        <v>PLM-11</v>
      </c>
    </row>
    <row r="442" spans="2:17" ht="15" customHeight="1" x14ac:dyDescent="0.35">
      <c r="B442" s="29">
        <v>10</v>
      </c>
      <c r="C442" s="29" t="s">
        <v>21</v>
      </c>
      <c r="D442" s="30">
        <v>12</v>
      </c>
      <c r="E442" s="66" t="s">
        <v>1271</v>
      </c>
      <c r="F442" s="66" t="s">
        <v>1272</v>
      </c>
      <c r="G442" s="186" t="s">
        <v>13283</v>
      </c>
      <c r="H442" s="29" t="s">
        <v>61</v>
      </c>
      <c r="I442" s="29" t="s">
        <v>61</v>
      </c>
      <c r="J442" s="98">
        <v>46104</v>
      </c>
      <c r="K442" s="98">
        <f t="shared" si="31"/>
        <v>47200</v>
      </c>
      <c r="L442" s="110" t="s">
        <v>62</v>
      </c>
      <c r="M442" s="112" t="str">
        <f t="shared" ca="1" si="33"/>
        <v>Em dia</v>
      </c>
      <c r="N442" s="112"/>
      <c r="O442" s="67">
        <f t="shared" ca="1" si="30"/>
        <v>94</v>
      </c>
      <c r="P442" s="67">
        <f t="shared" ca="1" si="34"/>
        <v>1002</v>
      </c>
      <c r="Q442" t="str">
        <f t="shared" si="32"/>
        <v>PLM-12</v>
      </c>
    </row>
    <row r="443" spans="2:17" ht="15" customHeight="1" x14ac:dyDescent="0.35">
      <c r="B443" s="29">
        <v>10</v>
      </c>
      <c r="C443" s="29" t="s">
        <v>21</v>
      </c>
      <c r="D443" s="30">
        <v>13</v>
      </c>
      <c r="E443" s="66" t="s">
        <v>1273</v>
      </c>
      <c r="F443" s="66" t="s">
        <v>1274</v>
      </c>
      <c r="G443" s="186" t="s">
        <v>13283</v>
      </c>
      <c r="H443" s="29" t="s">
        <v>61</v>
      </c>
      <c r="I443" s="29" t="s">
        <v>61</v>
      </c>
      <c r="J443" s="98">
        <v>46104</v>
      </c>
      <c r="K443" s="98">
        <f t="shared" si="31"/>
        <v>47200</v>
      </c>
      <c r="L443" s="110" t="s">
        <v>62</v>
      </c>
      <c r="M443" s="112" t="str">
        <f t="shared" ca="1" si="33"/>
        <v>Em dia</v>
      </c>
      <c r="N443" s="112"/>
      <c r="O443" s="67">
        <f t="shared" ca="1" si="30"/>
        <v>94</v>
      </c>
      <c r="P443" s="67">
        <f t="shared" ca="1" si="34"/>
        <v>1002</v>
      </c>
      <c r="Q443" t="str">
        <f t="shared" si="32"/>
        <v>PLM-13</v>
      </c>
    </row>
    <row r="444" spans="2:17" ht="15" customHeight="1" x14ac:dyDescent="0.35">
      <c r="B444" s="29">
        <v>10</v>
      </c>
      <c r="C444" s="29" t="s">
        <v>21</v>
      </c>
      <c r="D444" s="30">
        <v>14</v>
      </c>
      <c r="E444" s="66" t="s">
        <v>1275</v>
      </c>
      <c r="F444" s="66" t="s">
        <v>1276</v>
      </c>
      <c r="G444" s="186" t="s">
        <v>13283</v>
      </c>
      <c r="H444" s="29" t="s">
        <v>61</v>
      </c>
      <c r="I444" s="29" t="s">
        <v>61</v>
      </c>
      <c r="J444" s="98">
        <v>45202</v>
      </c>
      <c r="K444" s="98">
        <f t="shared" si="31"/>
        <v>46298</v>
      </c>
      <c r="L444" s="110" t="s">
        <v>62</v>
      </c>
      <c r="M444" s="112" t="str">
        <f t="shared" ca="1" si="33"/>
        <v>Alerta</v>
      </c>
      <c r="N444" s="112"/>
      <c r="O444" s="67">
        <f t="shared" ca="1" si="30"/>
        <v>996</v>
      </c>
      <c r="P444" s="67">
        <f t="shared" ca="1" si="34"/>
        <v>100</v>
      </c>
      <c r="Q444" t="str">
        <f t="shared" si="32"/>
        <v>PLM-14</v>
      </c>
    </row>
    <row r="445" spans="2:17" ht="15" customHeight="1" x14ac:dyDescent="0.35">
      <c r="B445" s="29">
        <v>10</v>
      </c>
      <c r="C445" s="29" t="s">
        <v>21</v>
      </c>
      <c r="D445" s="30">
        <v>15</v>
      </c>
      <c r="E445" s="66" t="s">
        <v>1277</v>
      </c>
      <c r="F445" s="66" t="s">
        <v>1278</v>
      </c>
      <c r="G445" s="66" t="s">
        <v>13283</v>
      </c>
      <c r="H445" s="29" t="s">
        <v>61</v>
      </c>
      <c r="I445" s="29" t="s">
        <v>61</v>
      </c>
      <c r="J445" s="98">
        <v>46104</v>
      </c>
      <c r="K445" s="98">
        <f t="shared" si="31"/>
        <v>47200</v>
      </c>
      <c r="L445" s="110" t="s">
        <v>62</v>
      </c>
      <c r="M445" s="112" t="str">
        <f t="shared" ca="1" si="33"/>
        <v>Em dia</v>
      </c>
      <c r="N445" s="112"/>
      <c r="O445" s="67">
        <f t="shared" ca="1" si="30"/>
        <v>94</v>
      </c>
      <c r="P445" s="67">
        <f t="shared" ca="1" si="34"/>
        <v>1002</v>
      </c>
      <c r="Q445" t="str">
        <f t="shared" si="32"/>
        <v>PLM-15</v>
      </c>
    </row>
    <row r="446" spans="2:17" ht="15" customHeight="1" x14ac:dyDescent="0.35">
      <c r="B446" s="29">
        <v>10</v>
      </c>
      <c r="C446" s="29" t="s">
        <v>21</v>
      </c>
      <c r="D446" s="30">
        <v>17</v>
      </c>
      <c r="E446" s="66" t="s">
        <v>1279</v>
      </c>
      <c r="F446" s="66" t="s">
        <v>1280</v>
      </c>
      <c r="G446" s="66" t="s">
        <v>13283</v>
      </c>
      <c r="H446" s="29" t="s">
        <v>61</v>
      </c>
      <c r="I446" s="29" t="s">
        <v>61</v>
      </c>
      <c r="J446" s="98">
        <v>45202</v>
      </c>
      <c r="K446" s="98">
        <f t="shared" si="31"/>
        <v>46298</v>
      </c>
      <c r="L446" s="110" t="s">
        <v>62</v>
      </c>
      <c r="M446" s="112" t="str">
        <f t="shared" ca="1" si="33"/>
        <v>Alerta</v>
      </c>
      <c r="N446" s="112"/>
      <c r="O446" s="67">
        <f t="shared" ca="1" si="30"/>
        <v>996</v>
      </c>
      <c r="P446" s="67">
        <f t="shared" ca="1" si="34"/>
        <v>100</v>
      </c>
      <c r="Q446" t="str">
        <f t="shared" si="32"/>
        <v>PLM-17</v>
      </c>
    </row>
    <row r="447" spans="2:17" ht="15" customHeight="1" x14ac:dyDescent="0.35">
      <c r="B447" s="29">
        <v>10</v>
      </c>
      <c r="C447" s="29" t="s">
        <v>21</v>
      </c>
      <c r="D447" s="30">
        <v>18</v>
      </c>
      <c r="E447" s="66" t="s">
        <v>1281</v>
      </c>
      <c r="F447" s="66" t="s">
        <v>1282</v>
      </c>
      <c r="G447" s="187" t="s">
        <v>13283</v>
      </c>
      <c r="H447" s="29" t="s">
        <v>61</v>
      </c>
      <c r="I447" s="29" t="s">
        <v>61</v>
      </c>
      <c r="J447" s="98">
        <v>45645</v>
      </c>
      <c r="K447" s="98">
        <f t="shared" si="31"/>
        <v>46741</v>
      </c>
      <c r="L447" s="110" t="s">
        <v>62</v>
      </c>
      <c r="M447" s="112" t="str">
        <f t="shared" ca="1" si="33"/>
        <v>Em dia</v>
      </c>
      <c r="N447" s="112"/>
      <c r="O447" s="67">
        <f t="shared" ca="1" si="30"/>
        <v>553</v>
      </c>
      <c r="P447" s="67">
        <f t="shared" ca="1" si="34"/>
        <v>543</v>
      </c>
      <c r="Q447" t="str">
        <f t="shared" si="32"/>
        <v>PLM-18</v>
      </c>
    </row>
    <row r="448" spans="2:17" ht="15" customHeight="1" x14ac:dyDescent="0.35">
      <c r="B448" s="29">
        <v>10</v>
      </c>
      <c r="C448" s="29" t="s">
        <v>21</v>
      </c>
      <c r="D448" s="30">
        <v>19</v>
      </c>
      <c r="E448" s="66" t="s">
        <v>1283</v>
      </c>
      <c r="F448" s="66" t="s">
        <v>1284</v>
      </c>
      <c r="G448" s="187" t="s">
        <v>13283</v>
      </c>
      <c r="H448" s="29" t="s">
        <v>61</v>
      </c>
      <c r="I448" s="29" t="s">
        <v>61</v>
      </c>
      <c r="J448" s="98">
        <v>45959</v>
      </c>
      <c r="K448" s="98">
        <f t="shared" si="31"/>
        <v>47055</v>
      </c>
      <c r="L448" s="110" t="s">
        <v>62</v>
      </c>
      <c r="M448" s="112" t="str">
        <f t="shared" ca="1" si="33"/>
        <v>Em dia</v>
      </c>
      <c r="N448" s="112"/>
      <c r="O448" s="67">
        <f t="shared" ca="1" si="30"/>
        <v>239</v>
      </c>
      <c r="P448" s="67">
        <f t="shared" ca="1" si="34"/>
        <v>857</v>
      </c>
      <c r="Q448" t="str">
        <f t="shared" si="32"/>
        <v>PLM-19</v>
      </c>
    </row>
    <row r="449" spans="2:17" ht="15" customHeight="1" x14ac:dyDescent="0.35">
      <c r="B449" s="29">
        <v>10</v>
      </c>
      <c r="C449" s="29" t="s">
        <v>21</v>
      </c>
      <c r="D449" s="30">
        <v>20</v>
      </c>
      <c r="E449" s="66" t="s">
        <v>1285</v>
      </c>
      <c r="F449" s="66" t="s">
        <v>1286</v>
      </c>
      <c r="G449" s="66" t="s">
        <v>13284</v>
      </c>
      <c r="H449" s="29" t="s">
        <v>61</v>
      </c>
      <c r="I449" s="29" t="s">
        <v>61</v>
      </c>
      <c r="J449" s="98">
        <v>44889</v>
      </c>
      <c r="K449" s="98">
        <f t="shared" si="31"/>
        <v>45985</v>
      </c>
      <c r="L449" s="110" t="s">
        <v>62</v>
      </c>
      <c r="M449" s="112" t="str">
        <f t="shared" ca="1" si="33"/>
        <v>Vencido</v>
      </c>
      <c r="N449" s="112"/>
      <c r="O449" s="67">
        <f t="shared" ca="1" si="30"/>
        <v>1309</v>
      </c>
      <c r="P449" s="67">
        <f t="shared" ca="1" si="34"/>
        <v>-213</v>
      </c>
      <c r="Q449" t="str">
        <f t="shared" si="32"/>
        <v>PLM-20</v>
      </c>
    </row>
    <row r="450" spans="2:17" ht="15" customHeight="1" x14ac:dyDescent="0.35">
      <c r="B450" s="29">
        <v>10</v>
      </c>
      <c r="C450" s="29" t="s">
        <v>21</v>
      </c>
      <c r="D450" s="30">
        <v>21</v>
      </c>
      <c r="E450" s="66" t="s">
        <v>1287</v>
      </c>
      <c r="F450" s="66" t="s">
        <v>1288</v>
      </c>
      <c r="G450" s="187" t="s">
        <v>13283</v>
      </c>
      <c r="H450" s="29" t="s">
        <v>61</v>
      </c>
      <c r="I450" s="29" t="s">
        <v>61</v>
      </c>
      <c r="J450" s="98">
        <v>45645</v>
      </c>
      <c r="K450" s="98">
        <f t="shared" si="31"/>
        <v>46741</v>
      </c>
      <c r="L450" s="110" t="s">
        <v>62</v>
      </c>
      <c r="M450" s="112" t="str">
        <f t="shared" ca="1" si="33"/>
        <v>Em dia</v>
      </c>
      <c r="N450" s="112"/>
      <c r="O450" s="67">
        <f t="shared" ca="1" si="30"/>
        <v>553</v>
      </c>
      <c r="P450" s="67">
        <f t="shared" ca="1" si="34"/>
        <v>543</v>
      </c>
      <c r="Q450" t="str">
        <f t="shared" si="32"/>
        <v>PLM-21</v>
      </c>
    </row>
    <row r="451" spans="2:17" ht="15" customHeight="1" x14ac:dyDescent="0.35">
      <c r="B451" s="29">
        <v>10</v>
      </c>
      <c r="C451" s="29" t="s">
        <v>21</v>
      </c>
      <c r="D451" s="30">
        <v>22</v>
      </c>
      <c r="E451" s="66" t="s">
        <v>1289</v>
      </c>
      <c r="F451" s="66" t="s">
        <v>1290</v>
      </c>
      <c r="G451" s="66" t="s">
        <v>13284</v>
      </c>
      <c r="H451" s="29" t="s">
        <v>61</v>
      </c>
      <c r="I451" s="29" t="s">
        <v>61</v>
      </c>
      <c r="J451" s="98">
        <v>44739</v>
      </c>
      <c r="K451" s="98">
        <f t="shared" si="31"/>
        <v>45835</v>
      </c>
      <c r="L451" s="110" t="s">
        <v>62</v>
      </c>
      <c r="M451" s="112" t="str">
        <f t="shared" ca="1" si="33"/>
        <v>Vencido</v>
      </c>
      <c r="N451" s="112"/>
      <c r="O451" s="67">
        <f t="shared" ca="1" si="30"/>
        <v>1459</v>
      </c>
      <c r="P451" s="67">
        <f t="shared" ca="1" si="34"/>
        <v>-363</v>
      </c>
      <c r="Q451" t="str">
        <f t="shared" si="32"/>
        <v>PLM-22</v>
      </c>
    </row>
    <row r="452" spans="2:17" ht="15" customHeight="1" x14ac:dyDescent="0.35">
      <c r="B452" s="29">
        <v>10</v>
      </c>
      <c r="C452" s="29" t="s">
        <v>21</v>
      </c>
      <c r="D452" s="30">
        <v>23</v>
      </c>
      <c r="E452" s="66" t="s">
        <v>1291</v>
      </c>
      <c r="F452" s="66" t="s">
        <v>1292</v>
      </c>
      <c r="G452" s="187" t="s">
        <v>13284</v>
      </c>
      <c r="H452" s="29" t="s">
        <v>61</v>
      </c>
      <c r="I452" s="29" t="s">
        <v>61</v>
      </c>
      <c r="J452" s="98">
        <v>44739</v>
      </c>
      <c r="K452" s="98">
        <f t="shared" si="31"/>
        <v>45835</v>
      </c>
      <c r="L452" s="110" t="s">
        <v>62</v>
      </c>
      <c r="M452" s="112" t="str">
        <f t="shared" ca="1" si="33"/>
        <v>Vencido</v>
      </c>
      <c r="N452" s="112"/>
      <c r="O452" s="67">
        <f t="shared" ref="O452:O515" ca="1" si="35">$O$4-J452</f>
        <v>1459</v>
      </c>
      <c r="P452" s="67">
        <f t="shared" ca="1" si="34"/>
        <v>-363</v>
      </c>
      <c r="Q452" t="str">
        <f t="shared" si="32"/>
        <v>PLM-23</v>
      </c>
    </row>
    <row r="453" spans="2:17" ht="15" customHeight="1" x14ac:dyDescent="0.35">
      <c r="B453" s="29">
        <v>10</v>
      </c>
      <c r="C453" s="29" t="s">
        <v>21</v>
      </c>
      <c r="D453" s="30">
        <v>24</v>
      </c>
      <c r="E453" s="66" t="s">
        <v>1293</v>
      </c>
      <c r="F453" s="66" t="s">
        <v>1294</v>
      </c>
      <c r="G453" s="187" t="s">
        <v>13284</v>
      </c>
      <c r="H453" s="29" t="s">
        <v>61</v>
      </c>
      <c r="I453" s="29" t="s">
        <v>61</v>
      </c>
      <c r="J453" s="98">
        <v>44739</v>
      </c>
      <c r="K453" s="98">
        <f t="shared" ref="K453:K516" si="36">J453+1096</f>
        <v>45835</v>
      </c>
      <c r="L453" s="110" t="s">
        <v>62</v>
      </c>
      <c r="M453" s="112" t="str">
        <f t="shared" ca="1" si="33"/>
        <v>Vencido</v>
      </c>
      <c r="N453" s="112"/>
      <c r="O453" s="67">
        <f t="shared" ca="1" si="35"/>
        <v>1459</v>
      </c>
      <c r="P453" s="67">
        <f t="shared" ca="1" si="34"/>
        <v>-363</v>
      </c>
      <c r="Q453" t="str">
        <f t="shared" ref="Q453:Q516" si="37">IF(OR(C453="ARN",C453="SDP"),MID(E453,4,7),MID(E453,4,6))</f>
        <v>PLM-24</v>
      </c>
    </row>
    <row r="454" spans="2:17" ht="15" customHeight="1" x14ac:dyDescent="0.35">
      <c r="B454" s="29">
        <v>10</v>
      </c>
      <c r="C454" s="29" t="s">
        <v>21</v>
      </c>
      <c r="D454" s="30">
        <v>25</v>
      </c>
      <c r="E454" s="66" t="s">
        <v>1295</v>
      </c>
      <c r="F454" s="66" t="s">
        <v>1296</v>
      </c>
      <c r="G454" s="187" t="s">
        <v>13283</v>
      </c>
      <c r="H454" s="29" t="s">
        <v>61</v>
      </c>
      <c r="I454" s="29" t="s">
        <v>61</v>
      </c>
      <c r="J454" s="98">
        <v>46009</v>
      </c>
      <c r="K454" s="98">
        <f t="shared" si="36"/>
        <v>47105</v>
      </c>
      <c r="L454" s="110" t="s">
        <v>62</v>
      </c>
      <c r="M454" s="112" t="str">
        <f t="shared" ref="M454:M517" ca="1" si="38">IF(O454="","",IF(O454&gt;1095,"Vencido",IF(O454&gt;910,"Alerta",IF(O454&gt;820,"Alerta",IF(O454&gt;730,"Alerta",IF(O454&gt;=0,"Em dia","Vencido"))))))</f>
        <v>Em dia</v>
      </c>
      <c r="N454" s="112"/>
      <c r="O454" s="67">
        <f t="shared" ca="1" si="35"/>
        <v>189</v>
      </c>
      <c r="P454" s="67">
        <f t="shared" ref="P454:P517" ca="1" si="39">K454-$P$3</f>
        <v>907</v>
      </c>
      <c r="Q454" t="str">
        <f t="shared" si="37"/>
        <v>PLM-25</v>
      </c>
    </row>
    <row r="455" spans="2:17" ht="15" customHeight="1" x14ac:dyDescent="0.35">
      <c r="B455" s="29">
        <v>10</v>
      </c>
      <c r="C455" s="29" t="s">
        <v>21</v>
      </c>
      <c r="D455" s="30">
        <v>26</v>
      </c>
      <c r="E455" s="66" t="s">
        <v>1297</v>
      </c>
      <c r="F455" s="66" t="s">
        <v>1298</v>
      </c>
      <c r="G455" s="187" t="s">
        <v>13284</v>
      </c>
      <c r="H455" s="29" t="s">
        <v>61</v>
      </c>
      <c r="I455" s="29" t="s">
        <v>61</v>
      </c>
      <c r="J455" s="98">
        <v>44739</v>
      </c>
      <c r="K455" s="98">
        <f t="shared" si="36"/>
        <v>45835</v>
      </c>
      <c r="L455" s="110" t="s">
        <v>62</v>
      </c>
      <c r="M455" s="112" t="str">
        <f t="shared" ca="1" si="38"/>
        <v>Vencido</v>
      </c>
      <c r="N455" s="112"/>
      <c r="O455" s="67">
        <f t="shared" ca="1" si="35"/>
        <v>1459</v>
      </c>
      <c r="P455" s="67">
        <f t="shared" ca="1" si="39"/>
        <v>-363</v>
      </c>
      <c r="Q455" t="str">
        <f t="shared" si="37"/>
        <v>PLM-26</v>
      </c>
    </row>
    <row r="456" spans="2:17" ht="15" customHeight="1" x14ac:dyDescent="0.35">
      <c r="B456" s="29">
        <v>10</v>
      </c>
      <c r="C456" s="29" t="s">
        <v>21</v>
      </c>
      <c r="D456" s="30">
        <v>27</v>
      </c>
      <c r="E456" s="66" t="s">
        <v>1299</v>
      </c>
      <c r="F456" s="66" t="s">
        <v>1300</v>
      </c>
      <c r="G456" s="187" t="s">
        <v>13284</v>
      </c>
      <c r="H456" s="29" t="s">
        <v>61</v>
      </c>
      <c r="I456" s="29" t="s">
        <v>61</v>
      </c>
      <c r="J456" s="98">
        <v>44739</v>
      </c>
      <c r="K456" s="98">
        <f t="shared" si="36"/>
        <v>45835</v>
      </c>
      <c r="L456" s="110" t="s">
        <v>62</v>
      </c>
      <c r="M456" s="112" t="str">
        <f t="shared" ca="1" si="38"/>
        <v>Vencido</v>
      </c>
      <c r="N456" s="112"/>
      <c r="O456" s="67">
        <f t="shared" ca="1" si="35"/>
        <v>1459</v>
      </c>
      <c r="P456" s="67">
        <f t="shared" ca="1" si="39"/>
        <v>-363</v>
      </c>
      <c r="Q456" t="str">
        <f t="shared" si="37"/>
        <v>PLM-27</v>
      </c>
    </row>
    <row r="457" spans="2:17" ht="15" customHeight="1" x14ac:dyDescent="0.35">
      <c r="B457" s="29">
        <v>10</v>
      </c>
      <c r="C457" s="29" t="s">
        <v>21</v>
      </c>
      <c r="D457" s="30">
        <v>28</v>
      </c>
      <c r="E457" s="66" t="s">
        <v>1301</v>
      </c>
      <c r="F457" s="66" t="s">
        <v>1302</v>
      </c>
      <c r="G457" s="187" t="s">
        <v>13284</v>
      </c>
      <c r="H457" s="29" t="s">
        <v>61</v>
      </c>
      <c r="I457" s="29" t="s">
        <v>61</v>
      </c>
      <c r="J457" s="98">
        <v>45202</v>
      </c>
      <c r="K457" s="98">
        <f t="shared" si="36"/>
        <v>46298</v>
      </c>
      <c r="L457" s="110" t="s">
        <v>62</v>
      </c>
      <c r="M457" s="112" t="str">
        <f t="shared" ca="1" si="38"/>
        <v>Alerta</v>
      </c>
      <c r="N457" s="112"/>
      <c r="O457" s="67">
        <f t="shared" ca="1" si="35"/>
        <v>996</v>
      </c>
      <c r="P457" s="67">
        <f t="shared" ca="1" si="39"/>
        <v>100</v>
      </c>
      <c r="Q457" t="str">
        <f t="shared" si="37"/>
        <v>PLM-28</v>
      </c>
    </row>
    <row r="458" spans="2:17" ht="15" customHeight="1" x14ac:dyDescent="0.35">
      <c r="B458" s="29">
        <v>10</v>
      </c>
      <c r="C458" s="29" t="s">
        <v>21</v>
      </c>
      <c r="D458" s="30">
        <v>29</v>
      </c>
      <c r="E458" s="66" t="s">
        <v>1303</v>
      </c>
      <c r="F458" s="66" t="s">
        <v>1304</v>
      </c>
      <c r="G458" s="187" t="s">
        <v>13284</v>
      </c>
      <c r="H458" s="29" t="s">
        <v>61</v>
      </c>
      <c r="I458" s="29" t="s">
        <v>61</v>
      </c>
      <c r="J458" s="98">
        <v>45202</v>
      </c>
      <c r="K458" s="98">
        <f t="shared" si="36"/>
        <v>46298</v>
      </c>
      <c r="L458" s="110" t="s">
        <v>62</v>
      </c>
      <c r="M458" s="112" t="str">
        <f t="shared" ca="1" si="38"/>
        <v>Alerta</v>
      </c>
      <c r="N458" s="112"/>
      <c r="O458" s="67">
        <f t="shared" ca="1" si="35"/>
        <v>996</v>
      </c>
      <c r="P458" s="67">
        <f t="shared" ca="1" si="39"/>
        <v>100</v>
      </c>
      <c r="Q458" t="str">
        <f t="shared" si="37"/>
        <v>PLM-29</v>
      </c>
    </row>
    <row r="459" spans="2:17" ht="15" customHeight="1" x14ac:dyDescent="0.35">
      <c r="B459" s="29">
        <v>10</v>
      </c>
      <c r="C459" s="29" t="s">
        <v>21</v>
      </c>
      <c r="D459" s="30">
        <v>40</v>
      </c>
      <c r="E459" s="66" t="s">
        <v>1305</v>
      </c>
      <c r="F459" s="66" t="s">
        <v>1306</v>
      </c>
      <c r="G459" s="187" t="s">
        <v>13283</v>
      </c>
      <c r="H459" s="29" t="s">
        <v>61</v>
      </c>
      <c r="I459" s="29"/>
      <c r="J459" s="98">
        <v>45202</v>
      </c>
      <c r="K459" s="98">
        <f t="shared" si="36"/>
        <v>46298</v>
      </c>
      <c r="L459" s="110" t="s">
        <v>62</v>
      </c>
      <c r="M459" s="112" t="str">
        <f t="shared" ca="1" si="38"/>
        <v>Alerta</v>
      </c>
      <c r="N459" s="112"/>
      <c r="O459" s="67">
        <f t="shared" ca="1" si="35"/>
        <v>996</v>
      </c>
      <c r="P459" s="67">
        <f t="shared" ca="1" si="39"/>
        <v>100</v>
      </c>
      <c r="Q459" t="str">
        <f t="shared" si="37"/>
        <v>PLM-40</v>
      </c>
    </row>
    <row r="460" spans="2:17" ht="15" customHeight="1" x14ac:dyDescent="0.35">
      <c r="B460" s="29">
        <v>10</v>
      </c>
      <c r="C460" s="29" t="s">
        <v>21</v>
      </c>
      <c r="D460" s="30">
        <v>41</v>
      </c>
      <c r="E460" s="66" t="s">
        <v>1307</v>
      </c>
      <c r="F460" s="66" t="s">
        <v>1308</v>
      </c>
      <c r="G460" s="187" t="s">
        <v>13283</v>
      </c>
      <c r="H460" s="29" t="s">
        <v>61</v>
      </c>
      <c r="I460" s="29"/>
      <c r="J460" s="98">
        <v>45202</v>
      </c>
      <c r="K460" s="98">
        <f t="shared" si="36"/>
        <v>46298</v>
      </c>
      <c r="L460" s="110" t="s">
        <v>62</v>
      </c>
      <c r="M460" s="112" t="str">
        <f t="shared" ca="1" si="38"/>
        <v>Alerta</v>
      </c>
      <c r="N460" s="112"/>
      <c r="O460" s="67">
        <f t="shared" ca="1" si="35"/>
        <v>996</v>
      </c>
      <c r="P460" s="67">
        <f t="shared" ca="1" si="39"/>
        <v>100</v>
      </c>
      <c r="Q460" t="str">
        <f t="shared" si="37"/>
        <v>PLM-41</v>
      </c>
    </row>
    <row r="461" spans="2:17" ht="15" customHeight="1" x14ac:dyDescent="0.35">
      <c r="B461" s="29">
        <v>10</v>
      </c>
      <c r="C461" s="29" t="s">
        <v>21</v>
      </c>
      <c r="D461" s="30">
        <v>59</v>
      </c>
      <c r="E461" s="66" t="s">
        <v>1309</v>
      </c>
      <c r="F461" s="66" t="s">
        <v>1310</v>
      </c>
      <c r="G461" s="187" t="s">
        <v>13283</v>
      </c>
      <c r="H461" s="29" t="s">
        <v>61</v>
      </c>
      <c r="I461" s="29" t="s">
        <v>61</v>
      </c>
      <c r="J461" s="98">
        <v>45462</v>
      </c>
      <c r="K461" s="98">
        <f t="shared" si="36"/>
        <v>46558</v>
      </c>
      <c r="L461" s="110" t="s">
        <v>62</v>
      </c>
      <c r="M461" s="112" t="str">
        <f t="shared" ca="1" si="38"/>
        <v>Alerta</v>
      </c>
      <c r="N461" s="112"/>
      <c r="O461" s="67">
        <f t="shared" ca="1" si="35"/>
        <v>736</v>
      </c>
      <c r="P461" s="67">
        <f t="shared" ca="1" si="39"/>
        <v>360</v>
      </c>
      <c r="Q461" t="str">
        <f t="shared" si="37"/>
        <v>PLM-59</v>
      </c>
    </row>
    <row r="462" spans="2:17" ht="15" customHeight="1" x14ac:dyDescent="0.35">
      <c r="B462" s="29">
        <v>10</v>
      </c>
      <c r="C462" s="29" t="s">
        <v>21</v>
      </c>
      <c r="D462" s="30">
        <v>60</v>
      </c>
      <c r="E462" s="66" t="s">
        <v>1311</v>
      </c>
      <c r="F462" s="66" t="s">
        <v>1312</v>
      </c>
      <c r="G462" s="187" t="s">
        <v>13284</v>
      </c>
      <c r="H462" s="29" t="s">
        <v>61</v>
      </c>
      <c r="I462" s="29" t="s">
        <v>61</v>
      </c>
      <c r="J462" s="98">
        <v>44819</v>
      </c>
      <c r="K462" s="98">
        <f t="shared" si="36"/>
        <v>45915</v>
      </c>
      <c r="L462" s="110" t="s">
        <v>62</v>
      </c>
      <c r="M462" s="112" t="str">
        <f t="shared" ca="1" si="38"/>
        <v>Vencido</v>
      </c>
      <c r="N462" s="112"/>
      <c r="O462" s="67">
        <f t="shared" ca="1" si="35"/>
        <v>1379</v>
      </c>
      <c r="P462" s="67">
        <f t="shared" ca="1" si="39"/>
        <v>-283</v>
      </c>
      <c r="Q462" t="str">
        <f t="shared" si="37"/>
        <v>PLM-60</v>
      </c>
    </row>
    <row r="463" spans="2:17" ht="15" customHeight="1" x14ac:dyDescent="0.35">
      <c r="B463" s="29">
        <v>10</v>
      </c>
      <c r="C463" s="29" t="s">
        <v>21</v>
      </c>
      <c r="D463" s="30">
        <v>61</v>
      </c>
      <c r="E463" s="66" t="s">
        <v>1313</v>
      </c>
      <c r="F463" s="66" t="s">
        <v>1314</v>
      </c>
      <c r="G463" s="187" t="s">
        <v>13284</v>
      </c>
      <c r="H463" s="29" t="s">
        <v>61</v>
      </c>
      <c r="I463" s="29" t="s">
        <v>61</v>
      </c>
      <c r="J463" s="98">
        <v>44926</v>
      </c>
      <c r="K463" s="98">
        <f t="shared" si="36"/>
        <v>46022</v>
      </c>
      <c r="L463" s="110" t="s">
        <v>62</v>
      </c>
      <c r="M463" s="112" t="str">
        <f t="shared" ca="1" si="38"/>
        <v>Vencido</v>
      </c>
      <c r="N463" s="112"/>
      <c r="O463" s="67">
        <f t="shared" ca="1" si="35"/>
        <v>1272</v>
      </c>
      <c r="P463" s="67">
        <f t="shared" ca="1" si="39"/>
        <v>-176</v>
      </c>
      <c r="Q463" t="str">
        <f t="shared" si="37"/>
        <v>PLM-61</v>
      </c>
    </row>
    <row r="464" spans="2:17" ht="15" customHeight="1" x14ac:dyDescent="0.35">
      <c r="B464" s="29">
        <v>10</v>
      </c>
      <c r="C464" s="29" t="s">
        <v>21</v>
      </c>
      <c r="D464" s="30">
        <v>62</v>
      </c>
      <c r="E464" s="66" t="s">
        <v>1315</v>
      </c>
      <c r="F464" s="66" t="s">
        <v>1316</v>
      </c>
      <c r="G464" s="187" t="s">
        <v>13284</v>
      </c>
      <c r="H464" s="29" t="s">
        <v>61</v>
      </c>
      <c r="I464" s="29" t="s">
        <v>61</v>
      </c>
      <c r="J464" s="98">
        <v>44926</v>
      </c>
      <c r="K464" s="98">
        <f t="shared" si="36"/>
        <v>46022</v>
      </c>
      <c r="L464" s="110" t="s">
        <v>62</v>
      </c>
      <c r="M464" s="112" t="str">
        <f t="shared" ca="1" si="38"/>
        <v>Vencido</v>
      </c>
      <c r="N464" s="112"/>
      <c r="O464" s="67">
        <f t="shared" ca="1" si="35"/>
        <v>1272</v>
      </c>
      <c r="P464" s="67">
        <f t="shared" ca="1" si="39"/>
        <v>-176</v>
      </c>
      <c r="Q464" t="str">
        <f t="shared" si="37"/>
        <v>PLM-62</v>
      </c>
    </row>
    <row r="465" spans="2:17" ht="15" customHeight="1" x14ac:dyDescent="0.35">
      <c r="B465" s="29">
        <v>10</v>
      </c>
      <c r="C465" s="29" t="s">
        <v>21</v>
      </c>
      <c r="D465" s="30">
        <v>65</v>
      </c>
      <c r="E465" s="66" t="s">
        <v>1317</v>
      </c>
      <c r="F465" s="66" t="s">
        <v>1318</v>
      </c>
      <c r="G465" s="187" t="s">
        <v>13284</v>
      </c>
      <c r="H465" s="29" t="s">
        <v>61</v>
      </c>
      <c r="I465" s="29" t="s">
        <v>61</v>
      </c>
      <c r="J465" s="98">
        <v>45202</v>
      </c>
      <c r="K465" s="98">
        <f t="shared" si="36"/>
        <v>46298</v>
      </c>
      <c r="L465" s="110" t="s">
        <v>62</v>
      </c>
      <c r="M465" s="112" t="str">
        <f t="shared" ca="1" si="38"/>
        <v>Alerta</v>
      </c>
      <c r="N465" s="112"/>
      <c r="O465" s="67">
        <f t="shared" ca="1" si="35"/>
        <v>996</v>
      </c>
      <c r="P465" s="67">
        <f t="shared" ca="1" si="39"/>
        <v>100</v>
      </c>
      <c r="Q465" t="str">
        <f t="shared" si="37"/>
        <v>PLM-65</v>
      </c>
    </row>
    <row r="466" spans="2:17" ht="15" customHeight="1" x14ac:dyDescent="0.35">
      <c r="B466" s="29">
        <v>10</v>
      </c>
      <c r="C466" s="29" t="s">
        <v>21</v>
      </c>
      <c r="D466" s="30">
        <v>65</v>
      </c>
      <c r="E466" s="66" t="s">
        <v>1319</v>
      </c>
      <c r="F466" s="66" t="s">
        <v>1320</v>
      </c>
      <c r="G466" s="187" t="s">
        <v>13284</v>
      </c>
      <c r="H466" s="29" t="s">
        <v>61</v>
      </c>
      <c r="I466" s="29" t="s">
        <v>61</v>
      </c>
      <c r="J466" s="98">
        <v>45202</v>
      </c>
      <c r="K466" s="98">
        <f t="shared" si="36"/>
        <v>46298</v>
      </c>
      <c r="L466" s="110" t="s">
        <v>62</v>
      </c>
      <c r="M466" s="112" t="str">
        <f t="shared" ca="1" si="38"/>
        <v>Alerta</v>
      </c>
      <c r="N466" s="112"/>
      <c r="O466" s="67">
        <f t="shared" ca="1" si="35"/>
        <v>996</v>
      </c>
      <c r="P466" s="67">
        <f t="shared" ca="1" si="39"/>
        <v>100</v>
      </c>
      <c r="Q466" t="str">
        <f t="shared" si="37"/>
        <v>PLM-65</v>
      </c>
    </row>
    <row r="467" spans="2:17" ht="15" customHeight="1" x14ac:dyDescent="0.35">
      <c r="B467" s="29">
        <v>10</v>
      </c>
      <c r="C467" s="29" t="s">
        <v>21</v>
      </c>
      <c r="D467" s="30">
        <v>71</v>
      </c>
      <c r="E467" s="66" t="s">
        <v>1321</v>
      </c>
      <c r="F467" s="66" t="s">
        <v>1322</v>
      </c>
      <c r="G467" s="26" t="s">
        <v>13282</v>
      </c>
      <c r="H467" s="29" t="s">
        <v>61</v>
      </c>
      <c r="I467" s="29" t="s">
        <v>61</v>
      </c>
      <c r="J467" s="98">
        <v>45202</v>
      </c>
      <c r="K467" s="98">
        <f t="shared" si="36"/>
        <v>46298</v>
      </c>
      <c r="L467" s="110" t="s">
        <v>62</v>
      </c>
      <c r="M467" s="112" t="str">
        <f t="shared" ca="1" si="38"/>
        <v>Alerta</v>
      </c>
      <c r="N467" s="112"/>
      <c r="O467" s="67">
        <f t="shared" ca="1" si="35"/>
        <v>996</v>
      </c>
      <c r="P467" s="67">
        <f t="shared" ca="1" si="39"/>
        <v>100</v>
      </c>
      <c r="Q467" t="str">
        <f t="shared" si="37"/>
        <v>PLM-71</v>
      </c>
    </row>
    <row r="468" spans="2:17" ht="15" customHeight="1" x14ac:dyDescent="0.35">
      <c r="B468" s="29">
        <v>10</v>
      </c>
      <c r="C468" s="29" t="s">
        <v>21</v>
      </c>
      <c r="D468" s="30">
        <v>30</v>
      </c>
      <c r="E468" s="66" t="s">
        <v>1323</v>
      </c>
      <c r="F468" s="66" t="s">
        <v>1324</v>
      </c>
      <c r="G468" s="187" t="s">
        <v>13284</v>
      </c>
      <c r="H468" s="29" t="s">
        <v>61</v>
      </c>
      <c r="I468" s="29" t="s">
        <v>61</v>
      </c>
      <c r="J468" s="98">
        <v>44838</v>
      </c>
      <c r="K468" s="98">
        <f t="shared" si="36"/>
        <v>45934</v>
      </c>
      <c r="L468" s="110" t="s">
        <v>62</v>
      </c>
      <c r="M468" s="112" t="str">
        <f t="shared" ca="1" si="38"/>
        <v>Vencido</v>
      </c>
      <c r="N468" s="112"/>
      <c r="O468" s="67">
        <f t="shared" ca="1" si="35"/>
        <v>1360</v>
      </c>
      <c r="P468" s="67">
        <f t="shared" ca="1" si="39"/>
        <v>-264</v>
      </c>
      <c r="Q468" t="str">
        <f t="shared" si="37"/>
        <v>PLM-30</v>
      </c>
    </row>
    <row r="469" spans="2:17" ht="15" customHeight="1" x14ac:dyDescent="0.35">
      <c r="B469" s="29">
        <v>10</v>
      </c>
      <c r="C469" s="29" t="s">
        <v>21</v>
      </c>
      <c r="D469" s="30">
        <v>31</v>
      </c>
      <c r="E469" s="66" t="s">
        <v>1325</v>
      </c>
      <c r="F469" s="66" t="s">
        <v>1326</v>
      </c>
      <c r="G469" s="187" t="s">
        <v>13284</v>
      </c>
      <c r="H469" s="29" t="s">
        <v>61</v>
      </c>
      <c r="I469" s="29" t="s">
        <v>61</v>
      </c>
      <c r="J469" s="98">
        <v>44838</v>
      </c>
      <c r="K469" s="98">
        <f t="shared" si="36"/>
        <v>45934</v>
      </c>
      <c r="L469" s="110" t="s">
        <v>62</v>
      </c>
      <c r="M469" s="112" t="str">
        <f t="shared" ca="1" si="38"/>
        <v>Vencido</v>
      </c>
      <c r="N469" s="112"/>
      <c r="O469" s="67">
        <f t="shared" ca="1" si="35"/>
        <v>1360</v>
      </c>
      <c r="P469" s="67">
        <f t="shared" ca="1" si="39"/>
        <v>-264</v>
      </c>
      <c r="Q469" t="str">
        <f t="shared" si="37"/>
        <v>PLM-31</v>
      </c>
    </row>
    <row r="470" spans="2:17" ht="15" customHeight="1" x14ac:dyDescent="0.35">
      <c r="B470" s="29">
        <v>10</v>
      </c>
      <c r="C470" s="29" t="s">
        <v>21</v>
      </c>
      <c r="D470" s="30">
        <v>34</v>
      </c>
      <c r="E470" s="66" t="s">
        <v>1327</v>
      </c>
      <c r="F470" s="66" t="s">
        <v>1328</v>
      </c>
      <c r="G470" s="187" t="s">
        <v>13284</v>
      </c>
      <c r="H470" s="29" t="s">
        <v>61</v>
      </c>
      <c r="I470" s="29" t="s">
        <v>61</v>
      </c>
      <c r="J470" s="98">
        <v>45202</v>
      </c>
      <c r="K470" s="98">
        <f t="shared" si="36"/>
        <v>46298</v>
      </c>
      <c r="L470" s="110" t="s">
        <v>62</v>
      </c>
      <c r="M470" s="112" t="str">
        <f t="shared" ca="1" si="38"/>
        <v>Alerta</v>
      </c>
      <c r="N470" s="112"/>
      <c r="O470" s="67">
        <f t="shared" ca="1" si="35"/>
        <v>996</v>
      </c>
      <c r="P470" s="67">
        <f t="shared" ca="1" si="39"/>
        <v>100</v>
      </c>
      <c r="Q470" t="str">
        <f t="shared" si="37"/>
        <v>PLM-34</v>
      </c>
    </row>
    <row r="471" spans="2:17" ht="15" customHeight="1" x14ac:dyDescent="0.35">
      <c r="B471" s="29">
        <v>11</v>
      </c>
      <c r="C471" s="29" t="s">
        <v>22</v>
      </c>
      <c r="D471" s="30">
        <v>0</v>
      </c>
      <c r="E471" s="66" t="s">
        <v>1329</v>
      </c>
      <c r="F471" s="65" t="s">
        <v>1330</v>
      </c>
      <c r="G471" s="26" t="s">
        <v>13301</v>
      </c>
      <c r="H471" s="29" t="s">
        <v>61</v>
      </c>
      <c r="I471" s="29"/>
      <c r="J471" s="98">
        <v>45202</v>
      </c>
      <c r="K471" s="98">
        <f t="shared" si="36"/>
        <v>46298</v>
      </c>
      <c r="L471" s="110" t="s">
        <v>62</v>
      </c>
      <c r="M471" s="112" t="str">
        <f t="shared" ca="1" si="38"/>
        <v>Alerta</v>
      </c>
      <c r="N471" s="112"/>
      <c r="O471" s="67">
        <f t="shared" ca="1" si="35"/>
        <v>996</v>
      </c>
      <c r="P471" s="67">
        <f t="shared" ca="1" si="39"/>
        <v>100</v>
      </c>
      <c r="Q471" t="str">
        <f t="shared" si="37"/>
        <v>RET-00</v>
      </c>
    </row>
    <row r="472" spans="2:17" ht="15" customHeight="1" x14ac:dyDescent="0.35">
      <c r="B472" s="29">
        <v>11</v>
      </c>
      <c r="C472" s="29" t="s">
        <v>22</v>
      </c>
      <c r="D472" s="30">
        <v>1</v>
      </c>
      <c r="E472" s="66" t="s">
        <v>1331</v>
      </c>
      <c r="F472" s="66" t="s">
        <v>1332</v>
      </c>
      <c r="G472" s="187" t="s">
        <v>13284</v>
      </c>
      <c r="H472" s="29" t="s">
        <v>61</v>
      </c>
      <c r="I472" s="29" t="s">
        <v>61</v>
      </c>
      <c r="J472" s="98">
        <v>44739</v>
      </c>
      <c r="K472" s="98">
        <f t="shared" si="36"/>
        <v>45835</v>
      </c>
      <c r="L472" s="110" t="s">
        <v>62</v>
      </c>
      <c r="M472" s="112" t="str">
        <f t="shared" ca="1" si="38"/>
        <v>Vencido</v>
      </c>
      <c r="N472" s="112"/>
      <c r="O472" s="67">
        <f t="shared" ca="1" si="35"/>
        <v>1459</v>
      </c>
      <c r="P472" s="67">
        <f t="shared" ca="1" si="39"/>
        <v>-363</v>
      </c>
      <c r="Q472" t="str">
        <f t="shared" si="37"/>
        <v>RET-01</v>
      </c>
    </row>
    <row r="473" spans="2:17" ht="15" customHeight="1" x14ac:dyDescent="0.35">
      <c r="B473" s="29">
        <v>11</v>
      </c>
      <c r="C473" s="29" t="s">
        <v>22</v>
      </c>
      <c r="D473" s="30">
        <v>2</v>
      </c>
      <c r="E473" s="66" t="s">
        <v>1333</v>
      </c>
      <c r="F473" s="66" t="s">
        <v>1334</v>
      </c>
      <c r="G473" s="26" t="s">
        <v>13284</v>
      </c>
      <c r="H473" s="29" t="s">
        <v>61</v>
      </c>
      <c r="I473" s="29" t="s">
        <v>61</v>
      </c>
      <c r="J473" s="98">
        <v>44739</v>
      </c>
      <c r="K473" s="98">
        <f t="shared" si="36"/>
        <v>45835</v>
      </c>
      <c r="L473" s="110" t="s">
        <v>62</v>
      </c>
      <c r="M473" s="112" t="str">
        <f t="shared" ca="1" si="38"/>
        <v>Vencido</v>
      </c>
      <c r="N473" s="112"/>
      <c r="O473" s="67">
        <f t="shared" ca="1" si="35"/>
        <v>1459</v>
      </c>
      <c r="P473" s="67">
        <f t="shared" ca="1" si="39"/>
        <v>-363</v>
      </c>
      <c r="Q473" t="str">
        <f t="shared" si="37"/>
        <v>RET-02</v>
      </c>
    </row>
    <row r="474" spans="2:17" ht="15" customHeight="1" x14ac:dyDescent="0.35">
      <c r="B474" s="29">
        <v>11</v>
      </c>
      <c r="C474" s="29" t="s">
        <v>22</v>
      </c>
      <c r="D474" s="30">
        <v>3</v>
      </c>
      <c r="E474" s="66" t="s">
        <v>1335</v>
      </c>
      <c r="F474" s="66" t="s">
        <v>1336</v>
      </c>
      <c r="G474" s="26" t="s">
        <v>13283</v>
      </c>
      <c r="H474" s="29" t="s">
        <v>61</v>
      </c>
      <c r="I474" s="29" t="s">
        <v>61</v>
      </c>
      <c r="J474" s="98">
        <v>45506</v>
      </c>
      <c r="K474" s="98">
        <f t="shared" si="36"/>
        <v>46602</v>
      </c>
      <c r="L474" s="110" t="s">
        <v>62</v>
      </c>
      <c r="M474" s="112" t="str">
        <f t="shared" ca="1" si="38"/>
        <v>Em dia</v>
      </c>
      <c r="N474" s="112"/>
      <c r="O474" s="67">
        <f t="shared" ca="1" si="35"/>
        <v>692</v>
      </c>
      <c r="P474" s="67">
        <f t="shared" ca="1" si="39"/>
        <v>404</v>
      </c>
      <c r="Q474" t="str">
        <f t="shared" si="37"/>
        <v>RET-03</v>
      </c>
    </row>
    <row r="475" spans="2:17" ht="15" customHeight="1" x14ac:dyDescent="0.35">
      <c r="B475" s="29">
        <v>11</v>
      </c>
      <c r="C475" s="29" t="s">
        <v>22</v>
      </c>
      <c r="D475" s="30">
        <v>4</v>
      </c>
      <c r="E475" s="66" t="s">
        <v>1337</v>
      </c>
      <c r="F475" s="66" t="s">
        <v>1338</v>
      </c>
      <c r="G475" s="186" t="s">
        <v>13283</v>
      </c>
      <c r="H475" s="29" t="s">
        <v>61</v>
      </c>
      <c r="I475" s="29" t="s">
        <v>61</v>
      </c>
      <c r="J475" s="98">
        <v>46107</v>
      </c>
      <c r="K475" s="98">
        <v>46107</v>
      </c>
      <c r="L475" s="110" t="s">
        <v>62</v>
      </c>
      <c r="M475" s="112" t="str">
        <f t="shared" ca="1" si="38"/>
        <v>Em dia</v>
      </c>
      <c r="N475" s="112"/>
      <c r="O475" s="67">
        <f t="shared" ca="1" si="35"/>
        <v>91</v>
      </c>
      <c r="P475" s="67">
        <f t="shared" ca="1" si="39"/>
        <v>-91</v>
      </c>
      <c r="Q475" t="str">
        <f t="shared" si="37"/>
        <v>RET-04</v>
      </c>
    </row>
    <row r="476" spans="2:17" ht="15" customHeight="1" x14ac:dyDescent="0.35">
      <c r="B476" s="29">
        <v>11</v>
      </c>
      <c r="C476" s="29" t="s">
        <v>22</v>
      </c>
      <c r="D476" s="30">
        <v>5</v>
      </c>
      <c r="E476" s="66" t="s">
        <v>1339</v>
      </c>
      <c r="F476" s="66" t="s">
        <v>1340</v>
      </c>
      <c r="G476" s="186" t="s">
        <v>13283</v>
      </c>
      <c r="H476" s="29" t="s">
        <v>61</v>
      </c>
      <c r="I476" s="29" t="s">
        <v>61</v>
      </c>
      <c r="J476" s="98">
        <v>46107</v>
      </c>
      <c r="K476" s="98">
        <v>46107</v>
      </c>
      <c r="L476" s="110" t="s">
        <v>62</v>
      </c>
      <c r="M476" s="112" t="str">
        <f t="shared" ca="1" si="38"/>
        <v>Em dia</v>
      </c>
      <c r="N476" s="112"/>
      <c r="O476" s="67">
        <f t="shared" ca="1" si="35"/>
        <v>91</v>
      </c>
      <c r="P476" s="67">
        <f t="shared" ca="1" si="39"/>
        <v>-91</v>
      </c>
      <c r="Q476" t="str">
        <f t="shared" si="37"/>
        <v>RET-05</v>
      </c>
    </row>
    <row r="477" spans="2:17" ht="15" customHeight="1" x14ac:dyDescent="0.35">
      <c r="B477" s="29">
        <v>11</v>
      </c>
      <c r="C477" s="29" t="s">
        <v>22</v>
      </c>
      <c r="D477" s="30">
        <v>6</v>
      </c>
      <c r="E477" s="66" t="s">
        <v>1341</v>
      </c>
      <c r="F477" s="66" t="s">
        <v>1342</v>
      </c>
      <c r="G477" s="186" t="s">
        <v>13283</v>
      </c>
      <c r="H477" s="29" t="s">
        <v>61</v>
      </c>
      <c r="I477" s="29" t="s">
        <v>61</v>
      </c>
      <c r="J477" s="98">
        <v>46107</v>
      </c>
      <c r="K477" s="98">
        <v>46107</v>
      </c>
      <c r="L477" s="110" t="s">
        <v>62</v>
      </c>
      <c r="M477" s="112" t="str">
        <f t="shared" ca="1" si="38"/>
        <v>Em dia</v>
      </c>
      <c r="N477" s="112"/>
      <c r="O477" s="67">
        <f t="shared" ca="1" si="35"/>
        <v>91</v>
      </c>
      <c r="P477" s="67">
        <f t="shared" ca="1" si="39"/>
        <v>-91</v>
      </c>
      <c r="Q477" t="str">
        <f t="shared" si="37"/>
        <v>RET-06</v>
      </c>
    </row>
    <row r="478" spans="2:17" ht="15" customHeight="1" x14ac:dyDescent="0.35">
      <c r="B478" s="29">
        <v>11</v>
      </c>
      <c r="C478" s="29" t="s">
        <v>22</v>
      </c>
      <c r="D478" s="30">
        <v>7</v>
      </c>
      <c r="E478" s="66" t="s">
        <v>1343</v>
      </c>
      <c r="F478" s="66" t="s">
        <v>1344</v>
      </c>
      <c r="G478" s="186" t="s">
        <v>13283</v>
      </c>
      <c r="H478" s="29" t="s">
        <v>61</v>
      </c>
      <c r="I478" s="29" t="s">
        <v>61</v>
      </c>
      <c r="J478" s="98">
        <v>45959</v>
      </c>
      <c r="K478" s="98">
        <f t="shared" si="36"/>
        <v>47055</v>
      </c>
      <c r="L478" s="110" t="s">
        <v>62</v>
      </c>
      <c r="M478" s="112" t="str">
        <f t="shared" ca="1" si="38"/>
        <v>Em dia</v>
      </c>
      <c r="N478" s="112"/>
      <c r="O478" s="67">
        <f t="shared" ca="1" si="35"/>
        <v>239</v>
      </c>
      <c r="P478" s="67">
        <f t="shared" ca="1" si="39"/>
        <v>857</v>
      </c>
      <c r="Q478" t="str">
        <f t="shared" si="37"/>
        <v>RET-07</v>
      </c>
    </row>
    <row r="479" spans="2:17" ht="15" customHeight="1" x14ac:dyDescent="0.35">
      <c r="B479" s="29">
        <v>11</v>
      </c>
      <c r="C479" s="29" t="s">
        <v>22</v>
      </c>
      <c r="D479" s="30">
        <v>8</v>
      </c>
      <c r="E479" s="66" t="s">
        <v>1345</v>
      </c>
      <c r="F479" s="66" t="s">
        <v>1346</v>
      </c>
      <c r="G479" s="186" t="s">
        <v>13283</v>
      </c>
      <c r="H479" s="29" t="s">
        <v>61</v>
      </c>
      <c r="I479" s="29" t="s">
        <v>61</v>
      </c>
      <c r="J479" s="98">
        <v>45645</v>
      </c>
      <c r="K479" s="98">
        <f t="shared" si="36"/>
        <v>46741</v>
      </c>
      <c r="L479" s="110" t="s">
        <v>62</v>
      </c>
      <c r="M479" s="112" t="str">
        <f t="shared" ca="1" si="38"/>
        <v>Em dia</v>
      </c>
      <c r="N479" s="112"/>
      <c r="O479" s="67">
        <f t="shared" ca="1" si="35"/>
        <v>553</v>
      </c>
      <c r="P479" s="67">
        <f t="shared" ca="1" si="39"/>
        <v>543</v>
      </c>
      <c r="Q479" t="str">
        <f t="shared" si="37"/>
        <v>RET-08</v>
      </c>
    </row>
    <row r="480" spans="2:17" ht="15" customHeight="1" x14ac:dyDescent="0.35">
      <c r="B480" s="29">
        <v>11</v>
      </c>
      <c r="C480" s="29" t="s">
        <v>22</v>
      </c>
      <c r="D480" s="30">
        <v>9</v>
      </c>
      <c r="E480" s="66" t="s">
        <v>1347</v>
      </c>
      <c r="F480" s="66" t="s">
        <v>1348</v>
      </c>
      <c r="G480" s="186" t="s">
        <v>13283</v>
      </c>
      <c r="H480" s="29" t="s">
        <v>61</v>
      </c>
      <c r="I480" s="29" t="s">
        <v>61</v>
      </c>
      <c r="J480" s="98">
        <v>45959</v>
      </c>
      <c r="K480" s="98">
        <f t="shared" si="36"/>
        <v>47055</v>
      </c>
      <c r="L480" s="110" t="s">
        <v>62</v>
      </c>
      <c r="M480" s="112" t="str">
        <f t="shared" ca="1" si="38"/>
        <v>Em dia</v>
      </c>
      <c r="N480" s="112"/>
      <c r="O480" s="67">
        <f t="shared" ca="1" si="35"/>
        <v>239</v>
      </c>
      <c r="P480" s="67">
        <f t="shared" ca="1" si="39"/>
        <v>857</v>
      </c>
      <c r="Q480" t="str">
        <f t="shared" si="37"/>
        <v>RET-09</v>
      </c>
    </row>
    <row r="481" spans="2:17" ht="15" customHeight="1" x14ac:dyDescent="0.35">
      <c r="B481" s="29">
        <v>11</v>
      </c>
      <c r="C481" s="29" t="s">
        <v>22</v>
      </c>
      <c r="D481" s="30">
        <v>10</v>
      </c>
      <c r="E481" s="66" t="s">
        <v>1349</v>
      </c>
      <c r="F481" s="66" t="s">
        <v>1350</v>
      </c>
      <c r="G481" s="186" t="s">
        <v>13283</v>
      </c>
      <c r="H481" s="29" t="s">
        <v>61</v>
      </c>
      <c r="I481" s="29" t="s">
        <v>61</v>
      </c>
      <c r="J481" s="101">
        <v>45959</v>
      </c>
      <c r="K481" s="98">
        <f t="shared" si="36"/>
        <v>47055</v>
      </c>
      <c r="L481" s="110" t="s">
        <v>62</v>
      </c>
      <c r="M481" s="112" t="str">
        <f t="shared" ca="1" si="38"/>
        <v>Em dia</v>
      </c>
      <c r="N481" s="112"/>
      <c r="O481" s="67">
        <f t="shared" ca="1" si="35"/>
        <v>239</v>
      </c>
      <c r="P481" s="67">
        <f t="shared" ca="1" si="39"/>
        <v>857</v>
      </c>
      <c r="Q481" t="str">
        <f t="shared" si="37"/>
        <v>RET-10</v>
      </c>
    </row>
    <row r="482" spans="2:17" ht="15" customHeight="1" x14ac:dyDescent="0.35">
      <c r="B482" s="29">
        <v>11</v>
      </c>
      <c r="C482" s="29" t="s">
        <v>22</v>
      </c>
      <c r="D482" s="30">
        <v>11</v>
      </c>
      <c r="E482" s="66" t="s">
        <v>1351</v>
      </c>
      <c r="F482" s="66" t="s">
        <v>1352</v>
      </c>
      <c r="G482" s="186" t="s">
        <v>13283</v>
      </c>
      <c r="H482" s="29" t="s">
        <v>61</v>
      </c>
      <c r="I482" s="29" t="s">
        <v>61</v>
      </c>
      <c r="J482" s="98">
        <v>46107</v>
      </c>
      <c r="K482" s="98">
        <v>46107</v>
      </c>
      <c r="L482" s="110" t="s">
        <v>62</v>
      </c>
      <c r="M482" s="112" t="str">
        <f t="shared" ca="1" si="38"/>
        <v>Em dia</v>
      </c>
      <c r="N482" s="112"/>
      <c r="O482" s="67">
        <f t="shared" ca="1" si="35"/>
        <v>91</v>
      </c>
      <c r="P482" s="67">
        <f t="shared" ca="1" si="39"/>
        <v>-91</v>
      </c>
      <c r="Q482" t="str">
        <f t="shared" si="37"/>
        <v>RET-11</v>
      </c>
    </row>
    <row r="483" spans="2:17" ht="15" customHeight="1" x14ac:dyDescent="0.35">
      <c r="B483" s="29">
        <v>11</v>
      </c>
      <c r="C483" s="29" t="s">
        <v>22</v>
      </c>
      <c r="D483" s="30">
        <v>12</v>
      </c>
      <c r="E483" s="66" t="s">
        <v>1353</v>
      </c>
      <c r="F483" s="66" t="s">
        <v>1354</v>
      </c>
      <c r="G483" s="186" t="s">
        <v>13283</v>
      </c>
      <c r="H483" s="29" t="s">
        <v>61</v>
      </c>
      <c r="I483" s="29" t="s">
        <v>61</v>
      </c>
      <c r="J483" s="98">
        <v>46107</v>
      </c>
      <c r="K483" s="98">
        <v>46107</v>
      </c>
      <c r="L483" s="110" t="s">
        <v>62</v>
      </c>
      <c r="M483" s="112" t="str">
        <f t="shared" ca="1" si="38"/>
        <v>Em dia</v>
      </c>
      <c r="N483" s="112"/>
      <c r="O483" s="67">
        <f t="shared" ca="1" si="35"/>
        <v>91</v>
      </c>
      <c r="P483" s="67">
        <f t="shared" ca="1" si="39"/>
        <v>-91</v>
      </c>
      <c r="Q483" t="str">
        <f t="shared" si="37"/>
        <v>RET-12</v>
      </c>
    </row>
    <row r="484" spans="2:17" ht="15" customHeight="1" x14ac:dyDescent="0.35">
      <c r="B484" s="29">
        <v>11</v>
      </c>
      <c r="C484" s="29" t="s">
        <v>22</v>
      </c>
      <c r="D484" s="30">
        <v>13</v>
      </c>
      <c r="E484" s="66" t="s">
        <v>1355</v>
      </c>
      <c r="F484" s="66" t="s">
        <v>1356</v>
      </c>
      <c r="G484" s="186" t="s">
        <v>13283</v>
      </c>
      <c r="H484" s="29" t="s">
        <v>61</v>
      </c>
      <c r="I484" s="29" t="s">
        <v>61</v>
      </c>
      <c r="J484" s="98">
        <v>46107</v>
      </c>
      <c r="K484" s="98">
        <v>46107</v>
      </c>
      <c r="L484" s="110" t="s">
        <v>62</v>
      </c>
      <c r="M484" s="112" t="str">
        <f t="shared" ca="1" si="38"/>
        <v>Em dia</v>
      </c>
      <c r="N484" s="112"/>
      <c r="O484" s="67">
        <f t="shared" ca="1" si="35"/>
        <v>91</v>
      </c>
      <c r="P484" s="67">
        <f t="shared" ca="1" si="39"/>
        <v>-91</v>
      </c>
      <c r="Q484" t="str">
        <f t="shared" si="37"/>
        <v>RET-13</v>
      </c>
    </row>
    <row r="485" spans="2:17" ht="15" customHeight="1" x14ac:dyDescent="0.35">
      <c r="B485" s="29">
        <v>11</v>
      </c>
      <c r="C485" s="29" t="s">
        <v>22</v>
      </c>
      <c r="D485" s="30">
        <v>14</v>
      </c>
      <c r="E485" s="66" t="s">
        <v>1357</v>
      </c>
      <c r="F485" s="66" t="s">
        <v>1358</v>
      </c>
      <c r="G485" s="186" t="s">
        <v>13283</v>
      </c>
      <c r="H485" s="29" t="s">
        <v>61</v>
      </c>
      <c r="I485" s="29" t="s">
        <v>61</v>
      </c>
      <c r="J485" s="98">
        <v>45202</v>
      </c>
      <c r="K485" s="98">
        <f t="shared" si="36"/>
        <v>46298</v>
      </c>
      <c r="L485" s="110" t="s">
        <v>62</v>
      </c>
      <c r="M485" s="112" t="str">
        <f t="shared" ca="1" si="38"/>
        <v>Alerta</v>
      </c>
      <c r="N485" s="112"/>
      <c r="O485" s="67">
        <f t="shared" ca="1" si="35"/>
        <v>996</v>
      </c>
      <c r="P485" s="67">
        <f t="shared" ca="1" si="39"/>
        <v>100</v>
      </c>
      <c r="Q485" t="str">
        <f t="shared" si="37"/>
        <v>RET-14</v>
      </c>
    </row>
    <row r="486" spans="2:17" ht="15" customHeight="1" x14ac:dyDescent="0.35">
      <c r="B486" s="29">
        <v>11</v>
      </c>
      <c r="C486" s="29" t="s">
        <v>22</v>
      </c>
      <c r="D486" s="30">
        <v>15</v>
      </c>
      <c r="E486" s="66" t="s">
        <v>1359</v>
      </c>
      <c r="F486" s="66" t="s">
        <v>1360</v>
      </c>
      <c r="G486" s="66" t="s">
        <v>13283</v>
      </c>
      <c r="H486" s="29" t="s">
        <v>61</v>
      </c>
      <c r="I486" s="29" t="s">
        <v>61</v>
      </c>
      <c r="J486" s="98">
        <v>46107</v>
      </c>
      <c r="K486" s="98">
        <v>46107</v>
      </c>
      <c r="L486" s="110" t="s">
        <v>62</v>
      </c>
      <c r="M486" s="112" t="str">
        <f t="shared" ca="1" si="38"/>
        <v>Em dia</v>
      </c>
      <c r="N486" s="112"/>
      <c r="O486" s="67">
        <f t="shared" ca="1" si="35"/>
        <v>91</v>
      </c>
      <c r="P486" s="67">
        <f t="shared" ca="1" si="39"/>
        <v>-91</v>
      </c>
      <c r="Q486" t="str">
        <f t="shared" si="37"/>
        <v>RET-15</v>
      </c>
    </row>
    <row r="487" spans="2:17" ht="15" customHeight="1" x14ac:dyDescent="0.35">
      <c r="B487" s="29">
        <v>11</v>
      </c>
      <c r="C487" s="29" t="s">
        <v>22</v>
      </c>
      <c r="D487" s="30">
        <v>17</v>
      </c>
      <c r="E487" s="66" t="s">
        <v>1361</v>
      </c>
      <c r="F487" s="66" t="s">
        <v>1362</v>
      </c>
      <c r="G487" s="66" t="s">
        <v>13283</v>
      </c>
      <c r="H487" s="29" t="s">
        <v>61</v>
      </c>
      <c r="I487" s="29" t="s">
        <v>61</v>
      </c>
      <c r="J487" s="98">
        <v>45202</v>
      </c>
      <c r="K487" s="98">
        <f t="shared" si="36"/>
        <v>46298</v>
      </c>
      <c r="L487" s="110" t="s">
        <v>62</v>
      </c>
      <c r="M487" s="112" t="str">
        <f t="shared" ca="1" si="38"/>
        <v>Alerta</v>
      </c>
      <c r="N487" s="112"/>
      <c r="O487" s="67">
        <f t="shared" ca="1" si="35"/>
        <v>996</v>
      </c>
      <c r="P487" s="67">
        <f t="shared" ca="1" si="39"/>
        <v>100</v>
      </c>
      <c r="Q487" t="str">
        <f t="shared" si="37"/>
        <v>RET-17</v>
      </c>
    </row>
    <row r="488" spans="2:17" ht="15" customHeight="1" x14ac:dyDescent="0.35">
      <c r="B488" s="29">
        <v>11</v>
      </c>
      <c r="C488" s="29" t="s">
        <v>22</v>
      </c>
      <c r="D488" s="30">
        <v>18</v>
      </c>
      <c r="E488" s="66" t="s">
        <v>1363</v>
      </c>
      <c r="F488" s="66" t="s">
        <v>1364</v>
      </c>
      <c r="G488" s="187" t="s">
        <v>13283</v>
      </c>
      <c r="H488" s="29" t="s">
        <v>61</v>
      </c>
      <c r="I488" s="29" t="s">
        <v>61</v>
      </c>
      <c r="J488" s="98">
        <v>45645</v>
      </c>
      <c r="K488" s="98">
        <f t="shared" si="36"/>
        <v>46741</v>
      </c>
      <c r="L488" s="110" t="s">
        <v>62</v>
      </c>
      <c r="M488" s="112" t="str">
        <f t="shared" ca="1" si="38"/>
        <v>Em dia</v>
      </c>
      <c r="N488" s="112"/>
      <c r="O488" s="67">
        <f t="shared" ca="1" si="35"/>
        <v>553</v>
      </c>
      <c r="P488" s="67">
        <f t="shared" ca="1" si="39"/>
        <v>543</v>
      </c>
      <c r="Q488" t="str">
        <f t="shared" si="37"/>
        <v>RET-18</v>
      </c>
    </row>
    <row r="489" spans="2:17" ht="15" customHeight="1" x14ac:dyDescent="0.35">
      <c r="B489" s="29">
        <v>11</v>
      </c>
      <c r="C489" s="29" t="s">
        <v>22</v>
      </c>
      <c r="D489" s="30">
        <v>19</v>
      </c>
      <c r="E489" s="66" t="s">
        <v>1365</v>
      </c>
      <c r="F489" s="66" t="s">
        <v>1366</v>
      </c>
      <c r="G489" s="187" t="s">
        <v>13283</v>
      </c>
      <c r="H489" s="29" t="s">
        <v>61</v>
      </c>
      <c r="I489" s="29" t="s">
        <v>61</v>
      </c>
      <c r="J489" s="98">
        <v>45959</v>
      </c>
      <c r="K489" s="98">
        <f t="shared" si="36"/>
        <v>47055</v>
      </c>
      <c r="L489" s="110" t="s">
        <v>62</v>
      </c>
      <c r="M489" s="112" t="str">
        <f t="shared" ca="1" si="38"/>
        <v>Em dia</v>
      </c>
      <c r="N489" s="112"/>
      <c r="O489" s="67">
        <f t="shared" ca="1" si="35"/>
        <v>239</v>
      </c>
      <c r="P489" s="67">
        <f t="shared" ca="1" si="39"/>
        <v>857</v>
      </c>
      <c r="Q489" t="str">
        <f t="shared" si="37"/>
        <v>RET-19</v>
      </c>
    </row>
    <row r="490" spans="2:17" ht="15" customHeight="1" x14ac:dyDescent="0.35">
      <c r="B490" s="29">
        <v>11</v>
      </c>
      <c r="C490" s="29" t="s">
        <v>22</v>
      </c>
      <c r="D490" s="30">
        <v>20</v>
      </c>
      <c r="E490" s="66" t="s">
        <v>1367</v>
      </c>
      <c r="F490" s="66" t="s">
        <v>1368</v>
      </c>
      <c r="G490" s="66" t="s">
        <v>13284</v>
      </c>
      <c r="H490" s="29" t="s">
        <v>61</v>
      </c>
      <c r="I490" s="29" t="s">
        <v>61</v>
      </c>
      <c r="J490" s="98">
        <v>44889</v>
      </c>
      <c r="K490" s="98">
        <f t="shared" si="36"/>
        <v>45985</v>
      </c>
      <c r="L490" s="110" t="s">
        <v>62</v>
      </c>
      <c r="M490" s="112" t="str">
        <f t="shared" ca="1" si="38"/>
        <v>Vencido</v>
      </c>
      <c r="N490" s="112"/>
      <c r="O490" s="67">
        <f t="shared" ca="1" si="35"/>
        <v>1309</v>
      </c>
      <c r="P490" s="67">
        <f t="shared" ca="1" si="39"/>
        <v>-213</v>
      </c>
      <c r="Q490" t="str">
        <f t="shared" si="37"/>
        <v>RET-20</v>
      </c>
    </row>
    <row r="491" spans="2:17" ht="15" customHeight="1" x14ac:dyDescent="0.35">
      <c r="B491" s="29">
        <v>11</v>
      </c>
      <c r="C491" s="29" t="s">
        <v>22</v>
      </c>
      <c r="D491" s="30">
        <v>21</v>
      </c>
      <c r="E491" s="66" t="s">
        <v>1369</v>
      </c>
      <c r="F491" s="66" t="s">
        <v>1370</v>
      </c>
      <c r="G491" s="187" t="s">
        <v>13283</v>
      </c>
      <c r="H491" s="29" t="s">
        <v>61</v>
      </c>
      <c r="I491" s="29" t="s">
        <v>61</v>
      </c>
      <c r="J491" s="98">
        <v>45645</v>
      </c>
      <c r="K491" s="98">
        <f t="shared" si="36"/>
        <v>46741</v>
      </c>
      <c r="L491" s="110" t="s">
        <v>62</v>
      </c>
      <c r="M491" s="112" t="str">
        <f t="shared" ca="1" si="38"/>
        <v>Em dia</v>
      </c>
      <c r="N491" s="112"/>
      <c r="O491" s="67">
        <f t="shared" ca="1" si="35"/>
        <v>553</v>
      </c>
      <c r="P491" s="67">
        <f t="shared" ca="1" si="39"/>
        <v>543</v>
      </c>
      <c r="Q491" t="str">
        <f t="shared" si="37"/>
        <v>RET-21</v>
      </c>
    </row>
    <row r="492" spans="2:17" ht="15" customHeight="1" x14ac:dyDescent="0.35">
      <c r="B492" s="29">
        <v>11</v>
      </c>
      <c r="C492" s="29" t="s">
        <v>22</v>
      </c>
      <c r="D492" s="30">
        <v>22</v>
      </c>
      <c r="E492" s="66" t="s">
        <v>1371</v>
      </c>
      <c r="F492" s="66" t="s">
        <v>1372</v>
      </c>
      <c r="G492" s="66" t="s">
        <v>13284</v>
      </c>
      <c r="H492" s="29" t="s">
        <v>61</v>
      </c>
      <c r="I492" s="29" t="s">
        <v>61</v>
      </c>
      <c r="J492" s="98">
        <v>44739</v>
      </c>
      <c r="K492" s="98">
        <f t="shared" si="36"/>
        <v>45835</v>
      </c>
      <c r="L492" s="110" t="s">
        <v>62</v>
      </c>
      <c r="M492" s="112" t="str">
        <f t="shared" ca="1" si="38"/>
        <v>Vencido</v>
      </c>
      <c r="N492" s="112"/>
      <c r="O492" s="67">
        <f t="shared" ca="1" si="35"/>
        <v>1459</v>
      </c>
      <c r="P492" s="67">
        <f t="shared" ca="1" si="39"/>
        <v>-363</v>
      </c>
      <c r="Q492" t="str">
        <f t="shared" si="37"/>
        <v>RET-22</v>
      </c>
    </row>
    <row r="493" spans="2:17" ht="15" customHeight="1" x14ac:dyDescent="0.35">
      <c r="B493" s="29">
        <v>11</v>
      </c>
      <c r="C493" s="29" t="s">
        <v>22</v>
      </c>
      <c r="D493" s="30">
        <v>23</v>
      </c>
      <c r="E493" s="66" t="s">
        <v>1373</v>
      </c>
      <c r="F493" s="66" t="s">
        <v>1374</v>
      </c>
      <c r="G493" s="187" t="s">
        <v>13284</v>
      </c>
      <c r="H493" s="29" t="s">
        <v>61</v>
      </c>
      <c r="I493" s="29" t="s">
        <v>61</v>
      </c>
      <c r="J493" s="98">
        <v>44739</v>
      </c>
      <c r="K493" s="98">
        <f t="shared" si="36"/>
        <v>45835</v>
      </c>
      <c r="L493" s="110" t="s">
        <v>62</v>
      </c>
      <c r="M493" s="112" t="str">
        <f t="shared" ca="1" si="38"/>
        <v>Vencido</v>
      </c>
      <c r="N493" s="112"/>
      <c r="O493" s="67">
        <f t="shared" ca="1" si="35"/>
        <v>1459</v>
      </c>
      <c r="P493" s="67">
        <f t="shared" ca="1" si="39"/>
        <v>-363</v>
      </c>
      <c r="Q493" t="str">
        <f t="shared" si="37"/>
        <v>RET-23</v>
      </c>
    </row>
    <row r="494" spans="2:17" ht="15" customHeight="1" x14ac:dyDescent="0.35">
      <c r="B494" s="29">
        <v>11</v>
      </c>
      <c r="C494" s="29" t="s">
        <v>22</v>
      </c>
      <c r="D494" s="30">
        <v>24</v>
      </c>
      <c r="E494" s="66" t="s">
        <v>1375</v>
      </c>
      <c r="F494" s="66" t="s">
        <v>1376</v>
      </c>
      <c r="G494" s="187" t="s">
        <v>13284</v>
      </c>
      <c r="H494" s="29" t="s">
        <v>61</v>
      </c>
      <c r="I494" s="29" t="s">
        <v>61</v>
      </c>
      <c r="J494" s="98">
        <v>44739</v>
      </c>
      <c r="K494" s="98">
        <f t="shared" si="36"/>
        <v>45835</v>
      </c>
      <c r="L494" s="110" t="s">
        <v>62</v>
      </c>
      <c r="M494" s="112" t="str">
        <f t="shared" ca="1" si="38"/>
        <v>Vencido</v>
      </c>
      <c r="N494" s="112"/>
      <c r="O494" s="67">
        <f t="shared" ca="1" si="35"/>
        <v>1459</v>
      </c>
      <c r="P494" s="67">
        <f t="shared" ca="1" si="39"/>
        <v>-363</v>
      </c>
      <c r="Q494" t="str">
        <f t="shared" si="37"/>
        <v>RET-24</v>
      </c>
    </row>
    <row r="495" spans="2:17" ht="15" customHeight="1" x14ac:dyDescent="0.35">
      <c r="B495" s="29">
        <v>11</v>
      </c>
      <c r="C495" s="29" t="s">
        <v>22</v>
      </c>
      <c r="D495" s="30">
        <v>25</v>
      </c>
      <c r="E495" s="66" t="s">
        <v>1377</v>
      </c>
      <c r="F495" s="66" t="s">
        <v>1378</v>
      </c>
      <c r="G495" s="187" t="s">
        <v>13283</v>
      </c>
      <c r="H495" s="29" t="s">
        <v>61</v>
      </c>
      <c r="I495" s="29" t="s">
        <v>61</v>
      </c>
      <c r="J495" s="98">
        <v>46009</v>
      </c>
      <c r="K495" s="98">
        <f t="shared" si="36"/>
        <v>47105</v>
      </c>
      <c r="L495" s="110" t="s">
        <v>62</v>
      </c>
      <c r="M495" s="112" t="str">
        <f t="shared" ca="1" si="38"/>
        <v>Em dia</v>
      </c>
      <c r="N495" s="112"/>
      <c r="O495" s="67">
        <f t="shared" ca="1" si="35"/>
        <v>189</v>
      </c>
      <c r="P495" s="67">
        <f t="shared" ca="1" si="39"/>
        <v>907</v>
      </c>
      <c r="Q495" t="str">
        <f t="shared" si="37"/>
        <v>RET-25</v>
      </c>
    </row>
    <row r="496" spans="2:17" ht="15" customHeight="1" x14ac:dyDescent="0.35">
      <c r="B496" s="29">
        <v>11</v>
      </c>
      <c r="C496" s="29" t="s">
        <v>22</v>
      </c>
      <c r="D496" s="30">
        <v>26</v>
      </c>
      <c r="E496" s="66" t="s">
        <v>1379</v>
      </c>
      <c r="F496" s="66" t="s">
        <v>1380</v>
      </c>
      <c r="G496" s="187" t="s">
        <v>13284</v>
      </c>
      <c r="H496" s="29" t="s">
        <v>61</v>
      </c>
      <c r="I496" s="29" t="s">
        <v>61</v>
      </c>
      <c r="J496" s="98">
        <v>44739</v>
      </c>
      <c r="K496" s="98">
        <f t="shared" si="36"/>
        <v>45835</v>
      </c>
      <c r="L496" s="110" t="s">
        <v>62</v>
      </c>
      <c r="M496" s="112" t="str">
        <f t="shared" ca="1" si="38"/>
        <v>Vencido</v>
      </c>
      <c r="N496" s="112"/>
      <c r="O496" s="67">
        <f t="shared" ca="1" si="35"/>
        <v>1459</v>
      </c>
      <c r="P496" s="67">
        <f t="shared" ca="1" si="39"/>
        <v>-363</v>
      </c>
      <c r="Q496" t="str">
        <f t="shared" si="37"/>
        <v>RET-26</v>
      </c>
    </row>
    <row r="497" spans="2:17" ht="15" customHeight="1" x14ac:dyDescent="0.35">
      <c r="B497" s="29">
        <v>11</v>
      </c>
      <c r="C497" s="29" t="s">
        <v>22</v>
      </c>
      <c r="D497" s="30">
        <v>27</v>
      </c>
      <c r="E497" s="66" t="s">
        <v>1381</v>
      </c>
      <c r="F497" s="66" t="s">
        <v>1382</v>
      </c>
      <c r="G497" s="187" t="s">
        <v>13284</v>
      </c>
      <c r="H497" s="29" t="s">
        <v>61</v>
      </c>
      <c r="I497" s="29" t="s">
        <v>61</v>
      </c>
      <c r="J497" s="98">
        <v>44739</v>
      </c>
      <c r="K497" s="98">
        <f t="shared" si="36"/>
        <v>45835</v>
      </c>
      <c r="L497" s="110" t="s">
        <v>62</v>
      </c>
      <c r="M497" s="112" t="str">
        <f t="shared" ca="1" si="38"/>
        <v>Vencido</v>
      </c>
      <c r="N497" s="112"/>
      <c r="O497" s="67">
        <f t="shared" ca="1" si="35"/>
        <v>1459</v>
      </c>
      <c r="P497" s="67">
        <f t="shared" ca="1" si="39"/>
        <v>-363</v>
      </c>
      <c r="Q497" t="str">
        <f t="shared" si="37"/>
        <v>RET-27</v>
      </c>
    </row>
    <row r="498" spans="2:17" ht="15" customHeight="1" x14ac:dyDescent="0.35">
      <c r="B498" s="29">
        <v>11</v>
      </c>
      <c r="C498" s="29" t="s">
        <v>22</v>
      </c>
      <c r="D498" s="30">
        <v>28</v>
      </c>
      <c r="E498" s="66" t="s">
        <v>1383</v>
      </c>
      <c r="F498" s="66" t="s">
        <v>1384</v>
      </c>
      <c r="G498" s="187" t="s">
        <v>13284</v>
      </c>
      <c r="H498" s="29" t="s">
        <v>61</v>
      </c>
      <c r="I498" s="29" t="s">
        <v>61</v>
      </c>
      <c r="J498" s="98">
        <v>45202</v>
      </c>
      <c r="K498" s="98">
        <f t="shared" si="36"/>
        <v>46298</v>
      </c>
      <c r="L498" s="110" t="s">
        <v>62</v>
      </c>
      <c r="M498" s="112" t="str">
        <f t="shared" ca="1" si="38"/>
        <v>Alerta</v>
      </c>
      <c r="N498" s="112"/>
      <c r="O498" s="67">
        <f t="shared" ca="1" si="35"/>
        <v>996</v>
      </c>
      <c r="P498" s="67">
        <f t="shared" ca="1" si="39"/>
        <v>100</v>
      </c>
      <c r="Q498" t="str">
        <f t="shared" si="37"/>
        <v>RET-28</v>
      </c>
    </row>
    <row r="499" spans="2:17" ht="15" customHeight="1" x14ac:dyDescent="0.35">
      <c r="B499" s="29">
        <v>11</v>
      </c>
      <c r="C499" s="29" t="s">
        <v>22</v>
      </c>
      <c r="D499" s="30">
        <v>29</v>
      </c>
      <c r="E499" s="66" t="s">
        <v>1385</v>
      </c>
      <c r="F499" s="66" t="s">
        <v>1386</v>
      </c>
      <c r="G499" s="187" t="s">
        <v>13284</v>
      </c>
      <c r="H499" s="29" t="s">
        <v>61</v>
      </c>
      <c r="I499" s="29" t="s">
        <v>61</v>
      </c>
      <c r="J499" s="98">
        <v>45202</v>
      </c>
      <c r="K499" s="98">
        <f t="shared" si="36"/>
        <v>46298</v>
      </c>
      <c r="L499" s="110" t="s">
        <v>62</v>
      </c>
      <c r="M499" s="112" t="str">
        <f t="shared" ca="1" si="38"/>
        <v>Alerta</v>
      </c>
      <c r="N499" s="112"/>
      <c r="O499" s="67">
        <f t="shared" ca="1" si="35"/>
        <v>996</v>
      </c>
      <c r="P499" s="67">
        <f t="shared" ca="1" si="39"/>
        <v>100</v>
      </c>
      <c r="Q499" t="str">
        <f t="shared" si="37"/>
        <v>RET-29</v>
      </c>
    </row>
    <row r="500" spans="2:17" ht="15" customHeight="1" x14ac:dyDescent="0.35">
      <c r="B500" s="29">
        <v>11</v>
      </c>
      <c r="C500" s="29" t="s">
        <v>22</v>
      </c>
      <c r="D500" s="30">
        <v>40</v>
      </c>
      <c r="E500" s="66" t="s">
        <v>1387</v>
      </c>
      <c r="F500" s="66" t="s">
        <v>1388</v>
      </c>
      <c r="G500" s="187" t="s">
        <v>13283</v>
      </c>
      <c r="H500" s="29" t="s">
        <v>61</v>
      </c>
      <c r="I500" s="29"/>
      <c r="J500" s="98">
        <v>45202</v>
      </c>
      <c r="K500" s="98">
        <f t="shared" si="36"/>
        <v>46298</v>
      </c>
      <c r="L500" s="110" t="s">
        <v>62</v>
      </c>
      <c r="M500" s="112" t="str">
        <f t="shared" ca="1" si="38"/>
        <v>Alerta</v>
      </c>
      <c r="N500" s="112"/>
      <c r="O500" s="67">
        <f t="shared" ca="1" si="35"/>
        <v>996</v>
      </c>
      <c r="P500" s="67">
        <f t="shared" ca="1" si="39"/>
        <v>100</v>
      </c>
      <c r="Q500" t="str">
        <f t="shared" si="37"/>
        <v>RET-40</v>
      </c>
    </row>
    <row r="501" spans="2:17" ht="15" customHeight="1" x14ac:dyDescent="0.35">
      <c r="B501" s="29">
        <v>11</v>
      </c>
      <c r="C501" s="29" t="s">
        <v>22</v>
      </c>
      <c r="D501" s="30">
        <v>41</v>
      </c>
      <c r="E501" s="66" t="s">
        <v>1389</v>
      </c>
      <c r="F501" s="66" t="s">
        <v>1390</v>
      </c>
      <c r="G501" s="187" t="s">
        <v>13283</v>
      </c>
      <c r="H501" s="29" t="s">
        <v>61</v>
      </c>
      <c r="I501" s="29"/>
      <c r="J501" s="98">
        <v>45202</v>
      </c>
      <c r="K501" s="98">
        <f t="shared" si="36"/>
        <v>46298</v>
      </c>
      <c r="L501" s="110" t="s">
        <v>62</v>
      </c>
      <c r="M501" s="112" t="str">
        <f t="shared" ca="1" si="38"/>
        <v>Alerta</v>
      </c>
      <c r="N501" s="112"/>
      <c r="O501" s="67">
        <f t="shared" ca="1" si="35"/>
        <v>996</v>
      </c>
      <c r="P501" s="67">
        <f t="shared" ca="1" si="39"/>
        <v>100</v>
      </c>
      <c r="Q501" t="str">
        <f t="shared" si="37"/>
        <v>RET-41</v>
      </c>
    </row>
    <row r="502" spans="2:17" ht="15" customHeight="1" x14ac:dyDescent="0.35">
      <c r="B502" s="29">
        <v>11</v>
      </c>
      <c r="C502" s="29" t="s">
        <v>22</v>
      </c>
      <c r="D502" s="30">
        <v>59</v>
      </c>
      <c r="E502" s="66" t="s">
        <v>1391</v>
      </c>
      <c r="F502" s="66" t="s">
        <v>1392</v>
      </c>
      <c r="G502" s="187" t="s">
        <v>13283</v>
      </c>
      <c r="H502" s="29" t="s">
        <v>61</v>
      </c>
      <c r="I502" s="29" t="s">
        <v>61</v>
      </c>
      <c r="J502" s="98">
        <v>45462</v>
      </c>
      <c r="K502" s="98">
        <f t="shared" si="36"/>
        <v>46558</v>
      </c>
      <c r="L502" s="110" t="s">
        <v>62</v>
      </c>
      <c r="M502" s="112" t="str">
        <f t="shared" ca="1" si="38"/>
        <v>Alerta</v>
      </c>
      <c r="N502" s="112"/>
      <c r="O502" s="67">
        <f t="shared" ca="1" si="35"/>
        <v>736</v>
      </c>
      <c r="P502" s="67">
        <f t="shared" ca="1" si="39"/>
        <v>360</v>
      </c>
      <c r="Q502" t="str">
        <f t="shared" si="37"/>
        <v>RET-59</v>
      </c>
    </row>
    <row r="503" spans="2:17" ht="15" customHeight="1" x14ac:dyDescent="0.35">
      <c r="B503" s="29">
        <v>11</v>
      </c>
      <c r="C503" s="29" t="s">
        <v>22</v>
      </c>
      <c r="D503" s="30">
        <v>60</v>
      </c>
      <c r="E503" s="66" t="s">
        <v>1393</v>
      </c>
      <c r="F503" s="66" t="s">
        <v>1394</v>
      </c>
      <c r="G503" s="187" t="s">
        <v>13284</v>
      </c>
      <c r="H503" s="29" t="s">
        <v>61</v>
      </c>
      <c r="I503" s="29" t="s">
        <v>61</v>
      </c>
      <c r="J503" s="98">
        <v>44819</v>
      </c>
      <c r="K503" s="98">
        <f t="shared" si="36"/>
        <v>45915</v>
      </c>
      <c r="L503" s="110" t="s">
        <v>62</v>
      </c>
      <c r="M503" s="112" t="str">
        <f t="shared" ca="1" si="38"/>
        <v>Vencido</v>
      </c>
      <c r="N503" s="112"/>
      <c r="O503" s="67">
        <f t="shared" ca="1" si="35"/>
        <v>1379</v>
      </c>
      <c r="P503" s="67">
        <f t="shared" ca="1" si="39"/>
        <v>-283</v>
      </c>
      <c r="Q503" t="str">
        <f t="shared" si="37"/>
        <v>RET-60</v>
      </c>
    </row>
    <row r="504" spans="2:17" ht="15" customHeight="1" x14ac:dyDescent="0.35">
      <c r="B504" s="29">
        <v>11</v>
      </c>
      <c r="C504" s="29" t="s">
        <v>22</v>
      </c>
      <c r="D504" s="30">
        <v>61</v>
      </c>
      <c r="E504" s="66" t="s">
        <v>1395</v>
      </c>
      <c r="F504" s="66" t="s">
        <v>1396</v>
      </c>
      <c r="G504" s="187" t="s">
        <v>13284</v>
      </c>
      <c r="H504" s="29" t="s">
        <v>61</v>
      </c>
      <c r="I504" s="29" t="s">
        <v>61</v>
      </c>
      <c r="J504" s="98">
        <v>44926</v>
      </c>
      <c r="K504" s="98">
        <f t="shared" si="36"/>
        <v>46022</v>
      </c>
      <c r="L504" s="110" t="s">
        <v>62</v>
      </c>
      <c r="M504" s="112" t="str">
        <f t="shared" ca="1" si="38"/>
        <v>Vencido</v>
      </c>
      <c r="N504" s="112"/>
      <c r="O504" s="67">
        <f t="shared" ca="1" si="35"/>
        <v>1272</v>
      </c>
      <c r="P504" s="67">
        <f t="shared" ca="1" si="39"/>
        <v>-176</v>
      </c>
      <c r="Q504" t="str">
        <f t="shared" si="37"/>
        <v>RET-61</v>
      </c>
    </row>
    <row r="505" spans="2:17" ht="15" customHeight="1" x14ac:dyDescent="0.35">
      <c r="B505" s="29">
        <v>11</v>
      </c>
      <c r="C505" s="29" t="s">
        <v>22</v>
      </c>
      <c r="D505" s="30">
        <v>62</v>
      </c>
      <c r="E505" s="66" t="s">
        <v>1397</v>
      </c>
      <c r="F505" s="66" t="s">
        <v>1398</v>
      </c>
      <c r="G505" s="187" t="s">
        <v>13284</v>
      </c>
      <c r="H505" s="29" t="s">
        <v>61</v>
      </c>
      <c r="I505" s="29" t="s">
        <v>61</v>
      </c>
      <c r="J505" s="98">
        <v>44926</v>
      </c>
      <c r="K505" s="98">
        <f t="shared" si="36"/>
        <v>46022</v>
      </c>
      <c r="L505" s="110" t="s">
        <v>62</v>
      </c>
      <c r="M505" s="112" t="str">
        <f t="shared" ca="1" si="38"/>
        <v>Vencido</v>
      </c>
      <c r="N505" s="112"/>
      <c r="O505" s="67">
        <f t="shared" ca="1" si="35"/>
        <v>1272</v>
      </c>
      <c r="P505" s="67">
        <f t="shared" ca="1" si="39"/>
        <v>-176</v>
      </c>
      <c r="Q505" t="str">
        <f t="shared" si="37"/>
        <v>RET-62</v>
      </c>
    </row>
    <row r="506" spans="2:17" ht="15" customHeight="1" x14ac:dyDescent="0.35">
      <c r="B506" s="29">
        <v>11</v>
      </c>
      <c r="C506" s="29" t="s">
        <v>22</v>
      </c>
      <c r="D506" s="30">
        <v>65</v>
      </c>
      <c r="E506" s="66" t="s">
        <v>1399</v>
      </c>
      <c r="F506" s="66" t="s">
        <v>1400</v>
      </c>
      <c r="G506" s="187" t="s">
        <v>13284</v>
      </c>
      <c r="H506" s="29" t="s">
        <v>61</v>
      </c>
      <c r="I506" s="29" t="s">
        <v>61</v>
      </c>
      <c r="J506" s="98">
        <v>45202</v>
      </c>
      <c r="K506" s="98">
        <f t="shared" si="36"/>
        <v>46298</v>
      </c>
      <c r="L506" s="110" t="s">
        <v>62</v>
      </c>
      <c r="M506" s="112" t="str">
        <f t="shared" ca="1" si="38"/>
        <v>Alerta</v>
      </c>
      <c r="N506" s="112"/>
      <c r="O506" s="67">
        <f t="shared" ca="1" si="35"/>
        <v>996</v>
      </c>
      <c r="P506" s="67">
        <f t="shared" ca="1" si="39"/>
        <v>100</v>
      </c>
      <c r="Q506" t="str">
        <f t="shared" si="37"/>
        <v>RET-65</v>
      </c>
    </row>
    <row r="507" spans="2:17" ht="15" customHeight="1" x14ac:dyDescent="0.35">
      <c r="B507" s="29">
        <v>11</v>
      </c>
      <c r="C507" s="29" t="s">
        <v>22</v>
      </c>
      <c r="D507" s="30">
        <v>65</v>
      </c>
      <c r="E507" s="66" t="s">
        <v>1401</v>
      </c>
      <c r="F507" s="66" t="s">
        <v>1402</v>
      </c>
      <c r="G507" s="187" t="s">
        <v>13284</v>
      </c>
      <c r="H507" s="29" t="s">
        <v>61</v>
      </c>
      <c r="I507" s="29" t="s">
        <v>61</v>
      </c>
      <c r="J507" s="98">
        <v>45202</v>
      </c>
      <c r="K507" s="98">
        <f t="shared" si="36"/>
        <v>46298</v>
      </c>
      <c r="L507" s="110" t="s">
        <v>62</v>
      </c>
      <c r="M507" s="112" t="str">
        <f t="shared" ca="1" si="38"/>
        <v>Alerta</v>
      </c>
      <c r="N507" s="112"/>
      <c r="O507" s="67">
        <f t="shared" ca="1" si="35"/>
        <v>996</v>
      </c>
      <c r="P507" s="67">
        <f t="shared" ca="1" si="39"/>
        <v>100</v>
      </c>
      <c r="Q507" t="str">
        <f t="shared" si="37"/>
        <v>RET-65</v>
      </c>
    </row>
    <row r="508" spans="2:17" ht="15" customHeight="1" x14ac:dyDescent="0.35">
      <c r="B508" s="29">
        <v>11</v>
      </c>
      <c r="C508" s="29" t="s">
        <v>22</v>
      </c>
      <c r="D508" s="30">
        <v>71</v>
      </c>
      <c r="E508" s="66" t="s">
        <v>1403</v>
      </c>
      <c r="F508" s="66" t="s">
        <v>1404</v>
      </c>
      <c r="G508" s="26" t="s">
        <v>13282</v>
      </c>
      <c r="H508" s="29" t="s">
        <v>61</v>
      </c>
      <c r="I508" s="29" t="s">
        <v>61</v>
      </c>
      <c r="J508" s="98">
        <v>45202</v>
      </c>
      <c r="K508" s="98">
        <f t="shared" si="36"/>
        <v>46298</v>
      </c>
      <c r="L508" s="110" t="s">
        <v>62</v>
      </c>
      <c r="M508" s="112" t="str">
        <f t="shared" ca="1" si="38"/>
        <v>Alerta</v>
      </c>
      <c r="N508" s="112"/>
      <c r="O508" s="67">
        <f t="shared" ca="1" si="35"/>
        <v>996</v>
      </c>
      <c r="P508" s="67">
        <f t="shared" ca="1" si="39"/>
        <v>100</v>
      </c>
      <c r="Q508" t="str">
        <f t="shared" si="37"/>
        <v>RET-71</v>
      </c>
    </row>
    <row r="509" spans="2:17" ht="15" customHeight="1" x14ac:dyDescent="0.35">
      <c r="B509" s="29">
        <v>11</v>
      </c>
      <c r="C509" s="29" t="s">
        <v>22</v>
      </c>
      <c r="D509" s="30">
        <v>30</v>
      </c>
      <c r="E509" s="66" t="s">
        <v>1405</v>
      </c>
      <c r="F509" s="66" t="s">
        <v>1406</v>
      </c>
      <c r="G509" s="187" t="s">
        <v>13284</v>
      </c>
      <c r="H509" s="29" t="s">
        <v>61</v>
      </c>
      <c r="I509" s="29" t="s">
        <v>61</v>
      </c>
      <c r="J509" s="98">
        <v>44838</v>
      </c>
      <c r="K509" s="98">
        <f t="shared" si="36"/>
        <v>45934</v>
      </c>
      <c r="L509" s="110" t="s">
        <v>62</v>
      </c>
      <c r="M509" s="112" t="str">
        <f t="shared" ca="1" si="38"/>
        <v>Vencido</v>
      </c>
      <c r="N509" s="112"/>
      <c r="O509" s="67">
        <f t="shared" ca="1" si="35"/>
        <v>1360</v>
      </c>
      <c r="P509" s="67">
        <f t="shared" ca="1" si="39"/>
        <v>-264</v>
      </c>
      <c r="Q509" t="str">
        <f t="shared" si="37"/>
        <v>RET-30</v>
      </c>
    </row>
    <row r="510" spans="2:17" ht="15" customHeight="1" x14ac:dyDescent="0.35">
      <c r="B510" s="29">
        <v>11</v>
      </c>
      <c r="C510" s="29" t="s">
        <v>22</v>
      </c>
      <c r="D510" s="30">
        <v>31</v>
      </c>
      <c r="E510" s="66" t="s">
        <v>1407</v>
      </c>
      <c r="F510" s="66" t="s">
        <v>1408</v>
      </c>
      <c r="G510" s="187" t="s">
        <v>13284</v>
      </c>
      <c r="H510" s="29" t="s">
        <v>61</v>
      </c>
      <c r="I510" s="29" t="s">
        <v>61</v>
      </c>
      <c r="J510" s="98">
        <v>44838</v>
      </c>
      <c r="K510" s="98">
        <f t="shared" si="36"/>
        <v>45934</v>
      </c>
      <c r="L510" s="110" t="s">
        <v>62</v>
      </c>
      <c r="M510" s="112" t="str">
        <f t="shared" ca="1" si="38"/>
        <v>Vencido</v>
      </c>
      <c r="N510" s="112"/>
      <c r="O510" s="67">
        <f t="shared" ca="1" si="35"/>
        <v>1360</v>
      </c>
      <c r="P510" s="67">
        <f t="shared" ca="1" si="39"/>
        <v>-264</v>
      </c>
      <c r="Q510" t="str">
        <f t="shared" si="37"/>
        <v>RET-31</v>
      </c>
    </row>
    <row r="511" spans="2:17" ht="15" customHeight="1" x14ac:dyDescent="0.35">
      <c r="B511" s="29">
        <v>11</v>
      </c>
      <c r="C511" s="29" t="s">
        <v>22</v>
      </c>
      <c r="D511" s="30">
        <v>34</v>
      </c>
      <c r="E511" s="66" t="s">
        <v>1409</v>
      </c>
      <c r="F511" s="66" t="s">
        <v>1410</v>
      </c>
      <c r="G511" s="187" t="s">
        <v>13284</v>
      </c>
      <c r="H511" s="29" t="s">
        <v>61</v>
      </c>
      <c r="I511" s="29" t="s">
        <v>61</v>
      </c>
      <c r="J511" s="98">
        <v>45202</v>
      </c>
      <c r="K511" s="98">
        <f t="shared" si="36"/>
        <v>46298</v>
      </c>
      <c r="L511" s="110" t="s">
        <v>62</v>
      </c>
      <c r="M511" s="112" t="str">
        <f t="shared" ca="1" si="38"/>
        <v>Alerta</v>
      </c>
      <c r="N511" s="112"/>
      <c r="O511" s="67">
        <f t="shared" ca="1" si="35"/>
        <v>996</v>
      </c>
      <c r="P511" s="67">
        <f t="shared" ca="1" si="39"/>
        <v>100</v>
      </c>
      <c r="Q511" t="str">
        <f t="shared" si="37"/>
        <v>RET-34</v>
      </c>
    </row>
    <row r="512" spans="2:17" ht="15" customHeight="1" x14ac:dyDescent="0.35">
      <c r="B512" s="29">
        <v>12</v>
      </c>
      <c r="C512" s="29" t="s">
        <v>20</v>
      </c>
      <c r="D512" s="30">
        <v>0</v>
      </c>
      <c r="E512" s="66" t="s">
        <v>1411</v>
      </c>
      <c r="F512" s="65" t="s">
        <v>1412</v>
      </c>
      <c r="G512" s="26" t="s">
        <v>13301</v>
      </c>
      <c r="H512" s="29" t="s">
        <v>61</v>
      </c>
      <c r="I512" s="29"/>
      <c r="J512" s="98">
        <v>45202</v>
      </c>
      <c r="K512" s="98">
        <f t="shared" si="36"/>
        <v>46298</v>
      </c>
      <c r="L512" s="110" t="s">
        <v>62</v>
      </c>
      <c r="M512" s="112" t="str">
        <f t="shared" ca="1" si="38"/>
        <v>Alerta</v>
      </c>
      <c r="N512" s="112"/>
      <c r="O512" s="67">
        <f t="shared" ca="1" si="35"/>
        <v>996</v>
      </c>
      <c r="P512" s="67">
        <f t="shared" ca="1" si="39"/>
        <v>100</v>
      </c>
      <c r="Q512" t="str">
        <f t="shared" si="37"/>
        <v>ROS-00</v>
      </c>
    </row>
    <row r="513" spans="2:17" ht="15" customHeight="1" x14ac:dyDescent="0.35">
      <c r="B513" s="29">
        <v>12</v>
      </c>
      <c r="C513" s="29" t="s">
        <v>20</v>
      </c>
      <c r="D513" s="30">
        <v>1</v>
      </c>
      <c r="E513" s="66" t="s">
        <v>1413</v>
      </c>
      <c r="F513" s="66" t="s">
        <v>1414</v>
      </c>
      <c r="G513" s="187" t="s">
        <v>13284</v>
      </c>
      <c r="H513" s="29" t="s">
        <v>61</v>
      </c>
      <c r="I513" s="29" t="s">
        <v>61</v>
      </c>
      <c r="J513" s="98">
        <v>44739</v>
      </c>
      <c r="K513" s="98">
        <f t="shared" si="36"/>
        <v>45835</v>
      </c>
      <c r="L513" s="110" t="s">
        <v>62</v>
      </c>
      <c r="M513" s="112" t="str">
        <f t="shared" ca="1" si="38"/>
        <v>Vencido</v>
      </c>
      <c r="N513" s="112"/>
      <c r="O513" s="67">
        <f t="shared" ca="1" si="35"/>
        <v>1459</v>
      </c>
      <c r="P513" s="67">
        <f t="shared" ca="1" si="39"/>
        <v>-363</v>
      </c>
      <c r="Q513" t="str">
        <f t="shared" si="37"/>
        <v>ROS-01</v>
      </c>
    </row>
    <row r="514" spans="2:17" ht="29" x14ac:dyDescent="0.35">
      <c r="B514" s="29">
        <v>12</v>
      </c>
      <c r="C514" s="29" t="s">
        <v>20</v>
      </c>
      <c r="D514" s="30">
        <v>2</v>
      </c>
      <c r="E514" s="66" t="s">
        <v>1415</v>
      </c>
      <c r="F514" s="66" t="s">
        <v>1416</v>
      </c>
      <c r="G514" s="26" t="s">
        <v>13284</v>
      </c>
      <c r="H514" s="29" t="s">
        <v>61</v>
      </c>
      <c r="I514" s="29" t="s">
        <v>61</v>
      </c>
      <c r="J514" s="98">
        <v>44739</v>
      </c>
      <c r="K514" s="98">
        <f t="shared" si="36"/>
        <v>45835</v>
      </c>
      <c r="L514" s="110" t="s">
        <v>62</v>
      </c>
      <c r="M514" s="112" t="str">
        <f t="shared" ca="1" si="38"/>
        <v>Vencido</v>
      </c>
      <c r="N514" s="112"/>
      <c r="O514" s="67">
        <f t="shared" ca="1" si="35"/>
        <v>1459</v>
      </c>
      <c r="P514" s="67">
        <f t="shared" ca="1" si="39"/>
        <v>-363</v>
      </c>
      <c r="Q514" t="str">
        <f t="shared" si="37"/>
        <v>ROS-02</v>
      </c>
    </row>
    <row r="515" spans="2:17" ht="15" customHeight="1" x14ac:dyDescent="0.35">
      <c r="B515" s="29">
        <v>12</v>
      </c>
      <c r="C515" s="29" t="s">
        <v>20</v>
      </c>
      <c r="D515" s="30">
        <v>3</v>
      </c>
      <c r="E515" s="66" t="s">
        <v>1417</v>
      </c>
      <c r="F515" s="66" t="s">
        <v>1418</v>
      </c>
      <c r="G515" s="26" t="s">
        <v>13283</v>
      </c>
      <c r="H515" s="29" t="s">
        <v>61</v>
      </c>
      <c r="I515" s="29" t="s">
        <v>61</v>
      </c>
      <c r="J515" s="98">
        <v>45506</v>
      </c>
      <c r="K515" s="98">
        <f t="shared" si="36"/>
        <v>46602</v>
      </c>
      <c r="L515" s="110" t="s">
        <v>62</v>
      </c>
      <c r="M515" s="112" t="str">
        <f t="shared" ca="1" si="38"/>
        <v>Em dia</v>
      </c>
      <c r="N515" s="112"/>
      <c r="O515" s="67">
        <f t="shared" ca="1" si="35"/>
        <v>692</v>
      </c>
      <c r="P515" s="67">
        <f t="shared" ca="1" si="39"/>
        <v>404</v>
      </c>
      <c r="Q515" t="str">
        <f t="shared" si="37"/>
        <v>ROS-03</v>
      </c>
    </row>
    <row r="516" spans="2:17" ht="15" customHeight="1" x14ac:dyDescent="0.35">
      <c r="B516" s="29">
        <v>12</v>
      </c>
      <c r="C516" s="29" t="s">
        <v>20</v>
      </c>
      <c r="D516" s="30">
        <v>4</v>
      </c>
      <c r="E516" s="66" t="s">
        <v>1419</v>
      </c>
      <c r="F516" s="66" t="s">
        <v>1420</v>
      </c>
      <c r="G516" s="186" t="s">
        <v>13283</v>
      </c>
      <c r="H516" s="29" t="s">
        <v>61</v>
      </c>
      <c r="I516" s="29" t="s">
        <v>61</v>
      </c>
      <c r="J516" s="98">
        <v>46107</v>
      </c>
      <c r="K516" s="98">
        <f t="shared" si="36"/>
        <v>47203</v>
      </c>
      <c r="L516" s="110" t="s">
        <v>62</v>
      </c>
      <c r="M516" s="112" t="str">
        <f t="shared" ca="1" si="38"/>
        <v>Em dia</v>
      </c>
      <c r="N516" s="112"/>
      <c r="O516" s="67">
        <f t="shared" ref="O516:O579" ca="1" si="40">$O$4-J516</f>
        <v>91</v>
      </c>
      <c r="P516" s="67">
        <f t="shared" ca="1" si="39"/>
        <v>1005</v>
      </c>
      <c r="Q516" t="str">
        <f t="shared" si="37"/>
        <v>ROS-04</v>
      </c>
    </row>
    <row r="517" spans="2:17" ht="17.149999999999999" customHeight="1" x14ac:dyDescent="0.35">
      <c r="B517" s="29">
        <v>12</v>
      </c>
      <c r="C517" s="29" t="s">
        <v>20</v>
      </c>
      <c r="D517" s="30">
        <v>5</v>
      </c>
      <c r="E517" s="66" t="s">
        <v>1421</v>
      </c>
      <c r="F517" s="66" t="s">
        <v>1422</v>
      </c>
      <c r="G517" s="186" t="s">
        <v>13283</v>
      </c>
      <c r="H517" s="29" t="s">
        <v>61</v>
      </c>
      <c r="I517" s="29" t="s">
        <v>61</v>
      </c>
      <c r="J517" s="98">
        <v>46107</v>
      </c>
      <c r="K517" s="98">
        <f t="shared" ref="K517:K580" si="41">J517+1096</f>
        <v>47203</v>
      </c>
      <c r="L517" s="110" t="s">
        <v>62</v>
      </c>
      <c r="M517" s="112" t="str">
        <f t="shared" ca="1" si="38"/>
        <v>Em dia</v>
      </c>
      <c r="N517" s="112"/>
      <c r="O517" s="67">
        <f t="shared" ca="1" si="40"/>
        <v>91</v>
      </c>
      <c r="P517" s="67">
        <f t="shared" ca="1" si="39"/>
        <v>1005</v>
      </c>
      <c r="Q517" t="str">
        <f t="shared" ref="Q517:Q580" si="42">IF(OR(C517="ARN",C517="SDP"),MID(E517,4,7),MID(E517,4,6))</f>
        <v>ROS-05</v>
      </c>
    </row>
    <row r="518" spans="2:17" ht="15" customHeight="1" x14ac:dyDescent="0.35">
      <c r="B518" s="29">
        <v>12</v>
      </c>
      <c r="C518" s="29" t="s">
        <v>20</v>
      </c>
      <c r="D518" s="30">
        <v>6</v>
      </c>
      <c r="E518" s="66" t="s">
        <v>1423</v>
      </c>
      <c r="F518" s="66" t="s">
        <v>1424</v>
      </c>
      <c r="G518" s="186" t="s">
        <v>13283</v>
      </c>
      <c r="H518" s="29" t="s">
        <v>61</v>
      </c>
      <c r="I518" s="29" t="s">
        <v>61</v>
      </c>
      <c r="J518" s="98">
        <v>46107</v>
      </c>
      <c r="K518" s="98">
        <f t="shared" si="41"/>
        <v>47203</v>
      </c>
      <c r="L518" s="110" t="s">
        <v>62</v>
      </c>
      <c r="M518" s="112" t="str">
        <f t="shared" ref="M518:M581" ca="1" si="43">IF(O518="","",IF(O518&gt;1095,"Vencido",IF(O518&gt;910,"Alerta",IF(O518&gt;820,"Alerta",IF(O518&gt;730,"Alerta",IF(O518&gt;=0,"Em dia","Vencido"))))))</f>
        <v>Em dia</v>
      </c>
      <c r="N518" s="112"/>
      <c r="O518" s="67">
        <f t="shared" ca="1" si="40"/>
        <v>91</v>
      </c>
      <c r="P518" s="67">
        <f t="shared" ref="P518:P581" ca="1" si="44">K518-$P$3</f>
        <v>1005</v>
      </c>
      <c r="Q518" t="str">
        <f t="shared" si="42"/>
        <v>ROS-06</v>
      </c>
    </row>
    <row r="519" spans="2:17" ht="15" customHeight="1" x14ac:dyDescent="0.35">
      <c r="B519" s="29">
        <v>12</v>
      </c>
      <c r="C519" s="29" t="s">
        <v>20</v>
      </c>
      <c r="D519" s="30">
        <v>7</v>
      </c>
      <c r="E519" s="66" t="s">
        <v>1425</v>
      </c>
      <c r="F519" s="66" t="s">
        <v>1426</v>
      </c>
      <c r="G519" s="186" t="s">
        <v>13283</v>
      </c>
      <c r="H519" s="29" t="s">
        <v>61</v>
      </c>
      <c r="I519" s="29" t="s">
        <v>61</v>
      </c>
      <c r="J519" s="98">
        <v>45959</v>
      </c>
      <c r="K519" s="98">
        <f t="shared" si="41"/>
        <v>47055</v>
      </c>
      <c r="L519" s="110" t="s">
        <v>62</v>
      </c>
      <c r="M519" s="112" t="str">
        <f t="shared" ca="1" si="43"/>
        <v>Em dia</v>
      </c>
      <c r="N519" s="112"/>
      <c r="O519" s="67">
        <f t="shared" ca="1" si="40"/>
        <v>239</v>
      </c>
      <c r="P519" s="67">
        <f t="shared" ca="1" si="44"/>
        <v>857</v>
      </c>
      <c r="Q519" t="str">
        <f t="shared" si="42"/>
        <v>ROS-07</v>
      </c>
    </row>
    <row r="520" spans="2:17" ht="15" customHeight="1" x14ac:dyDescent="0.35">
      <c r="B520" s="29">
        <v>12</v>
      </c>
      <c r="C520" s="29" t="s">
        <v>20</v>
      </c>
      <c r="D520" s="30">
        <v>8</v>
      </c>
      <c r="E520" s="66" t="s">
        <v>1427</v>
      </c>
      <c r="F520" s="66" t="s">
        <v>1428</v>
      </c>
      <c r="G520" s="186" t="s">
        <v>13283</v>
      </c>
      <c r="H520" s="29" t="s">
        <v>61</v>
      </c>
      <c r="I520" s="29" t="s">
        <v>61</v>
      </c>
      <c r="J520" s="98">
        <v>46100</v>
      </c>
      <c r="K520" s="98">
        <f t="shared" si="41"/>
        <v>47196</v>
      </c>
      <c r="L520" s="110" t="s">
        <v>62</v>
      </c>
      <c r="M520" s="112" t="str">
        <f t="shared" ca="1" si="43"/>
        <v>Em dia</v>
      </c>
      <c r="N520" s="112"/>
      <c r="O520" s="67">
        <f t="shared" ca="1" si="40"/>
        <v>98</v>
      </c>
      <c r="P520" s="67">
        <f t="shared" ca="1" si="44"/>
        <v>998</v>
      </c>
      <c r="Q520" t="str">
        <f t="shared" si="42"/>
        <v>ROS-08</v>
      </c>
    </row>
    <row r="521" spans="2:17" ht="15" customHeight="1" x14ac:dyDescent="0.35">
      <c r="B521" s="29">
        <v>12</v>
      </c>
      <c r="C521" s="29" t="s">
        <v>20</v>
      </c>
      <c r="D521" s="30">
        <v>9</v>
      </c>
      <c r="E521" s="66" t="s">
        <v>1429</v>
      </c>
      <c r="F521" s="66" t="s">
        <v>1430</v>
      </c>
      <c r="G521" s="186" t="s">
        <v>13283</v>
      </c>
      <c r="H521" s="29" t="s">
        <v>61</v>
      </c>
      <c r="I521" s="29" t="s">
        <v>61</v>
      </c>
      <c r="J521" s="98">
        <v>45959</v>
      </c>
      <c r="K521" s="98">
        <f t="shared" si="41"/>
        <v>47055</v>
      </c>
      <c r="L521" s="110" t="s">
        <v>62</v>
      </c>
      <c r="M521" s="112" t="str">
        <f t="shared" ca="1" si="43"/>
        <v>Em dia</v>
      </c>
      <c r="N521" s="112"/>
      <c r="O521" s="67">
        <f t="shared" ca="1" si="40"/>
        <v>239</v>
      </c>
      <c r="P521" s="67">
        <f t="shared" ca="1" si="44"/>
        <v>857</v>
      </c>
      <c r="Q521" t="str">
        <f t="shared" si="42"/>
        <v>ROS-09</v>
      </c>
    </row>
    <row r="522" spans="2:17" ht="15" customHeight="1" x14ac:dyDescent="0.35">
      <c r="B522" s="29">
        <v>12</v>
      </c>
      <c r="C522" s="29" t="s">
        <v>20</v>
      </c>
      <c r="D522" s="30">
        <v>10</v>
      </c>
      <c r="E522" s="66" t="s">
        <v>1431</v>
      </c>
      <c r="F522" s="66" t="s">
        <v>1432</v>
      </c>
      <c r="G522" s="186" t="s">
        <v>13283</v>
      </c>
      <c r="H522" s="29" t="s">
        <v>61</v>
      </c>
      <c r="I522" s="29" t="s">
        <v>61</v>
      </c>
      <c r="J522" s="101">
        <v>45959</v>
      </c>
      <c r="K522" s="98">
        <f t="shared" si="41"/>
        <v>47055</v>
      </c>
      <c r="L522" s="110" t="s">
        <v>62</v>
      </c>
      <c r="M522" s="112" t="str">
        <f t="shared" ca="1" si="43"/>
        <v>Em dia</v>
      </c>
      <c r="N522" s="112"/>
      <c r="O522" s="67">
        <f t="shared" ca="1" si="40"/>
        <v>239</v>
      </c>
      <c r="P522" s="67">
        <f t="shared" ca="1" si="44"/>
        <v>857</v>
      </c>
      <c r="Q522" t="str">
        <f t="shared" si="42"/>
        <v>ROS-10</v>
      </c>
    </row>
    <row r="523" spans="2:17" ht="15" customHeight="1" x14ac:dyDescent="0.35">
      <c r="B523" s="29">
        <v>12</v>
      </c>
      <c r="C523" s="29" t="s">
        <v>20</v>
      </c>
      <c r="D523" s="30">
        <v>11</v>
      </c>
      <c r="E523" s="66" t="s">
        <v>1433</v>
      </c>
      <c r="F523" s="66" t="s">
        <v>1434</v>
      </c>
      <c r="G523" s="186" t="s">
        <v>13283</v>
      </c>
      <c r="H523" s="29" t="s">
        <v>61</v>
      </c>
      <c r="I523" s="29" t="s">
        <v>61</v>
      </c>
      <c r="J523" s="98">
        <v>46107</v>
      </c>
      <c r="K523" s="98">
        <f t="shared" si="41"/>
        <v>47203</v>
      </c>
      <c r="L523" s="110" t="s">
        <v>62</v>
      </c>
      <c r="M523" s="112" t="str">
        <f t="shared" ca="1" si="43"/>
        <v>Em dia</v>
      </c>
      <c r="N523" s="112"/>
      <c r="O523" s="67">
        <f t="shared" ca="1" si="40"/>
        <v>91</v>
      </c>
      <c r="P523" s="67">
        <f t="shared" ca="1" si="44"/>
        <v>1005</v>
      </c>
      <c r="Q523" t="str">
        <f t="shared" si="42"/>
        <v>ROS-11</v>
      </c>
    </row>
    <row r="524" spans="2:17" ht="15" customHeight="1" x14ac:dyDescent="0.35">
      <c r="B524" s="29">
        <v>12</v>
      </c>
      <c r="C524" s="29" t="s">
        <v>20</v>
      </c>
      <c r="D524" s="30">
        <v>12</v>
      </c>
      <c r="E524" s="66" t="s">
        <v>1435</v>
      </c>
      <c r="F524" s="66" t="s">
        <v>1436</v>
      </c>
      <c r="G524" s="186" t="s">
        <v>13283</v>
      </c>
      <c r="H524" s="29" t="s">
        <v>61</v>
      </c>
      <c r="I524" s="29" t="s">
        <v>61</v>
      </c>
      <c r="J524" s="98">
        <v>46107</v>
      </c>
      <c r="K524" s="98">
        <f t="shared" si="41"/>
        <v>47203</v>
      </c>
      <c r="L524" s="110" t="s">
        <v>62</v>
      </c>
      <c r="M524" s="112" t="str">
        <f t="shared" ca="1" si="43"/>
        <v>Em dia</v>
      </c>
      <c r="N524" s="112"/>
      <c r="O524" s="67">
        <f t="shared" ca="1" si="40"/>
        <v>91</v>
      </c>
      <c r="P524" s="67">
        <f t="shared" ca="1" si="44"/>
        <v>1005</v>
      </c>
      <c r="Q524" t="str">
        <f t="shared" si="42"/>
        <v>ROS-12</v>
      </c>
    </row>
    <row r="525" spans="2:17" ht="15" customHeight="1" x14ac:dyDescent="0.35">
      <c r="B525" s="29">
        <v>12</v>
      </c>
      <c r="C525" s="29" t="s">
        <v>20</v>
      </c>
      <c r="D525" s="30">
        <v>13</v>
      </c>
      <c r="E525" s="66" t="s">
        <v>1437</v>
      </c>
      <c r="F525" s="66" t="s">
        <v>1438</v>
      </c>
      <c r="G525" s="186" t="s">
        <v>13283</v>
      </c>
      <c r="H525" s="29" t="s">
        <v>61</v>
      </c>
      <c r="I525" s="29" t="s">
        <v>61</v>
      </c>
      <c r="J525" s="98">
        <v>46107</v>
      </c>
      <c r="K525" s="98">
        <f t="shared" si="41"/>
        <v>47203</v>
      </c>
      <c r="L525" s="110" t="s">
        <v>62</v>
      </c>
      <c r="M525" s="112" t="str">
        <f t="shared" ca="1" si="43"/>
        <v>Em dia</v>
      </c>
      <c r="N525" s="112"/>
      <c r="O525" s="67">
        <f t="shared" ca="1" si="40"/>
        <v>91</v>
      </c>
      <c r="P525" s="67">
        <f t="shared" ca="1" si="44"/>
        <v>1005</v>
      </c>
      <c r="Q525" t="str">
        <f t="shared" si="42"/>
        <v>ROS-13</v>
      </c>
    </row>
    <row r="526" spans="2:17" ht="15" customHeight="1" x14ac:dyDescent="0.35">
      <c r="B526" s="29">
        <v>12</v>
      </c>
      <c r="C526" s="29" t="s">
        <v>20</v>
      </c>
      <c r="D526" s="30">
        <v>14</v>
      </c>
      <c r="E526" s="66" t="s">
        <v>1439</v>
      </c>
      <c r="F526" s="66" t="s">
        <v>1440</v>
      </c>
      <c r="G526" s="186" t="s">
        <v>13283</v>
      </c>
      <c r="H526" s="29" t="s">
        <v>61</v>
      </c>
      <c r="I526" s="29" t="s">
        <v>61</v>
      </c>
      <c r="J526" s="98">
        <v>45202</v>
      </c>
      <c r="K526" s="98">
        <f t="shared" si="41"/>
        <v>46298</v>
      </c>
      <c r="L526" s="110" t="s">
        <v>62</v>
      </c>
      <c r="M526" s="112" t="str">
        <f t="shared" ca="1" si="43"/>
        <v>Alerta</v>
      </c>
      <c r="N526" s="112"/>
      <c r="O526" s="67">
        <f t="shared" ca="1" si="40"/>
        <v>996</v>
      </c>
      <c r="P526" s="67">
        <f t="shared" ca="1" si="44"/>
        <v>100</v>
      </c>
      <c r="Q526" t="str">
        <f t="shared" si="42"/>
        <v>ROS-14</v>
      </c>
    </row>
    <row r="527" spans="2:17" ht="15" customHeight="1" x14ac:dyDescent="0.35">
      <c r="B527" s="29">
        <v>12</v>
      </c>
      <c r="C527" s="29" t="s">
        <v>20</v>
      </c>
      <c r="D527" s="30">
        <v>15</v>
      </c>
      <c r="E527" s="66" t="s">
        <v>1441</v>
      </c>
      <c r="F527" s="66" t="s">
        <v>1442</v>
      </c>
      <c r="G527" s="66" t="s">
        <v>13283</v>
      </c>
      <c r="H527" s="29" t="s">
        <v>61</v>
      </c>
      <c r="I527" s="29" t="s">
        <v>61</v>
      </c>
      <c r="J527" s="98">
        <v>46107</v>
      </c>
      <c r="K527" s="98">
        <f t="shared" si="41"/>
        <v>47203</v>
      </c>
      <c r="L527" s="110" t="s">
        <v>62</v>
      </c>
      <c r="M527" s="112" t="str">
        <f t="shared" ca="1" si="43"/>
        <v>Em dia</v>
      </c>
      <c r="N527" s="112"/>
      <c r="O527" s="67">
        <f t="shared" ca="1" si="40"/>
        <v>91</v>
      </c>
      <c r="P527" s="67">
        <f t="shared" ca="1" si="44"/>
        <v>1005</v>
      </c>
      <c r="Q527" t="str">
        <f t="shared" si="42"/>
        <v>ROS-15</v>
      </c>
    </row>
    <row r="528" spans="2:17" ht="15" customHeight="1" x14ac:dyDescent="0.35">
      <c r="B528" s="29">
        <v>12</v>
      </c>
      <c r="C528" s="29" t="s">
        <v>20</v>
      </c>
      <c r="D528" s="30">
        <v>17</v>
      </c>
      <c r="E528" s="66" t="s">
        <v>1443</v>
      </c>
      <c r="F528" s="66" t="s">
        <v>1444</v>
      </c>
      <c r="G528" s="66" t="s">
        <v>13283</v>
      </c>
      <c r="H528" s="29" t="s">
        <v>61</v>
      </c>
      <c r="I528" s="29" t="s">
        <v>61</v>
      </c>
      <c r="J528" s="98">
        <v>45202</v>
      </c>
      <c r="K528" s="98">
        <f t="shared" si="41"/>
        <v>46298</v>
      </c>
      <c r="L528" s="110" t="s">
        <v>62</v>
      </c>
      <c r="M528" s="112" t="str">
        <f t="shared" ca="1" si="43"/>
        <v>Alerta</v>
      </c>
      <c r="N528" s="112"/>
      <c r="O528" s="67">
        <f t="shared" ca="1" si="40"/>
        <v>996</v>
      </c>
      <c r="P528" s="67">
        <f t="shared" ca="1" si="44"/>
        <v>100</v>
      </c>
      <c r="Q528" t="str">
        <f t="shared" si="42"/>
        <v>ROS-17</v>
      </c>
    </row>
    <row r="529" spans="2:17" ht="15" customHeight="1" x14ac:dyDescent="0.35">
      <c r="B529" s="29">
        <v>12</v>
      </c>
      <c r="C529" s="29" t="s">
        <v>20</v>
      </c>
      <c r="D529" s="30">
        <v>18</v>
      </c>
      <c r="E529" s="66" t="s">
        <v>1445</v>
      </c>
      <c r="F529" s="66" t="s">
        <v>1446</v>
      </c>
      <c r="G529" s="187" t="s">
        <v>13283</v>
      </c>
      <c r="H529" s="29" t="s">
        <v>61</v>
      </c>
      <c r="I529" s="29" t="s">
        <v>61</v>
      </c>
      <c r="J529" s="98">
        <v>45645</v>
      </c>
      <c r="K529" s="98">
        <f t="shared" si="41"/>
        <v>46741</v>
      </c>
      <c r="L529" s="110" t="s">
        <v>62</v>
      </c>
      <c r="M529" s="112" t="str">
        <f t="shared" ca="1" si="43"/>
        <v>Em dia</v>
      </c>
      <c r="N529" s="112"/>
      <c r="O529" s="67">
        <f t="shared" ca="1" si="40"/>
        <v>553</v>
      </c>
      <c r="P529" s="67">
        <f t="shared" ca="1" si="44"/>
        <v>543</v>
      </c>
      <c r="Q529" t="str">
        <f t="shared" si="42"/>
        <v>ROS-18</v>
      </c>
    </row>
    <row r="530" spans="2:17" ht="15" customHeight="1" x14ac:dyDescent="0.35">
      <c r="B530" s="29">
        <v>12</v>
      </c>
      <c r="C530" s="29" t="s">
        <v>20</v>
      </c>
      <c r="D530" s="30">
        <v>19</v>
      </c>
      <c r="E530" s="66" t="s">
        <v>1447</v>
      </c>
      <c r="F530" s="66" t="s">
        <v>1448</v>
      </c>
      <c r="G530" s="187" t="s">
        <v>13283</v>
      </c>
      <c r="H530" s="29" t="s">
        <v>61</v>
      </c>
      <c r="I530" s="29" t="s">
        <v>61</v>
      </c>
      <c r="J530" s="98">
        <v>45959</v>
      </c>
      <c r="K530" s="98">
        <f t="shared" si="41"/>
        <v>47055</v>
      </c>
      <c r="L530" s="110" t="s">
        <v>62</v>
      </c>
      <c r="M530" s="112" t="str">
        <f t="shared" ca="1" si="43"/>
        <v>Em dia</v>
      </c>
      <c r="N530" s="112"/>
      <c r="O530" s="67">
        <f t="shared" ca="1" si="40"/>
        <v>239</v>
      </c>
      <c r="P530" s="67">
        <f t="shared" ca="1" si="44"/>
        <v>857</v>
      </c>
      <c r="Q530" t="str">
        <f t="shared" si="42"/>
        <v>ROS-19</v>
      </c>
    </row>
    <row r="531" spans="2:17" ht="15" customHeight="1" x14ac:dyDescent="0.35">
      <c r="B531" s="29">
        <v>12</v>
      </c>
      <c r="C531" s="29" t="s">
        <v>20</v>
      </c>
      <c r="D531" s="30">
        <v>20</v>
      </c>
      <c r="E531" s="66" t="s">
        <v>1449</v>
      </c>
      <c r="F531" s="66" t="s">
        <v>1450</v>
      </c>
      <c r="G531" s="66" t="s">
        <v>13284</v>
      </c>
      <c r="H531" s="29" t="s">
        <v>61</v>
      </c>
      <c r="I531" s="29" t="s">
        <v>61</v>
      </c>
      <c r="J531" s="98">
        <v>44889</v>
      </c>
      <c r="K531" s="98">
        <f t="shared" si="41"/>
        <v>45985</v>
      </c>
      <c r="L531" s="110" t="s">
        <v>62</v>
      </c>
      <c r="M531" s="112" t="str">
        <f t="shared" ca="1" si="43"/>
        <v>Vencido</v>
      </c>
      <c r="N531" s="112"/>
      <c r="O531" s="67">
        <f t="shared" ca="1" si="40"/>
        <v>1309</v>
      </c>
      <c r="P531" s="67">
        <f t="shared" ca="1" si="44"/>
        <v>-213</v>
      </c>
      <c r="Q531" t="str">
        <f t="shared" si="42"/>
        <v>ROS-20</v>
      </c>
    </row>
    <row r="532" spans="2:17" ht="15" customHeight="1" x14ac:dyDescent="0.35">
      <c r="B532" s="29">
        <v>12</v>
      </c>
      <c r="C532" s="29" t="s">
        <v>20</v>
      </c>
      <c r="D532" s="30">
        <v>21</v>
      </c>
      <c r="E532" s="66" t="s">
        <v>1451</v>
      </c>
      <c r="F532" s="66" t="s">
        <v>1452</v>
      </c>
      <c r="G532" s="187" t="s">
        <v>13283</v>
      </c>
      <c r="H532" s="29" t="s">
        <v>61</v>
      </c>
      <c r="I532" s="29" t="s">
        <v>61</v>
      </c>
      <c r="J532" s="98">
        <v>45645</v>
      </c>
      <c r="K532" s="98">
        <f t="shared" si="41"/>
        <v>46741</v>
      </c>
      <c r="L532" s="110" t="s">
        <v>62</v>
      </c>
      <c r="M532" s="112" t="str">
        <f t="shared" ca="1" si="43"/>
        <v>Em dia</v>
      </c>
      <c r="N532" s="112"/>
      <c r="O532" s="67">
        <f t="shared" ca="1" si="40"/>
        <v>553</v>
      </c>
      <c r="P532" s="67">
        <f t="shared" ca="1" si="44"/>
        <v>543</v>
      </c>
      <c r="Q532" t="str">
        <f t="shared" si="42"/>
        <v>ROS-21</v>
      </c>
    </row>
    <row r="533" spans="2:17" ht="15" customHeight="1" x14ac:dyDescent="0.35">
      <c r="B533" s="29">
        <v>12</v>
      </c>
      <c r="C533" s="29" t="s">
        <v>20</v>
      </c>
      <c r="D533" s="30">
        <v>22</v>
      </c>
      <c r="E533" s="66" t="s">
        <v>1453</v>
      </c>
      <c r="F533" s="66" t="s">
        <v>1454</v>
      </c>
      <c r="G533" s="66" t="s">
        <v>13284</v>
      </c>
      <c r="H533" s="29" t="s">
        <v>61</v>
      </c>
      <c r="I533" s="29" t="s">
        <v>61</v>
      </c>
      <c r="J533" s="98">
        <v>44739</v>
      </c>
      <c r="K533" s="98">
        <f t="shared" si="41"/>
        <v>45835</v>
      </c>
      <c r="L533" s="110" t="s">
        <v>62</v>
      </c>
      <c r="M533" s="112" t="str">
        <f t="shared" ca="1" si="43"/>
        <v>Vencido</v>
      </c>
      <c r="N533" s="112"/>
      <c r="O533" s="67">
        <f t="shared" ca="1" si="40"/>
        <v>1459</v>
      </c>
      <c r="P533" s="67">
        <f t="shared" ca="1" si="44"/>
        <v>-363</v>
      </c>
      <c r="Q533" t="str">
        <f t="shared" si="42"/>
        <v>ROS-22</v>
      </c>
    </row>
    <row r="534" spans="2:17" ht="15" customHeight="1" x14ac:dyDescent="0.35">
      <c r="B534" s="29">
        <v>12</v>
      </c>
      <c r="C534" s="29" t="s">
        <v>20</v>
      </c>
      <c r="D534" s="30">
        <v>23</v>
      </c>
      <c r="E534" s="66" t="s">
        <v>1455</v>
      </c>
      <c r="F534" s="66" t="s">
        <v>1456</v>
      </c>
      <c r="G534" s="187" t="s">
        <v>13284</v>
      </c>
      <c r="H534" s="29" t="s">
        <v>61</v>
      </c>
      <c r="I534" s="29" t="s">
        <v>61</v>
      </c>
      <c r="J534" s="98">
        <v>44739</v>
      </c>
      <c r="K534" s="98">
        <f t="shared" si="41"/>
        <v>45835</v>
      </c>
      <c r="L534" s="110" t="s">
        <v>62</v>
      </c>
      <c r="M534" s="112" t="str">
        <f t="shared" ca="1" si="43"/>
        <v>Vencido</v>
      </c>
      <c r="N534" s="112"/>
      <c r="O534" s="67">
        <f t="shared" ca="1" si="40"/>
        <v>1459</v>
      </c>
      <c r="P534" s="67">
        <f t="shared" ca="1" si="44"/>
        <v>-363</v>
      </c>
      <c r="Q534" t="str">
        <f t="shared" si="42"/>
        <v>ROS-23</v>
      </c>
    </row>
    <row r="535" spans="2:17" ht="15" customHeight="1" x14ac:dyDescent="0.35">
      <c r="B535" s="29">
        <v>12</v>
      </c>
      <c r="C535" s="29" t="s">
        <v>20</v>
      </c>
      <c r="D535" s="30">
        <v>24</v>
      </c>
      <c r="E535" s="66" t="s">
        <v>1457</v>
      </c>
      <c r="F535" s="66" t="s">
        <v>1458</v>
      </c>
      <c r="G535" s="187" t="s">
        <v>13284</v>
      </c>
      <c r="H535" s="29" t="s">
        <v>61</v>
      </c>
      <c r="I535" s="29" t="s">
        <v>61</v>
      </c>
      <c r="J535" s="98">
        <v>44739</v>
      </c>
      <c r="K535" s="98">
        <f t="shared" si="41"/>
        <v>45835</v>
      </c>
      <c r="L535" s="110" t="s">
        <v>62</v>
      </c>
      <c r="M535" s="112" t="str">
        <f t="shared" ca="1" si="43"/>
        <v>Vencido</v>
      </c>
      <c r="N535" s="112"/>
      <c r="O535" s="67">
        <f t="shared" ca="1" si="40"/>
        <v>1459</v>
      </c>
      <c r="P535" s="67">
        <f t="shared" ca="1" si="44"/>
        <v>-363</v>
      </c>
      <c r="Q535" t="str">
        <f t="shared" si="42"/>
        <v>ROS-24</v>
      </c>
    </row>
    <row r="536" spans="2:17" ht="15" customHeight="1" x14ac:dyDescent="0.35">
      <c r="B536" s="29">
        <v>12</v>
      </c>
      <c r="C536" s="29" t="s">
        <v>20</v>
      </c>
      <c r="D536" s="30">
        <v>25</v>
      </c>
      <c r="E536" s="66" t="s">
        <v>1459</v>
      </c>
      <c r="F536" s="66" t="s">
        <v>1460</v>
      </c>
      <c r="G536" s="187" t="s">
        <v>13283</v>
      </c>
      <c r="H536" s="29" t="s">
        <v>61</v>
      </c>
      <c r="I536" s="29" t="s">
        <v>61</v>
      </c>
      <c r="J536" s="98">
        <v>46009</v>
      </c>
      <c r="K536" s="98">
        <f t="shared" si="41"/>
        <v>47105</v>
      </c>
      <c r="L536" s="110" t="s">
        <v>62</v>
      </c>
      <c r="M536" s="112" t="str">
        <f t="shared" ca="1" si="43"/>
        <v>Em dia</v>
      </c>
      <c r="N536" s="112"/>
      <c r="O536" s="67">
        <f t="shared" ca="1" si="40"/>
        <v>189</v>
      </c>
      <c r="P536" s="67">
        <f t="shared" ca="1" si="44"/>
        <v>907</v>
      </c>
      <c r="Q536" t="str">
        <f t="shared" si="42"/>
        <v>ROS-25</v>
      </c>
    </row>
    <row r="537" spans="2:17" ht="15" customHeight="1" x14ac:dyDescent="0.35">
      <c r="B537" s="29">
        <v>12</v>
      </c>
      <c r="C537" s="29" t="s">
        <v>20</v>
      </c>
      <c r="D537" s="30">
        <v>26</v>
      </c>
      <c r="E537" s="66" t="s">
        <v>1461</v>
      </c>
      <c r="F537" s="66" t="s">
        <v>1462</v>
      </c>
      <c r="G537" s="187" t="s">
        <v>13284</v>
      </c>
      <c r="H537" s="29" t="s">
        <v>61</v>
      </c>
      <c r="I537" s="29" t="s">
        <v>61</v>
      </c>
      <c r="J537" s="98">
        <v>44739</v>
      </c>
      <c r="K537" s="98">
        <f t="shared" si="41"/>
        <v>45835</v>
      </c>
      <c r="L537" s="110" t="s">
        <v>62</v>
      </c>
      <c r="M537" s="112" t="str">
        <f t="shared" ca="1" si="43"/>
        <v>Vencido</v>
      </c>
      <c r="N537" s="112"/>
      <c r="O537" s="67">
        <f t="shared" ca="1" si="40"/>
        <v>1459</v>
      </c>
      <c r="P537" s="67">
        <f t="shared" ca="1" si="44"/>
        <v>-363</v>
      </c>
      <c r="Q537" t="str">
        <f t="shared" si="42"/>
        <v>ROS-26</v>
      </c>
    </row>
    <row r="538" spans="2:17" ht="15" customHeight="1" x14ac:dyDescent="0.35">
      <c r="B538" s="29">
        <v>12</v>
      </c>
      <c r="C538" s="29" t="s">
        <v>20</v>
      </c>
      <c r="D538" s="30">
        <v>27</v>
      </c>
      <c r="E538" s="66" t="s">
        <v>1463</v>
      </c>
      <c r="F538" s="66" t="s">
        <v>1464</v>
      </c>
      <c r="G538" s="187" t="s">
        <v>13284</v>
      </c>
      <c r="H538" s="29" t="s">
        <v>61</v>
      </c>
      <c r="I538" s="29" t="s">
        <v>61</v>
      </c>
      <c r="J538" s="98">
        <v>44739</v>
      </c>
      <c r="K538" s="98">
        <f t="shared" si="41"/>
        <v>45835</v>
      </c>
      <c r="L538" s="110" t="s">
        <v>62</v>
      </c>
      <c r="M538" s="112" t="str">
        <f t="shared" ca="1" si="43"/>
        <v>Vencido</v>
      </c>
      <c r="N538" s="112"/>
      <c r="O538" s="67">
        <f t="shared" ca="1" si="40"/>
        <v>1459</v>
      </c>
      <c r="P538" s="67">
        <f t="shared" ca="1" si="44"/>
        <v>-363</v>
      </c>
      <c r="Q538" t="str">
        <f t="shared" si="42"/>
        <v>ROS-27</v>
      </c>
    </row>
    <row r="539" spans="2:17" ht="15" customHeight="1" x14ac:dyDescent="0.35">
      <c r="B539" s="29">
        <v>12</v>
      </c>
      <c r="C539" s="29" t="s">
        <v>20</v>
      </c>
      <c r="D539" s="30">
        <v>28</v>
      </c>
      <c r="E539" s="66" t="s">
        <v>1465</v>
      </c>
      <c r="F539" s="66" t="s">
        <v>1466</v>
      </c>
      <c r="G539" s="187" t="s">
        <v>13284</v>
      </c>
      <c r="H539" s="29" t="s">
        <v>61</v>
      </c>
      <c r="I539" s="29" t="s">
        <v>61</v>
      </c>
      <c r="J539" s="98">
        <v>45202</v>
      </c>
      <c r="K539" s="98">
        <f t="shared" si="41"/>
        <v>46298</v>
      </c>
      <c r="L539" s="110" t="s">
        <v>62</v>
      </c>
      <c r="M539" s="112" t="str">
        <f t="shared" ca="1" si="43"/>
        <v>Alerta</v>
      </c>
      <c r="N539" s="112"/>
      <c r="O539" s="67">
        <f t="shared" ca="1" si="40"/>
        <v>996</v>
      </c>
      <c r="P539" s="67">
        <f t="shared" ca="1" si="44"/>
        <v>100</v>
      </c>
      <c r="Q539" t="str">
        <f t="shared" si="42"/>
        <v>ROS-28</v>
      </c>
    </row>
    <row r="540" spans="2:17" ht="15" customHeight="1" x14ac:dyDescent="0.35">
      <c r="B540" s="29">
        <v>12</v>
      </c>
      <c r="C540" s="29" t="s">
        <v>20</v>
      </c>
      <c r="D540" s="30">
        <v>29</v>
      </c>
      <c r="E540" s="66" t="s">
        <v>1467</v>
      </c>
      <c r="F540" s="66" t="s">
        <v>1468</v>
      </c>
      <c r="G540" s="187" t="s">
        <v>13284</v>
      </c>
      <c r="H540" s="29" t="s">
        <v>61</v>
      </c>
      <c r="I540" s="29" t="s">
        <v>61</v>
      </c>
      <c r="J540" s="98">
        <v>45202</v>
      </c>
      <c r="K540" s="98">
        <f t="shared" si="41"/>
        <v>46298</v>
      </c>
      <c r="L540" s="110" t="s">
        <v>62</v>
      </c>
      <c r="M540" s="112" t="str">
        <f t="shared" ca="1" si="43"/>
        <v>Alerta</v>
      </c>
      <c r="N540" s="112"/>
      <c r="O540" s="67">
        <f t="shared" ca="1" si="40"/>
        <v>996</v>
      </c>
      <c r="P540" s="67">
        <f t="shared" ca="1" si="44"/>
        <v>100</v>
      </c>
      <c r="Q540" t="str">
        <f t="shared" si="42"/>
        <v>ROS-29</v>
      </c>
    </row>
    <row r="541" spans="2:17" ht="15" customHeight="1" x14ac:dyDescent="0.35">
      <c r="B541" s="29">
        <v>12</v>
      </c>
      <c r="C541" s="29" t="s">
        <v>20</v>
      </c>
      <c r="D541" s="30">
        <v>33</v>
      </c>
      <c r="E541" s="66" t="s">
        <v>1469</v>
      </c>
      <c r="F541" s="66" t="s">
        <v>1470</v>
      </c>
      <c r="G541" s="187" t="s">
        <v>13284</v>
      </c>
      <c r="H541" s="29" t="s">
        <v>61</v>
      </c>
      <c r="I541" s="29" t="s">
        <v>61</v>
      </c>
      <c r="J541" s="98">
        <v>44739</v>
      </c>
      <c r="K541" s="98">
        <f t="shared" si="41"/>
        <v>45835</v>
      </c>
      <c r="L541" s="110" t="s">
        <v>62</v>
      </c>
      <c r="M541" s="112" t="str">
        <f t="shared" ca="1" si="43"/>
        <v>Vencido</v>
      </c>
      <c r="N541" s="112"/>
      <c r="O541" s="67">
        <f t="shared" ca="1" si="40"/>
        <v>1459</v>
      </c>
      <c r="P541" s="67">
        <f t="shared" ca="1" si="44"/>
        <v>-363</v>
      </c>
      <c r="Q541" t="str">
        <f t="shared" si="42"/>
        <v>ROS-33</v>
      </c>
    </row>
    <row r="542" spans="2:17" ht="15" customHeight="1" x14ac:dyDescent="0.35">
      <c r="B542" s="29">
        <v>12</v>
      </c>
      <c r="C542" s="29" t="s">
        <v>20</v>
      </c>
      <c r="D542" s="30">
        <v>40</v>
      </c>
      <c r="E542" s="66" t="s">
        <v>1471</v>
      </c>
      <c r="F542" s="66" t="s">
        <v>1472</v>
      </c>
      <c r="G542" s="187" t="s">
        <v>13283</v>
      </c>
      <c r="H542" s="29" t="s">
        <v>61</v>
      </c>
      <c r="I542" s="29"/>
      <c r="J542" s="98">
        <v>45202</v>
      </c>
      <c r="K542" s="98">
        <f t="shared" si="41"/>
        <v>46298</v>
      </c>
      <c r="L542" s="110" t="s">
        <v>62</v>
      </c>
      <c r="M542" s="112" t="str">
        <f t="shared" ca="1" si="43"/>
        <v>Alerta</v>
      </c>
      <c r="N542" s="112"/>
      <c r="O542" s="67">
        <f t="shared" ca="1" si="40"/>
        <v>996</v>
      </c>
      <c r="P542" s="67">
        <f t="shared" ca="1" si="44"/>
        <v>100</v>
      </c>
      <c r="Q542" t="str">
        <f t="shared" si="42"/>
        <v>ROS-40</v>
      </c>
    </row>
    <row r="543" spans="2:17" ht="15" customHeight="1" x14ac:dyDescent="0.35">
      <c r="B543" s="29">
        <v>12</v>
      </c>
      <c r="C543" s="29" t="s">
        <v>20</v>
      </c>
      <c r="D543" s="30">
        <v>41</v>
      </c>
      <c r="E543" s="66" t="s">
        <v>1473</v>
      </c>
      <c r="F543" s="66" t="s">
        <v>1474</v>
      </c>
      <c r="G543" s="187" t="s">
        <v>13283</v>
      </c>
      <c r="H543" s="29" t="s">
        <v>61</v>
      </c>
      <c r="I543" s="29"/>
      <c r="J543" s="98">
        <v>45202</v>
      </c>
      <c r="K543" s="98">
        <f t="shared" si="41"/>
        <v>46298</v>
      </c>
      <c r="L543" s="110" t="s">
        <v>62</v>
      </c>
      <c r="M543" s="112" t="str">
        <f t="shared" ca="1" si="43"/>
        <v>Alerta</v>
      </c>
      <c r="N543" s="112"/>
      <c r="O543" s="67">
        <f t="shared" ca="1" si="40"/>
        <v>996</v>
      </c>
      <c r="P543" s="67">
        <f t="shared" ca="1" si="44"/>
        <v>100</v>
      </c>
      <c r="Q543" t="str">
        <f t="shared" si="42"/>
        <v>ROS-41</v>
      </c>
    </row>
    <row r="544" spans="2:17" ht="15" customHeight="1" x14ac:dyDescent="0.35">
      <c r="B544" s="29">
        <v>12</v>
      </c>
      <c r="C544" s="29" t="s">
        <v>20</v>
      </c>
      <c r="D544" s="30">
        <v>51</v>
      </c>
      <c r="E544" s="66" t="s">
        <v>1475</v>
      </c>
      <c r="F544" s="66" t="s">
        <v>1476</v>
      </c>
      <c r="G544" s="187" t="s">
        <v>13283</v>
      </c>
      <c r="H544" s="29" t="s">
        <v>61</v>
      </c>
      <c r="I544" s="29" t="s">
        <v>61</v>
      </c>
      <c r="J544" s="98">
        <v>45959</v>
      </c>
      <c r="K544" s="98">
        <f t="shared" si="41"/>
        <v>47055</v>
      </c>
      <c r="L544" s="110" t="s">
        <v>62</v>
      </c>
      <c r="M544" s="112" t="str">
        <f t="shared" ca="1" si="43"/>
        <v>Em dia</v>
      </c>
      <c r="N544" s="112"/>
      <c r="O544" s="67">
        <f t="shared" ca="1" si="40"/>
        <v>239</v>
      </c>
      <c r="P544" s="67">
        <f t="shared" ca="1" si="44"/>
        <v>857</v>
      </c>
      <c r="Q544" t="str">
        <f t="shared" si="42"/>
        <v>ROS-51</v>
      </c>
    </row>
    <row r="545" spans="2:17" ht="15" customHeight="1" x14ac:dyDescent="0.35">
      <c r="B545" s="29">
        <v>12</v>
      </c>
      <c r="C545" s="29" t="s">
        <v>20</v>
      </c>
      <c r="D545" s="30">
        <v>52</v>
      </c>
      <c r="E545" s="66" t="s">
        <v>1477</v>
      </c>
      <c r="F545" s="66" t="s">
        <v>1478</v>
      </c>
      <c r="G545" s="187" t="s">
        <v>13283</v>
      </c>
      <c r="H545" s="29" t="s">
        <v>61</v>
      </c>
      <c r="I545" s="29" t="s">
        <v>61</v>
      </c>
      <c r="J545" s="98">
        <v>46107</v>
      </c>
      <c r="K545" s="98">
        <f t="shared" si="41"/>
        <v>47203</v>
      </c>
      <c r="L545" s="110" t="s">
        <v>62</v>
      </c>
      <c r="M545" s="112" t="str">
        <f t="shared" ca="1" si="43"/>
        <v>Em dia</v>
      </c>
      <c r="N545" s="112"/>
      <c r="O545" s="67">
        <f t="shared" ca="1" si="40"/>
        <v>91</v>
      </c>
      <c r="P545" s="67">
        <f t="shared" ca="1" si="44"/>
        <v>1005</v>
      </c>
      <c r="Q545" t="str">
        <f t="shared" si="42"/>
        <v>ROS-52</v>
      </c>
    </row>
    <row r="546" spans="2:17" ht="15" customHeight="1" x14ac:dyDescent="0.35">
      <c r="B546" s="29">
        <v>12</v>
      </c>
      <c r="C546" s="29" t="s">
        <v>20</v>
      </c>
      <c r="D546" s="30">
        <v>58</v>
      </c>
      <c r="E546" s="66" t="s">
        <v>1479</v>
      </c>
      <c r="F546" s="66" t="s">
        <v>1480</v>
      </c>
      <c r="G546" s="66" t="s">
        <v>13284</v>
      </c>
      <c r="H546" s="29" t="s">
        <v>61</v>
      </c>
      <c r="I546" s="29" t="s">
        <v>61</v>
      </c>
      <c r="J546" s="98">
        <v>44739</v>
      </c>
      <c r="K546" s="98">
        <f t="shared" si="41"/>
        <v>45835</v>
      </c>
      <c r="L546" s="110" t="s">
        <v>62</v>
      </c>
      <c r="M546" s="112" t="str">
        <f t="shared" ca="1" si="43"/>
        <v>Vencido</v>
      </c>
      <c r="N546" s="112"/>
      <c r="O546" s="67">
        <f t="shared" ca="1" si="40"/>
        <v>1459</v>
      </c>
      <c r="P546" s="67">
        <f t="shared" ca="1" si="44"/>
        <v>-363</v>
      </c>
      <c r="Q546" t="str">
        <f t="shared" si="42"/>
        <v>ROS-58</v>
      </c>
    </row>
    <row r="547" spans="2:17" ht="15" customHeight="1" x14ac:dyDescent="0.35">
      <c r="B547" s="29">
        <v>12</v>
      </c>
      <c r="C547" s="29" t="s">
        <v>20</v>
      </c>
      <c r="D547" s="30">
        <v>59</v>
      </c>
      <c r="E547" s="66" t="s">
        <v>1481</v>
      </c>
      <c r="F547" s="66" t="s">
        <v>1482</v>
      </c>
      <c r="G547" s="187" t="s">
        <v>13283</v>
      </c>
      <c r="H547" s="29" t="s">
        <v>61</v>
      </c>
      <c r="I547" s="29" t="s">
        <v>61</v>
      </c>
      <c r="J547" s="98">
        <v>45462</v>
      </c>
      <c r="K547" s="98">
        <f t="shared" si="41"/>
        <v>46558</v>
      </c>
      <c r="L547" s="110" t="s">
        <v>62</v>
      </c>
      <c r="M547" s="112" t="str">
        <f t="shared" ca="1" si="43"/>
        <v>Alerta</v>
      </c>
      <c r="N547" s="112"/>
      <c r="O547" s="67">
        <f t="shared" ca="1" si="40"/>
        <v>736</v>
      </c>
      <c r="P547" s="67">
        <f t="shared" ca="1" si="44"/>
        <v>360</v>
      </c>
      <c r="Q547" t="str">
        <f t="shared" si="42"/>
        <v>ROS-59</v>
      </c>
    </row>
    <row r="548" spans="2:17" ht="15" customHeight="1" x14ac:dyDescent="0.35">
      <c r="B548" s="29">
        <v>12</v>
      </c>
      <c r="C548" s="29" t="s">
        <v>20</v>
      </c>
      <c r="D548" s="30">
        <v>60</v>
      </c>
      <c r="E548" s="66" t="s">
        <v>1483</v>
      </c>
      <c r="F548" s="66" t="s">
        <v>1484</v>
      </c>
      <c r="G548" s="187" t="s">
        <v>13284</v>
      </c>
      <c r="H548" s="29" t="s">
        <v>61</v>
      </c>
      <c r="I548" s="29" t="s">
        <v>61</v>
      </c>
      <c r="J548" s="98">
        <v>44819</v>
      </c>
      <c r="K548" s="98">
        <f t="shared" si="41"/>
        <v>45915</v>
      </c>
      <c r="L548" s="110" t="s">
        <v>62</v>
      </c>
      <c r="M548" s="112" t="str">
        <f t="shared" ca="1" si="43"/>
        <v>Vencido</v>
      </c>
      <c r="N548" s="112"/>
      <c r="O548" s="67">
        <f t="shared" ca="1" si="40"/>
        <v>1379</v>
      </c>
      <c r="P548" s="67">
        <f t="shared" ca="1" si="44"/>
        <v>-283</v>
      </c>
      <c r="Q548" t="str">
        <f t="shared" si="42"/>
        <v>ROS-60</v>
      </c>
    </row>
    <row r="549" spans="2:17" ht="15" customHeight="1" x14ac:dyDescent="0.35">
      <c r="B549" s="29">
        <v>12</v>
      </c>
      <c r="C549" s="29" t="s">
        <v>20</v>
      </c>
      <c r="D549" s="30">
        <v>61</v>
      </c>
      <c r="E549" s="66" t="s">
        <v>1485</v>
      </c>
      <c r="F549" s="66" t="s">
        <v>1486</v>
      </c>
      <c r="G549" s="187" t="s">
        <v>13284</v>
      </c>
      <c r="H549" s="29" t="s">
        <v>61</v>
      </c>
      <c r="I549" s="29" t="s">
        <v>61</v>
      </c>
      <c r="J549" s="98">
        <v>44926</v>
      </c>
      <c r="K549" s="98">
        <f t="shared" si="41"/>
        <v>46022</v>
      </c>
      <c r="L549" s="110" t="s">
        <v>62</v>
      </c>
      <c r="M549" s="112" t="str">
        <f t="shared" ca="1" si="43"/>
        <v>Vencido</v>
      </c>
      <c r="N549" s="112"/>
      <c r="O549" s="67">
        <f t="shared" ca="1" si="40"/>
        <v>1272</v>
      </c>
      <c r="P549" s="67">
        <f t="shared" ca="1" si="44"/>
        <v>-176</v>
      </c>
      <c r="Q549" t="str">
        <f t="shared" si="42"/>
        <v>ROS-61</v>
      </c>
    </row>
    <row r="550" spans="2:17" ht="15" customHeight="1" x14ac:dyDescent="0.35">
      <c r="B550" s="29">
        <v>12</v>
      </c>
      <c r="C550" s="29" t="s">
        <v>20</v>
      </c>
      <c r="D550" s="30">
        <v>62</v>
      </c>
      <c r="E550" s="66" t="s">
        <v>1487</v>
      </c>
      <c r="F550" s="66" t="s">
        <v>1488</v>
      </c>
      <c r="G550" s="187" t="s">
        <v>13284</v>
      </c>
      <c r="H550" s="29" t="s">
        <v>61</v>
      </c>
      <c r="I550" s="29" t="s">
        <v>61</v>
      </c>
      <c r="J550" s="98">
        <v>44926</v>
      </c>
      <c r="K550" s="98">
        <f t="shared" si="41"/>
        <v>46022</v>
      </c>
      <c r="L550" s="110" t="s">
        <v>62</v>
      </c>
      <c r="M550" s="112" t="str">
        <f t="shared" ca="1" si="43"/>
        <v>Vencido</v>
      </c>
      <c r="N550" s="112"/>
      <c r="O550" s="67">
        <f t="shared" ca="1" si="40"/>
        <v>1272</v>
      </c>
      <c r="P550" s="67">
        <f t="shared" ca="1" si="44"/>
        <v>-176</v>
      </c>
      <c r="Q550" t="str">
        <f t="shared" si="42"/>
        <v>ROS-62</v>
      </c>
    </row>
    <row r="551" spans="2:17" ht="15" customHeight="1" x14ac:dyDescent="0.35">
      <c r="B551" s="29">
        <v>12</v>
      </c>
      <c r="C551" s="29" t="s">
        <v>20</v>
      </c>
      <c r="D551" s="30">
        <v>65</v>
      </c>
      <c r="E551" s="66" t="s">
        <v>1489</v>
      </c>
      <c r="F551" s="66" t="s">
        <v>1490</v>
      </c>
      <c r="G551" s="187" t="s">
        <v>13284</v>
      </c>
      <c r="H551" s="29" t="s">
        <v>61</v>
      </c>
      <c r="I551" s="29" t="s">
        <v>61</v>
      </c>
      <c r="J551" s="98">
        <v>45202</v>
      </c>
      <c r="K551" s="98">
        <f t="shared" si="41"/>
        <v>46298</v>
      </c>
      <c r="L551" s="110" t="s">
        <v>62</v>
      </c>
      <c r="M551" s="112" t="str">
        <f t="shared" ca="1" si="43"/>
        <v>Alerta</v>
      </c>
      <c r="N551" s="112"/>
      <c r="O551" s="67">
        <f t="shared" ca="1" si="40"/>
        <v>996</v>
      </c>
      <c r="P551" s="67">
        <f t="shared" ca="1" si="44"/>
        <v>100</v>
      </c>
      <c r="Q551" t="str">
        <f t="shared" si="42"/>
        <v>ROS-65</v>
      </c>
    </row>
    <row r="552" spans="2:17" ht="15" customHeight="1" x14ac:dyDescent="0.35">
      <c r="B552" s="29">
        <v>12</v>
      </c>
      <c r="C552" s="29" t="s">
        <v>20</v>
      </c>
      <c r="D552" s="30">
        <v>65</v>
      </c>
      <c r="E552" s="66" t="s">
        <v>1491</v>
      </c>
      <c r="F552" s="66" t="s">
        <v>1492</v>
      </c>
      <c r="G552" s="187" t="s">
        <v>13284</v>
      </c>
      <c r="H552" s="29" t="s">
        <v>61</v>
      </c>
      <c r="I552" s="29" t="s">
        <v>61</v>
      </c>
      <c r="J552" s="98">
        <v>45202</v>
      </c>
      <c r="K552" s="98">
        <f t="shared" si="41"/>
        <v>46298</v>
      </c>
      <c r="L552" s="110" t="s">
        <v>62</v>
      </c>
      <c r="M552" s="112" t="str">
        <f t="shared" ca="1" si="43"/>
        <v>Alerta</v>
      </c>
      <c r="N552" s="112"/>
      <c r="O552" s="67">
        <f t="shared" ca="1" si="40"/>
        <v>996</v>
      </c>
      <c r="P552" s="67">
        <f t="shared" ca="1" si="44"/>
        <v>100</v>
      </c>
      <c r="Q552" t="str">
        <f t="shared" si="42"/>
        <v>ROS-65</v>
      </c>
    </row>
    <row r="553" spans="2:17" ht="15" customHeight="1" x14ac:dyDescent="0.35">
      <c r="B553" s="29">
        <v>12</v>
      </c>
      <c r="C553" s="29" t="s">
        <v>20</v>
      </c>
      <c r="D553" s="30">
        <v>68</v>
      </c>
      <c r="E553" s="66" t="s">
        <v>1493</v>
      </c>
      <c r="F553" s="66" t="s">
        <v>1494</v>
      </c>
      <c r="G553" s="187" t="s">
        <v>13284</v>
      </c>
      <c r="H553" s="29" t="s">
        <v>61</v>
      </c>
      <c r="I553" s="29" t="s">
        <v>61</v>
      </c>
      <c r="J553" s="98">
        <v>45202</v>
      </c>
      <c r="K553" s="98">
        <f t="shared" si="41"/>
        <v>46298</v>
      </c>
      <c r="L553" s="110" t="s">
        <v>62</v>
      </c>
      <c r="M553" s="112" t="str">
        <f t="shared" ca="1" si="43"/>
        <v>Alerta</v>
      </c>
      <c r="N553" s="112"/>
      <c r="O553" s="67">
        <f t="shared" ca="1" si="40"/>
        <v>996</v>
      </c>
      <c r="P553" s="67">
        <f t="shared" ca="1" si="44"/>
        <v>100</v>
      </c>
      <c r="Q553" t="str">
        <f t="shared" si="42"/>
        <v>ROS-68</v>
      </c>
    </row>
    <row r="554" spans="2:17" ht="15" customHeight="1" x14ac:dyDescent="0.35">
      <c r="B554" s="29">
        <v>12</v>
      </c>
      <c r="C554" s="29" t="s">
        <v>20</v>
      </c>
      <c r="D554" s="30">
        <v>71</v>
      </c>
      <c r="E554" s="66" t="s">
        <v>1495</v>
      </c>
      <c r="F554" s="66" t="s">
        <v>1496</v>
      </c>
      <c r="G554" s="26" t="s">
        <v>13282</v>
      </c>
      <c r="H554" s="29" t="s">
        <v>61</v>
      </c>
      <c r="I554" s="29" t="s">
        <v>61</v>
      </c>
      <c r="J554" s="98">
        <v>45202</v>
      </c>
      <c r="K554" s="98">
        <f t="shared" si="41"/>
        <v>46298</v>
      </c>
      <c r="L554" s="110" t="s">
        <v>62</v>
      </c>
      <c r="M554" s="112" t="str">
        <f t="shared" ca="1" si="43"/>
        <v>Alerta</v>
      </c>
      <c r="N554" s="112"/>
      <c r="O554" s="67">
        <f t="shared" ca="1" si="40"/>
        <v>996</v>
      </c>
      <c r="P554" s="67">
        <f t="shared" ca="1" si="44"/>
        <v>100</v>
      </c>
      <c r="Q554" t="str">
        <f t="shared" si="42"/>
        <v>ROS-71</v>
      </c>
    </row>
    <row r="555" spans="2:17" ht="15" customHeight="1" x14ac:dyDescent="0.35">
      <c r="B555" s="29">
        <v>12</v>
      </c>
      <c r="C555" s="29" t="s">
        <v>20</v>
      </c>
      <c r="D555" s="30">
        <v>30</v>
      </c>
      <c r="E555" s="66" t="s">
        <v>1497</v>
      </c>
      <c r="F555" s="66" t="s">
        <v>1498</v>
      </c>
      <c r="G555" s="187" t="s">
        <v>13284</v>
      </c>
      <c r="H555" s="29" t="s">
        <v>61</v>
      </c>
      <c r="I555" s="29" t="s">
        <v>61</v>
      </c>
      <c r="J555" s="98">
        <v>44838</v>
      </c>
      <c r="K555" s="98">
        <f t="shared" si="41"/>
        <v>45934</v>
      </c>
      <c r="L555" s="110" t="s">
        <v>62</v>
      </c>
      <c r="M555" s="112" t="str">
        <f t="shared" ca="1" si="43"/>
        <v>Vencido</v>
      </c>
      <c r="N555" s="112"/>
      <c r="O555" s="67">
        <f t="shared" ca="1" si="40"/>
        <v>1360</v>
      </c>
      <c r="P555" s="67">
        <f t="shared" ca="1" si="44"/>
        <v>-264</v>
      </c>
      <c r="Q555" t="str">
        <f t="shared" si="42"/>
        <v>ROS-30</v>
      </c>
    </row>
    <row r="556" spans="2:17" ht="15" customHeight="1" x14ac:dyDescent="0.35">
      <c r="B556" s="29">
        <v>12</v>
      </c>
      <c r="C556" s="29" t="s">
        <v>20</v>
      </c>
      <c r="D556" s="30">
        <v>31</v>
      </c>
      <c r="E556" s="66" t="s">
        <v>1499</v>
      </c>
      <c r="F556" s="66" t="s">
        <v>1500</v>
      </c>
      <c r="G556" s="187" t="s">
        <v>13284</v>
      </c>
      <c r="H556" s="29" t="s">
        <v>61</v>
      </c>
      <c r="I556" s="29" t="s">
        <v>61</v>
      </c>
      <c r="J556" s="98">
        <v>44838</v>
      </c>
      <c r="K556" s="98">
        <f t="shared" si="41"/>
        <v>45934</v>
      </c>
      <c r="L556" s="110" t="s">
        <v>62</v>
      </c>
      <c r="M556" s="112" t="str">
        <f t="shared" ca="1" si="43"/>
        <v>Vencido</v>
      </c>
      <c r="N556" s="112"/>
      <c r="O556" s="67">
        <f t="shared" ca="1" si="40"/>
        <v>1360</v>
      </c>
      <c r="P556" s="67">
        <f t="shared" ca="1" si="44"/>
        <v>-264</v>
      </c>
      <c r="Q556" t="str">
        <f t="shared" si="42"/>
        <v>ROS-31</v>
      </c>
    </row>
    <row r="557" spans="2:17" ht="15" customHeight="1" x14ac:dyDescent="0.35">
      <c r="B557" s="29">
        <v>12</v>
      </c>
      <c r="C557" s="29" t="s">
        <v>20</v>
      </c>
      <c r="D557" s="30">
        <v>32</v>
      </c>
      <c r="E557" s="66" t="s">
        <v>1501</v>
      </c>
      <c r="F557" s="66" t="s">
        <v>1502</v>
      </c>
      <c r="G557" s="187" t="s">
        <v>13284</v>
      </c>
      <c r="H557" s="29" t="s">
        <v>61</v>
      </c>
      <c r="I557" s="29" t="s">
        <v>61</v>
      </c>
      <c r="J557" s="98">
        <v>44838</v>
      </c>
      <c r="K557" s="98">
        <f t="shared" si="41"/>
        <v>45934</v>
      </c>
      <c r="L557" s="110" t="s">
        <v>62</v>
      </c>
      <c r="M557" s="112" t="str">
        <f t="shared" ca="1" si="43"/>
        <v>Vencido</v>
      </c>
      <c r="N557" s="112"/>
      <c r="O557" s="67">
        <f t="shared" ca="1" si="40"/>
        <v>1360</v>
      </c>
      <c r="P557" s="67">
        <f t="shared" ca="1" si="44"/>
        <v>-264</v>
      </c>
      <c r="Q557" t="str">
        <f t="shared" si="42"/>
        <v>ROS-32</v>
      </c>
    </row>
    <row r="558" spans="2:17" ht="15" customHeight="1" x14ac:dyDescent="0.35">
      <c r="B558" s="29">
        <v>12</v>
      </c>
      <c r="C558" s="29" t="s">
        <v>20</v>
      </c>
      <c r="D558" s="30">
        <v>34</v>
      </c>
      <c r="E558" s="66" t="s">
        <v>1503</v>
      </c>
      <c r="F558" s="66" t="s">
        <v>1504</v>
      </c>
      <c r="G558" s="187" t="s">
        <v>13284</v>
      </c>
      <c r="H558" s="29" t="s">
        <v>61</v>
      </c>
      <c r="I558" s="29" t="s">
        <v>61</v>
      </c>
      <c r="J558" s="98">
        <v>45202</v>
      </c>
      <c r="K558" s="98">
        <f t="shared" si="41"/>
        <v>46298</v>
      </c>
      <c r="L558" s="110" t="s">
        <v>62</v>
      </c>
      <c r="M558" s="112" t="str">
        <f t="shared" ca="1" si="43"/>
        <v>Alerta</v>
      </c>
      <c r="N558" s="112"/>
      <c r="O558" s="67">
        <f t="shared" ca="1" si="40"/>
        <v>996</v>
      </c>
      <c r="P558" s="67">
        <f t="shared" ca="1" si="44"/>
        <v>100</v>
      </c>
      <c r="Q558" t="str">
        <f t="shared" si="42"/>
        <v>ROS-34</v>
      </c>
    </row>
    <row r="559" spans="2:17" ht="15" customHeight="1" x14ac:dyDescent="0.35">
      <c r="B559" s="29">
        <v>12</v>
      </c>
      <c r="C559" s="29" t="s">
        <v>20</v>
      </c>
      <c r="D559" s="29">
        <v>86</v>
      </c>
      <c r="E559" s="66" t="s">
        <v>1505</v>
      </c>
      <c r="F559" s="66" t="s">
        <v>1506</v>
      </c>
      <c r="G559" s="187" t="s">
        <v>13284</v>
      </c>
      <c r="H559" s="29" t="s">
        <v>61</v>
      </c>
      <c r="I559" s="29"/>
      <c r="J559" s="98">
        <v>45274</v>
      </c>
      <c r="K559" s="98">
        <f t="shared" si="41"/>
        <v>46370</v>
      </c>
      <c r="L559" s="110" t="s">
        <v>62</v>
      </c>
      <c r="M559" s="112" t="str">
        <f t="shared" ca="1" si="43"/>
        <v>Alerta</v>
      </c>
      <c r="N559" s="112"/>
      <c r="O559" s="67">
        <f t="shared" ca="1" si="40"/>
        <v>924</v>
      </c>
      <c r="P559" s="67">
        <f t="shared" ca="1" si="44"/>
        <v>172</v>
      </c>
      <c r="Q559" t="str">
        <f t="shared" si="42"/>
        <v>ROS-86</v>
      </c>
    </row>
    <row r="560" spans="2:17" ht="15" customHeight="1" x14ac:dyDescent="0.35">
      <c r="B560" s="29">
        <v>12</v>
      </c>
      <c r="C560" s="29" t="s">
        <v>20</v>
      </c>
      <c r="D560" s="30">
        <v>63</v>
      </c>
      <c r="E560" s="66" t="s">
        <v>1507</v>
      </c>
      <c r="F560" s="66" t="s">
        <v>1508</v>
      </c>
      <c r="G560" s="187" t="s">
        <v>13284</v>
      </c>
      <c r="H560" s="29" t="s">
        <v>61</v>
      </c>
      <c r="I560" s="29" t="s">
        <v>61</v>
      </c>
      <c r="J560" s="98">
        <v>44838</v>
      </c>
      <c r="K560" s="98">
        <f t="shared" si="41"/>
        <v>45934</v>
      </c>
      <c r="L560" s="110" t="s">
        <v>62</v>
      </c>
      <c r="M560" s="112" t="str">
        <f t="shared" ca="1" si="43"/>
        <v>Vencido</v>
      </c>
      <c r="N560" s="112"/>
      <c r="O560" s="67">
        <f t="shared" ca="1" si="40"/>
        <v>1360</v>
      </c>
      <c r="P560" s="67">
        <f t="shared" ca="1" si="44"/>
        <v>-264</v>
      </c>
      <c r="Q560" t="str">
        <f t="shared" si="42"/>
        <v>ROS-63</v>
      </c>
    </row>
    <row r="561" spans="2:17" ht="15" customHeight="1" x14ac:dyDescent="0.35">
      <c r="B561" s="29">
        <v>3</v>
      </c>
      <c r="C561" s="29" t="s">
        <v>15</v>
      </c>
      <c r="D561" s="30">
        <v>0</v>
      </c>
      <c r="E561" s="66" t="s">
        <v>1509</v>
      </c>
      <c r="F561" s="65" t="s">
        <v>1510</v>
      </c>
      <c r="G561" s="26" t="s">
        <v>13301</v>
      </c>
      <c r="H561" s="29" t="s">
        <v>61</v>
      </c>
      <c r="I561" s="29"/>
      <c r="J561" s="98">
        <v>45202</v>
      </c>
      <c r="K561" s="98">
        <f t="shared" si="41"/>
        <v>46298</v>
      </c>
      <c r="L561" s="110" t="s">
        <v>62</v>
      </c>
      <c r="M561" s="112" t="str">
        <f t="shared" ca="1" si="43"/>
        <v>Alerta</v>
      </c>
      <c r="N561" s="112"/>
      <c r="O561" s="67">
        <f t="shared" ca="1" si="40"/>
        <v>996</v>
      </c>
      <c r="P561" s="67">
        <f t="shared" ca="1" si="44"/>
        <v>100</v>
      </c>
      <c r="Q561" t="str">
        <f t="shared" si="42"/>
        <v>SAG-00</v>
      </c>
    </row>
    <row r="562" spans="2:17" ht="15" customHeight="1" x14ac:dyDescent="0.35">
      <c r="B562" s="29">
        <v>3</v>
      </c>
      <c r="C562" s="29" t="s">
        <v>15</v>
      </c>
      <c r="D562" s="30">
        <v>1</v>
      </c>
      <c r="E562" s="66" t="s">
        <v>1511</v>
      </c>
      <c r="F562" s="66" t="s">
        <v>1512</v>
      </c>
      <c r="G562" s="187" t="s">
        <v>13284</v>
      </c>
      <c r="H562" s="29" t="s">
        <v>61</v>
      </c>
      <c r="I562" s="29" t="s">
        <v>61</v>
      </c>
      <c r="J562" s="98">
        <v>44739</v>
      </c>
      <c r="K562" s="98">
        <f t="shared" si="41"/>
        <v>45835</v>
      </c>
      <c r="L562" s="110" t="s">
        <v>62</v>
      </c>
      <c r="M562" s="112" t="str">
        <f t="shared" ca="1" si="43"/>
        <v>Vencido</v>
      </c>
      <c r="N562" s="112"/>
      <c r="O562" s="67">
        <f t="shared" ca="1" si="40"/>
        <v>1459</v>
      </c>
      <c r="P562" s="67">
        <f t="shared" ca="1" si="44"/>
        <v>-363</v>
      </c>
      <c r="Q562" t="str">
        <f t="shared" si="42"/>
        <v>SAG-01</v>
      </c>
    </row>
    <row r="563" spans="2:17" ht="15" customHeight="1" x14ac:dyDescent="0.35">
      <c r="B563" s="29">
        <v>3</v>
      </c>
      <c r="C563" s="29" t="s">
        <v>15</v>
      </c>
      <c r="D563" s="30">
        <v>2</v>
      </c>
      <c r="E563" s="66" t="s">
        <v>1513</v>
      </c>
      <c r="F563" s="66" t="s">
        <v>1514</v>
      </c>
      <c r="G563" s="26" t="s">
        <v>13284</v>
      </c>
      <c r="H563" s="29" t="s">
        <v>61</v>
      </c>
      <c r="I563" s="29" t="s">
        <v>61</v>
      </c>
      <c r="J563" s="98">
        <v>44739</v>
      </c>
      <c r="K563" s="98">
        <f t="shared" si="41"/>
        <v>45835</v>
      </c>
      <c r="L563" s="110" t="s">
        <v>62</v>
      </c>
      <c r="M563" s="112" t="str">
        <f t="shared" ca="1" si="43"/>
        <v>Vencido</v>
      </c>
      <c r="N563" s="112"/>
      <c r="O563" s="67">
        <f t="shared" ca="1" si="40"/>
        <v>1459</v>
      </c>
      <c r="P563" s="67">
        <f t="shared" ca="1" si="44"/>
        <v>-363</v>
      </c>
      <c r="Q563" t="str">
        <f t="shared" si="42"/>
        <v>SAG-02</v>
      </c>
    </row>
    <row r="564" spans="2:17" ht="15" customHeight="1" x14ac:dyDescent="0.35">
      <c r="B564" s="29">
        <v>3</v>
      </c>
      <c r="C564" s="29" t="s">
        <v>15</v>
      </c>
      <c r="D564" s="30">
        <v>3</v>
      </c>
      <c r="E564" s="66" t="s">
        <v>1515</v>
      </c>
      <c r="F564" s="66" t="s">
        <v>1516</v>
      </c>
      <c r="G564" s="26" t="s">
        <v>13283</v>
      </c>
      <c r="H564" s="29" t="s">
        <v>61</v>
      </c>
      <c r="I564" s="29" t="s">
        <v>61</v>
      </c>
      <c r="J564" s="98">
        <v>45506</v>
      </c>
      <c r="K564" s="98">
        <f t="shared" si="41"/>
        <v>46602</v>
      </c>
      <c r="L564" s="110" t="s">
        <v>62</v>
      </c>
      <c r="M564" s="112" t="str">
        <f t="shared" ca="1" si="43"/>
        <v>Em dia</v>
      </c>
      <c r="N564" s="112"/>
      <c r="O564" s="67">
        <f t="shared" ca="1" si="40"/>
        <v>692</v>
      </c>
      <c r="P564" s="67">
        <f t="shared" ca="1" si="44"/>
        <v>404</v>
      </c>
      <c r="Q564" t="str">
        <f t="shared" si="42"/>
        <v>SAG-03</v>
      </c>
    </row>
    <row r="565" spans="2:17" ht="15" customHeight="1" x14ac:dyDescent="0.35">
      <c r="B565" s="29">
        <v>3</v>
      </c>
      <c r="C565" s="29" t="s">
        <v>15</v>
      </c>
      <c r="D565" s="30">
        <v>4</v>
      </c>
      <c r="E565" s="66" t="s">
        <v>1517</v>
      </c>
      <c r="F565" s="66" t="s">
        <v>1518</v>
      </c>
      <c r="G565" s="186" t="s">
        <v>13283</v>
      </c>
      <c r="H565" s="29" t="s">
        <v>61</v>
      </c>
      <c r="I565" s="29" t="s">
        <v>61</v>
      </c>
      <c r="J565" s="98">
        <v>46107</v>
      </c>
      <c r="K565" s="98">
        <f t="shared" si="41"/>
        <v>47203</v>
      </c>
      <c r="L565" s="110" t="s">
        <v>62</v>
      </c>
      <c r="M565" s="112" t="str">
        <f t="shared" ca="1" si="43"/>
        <v>Em dia</v>
      </c>
      <c r="N565" s="112"/>
      <c r="O565" s="67">
        <f t="shared" ca="1" si="40"/>
        <v>91</v>
      </c>
      <c r="P565" s="67">
        <f t="shared" ca="1" si="44"/>
        <v>1005</v>
      </c>
      <c r="Q565" t="str">
        <f t="shared" si="42"/>
        <v>SAG-04</v>
      </c>
    </row>
    <row r="566" spans="2:17" ht="15" customHeight="1" x14ac:dyDescent="0.35">
      <c r="B566" s="29">
        <v>3</v>
      </c>
      <c r="C566" s="29" t="s">
        <v>15</v>
      </c>
      <c r="D566" s="30">
        <v>5</v>
      </c>
      <c r="E566" s="66" t="s">
        <v>1519</v>
      </c>
      <c r="F566" s="66" t="s">
        <v>1520</v>
      </c>
      <c r="G566" s="186" t="s">
        <v>13283</v>
      </c>
      <c r="H566" s="29" t="s">
        <v>61</v>
      </c>
      <c r="I566" s="29" t="s">
        <v>61</v>
      </c>
      <c r="J566" s="98">
        <v>46107</v>
      </c>
      <c r="K566" s="98">
        <f t="shared" si="41"/>
        <v>47203</v>
      </c>
      <c r="L566" s="110" t="s">
        <v>62</v>
      </c>
      <c r="M566" s="112" t="str">
        <f t="shared" ca="1" si="43"/>
        <v>Em dia</v>
      </c>
      <c r="N566" s="112"/>
      <c r="O566" s="67">
        <f t="shared" ca="1" si="40"/>
        <v>91</v>
      </c>
      <c r="P566" s="67">
        <f t="shared" ca="1" si="44"/>
        <v>1005</v>
      </c>
      <c r="Q566" t="str">
        <f t="shared" si="42"/>
        <v>SAG-05</v>
      </c>
    </row>
    <row r="567" spans="2:17" ht="15" customHeight="1" x14ac:dyDescent="0.35">
      <c r="B567" s="29">
        <v>3</v>
      </c>
      <c r="C567" s="29" t="s">
        <v>15</v>
      </c>
      <c r="D567" s="30">
        <v>6</v>
      </c>
      <c r="E567" s="66" t="s">
        <v>1521</v>
      </c>
      <c r="F567" s="66" t="s">
        <v>1522</v>
      </c>
      <c r="G567" s="186" t="s">
        <v>13283</v>
      </c>
      <c r="H567" s="29" t="s">
        <v>61</v>
      </c>
      <c r="I567" s="29" t="s">
        <v>61</v>
      </c>
      <c r="J567" s="98">
        <v>46107</v>
      </c>
      <c r="K567" s="98">
        <f t="shared" si="41"/>
        <v>47203</v>
      </c>
      <c r="L567" s="110" t="s">
        <v>62</v>
      </c>
      <c r="M567" s="112" t="str">
        <f t="shared" ca="1" si="43"/>
        <v>Em dia</v>
      </c>
      <c r="N567" s="112"/>
      <c r="O567" s="67">
        <f t="shared" ca="1" si="40"/>
        <v>91</v>
      </c>
      <c r="P567" s="67">
        <f t="shared" ca="1" si="44"/>
        <v>1005</v>
      </c>
      <c r="Q567" t="str">
        <f t="shared" si="42"/>
        <v>SAG-06</v>
      </c>
    </row>
    <row r="568" spans="2:17" ht="15" customHeight="1" x14ac:dyDescent="0.35">
      <c r="B568" s="29">
        <v>3</v>
      </c>
      <c r="C568" s="29" t="s">
        <v>15</v>
      </c>
      <c r="D568" s="30">
        <v>7</v>
      </c>
      <c r="E568" s="66" t="s">
        <v>1523</v>
      </c>
      <c r="F568" s="66" t="s">
        <v>1524</v>
      </c>
      <c r="G568" s="186" t="s">
        <v>13283</v>
      </c>
      <c r="H568" s="29" t="s">
        <v>61</v>
      </c>
      <c r="I568" s="29" t="s">
        <v>61</v>
      </c>
      <c r="J568" s="98">
        <v>45959</v>
      </c>
      <c r="K568" s="98">
        <f t="shared" si="41"/>
        <v>47055</v>
      </c>
      <c r="L568" s="110" t="s">
        <v>62</v>
      </c>
      <c r="M568" s="112" t="str">
        <f t="shared" ca="1" si="43"/>
        <v>Em dia</v>
      </c>
      <c r="N568" s="112"/>
      <c r="O568" s="67">
        <f t="shared" ca="1" si="40"/>
        <v>239</v>
      </c>
      <c r="P568" s="67">
        <f t="shared" ca="1" si="44"/>
        <v>857</v>
      </c>
      <c r="Q568" t="str">
        <f t="shared" si="42"/>
        <v>SAG-07</v>
      </c>
    </row>
    <row r="569" spans="2:17" ht="15" customHeight="1" x14ac:dyDescent="0.35">
      <c r="B569" s="29">
        <v>3</v>
      </c>
      <c r="C569" s="29" t="s">
        <v>15</v>
      </c>
      <c r="D569" s="30">
        <v>8</v>
      </c>
      <c r="E569" s="66" t="s">
        <v>1525</v>
      </c>
      <c r="F569" s="66" t="s">
        <v>1526</v>
      </c>
      <c r="G569" s="186" t="s">
        <v>13283</v>
      </c>
      <c r="H569" s="29" t="s">
        <v>61</v>
      </c>
      <c r="I569" s="29" t="s">
        <v>61</v>
      </c>
      <c r="J569" s="98">
        <v>45645</v>
      </c>
      <c r="K569" s="98">
        <f t="shared" si="41"/>
        <v>46741</v>
      </c>
      <c r="L569" s="110" t="s">
        <v>62</v>
      </c>
      <c r="M569" s="112" t="str">
        <f t="shared" ca="1" si="43"/>
        <v>Em dia</v>
      </c>
      <c r="N569" s="112"/>
      <c r="O569" s="67">
        <f t="shared" ca="1" si="40"/>
        <v>553</v>
      </c>
      <c r="P569" s="67">
        <f t="shared" ca="1" si="44"/>
        <v>543</v>
      </c>
      <c r="Q569" t="str">
        <f t="shared" si="42"/>
        <v>SAG-08</v>
      </c>
    </row>
    <row r="570" spans="2:17" ht="15" customHeight="1" x14ac:dyDescent="0.35">
      <c r="B570" s="29">
        <v>3</v>
      </c>
      <c r="C570" s="29" t="s">
        <v>15</v>
      </c>
      <c r="D570" s="30">
        <v>9</v>
      </c>
      <c r="E570" s="66" t="s">
        <v>1527</v>
      </c>
      <c r="F570" s="66" t="s">
        <v>1528</v>
      </c>
      <c r="G570" s="186" t="s">
        <v>13283</v>
      </c>
      <c r="H570" s="29" t="s">
        <v>61</v>
      </c>
      <c r="I570" s="29" t="s">
        <v>61</v>
      </c>
      <c r="J570" s="98">
        <v>45959</v>
      </c>
      <c r="K570" s="98">
        <f t="shared" si="41"/>
        <v>47055</v>
      </c>
      <c r="L570" s="110" t="s">
        <v>62</v>
      </c>
      <c r="M570" s="112" t="str">
        <f t="shared" ca="1" si="43"/>
        <v>Em dia</v>
      </c>
      <c r="N570" s="112"/>
      <c r="O570" s="67">
        <f t="shared" ca="1" si="40"/>
        <v>239</v>
      </c>
      <c r="P570" s="67">
        <f t="shared" ca="1" si="44"/>
        <v>857</v>
      </c>
      <c r="Q570" t="str">
        <f t="shared" si="42"/>
        <v>SAG-09</v>
      </c>
    </row>
    <row r="571" spans="2:17" ht="15" customHeight="1" x14ac:dyDescent="0.35">
      <c r="B571" s="29">
        <v>3</v>
      </c>
      <c r="C571" s="29" t="s">
        <v>15</v>
      </c>
      <c r="D571" s="30">
        <v>10</v>
      </c>
      <c r="E571" s="66" t="s">
        <v>1529</v>
      </c>
      <c r="F571" s="66" t="s">
        <v>1530</v>
      </c>
      <c r="G571" s="186" t="s">
        <v>13283</v>
      </c>
      <c r="H571" s="29" t="s">
        <v>61</v>
      </c>
      <c r="I571" s="29" t="s">
        <v>61</v>
      </c>
      <c r="J571" s="101">
        <v>45959</v>
      </c>
      <c r="K571" s="98">
        <f t="shared" si="41"/>
        <v>47055</v>
      </c>
      <c r="L571" s="110" t="s">
        <v>62</v>
      </c>
      <c r="M571" s="112" t="str">
        <f t="shared" ca="1" si="43"/>
        <v>Em dia</v>
      </c>
      <c r="N571" s="112"/>
      <c r="O571" s="67">
        <f t="shared" ca="1" si="40"/>
        <v>239</v>
      </c>
      <c r="P571" s="67">
        <f t="shared" ca="1" si="44"/>
        <v>857</v>
      </c>
      <c r="Q571" t="str">
        <f t="shared" si="42"/>
        <v>SAG-10</v>
      </c>
    </row>
    <row r="572" spans="2:17" ht="15" customHeight="1" x14ac:dyDescent="0.35">
      <c r="B572" s="29">
        <v>3</v>
      </c>
      <c r="C572" s="29" t="s">
        <v>15</v>
      </c>
      <c r="D572" s="30">
        <v>11</v>
      </c>
      <c r="E572" s="66" t="s">
        <v>1531</v>
      </c>
      <c r="F572" s="66" t="s">
        <v>1532</v>
      </c>
      <c r="G572" s="186" t="s">
        <v>13283</v>
      </c>
      <c r="H572" s="29" t="s">
        <v>61</v>
      </c>
      <c r="I572" s="29" t="s">
        <v>61</v>
      </c>
      <c r="J572" s="98">
        <v>46107</v>
      </c>
      <c r="K572" s="98">
        <f t="shared" si="41"/>
        <v>47203</v>
      </c>
      <c r="L572" s="110" t="s">
        <v>62</v>
      </c>
      <c r="M572" s="112" t="str">
        <f t="shared" ca="1" si="43"/>
        <v>Em dia</v>
      </c>
      <c r="N572" s="112"/>
      <c r="O572" s="67">
        <f t="shared" ca="1" si="40"/>
        <v>91</v>
      </c>
      <c r="P572" s="67">
        <f t="shared" ca="1" si="44"/>
        <v>1005</v>
      </c>
      <c r="Q572" t="str">
        <f t="shared" si="42"/>
        <v>SAG-11</v>
      </c>
    </row>
    <row r="573" spans="2:17" ht="15" customHeight="1" x14ac:dyDescent="0.35">
      <c r="B573" s="29">
        <v>3</v>
      </c>
      <c r="C573" s="29" t="s">
        <v>15</v>
      </c>
      <c r="D573" s="30">
        <v>12</v>
      </c>
      <c r="E573" s="66" t="s">
        <v>1533</v>
      </c>
      <c r="F573" s="66" t="s">
        <v>1534</v>
      </c>
      <c r="G573" s="186" t="s">
        <v>13283</v>
      </c>
      <c r="H573" s="29" t="s">
        <v>61</v>
      </c>
      <c r="I573" s="29" t="s">
        <v>61</v>
      </c>
      <c r="J573" s="98">
        <v>46107</v>
      </c>
      <c r="K573" s="98">
        <f t="shared" si="41"/>
        <v>47203</v>
      </c>
      <c r="L573" s="110" t="s">
        <v>62</v>
      </c>
      <c r="M573" s="112" t="str">
        <f t="shared" ca="1" si="43"/>
        <v>Em dia</v>
      </c>
      <c r="N573" s="112"/>
      <c r="O573" s="67">
        <f t="shared" ca="1" si="40"/>
        <v>91</v>
      </c>
      <c r="P573" s="67">
        <f t="shared" ca="1" si="44"/>
        <v>1005</v>
      </c>
      <c r="Q573" t="str">
        <f t="shared" si="42"/>
        <v>SAG-12</v>
      </c>
    </row>
    <row r="574" spans="2:17" ht="15" customHeight="1" x14ac:dyDescent="0.35">
      <c r="B574" s="29">
        <v>3</v>
      </c>
      <c r="C574" s="29" t="s">
        <v>15</v>
      </c>
      <c r="D574" s="30">
        <v>13</v>
      </c>
      <c r="E574" s="66" t="s">
        <v>1535</v>
      </c>
      <c r="F574" s="66" t="s">
        <v>1536</v>
      </c>
      <c r="G574" s="186" t="s">
        <v>13283</v>
      </c>
      <c r="H574" s="29" t="s">
        <v>61</v>
      </c>
      <c r="I574" s="29" t="s">
        <v>61</v>
      </c>
      <c r="J574" s="98">
        <v>46107</v>
      </c>
      <c r="K574" s="98">
        <f t="shared" si="41"/>
        <v>47203</v>
      </c>
      <c r="L574" s="110" t="s">
        <v>62</v>
      </c>
      <c r="M574" s="112" t="str">
        <f t="shared" ca="1" si="43"/>
        <v>Em dia</v>
      </c>
      <c r="N574" s="112"/>
      <c r="O574" s="67">
        <f t="shared" ca="1" si="40"/>
        <v>91</v>
      </c>
      <c r="P574" s="67">
        <f t="shared" ca="1" si="44"/>
        <v>1005</v>
      </c>
      <c r="Q574" t="str">
        <f t="shared" si="42"/>
        <v>SAG-13</v>
      </c>
    </row>
    <row r="575" spans="2:17" ht="15" customHeight="1" x14ac:dyDescent="0.35">
      <c r="B575" s="29">
        <v>3</v>
      </c>
      <c r="C575" s="29" t="s">
        <v>15</v>
      </c>
      <c r="D575" s="30">
        <v>14</v>
      </c>
      <c r="E575" s="66" t="s">
        <v>1537</v>
      </c>
      <c r="F575" s="66" t="s">
        <v>1538</v>
      </c>
      <c r="G575" s="186" t="s">
        <v>13283</v>
      </c>
      <c r="H575" s="29" t="s">
        <v>61</v>
      </c>
      <c r="I575" s="29" t="s">
        <v>61</v>
      </c>
      <c r="J575" s="98">
        <v>45202</v>
      </c>
      <c r="K575" s="98">
        <f t="shared" si="41"/>
        <v>46298</v>
      </c>
      <c r="L575" s="110" t="s">
        <v>62</v>
      </c>
      <c r="M575" s="112" t="str">
        <f t="shared" ca="1" si="43"/>
        <v>Alerta</v>
      </c>
      <c r="N575" s="112"/>
      <c r="O575" s="67">
        <f t="shared" ca="1" si="40"/>
        <v>996</v>
      </c>
      <c r="P575" s="67">
        <f t="shared" ca="1" si="44"/>
        <v>100</v>
      </c>
      <c r="Q575" t="str">
        <f t="shared" si="42"/>
        <v>SAG-14</v>
      </c>
    </row>
    <row r="576" spans="2:17" ht="15" customHeight="1" x14ac:dyDescent="0.35">
      <c r="B576" s="29">
        <v>3</v>
      </c>
      <c r="C576" s="29" t="s">
        <v>15</v>
      </c>
      <c r="D576" s="30">
        <v>15</v>
      </c>
      <c r="E576" s="66" t="s">
        <v>1539</v>
      </c>
      <c r="F576" s="66" t="s">
        <v>1540</v>
      </c>
      <c r="G576" s="66" t="s">
        <v>13283</v>
      </c>
      <c r="H576" s="29" t="s">
        <v>61</v>
      </c>
      <c r="I576" s="29" t="s">
        <v>61</v>
      </c>
      <c r="J576" s="98">
        <v>46107</v>
      </c>
      <c r="K576" s="98">
        <f t="shared" si="41"/>
        <v>47203</v>
      </c>
      <c r="L576" s="110" t="s">
        <v>62</v>
      </c>
      <c r="M576" s="112" t="str">
        <f t="shared" ca="1" si="43"/>
        <v>Em dia</v>
      </c>
      <c r="N576" s="112"/>
      <c r="O576" s="67">
        <f t="shared" ca="1" si="40"/>
        <v>91</v>
      </c>
      <c r="P576" s="67">
        <f t="shared" ca="1" si="44"/>
        <v>1005</v>
      </c>
      <c r="Q576" t="str">
        <f t="shared" si="42"/>
        <v>SAG-15</v>
      </c>
    </row>
    <row r="577" spans="2:17" ht="15" customHeight="1" x14ac:dyDescent="0.35">
      <c r="B577" s="29">
        <v>3</v>
      </c>
      <c r="C577" s="29" t="s">
        <v>15</v>
      </c>
      <c r="D577" s="30">
        <v>17</v>
      </c>
      <c r="E577" s="66" t="s">
        <v>1541</v>
      </c>
      <c r="F577" s="66" t="s">
        <v>1542</v>
      </c>
      <c r="G577" s="66" t="s">
        <v>13283</v>
      </c>
      <c r="H577" s="29" t="s">
        <v>61</v>
      </c>
      <c r="I577" s="29" t="s">
        <v>61</v>
      </c>
      <c r="J577" s="98">
        <v>45202</v>
      </c>
      <c r="K577" s="98">
        <f t="shared" si="41"/>
        <v>46298</v>
      </c>
      <c r="L577" s="110" t="s">
        <v>62</v>
      </c>
      <c r="M577" s="112" t="str">
        <f t="shared" ca="1" si="43"/>
        <v>Alerta</v>
      </c>
      <c r="N577" s="112"/>
      <c r="O577" s="67">
        <f t="shared" ca="1" si="40"/>
        <v>996</v>
      </c>
      <c r="P577" s="67">
        <f t="shared" ca="1" si="44"/>
        <v>100</v>
      </c>
      <c r="Q577" t="str">
        <f t="shared" si="42"/>
        <v>SAG-17</v>
      </c>
    </row>
    <row r="578" spans="2:17" ht="15" customHeight="1" x14ac:dyDescent="0.35">
      <c r="B578" s="29">
        <v>3</v>
      </c>
      <c r="C578" s="29" t="s">
        <v>15</v>
      </c>
      <c r="D578" s="30">
        <v>18</v>
      </c>
      <c r="E578" s="66" t="s">
        <v>1543</v>
      </c>
      <c r="F578" s="66" t="s">
        <v>1544</v>
      </c>
      <c r="G578" s="187" t="s">
        <v>13283</v>
      </c>
      <c r="H578" s="29" t="s">
        <v>61</v>
      </c>
      <c r="I578" s="29" t="s">
        <v>61</v>
      </c>
      <c r="J578" s="98">
        <v>45645</v>
      </c>
      <c r="K578" s="98">
        <f t="shared" si="41"/>
        <v>46741</v>
      </c>
      <c r="L578" s="110" t="s">
        <v>62</v>
      </c>
      <c r="M578" s="112" t="str">
        <f t="shared" ca="1" si="43"/>
        <v>Em dia</v>
      </c>
      <c r="N578" s="112"/>
      <c r="O578" s="67">
        <f t="shared" ca="1" si="40"/>
        <v>553</v>
      </c>
      <c r="P578" s="67">
        <f t="shared" ca="1" si="44"/>
        <v>543</v>
      </c>
      <c r="Q578" t="str">
        <f t="shared" si="42"/>
        <v>SAG-18</v>
      </c>
    </row>
    <row r="579" spans="2:17" ht="15" customHeight="1" x14ac:dyDescent="0.35">
      <c r="B579" s="29">
        <v>3</v>
      </c>
      <c r="C579" s="29" t="s">
        <v>15</v>
      </c>
      <c r="D579" s="30">
        <v>19</v>
      </c>
      <c r="E579" s="66" t="s">
        <v>1545</v>
      </c>
      <c r="F579" s="66" t="s">
        <v>1546</v>
      </c>
      <c r="G579" s="187" t="s">
        <v>13283</v>
      </c>
      <c r="H579" s="29" t="s">
        <v>61</v>
      </c>
      <c r="I579" s="29" t="s">
        <v>61</v>
      </c>
      <c r="J579" s="98">
        <v>45959</v>
      </c>
      <c r="K579" s="98">
        <f t="shared" si="41"/>
        <v>47055</v>
      </c>
      <c r="L579" s="110" t="s">
        <v>62</v>
      </c>
      <c r="M579" s="112" t="str">
        <f t="shared" ca="1" si="43"/>
        <v>Em dia</v>
      </c>
      <c r="N579" s="112"/>
      <c r="O579" s="67">
        <f t="shared" ca="1" si="40"/>
        <v>239</v>
      </c>
      <c r="P579" s="67">
        <f t="shared" ca="1" si="44"/>
        <v>857</v>
      </c>
      <c r="Q579" t="str">
        <f t="shared" si="42"/>
        <v>SAG-19</v>
      </c>
    </row>
    <row r="580" spans="2:17" ht="15" customHeight="1" x14ac:dyDescent="0.35">
      <c r="B580" s="29">
        <v>3</v>
      </c>
      <c r="C580" s="29" t="s">
        <v>15</v>
      </c>
      <c r="D580" s="30">
        <v>20</v>
      </c>
      <c r="E580" s="66" t="s">
        <v>1547</v>
      </c>
      <c r="F580" s="66" t="s">
        <v>1548</v>
      </c>
      <c r="G580" s="66" t="s">
        <v>13284</v>
      </c>
      <c r="H580" s="29" t="s">
        <v>61</v>
      </c>
      <c r="I580" s="29" t="s">
        <v>61</v>
      </c>
      <c r="J580" s="98">
        <v>44889</v>
      </c>
      <c r="K580" s="98">
        <f t="shared" si="41"/>
        <v>45985</v>
      </c>
      <c r="L580" s="110" t="s">
        <v>62</v>
      </c>
      <c r="M580" s="112" t="str">
        <f t="shared" ca="1" si="43"/>
        <v>Vencido</v>
      </c>
      <c r="N580" s="112"/>
      <c r="O580" s="67">
        <f t="shared" ref="O580:O643" ca="1" si="45">$O$4-J580</f>
        <v>1309</v>
      </c>
      <c r="P580" s="67">
        <f t="shared" ca="1" si="44"/>
        <v>-213</v>
      </c>
      <c r="Q580" t="str">
        <f t="shared" si="42"/>
        <v>SAG-20</v>
      </c>
    </row>
    <row r="581" spans="2:17" ht="15" customHeight="1" x14ac:dyDescent="0.35">
      <c r="B581" s="29">
        <v>3</v>
      </c>
      <c r="C581" s="29" t="s">
        <v>15</v>
      </c>
      <c r="D581" s="30">
        <v>21</v>
      </c>
      <c r="E581" s="66" t="s">
        <v>1549</v>
      </c>
      <c r="F581" s="66" t="s">
        <v>1550</v>
      </c>
      <c r="G581" s="187" t="s">
        <v>13283</v>
      </c>
      <c r="H581" s="29" t="s">
        <v>61</v>
      </c>
      <c r="I581" s="29" t="s">
        <v>61</v>
      </c>
      <c r="J581" s="98">
        <v>45645</v>
      </c>
      <c r="K581" s="98">
        <f t="shared" ref="K581:K644" si="46">J581+1096</f>
        <v>46741</v>
      </c>
      <c r="L581" s="110" t="s">
        <v>62</v>
      </c>
      <c r="M581" s="112" t="str">
        <f t="shared" ca="1" si="43"/>
        <v>Em dia</v>
      </c>
      <c r="N581" s="112"/>
      <c r="O581" s="67">
        <f t="shared" ca="1" si="45"/>
        <v>553</v>
      </c>
      <c r="P581" s="67">
        <f t="shared" ca="1" si="44"/>
        <v>543</v>
      </c>
      <c r="Q581" t="str">
        <f t="shared" ref="Q581:Q644" si="47">IF(OR(C581="ARN",C581="SDP"),MID(E581,4,7),MID(E581,4,6))</f>
        <v>SAG-21</v>
      </c>
    </row>
    <row r="582" spans="2:17" ht="15" customHeight="1" x14ac:dyDescent="0.35">
      <c r="B582" s="29">
        <v>3</v>
      </c>
      <c r="C582" s="29" t="s">
        <v>15</v>
      </c>
      <c r="D582" s="30">
        <v>22</v>
      </c>
      <c r="E582" s="66" t="s">
        <v>1551</v>
      </c>
      <c r="F582" s="66" t="s">
        <v>1552</v>
      </c>
      <c r="G582" s="66" t="s">
        <v>13284</v>
      </c>
      <c r="H582" s="29" t="s">
        <v>61</v>
      </c>
      <c r="I582" s="29" t="s">
        <v>61</v>
      </c>
      <c r="J582" s="98">
        <v>44739</v>
      </c>
      <c r="K582" s="98">
        <f t="shared" si="46"/>
        <v>45835</v>
      </c>
      <c r="L582" s="110" t="s">
        <v>62</v>
      </c>
      <c r="M582" s="112" t="str">
        <f t="shared" ref="M582:M645" ca="1" si="48">IF(O582="","",IF(O582&gt;1095,"Vencido",IF(O582&gt;910,"Alerta",IF(O582&gt;820,"Alerta",IF(O582&gt;730,"Alerta",IF(O582&gt;=0,"Em dia","Vencido"))))))</f>
        <v>Vencido</v>
      </c>
      <c r="N582" s="112"/>
      <c r="O582" s="67">
        <f t="shared" ca="1" si="45"/>
        <v>1459</v>
      </c>
      <c r="P582" s="67">
        <f t="shared" ref="P582:P645" ca="1" si="49">K582-$P$3</f>
        <v>-363</v>
      </c>
      <c r="Q582" t="str">
        <f t="shared" si="47"/>
        <v>SAG-22</v>
      </c>
    </row>
    <row r="583" spans="2:17" ht="15" customHeight="1" x14ac:dyDescent="0.35">
      <c r="B583" s="29">
        <v>3</v>
      </c>
      <c r="C583" s="29" t="s">
        <v>15</v>
      </c>
      <c r="D583" s="30">
        <v>23</v>
      </c>
      <c r="E583" s="66" t="s">
        <v>1553</v>
      </c>
      <c r="F583" s="66" t="s">
        <v>1554</v>
      </c>
      <c r="G583" s="187" t="s">
        <v>13284</v>
      </c>
      <c r="H583" s="29" t="s">
        <v>61</v>
      </c>
      <c r="I583" s="29" t="s">
        <v>61</v>
      </c>
      <c r="J583" s="98">
        <v>44739</v>
      </c>
      <c r="K583" s="98">
        <f t="shared" si="46"/>
        <v>45835</v>
      </c>
      <c r="L583" s="110" t="s">
        <v>62</v>
      </c>
      <c r="M583" s="112" t="str">
        <f t="shared" ca="1" si="48"/>
        <v>Vencido</v>
      </c>
      <c r="N583" s="112"/>
      <c r="O583" s="67">
        <f t="shared" ca="1" si="45"/>
        <v>1459</v>
      </c>
      <c r="P583" s="67">
        <f t="shared" ca="1" si="49"/>
        <v>-363</v>
      </c>
      <c r="Q583" t="str">
        <f t="shared" si="47"/>
        <v>SAG-23</v>
      </c>
    </row>
    <row r="584" spans="2:17" ht="15" customHeight="1" x14ac:dyDescent="0.35">
      <c r="B584" s="29">
        <v>3</v>
      </c>
      <c r="C584" s="29" t="s">
        <v>15</v>
      </c>
      <c r="D584" s="30">
        <v>24</v>
      </c>
      <c r="E584" s="66" t="s">
        <v>1555</v>
      </c>
      <c r="F584" s="66" t="s">
        <v>1556</v>
      </c>
      <c r="G584" s="187" t="s">
        <v>13284</v>
      </c>
      <c r="H584" s="29" t="s">
        <v>61</v>
      </c>
      <c r="I584" s="29" t="s">
        <v>61</v>
      </c>
      <c r="J584" s="98">
        <v>44739</v>
      </c>
      <c r="K584" s="98">
        <f t="shared" si="46"/>
        <v>45835</v>
      </c>
      <c r="L584" s="110" t="s">
        <v>62</v>
      </c>
      <c r="M584" s="112" t="str">
        <f t="shared" ca="1" si="48"/>
        <v>Vencido</v>
      </c>
      <c r="N584" s="112"/>
      <c r="O584" s="67">
        <f t="shared" ca="1" si="45"/>
        <v>1459</v>
      </c>
      <c r="P584" s="67">
        <f t="shared" ca="1" si="49"/>
        <v>-363</v>
      </c>
      <c r="Q584" t="str">
        <f t="shared" si="47"/>
        <v>SAG-24</v>
      </c>
    </row>
    <row r="585" spans="2:17" ht="15" customHeight="1" x14ac:dyDescent="0.35">
      <c r="B585" s="29">
        <v>3</v>
      </c>
      <c r="C585" s="29" t="s">
        <v>15</v>
      </c>
      <c r="D585" s="30">
        <v>25</v>
      </c>
      <c r="E585" s="66" t="s">
        <v>1557</v>
      </c>
      <c r="F585" s="66" t="s">
        <v>1558</v>
      </c>
      <c r="G585" s="187" t="s">
        <v>13283</v>
      </c>
      <c r="H585" s="29" t="s">
        <v>61</v>
      </c>
      <c r="I585" s="29" t="s">
        <v>61</v>
      </c>
      <c r="J585" s="98">
        <v>46009</v>
      </c>
      <c r="K585" s="98">
        <f t="shared" si="46"/>
        <v>47105</v>
      </c>
      <c r="L585" s="110" t="s">
        <v>62</v>
      </c>
      <c r="M585" s="112" t="str">
        <f t="shared" ca="1" si="48"/>
        <v>Em dia</v>
      </c>
      <c r="N585" s="112"/>
      <c r="O585" s="67">
        <f t="shared" ca="1" si="45"/>
        <v>189</v>
      </c>
      <c r="P585" s="67">
        <f t="shared" ca="1" si="49"/>
        <v>907</v>
      </c>
      <c r="Q585" t="str">
        <f t="shared" si="47"/>
        <v>SAG-25</v>
      </c>
    </row>
    <row r="586" spans="2:17" ht="15" customHeight="1" x14ac:dyDescent="0.35">
      <c r="B586" s="29">
        <v>3</v>
      </c>
      <c r="C586" s="29" t="s">
        <v>15</v>
      </c>
      <c r="D586" s="30">
        <v>26</v>
      </c>
      <c r="E586" s="66" t="s">
        <v>1559</v>
      </c>
      <c r="F586" s="66" t="s">
        <v>1560</v>
      </c>
      <c r="G586" s="187" t="s">
        <v>13284</v>
      </c>
      <c r="H586" s="29" t="s">
        <v>61</v>
      </c>
      <c r="I586" s="29" t="s">
        <v>61</v>
      </c>
      <c r="J586" s="98">
        <v>44739</v>
      </c>
      <c r="K586" s="98">
        <f t="shared" si="46"/>
        <v>45835</v>
      </c>
      <c r="L586" s="110" t="s">
        <v>62</v>
      </c>
      <c r="M586" s="112" t="str">
        <f t="shared" ca="1" si="48"/>
        <v>Vencido</v>
      </c>
      <c r="N586" s="112"/>
      <c r="O586" s="67">
        <f t="shared" ca="1" si="45"/>
        <v>1459</v>
      </c>
      <c r="P586" s="67">
        <f t="shared" ca="1" si="49"/>
        <v>-363</v>
      </c>
      <c r="Q586" t="str">
        <f t="shared" si="47"/>
        <v>SAG-26</v>
      </c>
    </row>
    <row r="587" spans="2:17" ht="15" customHeight="1" x14ac:dyDescent="0.35">
      <c r="B587" s="29">
        <v>3</v>
      </c>
      <c r="C587" s="29" t="s">
        <v>15</v>
      </c>
      <c r="D587" s="30">
        <v>27</v>
      </c>
      <c r="E587" s="66" t="s">
        <v>13305</v>
      </c>
      <c r="F587" s="66" t="s">
        <v>1561</v>
      </c>
      <c r="G587" s="187" t="s">
        <v>13284</v>
      </c>
      <c r="H587" s="29" t="s">
        <v>61</v>
      </c>
      <c r="I587" s="29" t="s">
        <v>61</v>
      </c>
      <c r="J587" s="98">
        <v>44739</v>
      </c>
      <c r="K587" s="98">
        <f t="shared" si="46"/>
        <v>45835</v>
      </c>
      <c r="L587" s="110" t="s">
        <v>62</v>
      </c>
      <c r="M587" s="112" t="str">
        <f t="shared" ca="1" si="48"/>
        <v>Vencido</v>
      </c>
      <c r="N587" s="112"/>
      <c r="O587" s="67">
        <f t="shared" ca="1" si="45"/>
        <v>1459</v>
      </c>
      <c r="P587" s="67">
        <f t="shared" ca="1" si="49"/>
        <v>-363</v>
      </c>
      <c r="Q587" t="str">
        <f t="shared" si="47"/>
        <v>SAG-27</v>
      </c>
    </row>
    <row r="588" spans="2:17" ht="15" customHeight="1" x14ac:dyDescent="0.35">
      <c r="B588" s="29">
        <v>3</v>
      </c>
      <c r="C588" s="29" t="s">
        <v>15</v>
      </c>
      <c r="D588" s="30">
        <v>28</v>
      </c>
      <c r="E588" s="66" t="s">
        <v>1562</v>
      </c>
      <c r="F588" s="66" t="s">
        <v>1563</v>
      </c>
      <c r="G588" s="187" t="s">
        <v>13284</v>
      </c>
      <c r="H588" s="29" t="s">
        <v>61</v>
      </c>
      <c r="I588" s="29" t="s">
        <v>61</v>
      </c>
      <c r="J588" s="98">
        <v>45202</v>
      </c>
      <c r="K588" s="98">
        <f t="shared" si="46"/>
        <v>46298</v>
      </c>
      <c r="L588" s="110" t="s">
        <v>62</v>
      </c>
      <c r="M588" s="112" t="str">
        <f t="shared" ca="1" si="48"/>
        <v>Alerta</v>
      </c>
      <c r="N588" s="112"/>
      <c r="O588" s="67">
        <f t="shared" ca="1" si="45"/>
        <v>996</v>
      </c>
      <c r="P588" s="67">
        <f t="shared" ca="1" si="49"/>
        <v>100</v>
      </c>
      <c r="Q588" t="str">
        <f t="shared" si="47"/>
        <v>SAG-28</v>
      </c>
    </row>
    <row r="589" spans="2:17" ht="15" customHeight="1" x14ac:dyDescent="0.35">
      <c r="B589" s="29">
        <v>3</v>
      </c>
      <c r="C589" s="29" t="s">
        <v>15</v>
      </c>
      <c r="D589" s="30">
        <v>29</v>
      </c>
      <c r="E589" s="66" t="s">
        <v>1564</v>
      </c>
      <c r="F589" s="66" t="s">
        <v>1565</v>
      </c>
      <c r="G589" s="187" t="s">
        <v>13284</v>
      </c>
      <c r="H589" s="29" t="s">
        <v>61</v>
      </c>
      <c r="I589" s="29" t="s">
        <v>61</v>
      </c>
      <c r="J589" s="98">
        <v>45202</v>
      </c>
      <c r="K589" s="98">
        <f t="shared" si="46"/>
        <v>46298</v>
      </c>
      <c r="L589" s="110" t="s">
        <v>62</v>
      </c>
      <c r="M589" s="112" t="str">
        <f t="shared" ca="1" si="48"/>
        <v>Alerta</v>
      </c>
      <c r="N589" s="112"/>
      <c r="O589" s="67">
        <f t="shared" ca="1" si="45"/>
        <v>996</v>
      </c>
      <c r="P589" s="67">
        <f t="shared" ca="1" si="49"/>
        <v>100</v>
      </c>
      <c r="Q589" t="str">
        <f t="shared" si="47"/>
        <v>SAG-29</v>
      </c>
    </row>
    <row r="590" spans="2:17" ht="15" customHeight="1" x14ac:dyDescent="0.35">
      <c r="B590" s="29">
        <v>3</v>
      </c>
      <c r="C590" s="29" t="s">
        <v>15</v>
      </c>
      <c r="D590" s="30">
        <v>32</v>
      </c>
      <c r="E590" s="66" t="s">
        <v>1566</v>
      </c>
      <c r="F590" s="66" t="s">
        <v>1567</v>
      </c>
      <c r="G590" s="187" t="s">
        <v>13284</v>
      </c>
      <c r="H590" s="29" t="s">
        <v>61</v>
      </c>
      <c r="I590" s="29" t="s">
        <v>61</v>
      </c>
      <c r="J590" s="98">
        <v>44838</v>
      </c>
      <c r="K590" s="98">
        <f t="shared" si="46"/>
        <v>45934</v>
      </c>
      <c r="L590" s="110" t="s">
        <v>62</v>
      </c>
      <c r="M590" s="112" t="str">
        <f t="shared" ca="1" si="48"/>
        <v>Vencido</v>
      </c>
      <c r="N590" s="112"/>
      <c r="O590" s="67">
        <f t="shared" ca="1" si="45"/>
        <v>1360</v>
      </c>
      <c r="P590" s="67">
        <f t="shared" ca="1" si="49"/>
        <v>-264</v>
      </c>
      <c r="Q590" t="str">
        <f t="shared" si="47"/>
        <v>SAG-32</v>
      </c>
    </row>
    <row r="591" spans="2:17" ht="15" customHeight="1" x14ac:dyDescent="0.35">
      <c r="B591" s="29">
        <v>3</v>
      </c>
      <c r="C591" s="29" t="s">
        <v>15</v>
      </c>
      <c r="D591" s="30">
        <v>30</v>
      </c>
      <c r="E591" s="66" t="s">
        <v>1568</v>
      </c>
      <c r="F591" s="66" t="s">
        <v>1569</v>
      </c>
      <c r="G591" s="187" t="s">
        <v>13284</v>
      </c>
      <c r="H591" s="29" t="s">
        <v>61</v>
      </c>
      <c r="I591" s="29" t="s">
        <v>61</v>
      </c>
      <c r="J591" s="98">
        <v>44838</v>
      </c>
      <c r="K591" s="98">
        <f t="shared" si="46"/>
        <v>45934</v>
      </c>
      <c r="L591" s="110" t="s">
        <v>62</v>
      </c>
      <c r="M591" s="112" t="str">
        <f t="shared" ca="1" si="48"/>
        <v>Vencido</v>
      </c>
      <c r="N591" s="112"/>
      <c r="O591" s="67">
        <f t="shared" ca="1" si="45"/>
        <v>1360</v>
      </c>
      <c r="P591" s="67">
        <f t="shared" ca="1" si="49"/>
        <v>-264</v>
      </c>
      <c r="Q591" t="str">
        <f t="shared" si="47"/>
        <v>SAG-30</v>
      </c>
    </row>
    <row r="592" spans="2:17" ht="15" customHeight="1" x14ac:dyDescent="0.35">
      <c r="B592" s="29">
        <v>3</v>
      </c>
      <c r="C592" s="29" t="s">
        <v>15</v>
      </c>
      <c r="D592" s="30">
        <v>33</v>
      </c>
      <c r="E592" s="66" t="s">
        <v>1570</v>
      </c>
      <c r="F592" s="66" t="s">
        <v>1571</v>
      </c>
      <c r="G592" s="187" t="s">
        <v>13284</v>
      </c>
      <c r="H592" s="29" t="s">
        <v>61</v>
      </c>
      <c r="I592" s="29" t="s">
        <v>61</v>
      </c>
      <c r="J592" s="98">
        <v>44739</v>
      </c>
      <c r="K592" s="98">
        <f t="shared" si="46"/>
        <v>45835</v>
      </c>
      <c r="L592" s="110" t="s">
        <v>62</v>
      </c>
      <c r="M592" s="112" t="str">
        <f t="shared" ca="1" si="48"/>
        <v>Vencido</v>
      </c>
      <c r="N592" s="112"/>
      <c r="O592" s="67">
        <f t="shared" ca="1" si="45"/>
        <v>1459</v>
      </c>
      <c r="P592" s="67">
        <f t="shared" ca="1" si="49"/>
        <v>-363</v>
      </c>
      <c r="Q592" t="str">
        <f t="shared" si="47"/>
        <v>SAG-33</v>
      </c>
    </row>
    <row r="593" spans="2:17" ht="15" customHeight="1" x14ac:dyDescent="0.35">
      <c r="B593" s="29">
        <v>3</v>
      </c>
      <c r="C593" s="29" t="s">
        <v>15</v>
      </c>
      <c r="D593" s="30">
        <v>40</v>
      </c>
      <c r="E593" s="66" t="s">
        <v>1572</v>
      </c>
      <c r="F593" s="66" t="s">
        <v>1573</v>
      </c>
      <c r="G593" s="187" t="s">
        <v>13283</v>
      </c>
      <c r="H593" s="29" t="s">
        <v>61</v>
      </c>
      <c r="I593" s="29"/>
      <c r="J593" s="98">
        <v>45202</v>
      </c>
      <c r="K593" s="98">
        <f t="shared" si="46"/>
        <v>46298</v>
      </c>
      <c r="L593" s="110" t="s">
        <v>62</v>
      </c>
      <c r="M593" s="112" t="str">
        <f t="shared" ca="1" si="48"/>
        <v>Alerta</v>
      </c>
      <c r="N593" s="112"/>
      <c r="O593" s="67">
        <f t="shared" ca="1" si="45"/>
        <v>996</v>
      </c>
      <c r="P593" s="67">
        <f t="shared" ca="1" si="49"/>
        <v>100</v>
      </c>
      <c r="Q593" t="str">
        <f t="shared" si="47"/>
        <v>SAG-40</v>
      </c>
    </row>
    <row r="594" spans="2:17" ht="15" customHeight="1" x14ac:dyDescent="0.35">
      <c r="B594" s="29">
        <v>3</v>
      </c>
      <c r="C594" s="29" t="s">
        <v>15</v>
      </c>
      <c r="D594" s="30">
        <v>41</v>
      </c>
      <c r="E594" s="66" t="s">
        <v>1574</v>
      </c>
      <c r="F594" s="66" t="s">
        <v>1575</v>
      </c>
      <c r="G594" s="187" t="s">
        <v>13283</v>
      </c>
      <c r="H594" s="29" t="s">
        <v>61</v>
      </c>
      <c r="I594" s="29"/>
      <c r="J594" s="98">
        <v>45202</v>
      </c>
      <c r="K594" s="98">
        <f t="shared" si="46"/>
        <v>46298</v>
      </c>
      <c r="L594" s="110" t="s">
        <v>62</v>
      </c>
      <c r="M594" s="112" t="str">
        <f t="shared" ca="1" si="48"/>
        <v>Alerta</v>
      </c>
      <c r="N594" s="112"/>
      <c r="O594" s="67">
        <f t="shared" ca="1" si="45"/>
        <v>996</v>
      </c>
      <c r="P594" s="67">
        <f t="shared" ca="1" si="49"/>
        <v>100</v>
      </c>
      <c r="Q594" t="str">
        <f t="shared" si="47"/>
        <v>SAG-41</v>
      </c>
    </row>
    <row r="595" spans="2:17" ht="15" customHeight="1" x14ac:dyDescent="0.35">
      <c r="B595" s="29">
        <v>3</v>
      </c>
      <c r="C595" s="29" t="s">
        <v>15</v>
      </c>
      <c r="D595" s="30">
        <v>58</v>
      </c>
      <c r="E595" s="66" t="s">
        <v>1576</v>
      </c>
      <c r="F595" s="66" t="s">
        <v>1577</v>
      </c>
      <c r="G595" s="66" t="s">
        <v>13284</v>
      </c>
      <c r="H595" s="29" t="s">
        <v>61</v>
      </c>
      <c r="I595" s="29" t="s">
        <v>61</v>
      </c>
      <c r="J595" s="98">
        <v>44739</v>
      </c>
      <c r="K595" s="98">
        <f t="shared" si="46"/>
        <v>45835</v>
      </c>
      <c r="L595" s="110" t="s">
        <v>62</v>
      </c>
      <c r="M595" s="112" t="str">
        <f t="shared" ca="1" si="48"/>
        <v>Vencido</v>
      </c>
      <c r="N595" s="112"/>
      <c r="O595" s="67">
        <f t="shared" ca="1" si="45"/>
        <v>1459</v>
      </c>
      <c r="P595" s="67">
        <f t="shared" ca="1" si="49"/>
        <v>-363</v>
      </c>
      <c r="Q595" t="str">
        <f t="shared" si="47"/>
        <v>SAG-58</v>
      </c>
    </row>
    <row r="596" spans="2:17" ht="15" customHeight="1" x14ac:dyDescent="0.35">
      <c r="B596" s="29">
        <v>3</v>
      </c>
      <c r="C596" s="29" t="s">
        <v>15</v>
      </c>
      <c r="D596" s="30">
        <v>59</v>
      </c>
      <c r="E596" s="66" t="s">
        <v>1578</v>
      </c>
      <c r="F596" s="66" t="s">
        <v>1579</v>
      </c>
      <c r="G596" s="187" t="s">
        <v>13283</v>
      </c>
      <c r="H596" s="29" t="s">
        <v>61</v>
      </c>
      <c r="I596" s="29" t="s">
        <v>61</v>
      </c>
      <c r="J596" s="98">
        <v>45462</v>
      </c>
      <c r="K596" s="98">
        <f t="shared" si="46"/>
        <v>46558</v>
      </c>
      <c r="L596" s="110" t="s">
        <v>62</v>
      </c>
      <c r="M596" s="112" t="str">
        <f t="shared" ca="1" si="48"/>
        <v>Alerta</v>
      </c>
      <c r="N596" s="112"/>
      <c r="O596" s="67">
        <f t="shared" ca="1" si="45"/>
        <v>736</v>
      </c>
      <c r="P596" s="67">
        <f t="shared" ca="1" si="49"/>
        <v>360</v>
      </c>
      <c r="Q596" t="str">
        <f t="shared" si="47"/>
        <v>SAG-59</v>
      </c>
    </row>
    <row r="597" spans="2:17" ht="15" customHeight="1" x14ac:dyDescent="0.35">
      <c r="B597" s="29">
        <v>3</v>
      </c>
      <c r="C597" s="29" t="s">
        <v>15</v>
      </c>
      <c r="D597" s="30">
        <v>60</v>
      </c>
      <c r="E597" s="66" t="s">
        <v>1580</v>
      </c>
      <c r="F597" s="66" t="s">
        <v>1581</v>
      </c>
      <c r="G597" s="187" t="s">
        <v>13284</v>
      </c>
      <c r="H597" s="29" t="s">
        <v>61</v>
      </c>
      <c r="I597" s="29" t="s">
        <v>61</v>
      </c>
      <c r="J597" s="98">
        <v>44819</v>
      </c>
      <c r="K597" s="98">
        <f t="shared" si="46"/>
        <v>45915</v>
      </c>
      <c r="L597" s="110" t="s">
        <v>62</v>
      </c>
      <c r="M597" s="112" t="str">
        <f t="shared" ca="1" si="48"/>
        <v>Vencido</v>
      </c>
      <c r="N597" s="112"/>
      <c r="O597" s="67">
        <f t="shared" ca="1" si="45"/>
        <v>1379</v>
      </c>
      <c r="P597" s="67">
        <f t="shared" ca="1" si="49"/>
        <v>-283</v>
      </c>
      <c r="Q597" t="str">
        <f t="shared" si="47"/>
        <v>SAG-60</v>
      </c>
    </row>
    <row r="598" spans="2:17" ht="15" customHeight="1" x14ac:dyDescent="0.35">
      <c r="B598" s="29">
        <v>3</v>
      </c>
      <c r="C598" s="29" t="s">
        <v>15</v>
      </c>
      <c r="D598" s="30">
        <v>61</v>
      </c>
      <c r="E598" s="66" t="s">
        <v>1582</v>
      </c>
      <c r="F598" s="66" t="s">
        <v>1583</v>
      </c>
      <c r="G598" s="187" t="s">
        <v>13284</v>
      </c>
      <c r="H598" s="29" t="s">
        <v>61</v>
      </c>
      <c r="I598" s="29" t="s">
        <v>61</v>
      </c>
      <c r="J598" s="98">
        <v>44926</v>
      </c>
      <c r="K598" s="98">
        <f t="shared" si="46"/>
        <v>46022</v>
      </c>
      <c r="L598" s="110" t="s">
        <v>62</v>
      </c>
      <c r="M598" s="112" t="str">
        <f t="shared" ca="1" si="48"/>
        <v>Vencido</v>
      </c>
      <c r="N598" s="112"/>
      <c r="O598" s="67">
        <f t="shared" ca="1" si="45"/>
        <v>1272</v>
      </c>
      <c r="P598" s="67">
        <f t="shared" ca="1" si="49"/>
        <v>-176</v>
      </c>
      <c r="Q598" t="str">
        <f t="shared" si="47"/>
        <v>SAG-61</v>
      </c>
    </row>
    <row r="599" spans="2:17" ht="15" customHeight="1" x14ac:dyDescent="0.35">
      <c r="B599" s="29">
        <v>3</v>
      </c>
      <c r="C599" s="29" t="s">
        <v>15</v>
      </c>
      <c r="D599" s="30">
        <v>67</v>
      </c>
      <c r="E599" s="66" t="s">
        <v>1584</v>
      </c>
      <c r="F599" s="66" t="s">
        <v>1585</v>
      </c>
      <c r="G599" s="187" t="s">
        <v>13284</v>
      </c>
      <c r="H599" s="29" t="s">
        <v>61</v>
      </c>
      <c r="I599" s="29" t="s">
        <v>61</v>
      </c>
      <c r="J599" s="98">
        <v>45202</v>
      </c>
      <c r="K599" s="98">
        <f t="shared" si="46"/>
        <v>46298</v>
      </c>
      <c r="L599" s="110" t="s">
        <v>62</v>
      </c>
      <c r="M599" s="112" t="str">
        <f t="shared" ca="1" si="48"/>
        <v>Alerta</v>
      </c>
      <c r="N599" s="112"/>
      <c r="O599" s="67">
        <f t="shared" ca="1" si="45"/>
        <v>996</v>
      </c>
      <c r="P599" s="67">
        <f t="shared" ca="1" si="49"/>
        <v>100</v>
      </c>
      <c r="Q599" t="str">
        <f t="shared" si="47"/>
        <v>SAG-67</v>
      </c>
    </row>
    <row r="600" spans="2:17" ht="15" customHeight="1" x14ac:dyDescent="0.35">
      <c r="B600" s="29">
        <v>3</v>
      </c>
      <c r="C600" s="29" t="s">
        <v>15</v>
      </c>
      <c r="D600" s="30">
        <v>68</v>
      </c>
      <c r="E600" s="66" t="s">
        <v>1586</v>
      </c>
      <c r="F600" s="66" t="s">
        <v>1587</v>
      </c>
      <c r="G600" s="187" t="s">
        <v>13284</v>
      </c>
      <c r="H600" s="29" t="s">
        <v>61</v>
      </c>
      <c r="I600" s="29" t="s">
        <v>61</v>
      </c>
      <c r="J600" s="98">
        <v>45202</v>
      </c>
      <c r="K600" s="98">
        <f t="shared" si="46"/>
        <v>46298</v>
      </c>
      <c r="L600" s="110" t="s">
        <v>62</v>
      </c>
      <c r="M600" s="112" t="str">
        <f t="shared" ca="1" si="48"/>
        <v>Alerta</v>
      </c>
      <c r="N600" s="112"/>
      <c r="O600" s="67">
        <f t="shared" ca="1" si="45"/>
        <v>996</v>
      </c>
      <c r="P600" s="67">
        <f t="shared" ca="1" si="49"/>
        <v>100</v>
      </c>
      <c r="Q600" t="str">
        <f t="shared" si="47"/>
        <v>SAG-68</v>
      </c>
    </row>
    <row r="601" spans="2:17" ht="15" customHeight="1" x14ac:dyDescent="0.35">
      <c r="B601" s="29">
        <v>3</v>
      </c>
      <c r="C601" s="29" t="s">
        <v>15</v>
      </c>
      <c r="D601" s="30">
        <v>71</v>
      </c>
      <c r="E601" s="66" t="s">
        <v>1588</v>
      </c>
      <c r="F601" s="66" t="s">
        <v>1589</v>
      </c>
      <c r="G601" s="26" t="s">
        <v>13282</v>
      </c>
      <c r="H601" s="29" t="s">
        <v>61</v>
      </c>
      <c r="I601" s="29" t="s">
        <v>61</v>
      </c>
      <c r="J601" s="98">
        <v>45202</v>
      </c>
      <c r="K601" s="98">
        <f t="shared" si="46"/>
        <v>46298</v>
      </c>
      <c r="L601" s="110" t="s">
        <v>62</v>
      </c>
      <c r="M601" s="112" t="str">
        <f t="shared" ca="1" si="48"/>
        <v>Alerta</v>
      </c>
      <c r="N601" s="112"/>
      <c r="O601" s="67">
        <f t="shared" ca="1" si="45"/>
        <v>996</v>
      </c>
      <c r="P601" s="67">
        <f t="shared" ca="1" si="49"/>
        <v>100</v>
      </c>
      <c r="Q601" t="str">
        <f t="shared" si="47"/>
        <v>SAG-71</v>
      </c>
    </row>
    <row r="602" spans="2:17" ht="15" customHeight="1" x14ac:dyDescent="0.35">
      <c r="B602" s="29">
        <v>3</v>
      </c>
      <c r="C602" s="29" t="s">
        <v>15</v>
      </c>
      <c r="D602" s="30">
        <v>30</v>
      </c>
      <c r="E602" s="66" t="s">
        <v>1590</v>
      </c>
      <c r="F602" s="66" t="s">
        <v>1591</v>
      </c>
      <c r="G602" s="187" t="s">
        <v>13284</v>
      </c>
      <c r="H602" s="29" t="s">
        <v>61</v>
      </c>
      <c r="I602" s="29" t="s">
        <v>61</v>
      </c>
      <c r="J602" s="98">
        <v>44838</v>
      </c>
      <c r="K602" s="98">
        <f t="shared" si="46"/>
        <v>45934</v>
      </c>
      <c r="L602" s="110" t="s">
        <v>62</v>
      </c>
      <c r="M602" s="112" t="str">
        <f t="shared" ca="1" si="48"/>
        <v>Vencido</v>
      </c>
      <c r="N602" s="112"/>
      <c r="O602" s="67">
        <f t="shared" ca="1" si="45"/>
        <v>1360</v>
      </c>
      <c r="P602" s="67">
        <f t="shared" ca="1" si="49"/>
        <v>-264</v>
      </c>
      <c r="Q602" t="str">
        <f t="shared" si="47"/>
        <v>SAG-30</v>
      </c>
    </row>
    <row r="603" spans="2:17" ht="15" customHeight="1" x14ac:dyDescent="0.35">
      <c r="B603" s="29">
        <v>3</v>
      </c>
      <c r="C603" s="29" t="s">
        <v>15</v>
      </c>
      <c r="D603" s="30">
        <v>31</v>
      </c>
      <c r="E603" s="66" t="s">
        <v>1592</v>
      </c>
      <c r="F603" s="66" t="s">
        <v>1593</v>
      </c>
      <c r="G603" s="187" t="s">
        <v>13284</v>
      </c>
      <c r="H603" s="29" t="s">
        <v>61</v>
      </c>
      <c r="I603" s="29" t="s">
        <v>61</v>
      </c>
      <c r="J603" s="98">
        <v>44838</v>
      </c>
      <c r="K603" s="98">
        <f t="shared" si="46"/>
        <v>45934</v>
      </c>
      <c r="L603" s="110" t="s">
        <v>62</v>
      </c>
      <c r="M603" s="112" t="str">
        <f t="shared" ca="1" si="48"/>
        <v>Vencido</v>
      </c>
      <c r="N603" s="112"/>
      <c r="O603" s="67">
        <f t="shared" ca="1" si="45"/>
        <v>1360</v>
      </c>
      <c r="P603" s="67">
        <f t="shared" ca="1" si="49"/>
        <v>-264</v>
      </c>
      <c r="Q603" t="str">
        <f t="shared" si="47"/>
        <v>SAG-31</v>
      </c>
    </row>
    <row r="604" spans="2:17" ht="15.65" customHeight="1" x14ac:dyDescent="0.35">
      <c r="B604" s="29">
        <v>3</v>
      </c>
      <c r="C604" s="29" t="s">
        <v>15</v>
      </c>
      <c r="D604" s="30">
        <v>34</v>
      </c>
      <c r="E604" s="66" t="s">
        <v>1594</v>
      </c>
      <c r="F604" s="66" t="s">
        <v>1595</v>
      </c>
      <c r="G604" s="187" t="s">
        <v>13284</v>
      </c>
      <c r="H604" s="29" t="s">
        <v>61</v>
      </c>
      <c r="I604" s="29" t="s">
        <v>61</v>
      </c>
      <c r="J604" s="98">
        <v>45202</v>
      </c>
      <c r="K604" s="98">
        <f t="shared" si="46"/>
        <v>46298</v>
      </c>
      <c r="L604" s="110" t="s">
        <v>62</v>
      </c>
      <c r="M604" s="112" t="str">
        <f t="shared" ca="1" si="48"/>
        <v>Alerta</v>
      </c>
      <c r="N604" s="112"/>
      <c r="O604" s="67">
        <f t="shared" ca="1" si="45"/>
        <v>996</v>
      </c>
      <c r="P604" s="67">
        <f t="shared" ca="1" si="49"/>
        <v>100</v>
      </c>
      <c r="Q604" t="str">
        <f t="shared" si="47"/>
        <v>SAG-34</v>
      </c>
    </row>
    <row r="605" spans="2:17" ht="15" customHeight="1" x14ac:dyDescent="0.35">
      <c r="B605" s="29">
        <v>3</v>
      </c>
      <c r="C605" s="29" t="s">
        <v>15</v>
      </c>
      <c r="D605" s="30">
        <v>63</v>
      </c>
      <c r="E605" s="66" t="s">
        <v>1596</v>
      </c>
      <c r="F605" s="66" t="s">
        <v>1597</v>
      </c>
      <c r="G605" s="187" t="s">
        <v>13284</v>
      </c>
      <c r="H605" s="29" t="s">
        <v>61</v>
      </c>
      <c r="I605" s="29" t="s">
        <v>61</v>
      </c>
      <c r="J605" s="98">
        <v>44838</v>
      </c>
      <c r="K605" s="98">
        <f t="shared" si="46"/>
        <v>45934</v>
      </c>
      <c r="L605" s="110" t="s">
        <v>62</v>
      </c>
      <c r="M605" s="112" t="str">
        <f t="shared" ca="1" si="48"/>
        <v>Vencido</v>
      </c>
      <c r="N605" s="112"/>
      <c r="O605" s="67">
        <f t="shared" ca="1" si="45"/>
        <v>1360</v>
      </c>
      <c r="P605" s="67">
        <f t="shared" ca="1" si="49"/>
        <v>-264</v>
      </c>
      <c r="Q605" t="str">
        <f t="shared" si="47"/>
        <v>SAG-63</v>
      </c>
    </row>
    <row r="606" spans="2:17" ht="15" customHeight="1" x14ac:dyDescent="0.35">
      <c r="B606" s="29">
        <v>13</v>
      </c>
      <c r="C606" s="29" t="s">
        <v>25</v>
      </c>
      <c r="D606" s="30">
        <v>0</v>
      </c>
      <c r="E606" s="66" t="s">
        <v>1598</v>
      </c>
      <c r="F606" s="65" t="s">
        <v>1599</v>
      </c>
      <c r="G606" s="26" t="s">
        <v>13301</v>
      </c>
      <c r="H606" s="29" t="s">
        <v>61</v>
      </c>
      <c r="I606" s="29"/>
      <c r="J606" s="98">
        <v>45202</v>
      </c>
      <c r="K606" s="98">
        <f t="shared" si="46"/>
        <v>46298</v>
      </c>
      <c r="L606" s="110" t="s">
        <v>62</v>
      </c>
      <c r="M606" s="112" t="str">
        <f t="shared" ca="1" si="48"/>
        <v>Alerta</v>
      </c>
      <c r="N606" s="112"/>
      <c r="O606" s="67">
        <f t="shared" ca="1" si="45"/>
        <v>996</v>
      </c>
      <c r="P606" s="67">
        <f t="shared" ca="1" si="49"/>
        <v>100</v>
      </c>
      <c r="Q606" t="str">
        <f t="shared" si="47"/>
        <v>STO-00</v>
      </c>
    </row>
    <row r="607" spans="2:17" ht="15" customHeight="1" x14ac:dyDescent="0.35">
      <c r="B607" s="29">
        <v>13</v>
      </c>
      <c r="C607" s="29" t="s">
        <v>25</v>
      </c>
      <c r="D607" s="30">
        <v>1</v>
      </c>
      <c r="E607" s="66" t="s">
        <v>1600</v>
      </c>
      <c r="F607" s="66" t="s">
        <v>1601</v>
      </c>
      <c r="G607" s="187" t="s">
        <v>13284</v>
      </c>
      <c r="H607" s="29" t="s">
        <v>61</v>
      </c>
      <c r="I607" s="29" t="s">
        <v>61</v>
      </c>
      <c r="J607" s="98">
        <v>44739</v>
      </c>
      <c r="K607" s="98">
        <f t="shared" si="46"/>
        <v>45835</v>
      </c>
      <c r="L607" s="110" t="s">
        <v>62</v>
      </c>
      <c r="M607" s="112" t="str">
        <f t="shared" ca="1" si="48"/>
        <v>Vencido</v>
      </c>
      <c r="N607" s="112"/>
      <c r="O607" s="67">
        <f t="shared" ca="1" si="45"/>
        <v>1459</v>
      </c>
      <c r="P607" s="67">
        <f t="shared" ca="1" si="49"/>
        <v>-363</v>
      </c>
      <c r="Q607" t="str">
        <f t="shared" si="47"/>
        <v>STO-01</v>
      </c>
    </row>
    <row r="608" spans="2:17" ht="15" customHeight="1" x14ac:dyDescent="0.35">
      <c r="B608" s="29">
        <v>13</v>
      </c>
      <c r="C608" s="29" t="s">
        <v>25</v>
      </c>
      <c r="D608" s="30">
        <v>2</v>
      </c>
      <c r="E608" s="66" t="s">
        <v>1602</v>
      </c>
      <c r="F608" s="66" t="s">
        <v>1603</v>
      </c>
      <c r="G608" s="26" t="s">
        <v>13284</v>
      </c>
      <c r="H608" s="29" t="s">
        <v>61</v>
      </c>
      <c r="I608" s="29" t="s">
        <v>61</v>
      </c>
      <c r="J608" s="98">
        <v>44739</v>
      </c>
      <c r="K608" s="98">
        <f t="shared" si="46"/>
        <v>45835</v>
      </c>
      <c r="L608" s="110" t="s">
        <v>62</v>
      </c>
      <c r="M608" s="112" t="str">
        <f t="shared" ca="1" si="48"/>
        <v>Vencido</v>
      </c>
      <c r="N608" s="112"/>
      <c r="O608" s="67">
        <f t="shared" ca="1" si="45"/>
        <v>1459</v>
      </c>
      <c r="P608" s="67">
        <f t="shared" ca="1" si="49"/>
        <v>-363</v>
      </c>
      <c r="Q608" t="str">
        <f t="shared" si="47"/>
        <v>STO-02</v>
      </c>
    </row>
    <row r="609" spans="2:17" ht="15" customHeight="1" x14ac:dyDescent="0.35">
      <c r="B609" s="29">
        <v>13</v>
      </c>
      <c r="C609" s="29" t="s">
        <v>25</v>
      </c>
      <c r="D609" s="30">
        <v>3</v>
      </c>
      <c r="E609" s="66" t="s">
        <v>1604</v>
      </c>
      <c r="F609" s="66" t="s">
        <v>1605</v>
      </c>
      <c r="G609" s="26" t="s">
        <v>13283</v>
      </c>
      <c r="H609" s="29" t="s">
        <v>61</v>
      </c>
      <c r="I609" s="29" t="s">
        <v>61</v>
      </c>
      <c r="J609" s="98">
        <v>45506</v>
      </c>
      <c r="K609" s="98">
        <f t="shared" si="46"/>
        <v>46602</v>
      </c>
      <c r="L609" s="110" t="s">
        <v>62</v>
      </c>
      <c r="M609" s="112" t="str">
        <f t="shared" ca="1" si="48"/>
        <v>Em dia</v>
      </c>
      <c r="N609" s="112"/>
      <c r="O609" s="67">
        <f t="shared" ca="1" si="45"/>
        <v>692</v>
      </c>
      <c r="P609" s="67">
        <f t="shared" ca="1" si="49"/>
        <v>404</v>
      </c>
      <c r="Q609" t="str">
        <f t="shared" si="47"/>
        <v>STO-03</v>
      </c>
    </row>
    <row r="610" spans="2:17" ht="15" customHeight="1" x14ac:dyDescent="0.35">
      <c r="B610" s="29">
        <v>13</v>
      </c>
      <c r="C610" s="29" t="s">
        <v>25</v>
      </c>
      <c r="D610" s="30">
        <v>4</v>
      </c>
      <c r="E610" s="66" t="s">
        <v>1606</v>
      </c>
      <c r="F610" s="66" t="s">
        <v>1607</v>
      </c>
      <c r="G610" s="186" t="s">
        <v>13283</v>
      </c>
      <c r="H610" s="29" t="s">
        <v>61</v>
      </c>
      <c r="I610" s="29" t="s">
        <v>61</v>
      </c>
      <c r="J610" s="98">
        <v>46107</v>
      </c>
      <c r="K610" s="98">
        <f t="shared" si="46"/>
        <v>47203</v>
      </c>
      <c r="L610" s="110" t="s">
        <v>62</v>
      </c>
      <c r="M610" s="112" t="str">
        <f t="shared" ca="1" si="48"/>
        <v>Em dia</v>
      </c>
      <c r="N610" s="112"/>
      <c r="O610" s="67">
        <f t="shared" ca="1" si="45"/>
        <v>91</v>
      </c>
      <c r="P610" s="67">
        <f t="shared" ca="1" si="49"/>
        <v>1005</v>
      </c>
      <c r="Q610" t="str">
        <f t="shared" si="47"/>
        <v>STO-04</v>
      </c>
    </row>
    <row r="611" spans="2:17" ht="15" customHeight="1" x14ac:dyDescent="0.35">
      <c r="B611" s="29">
        <v>13</v>
      </c>
      <c r="C611" s="29" t="s">
        <v>25</v>
      </c>
      <c r="D611" s="30">
        <v>5</v>
      </c>
      <c r="E611" s="66" t="s">
        <v>1608</v>
      </c>
      <c r="F611" s="66" t="s">
        <v>1609</v>
      </c>
      <c r="G611" s="186" t="s">
        <v>13283</v>
      </c>
      <c r="H611" s="29" t="s">
        <v>61</v>
      </c>
      <c r="I611" s="29" t="s">
        <v>61</v>
      </c>
      <c r="J611" s="98">
        <v>46107</v>
      </c>
      <c r="K611" s="98">
        <f t="shared" si="46"/>
        <v>47203</v>
      </c>
      <c r="L611" s="110" t="s">
        <v>62</v>
      </c>
      <c r="M611" s="112" t="str">
        <f t="shared" ca="1" si="48"/>
        <v>Em dia</v>
      </c>
      <c r="N611" s="112"/>
      <c r="O611" s="67">
        <f t="shared" ca="1" si="45"/>
        <v>91</v>
      </c>
      <c r="P611" s="67">
        <f t="shared" ca="1" si="49"/>
        <v>1005</v>
      </c>
      <c r="Q611" t="str">
        <f t="shared" si="47"/>
        <v>STO-05</v>
      </c>
    </row>
    <row r="612" spans="2:17" ht="15" customHeight="1" x14ac:dyDescent="0.35">
      <c r="B612" s="29">
        <v>13</v>
      </c>
      <c r="C612" s="29" t="s">
        <v>25</v>
      </c>
      <c r="D612" s="30">
        <v>6</v>
      </c>
      <c r="E612" s="66" t="s">
        <v>1610</v>
      </c>
      <c r="F612" s="66" t="s">
        <v>1611</v>
      </c>
      <c r="G612" s="186" t="s">
        <v>13283</v>
      </c>
      <c r="H612" s="29" t="s">
        <v>61</v>
      </c>
      <c r="I612" s="29" t="s">
        <v>61</v>
      </c>
      <c r="J612" s="98">
        <v>46107</v>
      </c>
      <c r="K612" s="98">
        <f t="shared" si="46"/>
        <v>47203</v>
      </c>
      <c r="L612" s="110" t="s">
        <v>62</v>
      </c>
      <c r="M612" s="112" t="str">
        <f t="shared" ca="1" si="48"/>
        <v>Em dia</v>
      </c>
      <c r="N612" s="112"/>
      <c r="O612" s="67">
        <f t="shared" ca="1" si="45"/>
        <v>91</v>
      </c>
      <c r="P612" s="67">
        <f t="shared" ca="1" si="49"/>
        <v>1005</v>
      </c>
      <c r="Q612" t="str">
        <f t="shared" si="47"/>
        <v>STO-06</v>
      </c>
    </row>
    <row r="613" spans="2:17" ht="15" customHeight="1" x14ac:dyDescent="0.35">
      <c r="B613" s="29">
        <v>13</v>
      </c>
      <c r="C613" s="29" t="s">
        <v>25</v>
      </c>
      <c r="D613" s="30">
        <v>7</v>
      </c>
      <c r="E613" s="66" t="s">
        <v>1612</v>
      </c>
      <c r="F613" s="66" t="s">
        <v>1613</v>
      </c>
      <c r="G613" s="186" t="s">
        <v>13283</v>
      </c>
      <c r="H613" s="29" t="s">
        <v>61</v>
      </c>
      <c r="I613" s="29" t="s">
        <v>61</v>
      </c>
      <c r="J613" s="98">
        <v>45959</v>
      </c>
      <c r="K613" s="98">
        <f t="shared" si="46"/>
        <v>47055</v>
      </c>
      <c r="L613" s="110" t="s">
        <v>62</v>
      </c>
      <c r="M613" s="112" t="str">
        <f t="shared" ca="1" si="48"/>
        <v>Em dia</v>
      </c>
      <c r="N613" s="112"/>
      <c r="O613" s="67">
        <f t="shared" ca="1" si="45"/>
        <v>239</v>
      </c>
      <c r="P613" s="67">
        <f t="shared" ca="1" si="49"/>
        <v>857</v>
      </c>
      <c r="Q613" t="str">
        <f t="shared" si="47"/>
        <v>STO-07</v>
      </c>
    </row>
    <row r="614" spans="2:17" ht="15" customHeight="1" x14ac:dyDescent="0.35">
      <c r="B614" s="29">
        <v>13</v>
      </c>
      <c r="C614" s="29" t="s">
        <v>25</v>
      </c>
      <c r="D614" s="30">
        <v>8</v>
      </c>
      <c r="E614" s="66" t="s">
        <v>1614</v>
      </c>
      <c r="F614" s="66" t="s">
        <v>1615</v>
      </c>
      <c r="G614" s="186" t="s">
        <v>13283</v>
      </c>
      <c r="H614" s="29" t="s">
        <v>61</v>
      </c>
      <c r="I614" s="29" t="s">
        <v>61</v>
      </c>
      <c r="J614" s="98">
        <v>45645</v>
      </c>
      <c r="K614" s="98">
        <f t="shared" si="46"/>
        <v>46741</v>
      </c>
      <c r="L614" s="110" t="s">
        <v>62</v>
      </c>
      <c r="M614" s="112" t="str">
        <f t="shared" ca="1" si="48"/>
        <v>Em dia</v>
      </c>
      <c r="N614" s="112"/>
      <c r="O614" s="67">
        <f t="shared" ca="1" si="45"/>
        <v>553</v>
      </c>
      <c r="P614" s="67">
        <f t="shared" ca="1" si="49"/>
        <v>543</v>
      </c>
      <c r="Q614" t="str">
        <f t="shared" si="47"/>
        <v>STO-08</v>
      </c>
    </row>
    <row r="615" spans="2:17" ht="15" customHeight="1" x14ac:dyDescent="0.35">
      <c r="B615" s="29">
        <v>13</v>
      </c>
      <c r="C615" s="29" t="s">
        <v>25</v>
      </c>
      <c r="D615" s="30">
        <v>9</v>
      </c>
      <c r="E615" s="66" t="s">
        <v>1616</v>
      </c>
      <c r="F615" s="66" t="s">
        <v>1617</v>
      </c>
      <c r="G615" s="186" t="s">
        <v>13283</v>
      </c>
      <c r="H615" s="29" t="s">
        <v>61</v>
      </c>
      <c r="I615" s="29" t="s">
        <v>61</v>
      </c>
      <c r="J615" s="98">
        <v>45959</v>
      </c>
      <c r="K615" s="98">
        <f t="shared" si="46"/>
        <v>47055</v>
      </c>
      <c r="L615" s="110" t="s">
        <v>62</v>
      </c>
      <c r="M615" s="112" t="str">
        <f t="shared" ca="1" si="48"/>
        <v>Em dia</v>
      </c>
      <c r="N615" s="112"/>
      <c r="O615" s="67">
        <f t="shared" ca="1" si="45"/>
        <v>239</v>
      </c>
      <c r="P615" s="67">
        <f t="shared" ca="1" si="49"/>
        <v>857</v>
      </c>
      <c r="Q615" t="str">
        <f t="shared" si="47"/>
        <v>STO-09</v>
      </c>
    </row>
    <row r="616" spans="2:17" ht="15" customHeight="1" x14ac:dyDescent="0.35">
      <c r="B616" s="29">
        <v>13</v>
      </c>
      <c r="C616" s="29" t="s">
        <v>25</v>
      </c>
      <c r="D616" s="30">
        <v>10</v>
      </c>
      <c r="E616" s="66" t="s">
        <v>1618</v>
      </c>
      <c r="F616" s="66" t="s">
        <v>1619</v>
      </c>
      <c r="G616" s="186" t="s">
        <v>13283</v>
      </c>
      <c r="H616" s="29" t="s">
        <v>61</v>
      </c>
      <c r="I616" s="29" t="s">
        <v>61</v>
      </c>
      <c r="J616" s="101">
        <v>45959</v>
      </c>
      <c r="K616" s="98">
        <f t="shared" si="46"/>
        <v>47055</v>
      </c>
      <c r="L616" s="110" t="s">
        <v>62</v>
      </c>
      <c r="M616" s="112" t="str">
        <f t="shared" ca="1" si="48"/>
        <v>Em dia</v>
      </c>
      <c r="N616" s="112"/>
      <c r="O616" s="67">
        <f t="shared" ca="1" si="45"/>
        <v>239</v>
      </c>
      <c r="P616" s="67">
        <f t="shared" ca="1" si="49"/>
        <v>857</v>
      </c>
      <c r="Q616" t="str">
        <f t="shared" si="47"/>
        <v>STO-10</v>
      </c>
    </row>
    <row r="617" spans="2:17" ht="15" customHeight="1" x14ac:dyDescent="0.35">
      <c r="B617" s="29">
        <v>13</v>
      </c>
      <c r="C617" s="29" t="s">
        <v>25</v>
      </c>
      <c r="D617" s="30">
        <v>11</v>
      </c>
      <c r="E617" s="66" t="s">
        <v>1620</v>
      </c>
      <c r="F617" s="66" t="s">
        <v>1621</v>
      </c>
      <c r="G617" s="186" t="s">
        <v>13283</v>
      </c>
      <c r="H617" s="29" t="s">
        <v>61</v>
      </c>
      <c r="I617" s="29" t="s">
        <v>61</v>
      </c>
      <c r="J617" s="98">
        <v>46107</v>
      </c>
      <c r="K617" s="98">
        <f t="shared" si="46"/>
        <v>47203</v>
      </c>
      <c r="L617" s="110" t="s">
        <v>62</v>
      </c>
      <c r="M617" s="112" t="str">
        <f t="shared" ca="1" si="48"/>
        <v>Em dia</v>
      </c>
      <c r="N617" s="112"/>
      <c r="O617" s="67">
        <f t="shared" ca="1" si="45"/>
        <v>91</v>
      </c>
      <c r="P617" s="67">
        <f t="shared" ca="1" si="49"/>
        <v>1005</v>
      </c>
      <c r="Q617" t="str">
        <f t="shared" si="47"/>
        <v>STO-11</v>
      </c>
    </row>
    <row r="618" spans="2:17" ht="15" customHeight="1" x14ac:dyDescent="0.35">
      <c r="B618" s="29">
        <v>13</v>
      </c>
      <c r="C618" s="29" t="s">
        <v>25</v>
      </c>
      <c r="D618" s="30">
        <v>12</v>
      </c>
      <c r="E618" s="66" t="s">
        <v>1622</v>
      </c>
      <c r="F618" s="66" t="s">
        <v>1623</v>
      </c>
      <c r="G618" s="186" t="s">
        <v>13283</v>
      </c>
      <c r="H618" s="29" t="s">
        <v>61</v>
      </c>
      <c r="I618" s="29" t="s">
        <v>61</v>
      </c>
      <c r="J618" s="98">
        <v>46107</v>
      </c>
      <c r="K618" s="98">
        <f t="shared" si="46"/>
        <v>47203</v>
      </c>
      <c r="L618" s="110" t="s">
        <v>62</v>
      </c>
      <c r="M618" s="112" t="str">
        <f t="shared" ca="1" si="48"/>
        <v>Em dia</v>
      </c>
      <c r="N618" s="112"/>
      <c r="O618" s="67">
        <f t="shared" ca="1" si="45"/>
        <v>91</v>
      </c>
      <c r="P618" s="67">
        <f t="shared" ca="1" si="49"/>
        <v>1005</v>
      </c>
      <c r="Q618" t="str">
        <f t="shared" si="47"/>
        <v>STO-12</v>
      </c>
    </row>
    <row r="619" spans="2:17" ht="15" customHeight="1" x14ac:dyDescent="0.35">
      <c r="B619" s="29">
        <v>13</v>
      </c>
      <c r="C619" s="29" t="s">
        <v>25</v>
      </c>
      <c r="D619" s="30">
        <v>13</v>
      </c>
      <c r="E619" s="66" t="s">
        <v>1624</v>
      </c>
      <c r="F619" s="66" t="s">
        <v>1625</v>
      </c>
      <c r="G619" s="186" t="s">
        <v>13283</v>
      </c>
      <c r="H619" s="29" t="s">
        <v>61</v>
      </c>
      <c r="I619" s="29" t="s">
        <v>61</v>
      </c>
      <c r="J619" s="98">
        <v>46107</v>
      </c>
      <c r="K619" s="98">
        <f t="shared" si="46"/>
        <v>47203</v>
      </c>
      <c r="L619" s="110" t="s">
        <v>62</v>
      </c>
      <c r="M619" s="112" t="str">
        <f t="shared" ca="1" si="48"/>
        <v>Em dia</v>
      </c>
      <c r="N619" s="112"/>
      <c r="O619" s="67">
        <f t="shared" ca="1" si="45"/>
        <v>91</v>
      </c>
      <c r="P619" s="67">
        <f t="shared" ca="1" si="49"/>
        <v>1005</v>
      </c>
      <c r="Q619" t="str">
        <f t="shared" si="47"/>
        <v>STO-13</v>
      </c>
    </row>
    <row r="620" spans="2:17" ht="15" customHeight="1" x14ac:dyDescent="0.35">
      <c r="B620" s="29">
        <v>13</v>
      </c>
      <c r="C620" s="29" t="s">
        <v>25</v>
      </c>
      <c r="D620" s="30">
        <v>14</v>
      </c>
      <c r="E620" s="66" t="s">
        <v>1626</v>
      </c>
      <c r="F620" s="66" t="s">
        <v>1627</v>
      </c>
      <c r="G620" s="186" t="s">
        <v>13283</v>
      </c>
      <c r="H620" s="29" t="s">
        <v>61</v>
      </c>
      <c r="I620" s="29" t="s">
        <v>61</v>
      </c>
      <c r="J620" s="98">
        <v>45202</v>
      </c>
      <c r="K620" s="98">
        <f t="shared" si="46"/>
        <v>46298</v>
      </c>
      <c r="L620" s="110" t="s">
        <v>62</v>
      </c>
      <c r="M620" s="112" t="str">
        <f t="shared" ca="1" si="48"/>
        <v>Alerta</v>
      </c>
      <c r="N620" s="112"/>
      <c r="O620" s="67">
        <f t="shared" ca="1" si="45"/>
        <v>996</v>
      </c>
      <c r="P620" s="67">
        <f t="shared" ca="1" si="49"/>
        <v>100</v>
      </c>
      <c r="Q620" t="str">
        <f t="shared" si="47"/>
        <v>STO-14</v>
      </c>
    </row>
    <row r="621" spans="2:17" ht="15" customHeight="1" x14ac:dyDescent="0.35">
      <c r="B621" s="29">
        <v>13</v>
      </c>
      <c r="C621" s="29" t="s">
        <v>25</v>
      </c>
      <c r="D621" s="30">
        <v>15</v>
      </c>
      <c r="E621" s="66" t="s">
        <v>1628</v>
      </c>
      <c r="F621" s="66" t="s">
        <v>1629</v>
      </c>
      <c r="G621" s="66" t="s">
        <v>13283</v>
      </c>
      <c r="H621" s="29" t="s">
        <v>61</v>
      </c>
      <c r="I621" s="29" t="s">
        <v>61</v>
      </c>
      <c r="J621" s="98">
        <v>46107</v>
      </c>
      <c r="K621" s="98">
        <f t="shared" si="46"/>
        <v>47203</v>
      </c>
      <c r="L621" s="110" t="s">
        <v>62</v>
      </c>
      <c r="M621" s="112" t="str">
        <f t="shared" ca="1" si="48"/>
        <v>Em dia</v>
      </c>
      <c r="N621" s="112"/>
      <c r="O621" s="67">
        <f t="shared" ca="1" si="45"/>
        <v>91</v>
      </c>
      <c r="P621" s="67">
        <f t="shared" ca="1" si="49"/>
        <v>1005</v>
      </c>
      <c r="Q621" t="str">
        <f t="shared" si="47"/>
        <v>STO-15</v>
      </c>
    </row>
    <row r="622" spans="2:17" ht="15" customHeight="1" x14ac:dyDescent="0.35">
      <c r="B622" s="29">
        <v>13</v>
      </c>
      <c r="C622" s="29" t="s">
        <v>25</v>
      </c>
      <c r="D622" s="30">
        <v>17</v>
      </c>
      <c r="E622" s="66" t="s">
        <v>1630</v>
      </c>
      <c r="F622" s="66" t="s">
        <v>1631</v>
      </c>
      <c r="G622" s="66" t="s">
        <v>13283</v>
      </c>
      <c r="H622" s="29" t="s">
        <v>61</v>
      </c>
      <c r="I622" s="29" t="s">
        <v>61</v>
      </c>
      <c r="J622" s="98">
        <v>45202</v>
      </c>
      <c r="K622" s="98">
        <f t="shared" si="46"/>
        <v>46298</v>
      </c>
      <c r="L622" s="110" t="s">
        <v>62</v>
      </c>
      <c r="M622" s="112" t="str">
        <f t="shared" ca="1" si="48"/>
        <v>Alerta</v>
      </c>
      <c r="N622" s="112"/>
      <c r="O622" s="67">
        <f t="shared" ca="1" si="45"/>
        <v>996</v>
      </c>
      <c r="P622" s="67">
        <f t="shared" ca="1" si="49"/>
        <v>100</v>
      </c>
      <c r="Q622" t="str">
        <f t="shared" si="47"/>
        <v>STO-17</v>
      </c>
    </row>
    <row r="623" spans="2:17" ht="15" customHeight="1" x14ac:dyDescent="0.35">
      <c r="B623" s="29">
        <v>13</v>
      </c>
      <c r="C623" s="29" t="s">
        <v>25</v>
      </c>
      <c r="D623" s="30">
        <v>18</v>
      </c>
      <c r="E623" s="66" t="s">
        <v>1632</v>
      </c>
      <c r="F623" s="66" t="s">
        <v>1633</v>
      </c>
      <c r="G623" s="187" t="s">
        <v>13283</v>
      </c>
      <c r="H623" s="29" t="s">
        <v>61</v>
      </c>
      <c r="I623" s="29" t="s">
        <v>61</v>
      </c>
      <c r="J623" s="98">
        <v>45645</v>
      </c>
      <c r="K623" s="98">
        <f t="shared" si="46"/>
        <v>46741</v>
      </c>
      <c r="L623" s="110" t="s">
        <v>62</v>
      </c>
      <c r="M623" s="112" t="str">
        <f t="shared" ca="1" si="48"/>
        <v>Em dia</v>
      </c>
      <c r="N623" s="112"/>
      <c r="O623" s="67">
        <f t="shared" ca="1" si="45"/>
        <v>553</v>
      </c>
      <c r="P623" s="67">
        <f t="shared" ca="1" si="49"/>
        <v>543</v>
      </c>
      <c r="Q623" t="str">
        <f t="shared" si="47"/>
        <v>STO-18</v>
      </c>
    </row>
    <row r="624" spans="2:17" ht="15" customHeight="1" x14ac:dyDescent="0.35">
      <c r="B624" s="29">
        <v>13</v>
      </c>
      <c r="C624" s="29" t="s">
        <v>25</v>
      </c>
      <c r="D624" s="30">
        <v>19</v>
      </c>
      <c r="E624" s="66" t="s">
        <v>1634</v>
      </c>
      <c r="F624" s="66" t="s">
        <v>1635</v>
      </c>
      <c r="G624" s="187" t="s">
        <v>13283</v>
      </c>
      <c r="H624" s="29" t="s">
        <v>61</v>
      </c>
      <c r="I624" s="29" t="s">
        <v>61</v>
      </c>
      <c r="J624" s="98">
        <v>45959</v>
      </c>
      <c r="K624" s="98">
        <f t="shared" si="46"/>
        <v>47055</v>
      </c>
      <c r="L624" s="110" t="s">
        <v>62</v>
      </c>
      <c r="M624" s="112" t="str">
        <f t="shared" ca="1" si="48"/>
        <v>Em dia</v>
      </c>
      <c r="N624" s="112"/>
      <c r="O624" s="67">
        <f t="shared" ca="1" si="45"/>
        <v>239</v>
      </c>
      <c r="P624" s="67">
        <f t="shared" ca="1" si="49"/>
        <v>857</v>
      </c>
      <c r="Q624" t="str">
        <f t="shared" si="47"/>
        <v>STO-19</v>
      </c>
    </row>
    <row r="625" spans="2:17" ht="15" customHeight="1" x14ac:dyDescent="0.35">
      <c r="B625" s="29">
        <v>13</v>
      </c>
      <c r="C625" s="29" t="s">
        <v>25</v>
      </c>
      <c r="D625" s="30">
        <v>20</v>
      </c>
      <c r="E625" s="66" t="s">
        <v>1636</v>
      </c>
      <c r="F625" s="66" t="s">
        <v>1637</v>
      </c>
      <c r="G625" s="66" t="s">
        <v>13284</v>
      </c>
      <c r="H625" s="29" t="s">
        <v>61</v>
      </c>
      <c r="I625" s="29" t="s">
        <v>61</v>
      </c>
      <c r="J625" s="98">
        <v>44889</v>
      </c>
      <c r="K625" s="98">
        <f t="shared" si="46"/>
        <v>45985</v>
      </c>
      <c r="L625" s="110" t="s">
        <v>62</v>
      </c>
      <c r="M625" s="112" t="str">
        <f t="shared" ca="1" si="48"/>
        <v>Vencido</v>
      </c>
      <c r="N625" s="112"/>
      <c r="O625" s="67">
        <f t="shared" ca="1" si="45"/>
        <v>1309</v>
      </c>
      <c r="P625" s="67">
        <f t="shared" ca="1" si="49"/>
        <v>-213</v>
      </c>
      <c r="Q625" t="str">
        <f t="shared" si="47"/>
        <v>STO-20</v>
      </c>
    </row>
    <row r="626" spans="2:17" ht="15" customHeight="1" x14ac:dyDescent="0.35">
      <c r="B626" s="29">
        <v>13</v>
      </c>
      <c r="C626" s="29" t="s">
        <v>25</v>
      </c>
      <c r="D626" s="30">
        <v>21</v>
      </c>
      <c r="E626" s="66" t="s">
        <v>1638</v>
      </c>
      <c r="F626" s="66" t="s">
        <v>1639</v>
      </c>
      <c r="G626" s="187" t="s">
        <v>13283</v>
      </c>
      <c r="H626" s="29" t="s">
        <v>61</v>
      </c>
      <c r="I626" s="29" t="s">
        <v>61</v>
      </c>
      <c r="J626" s="98">
        <v>45645</v>
      </c>
      <c r="K626" s="98">
        <f t="shared" si="46"/>
        <v>46741</v>
      </c>
      <c r="L626" s="110" t="s">
        <v>62</v>
      </c>
      <c r="M626" s="112" t="str">
        <f t="shared" ca="1" si="48"/>
        <v>Em dia</v>
      </c>
      <c r="N626" s="112"/>
      <c r="O626" s="67">
        <f t="shared" ca="1" si="45"/>
        <v>553</v>
      </c>
      <c r="P626" s="67">
        <f t="shared" ca="1" si="49"/>
        <v>543</v>
      </c>
      <c r="Q626" t="str">
        <f t="shared" si="47"/>
        <v>STO-21</v>
      </c>
    </row>
    <row r="627" spans="2:17" ht="15" customHeight="1" x14ac:dyDescent="0.35">
      <c r="B627" s="29">
        <v>13</v>
      </c>
      <c r="C627" s="29" t="s">
        <v>25</v>
      </c>
      <c r="D627" s="30">
        <v>22</v>
      </c>
      <c r="E627" s="66" t="s">
        <v>1640</v>
      </c>
      <c r="F627" s="66" t="s">
        <v>1641</v>
      </c>
      <c r="G627" s="66" t="s">
        <v>13284</v>
      </c>
      <c r="H627" s="29" t="s">
        <v>61</v>
      </c>
      <c r="I627" s="29" t="s">
        <v>61</v>
      </c>
      <c r="J627" s="98">
        <v>44739</v>
      </c>
      <c r="K627" s="98">
        <f t="shared" si="46"/>
        <v>45835</v>
      </c>
      <c r="L627" s="110" t="s">
        <v>62</v>
      </c>
      <c r="M627" s="112" t="str">
        <f t="shared" ca="1" si="48"/>
        <v>Vencido</v>
      </c>
      <c r="N627" s="112"/>
      <c r="O627" s="67">
        <f t="shared" ca="1" si="45"/>
        <v>1459</v>
      </c>
      <c r="P627" s="67">
        <f t="shared" ca="1" si="49"/>
        <v>-363</v>
      </c>
      <c r="Q627" t="str">
        <f t="shared" si="47"/>
        <v>STO-22</v>
      </c>
    </row>
    <row r="628" spans="2:17" ht="15" customHeight="1" x14ac:dyDescent="0.35">
      <c r="B628" s="29">
        <v>13</v>
      </c>
      <c r="C628" s="29" t="s">
        <v>25</v>
      </c>
      <c r="D628" s="30">
        <v>23</v>
      </c>
      <c r="E628" s="66" t="s">
        <v>1642</v>
      </c>
      <c r="F628" s="66" t="s">
        <v>1643</v>
      </c>
      <c r="G628" s="187" t="s">
        <v>13284</v>
      </c>
      <c r="H628" s="29" t="s">
        <v>61</v>
      </c>
      <c r="I628" s="29" t="s">
        <v>61</v>
      </c>
      <c r="J628" s="98">
        <v>44739</v>
      </c>
      <c r="K628" s="98">
        <f t="shared" si="46"/>
        <v>45835</v>
      </c>
      <c r="L628" s="110" t="s">
        <v>62</v>
      </c>
      <c r="M628" s="112" t="str">
        <f t="shared" ca="1" si="48"/>
        <v>Vencido</v>
      </c>
      <c r="N628" s="112"/>
      <c r="O628" s="67">
        <f t="shared" ca="1" si="45"/>
        <v>1459</v>
      </c>
      <c r="P628" s="67">
        <f t="shared" ca="1" si="49"/>
        <v>-363</v>
      </c>
      <c r="Q628" t="str">
        <f t="shared" si="47"/>
        <v>STO-23</v>
      </c>
    </row>
    <row r="629" spans="2:17" ht="15" customHeight="1" x14ac:dyDescent="0.35">
      <c r="B629" s="29">
        <v>13</v>
      </c>
      <c r="C629" s="29" t="s">
        <v>25</v>
      </c>
      <c r="D629" s="30">
        <v>24</v>
      </c>
      <c r="E629" s="66" t="s">
        <v>1644</v>
      </c>
      <c r="F629" s="66" t="s">
        <v>1645</v>
      </c>
      <c r="G629" s="187" t="s">
        <v>13284</v>
      </c>
      <c r="H629" s="29" t="s">
        <v>61</v>
      </c>
      <c r="I629" s="29" t="s">
        <v>61</v>
      </c>
      <c r="J629" s="98">
        <v>44739</v>
      </c>
      <c r="K629" s="98">
        <f t="shared" si="46"/>
        <v>45835</v>
      </c>
      <c r="L629" s="110" t="s">
        <v>62</v>
      </c>
      <c r="M629" s="112" t="str">
        <f t="shared" ca="1" si="48"/>
        <v>Vencido</v>
      </c>
      <c r="N629" s="112"/>
      <c r="O629" s="67">
        <f t="shared" ca="1" si="45"/>
        <v>1459</v>
      </c>
      <c r="P629" s="67">
        <f t="shared" ca="1" si="49"/>
        <v>-363</v>
      </c>
      <c r="Q629" t="str">
        <f t="shared" si="47"/>
        <v>STO-24</v>
      </c>
    </row>
    <row r="630" spans="2:17" ht="15" customHeight="1" x14ac:dyDescent="0.35">
      <c r="B630" s="29">
        <v>13</v>
      </c>
      <c r="C630" s="29" t="s">
        <v>25</v>
      </c>
      <c r="D630" s="30">
        <v>25</v>
      </c>
      <c r="E630" s="66" t="s">
        <v>1646</v>
      </c>
      <c r="F630" s="66" t="s">
        <v>1647</v>
      </c>
      <c r="G630" s="187" t="s">
        <v>13283</v>
      </c>
      <c r="H630" s="29" t="s">
        <v>61</v>
      </c>
      <c r="I630" s="29" t="s">
        <v>61</v>
      </c>
      <c r="J630" s="98">
        <v>46009</v>
      </c>
      <c r="K630" s="98">
        <f t="shared" si="46"/>
        <v>47105</v>
      </c>
      <c r="L630" s="110" t="s">
        <v>62</v>
      </c>
      <c r="M630" s="112" t="str">
        <f t="shared" ca="1" si="48"/>
        <v>Em dia</v>
      </c>
      <c r="N630" s="112"/>
      <c r="O630" s="67">
        <f t="shared" ca="1" si="45"/>
        <v>189</v>
      </c>
      <c r="P630" s="67">
        <f t="shared" ca="1" si="49"/>
        <v>907</v>
      </c>
      <c r="Q630" t="str">
        <f t="shared" si="47"/>
        <v>STO-25</v>
      </c>
    </row>
    <row r="631" spans="2:17" ht="15" customHeight="1" x14ac:dyDescent="0.35">
      <c r="B631" s="29">
        <v>13</v>
      </c>
      <c r="C631" s="29" t="s">
        <v>25</v>
      </c>
      <c r="D631" s="30">
        <v>26</v>
      </c>
      <c r="E631" s="66" t="s">
        <v>1648</v>
      </c>
      <c r="F631" s="66" t="s">
        <v>1649</v>
      </c>
      <c r="G631" s="187" t="s">
        <v>13284</v>
      </c>
      <c r="H631" s="29" t="s">
        <v>61</v>
      </c>
      <c r="I631" s="29" t="s">
        <v>61</v>
      </c>
      <c r="J631" s="98">
        <v>44739</v>
      </c>
      <c r="K631" s="98">
        <f t="shared" si="46"/>
        <v>45835</v>
      </c>
      <c r="L631" s="110" t="s">
        <v>62</v>
      </c>
      <c r="M631" s="112" t="str">
        <f t="shared" ca="1" si="48"/>
        <v>Vencido</v>
      </c>
      <c r="N631" s="112"/>
      <c r="O631" s="67">
        <f t="shared" ca="1" si="45"/>
        <v>1459</v>
      </c>
      <c r="P631" s="67">
        <f t="shared" ca="1" si="49"/>
        <v>-363</v>
      </c>
      <c r="Q631" t="str">
        <f t="shared" si="47"/>
        <v>STO-26</v>
      </c>
    </row>
    <row r="632" spans="2:17" ht="15" customHeight="1" x14ac:dyDescent="0.35">
      <c r="B632" s="29">
        <v>13</v>
      </c>
      <c r="C632" s="29" t="s">
        <v>25</v>
      </c>
      <c r="D632" s="30">
        <v>27</v>
      </c>
      <c r="E632" s="66" t="s">
        <v>1650</v>
      </c>
      <c r="F632" s="66" t="s">
        <v>1651</v>
      </c>
      <c r="G632" s="187" t="s">
        <v>13284</v>
      </c>
      <c r="H632" s="29" t="s">
        <v>61</v>
      </c>
      <c r="I632" s="29" t="s">
        <v>61</v>
      </c>
      <c r="J632" s="98">
        <v>44739</v>
      </c>
      <c r="K632" s="98">
        <f t="shared" si="46"/>
        <v>45835</v>
      </c>
      <c r="L632" s="110" t="s">
        <v>62</v>
      </c>
      <c r="M632" s="112" t="str">
        <f t="shared" ca="1" si="48"/>
        <v>Vencido</v>
      </c>
      <c r="N632" s="112"/>
      <c r="O632" s="67">
        <f t="shared" ca="1" si="45"/>
        <v>1459</v>
      </c>
      <c r="P632" s="67">
        <f t="shared" ca="1" si="49"/>
        <v>-363</v>
      </c>
      <c r="Q632" t="str">
        <f t="shared" si="47"/>
        <v>STO-27</v>
      </c>
    </row>
    <row r="633" spans="2:17" ht="15" customHeight="1" x14ac:dyDescent="0.35">
      <c r="B633" s="29">
        <v>13</v>
      </c>
      <c r="C633" s="29" t="s">
        <v>25</v>
      </c>
      <c r="D633" s="30">
        <v>28</v>
      </c>
      <c r="E633" s="66" t="s">
        <v>1652</v>
      </c>
      <c r="F633" s="66" t="s">
        <v>1653</v>
      </c>
      <c r="G633" s="187" t="s">
        <v>13284</v>
      </c>
      <c r="H633" s="29" t="s">
        <v>61</v>
      </c>
      <c r="I633" s="29" t="s">
        <v>61</v>
      </c>
      <c r="J633" s="98">
        <v>45202</v>
      </c>
      <c r="K633" s="98">
        <f t="shared" si="46"/>
        <v>46298</v>
      </c>
      <c r="L633" s="110" t="s">
        <v>62</v>
      </c>
      <c r="M633" s="112" t="str">
        <f t="shared" ca="1" si="48"/>
        <v>Alerta</v>
      </c>
      <c r="N633" s="112"/>
      <c r="O633" s="67">
        <f t="shared" ca="1" si="45"/>
        <v>996</v>
      </c>
      <c r="P633" s="67">
        <f t="shared" ca="1" si="49"/>
        <v>100</v>
      </c>
      <c r="Q633" t="str">
        <f t="shared" si="47"/>
        <v>STO-28</v>
      </c>
    </row>
    <row r="634" spans="2:17" ht="15" customHeight="1" x14ac:dyDescent="0.35">
      <c r="B634" s="29">
        <v>13</v>
      </c>
      <c r="C634" s="29" t="s">
        <v>25</v>
      </c>
      <c r="D634" s="30">
        <v>29</v>
      </c>
      <c r="E634" s="66" t="s">
        <v>1654</v>
      </c>
      <c r="F634" s="66" t="s">
        <v>1655</v>
      </c>
      <c r="G634" s="187" t="s">
        <v>13284</v>
      </c>
      <c r="H634" s="29" t="s">
        <v>61</v>
      </c>
      <c r="I634" s="29" t="s">
        <v>61</v>
      </c>
      <c r="J634" s="98">
        <v>45202</v>
      </c>
      <c r="K634" s="98">
        <f t="shared" si="46"/>
        <v>46298</v>
      </c>
      <c r="L634" s="110" t="s">
        <v>62</v>
      </c>
      <c r="M634" s="112" t="str">
        <f t="shared" ca="1" si="48"/>
        <v>Alerta</v>
      </c>
      <c r="N634" s="112"/>
      <c r="O634" s="67">
        <f t="shared" ca="1" si="45"/>
        <v>996</v>
      </c>
      <c r="P634" s="67">
        <f t="shared" ca="1" si="49"/>
        <v>100</v>
      </c>
      <c r="Q634" t="str">
        <f t="shared" si="47"/>
        <v>STO-29</v>
      </c>
    </row>
    <row r="635" spans="2:17" ht="15" customHeight="1" x14ac:dyDescent="0.35">
      <c r="B635" s="29">
        <v>13</v>
      </c>
      <c r="C635" s="29" t="s">
        <v>25</v>
      </c>
      <c r="D635" s="30">
        <v>40</v>
      </c>
      <c r="E635" s="66" t="s">
        <v>1656</v>
      </c>
      <c r="F635" s="66" t="s">
        <v>1657</v>
      </c>
      <c r="G635" s="187" t="s">
        <v>13283</v>
      </c>
      <c r="H635" s="29" t="s">
        <v>61</v>
      </c>
      <c r="I635" s="29"/>
      <c r="J635" s="98">
        <v>45202</v>
      </c>
      <c r="K635" s="98">
        <f t="shared" si="46"/>
        <v>46298</v>
      </c>
      <c r="L635" s="110" t="s">
        <v>62</v>
      </c>
      <c r="M635" s="112" t="str">
        <f t="shared" ca="1" si="48"/>
        <v>Alerta</v>
      </c>
      <c r="N635" s="112"/>
      <c r="O635" s="67">
        <f t="shared" ca="1" si="45"/>
        <v>996</v>
      </c>
      <c r="P635" s="67">
        <f t="shared" ca="1" si="49"/>
        <v>100</v>
      </c>
      <c r="Q635" t="str">
        <f t="shared" si="47"/>
        <v>STO-40</v>
      </c>
    </row>
    <row r="636" spans="2:17" ht="15" customHeight="1" x14ac:dyDescent="0.35">
      <c r="B636" s="29">
        <v>13</v>
      </c>
      <c r="C636" s="29" t="s">
        <v>25</v>
      </c>
      <c r="D636" s="30">
        <v>41</v>
      </c>
      <c r="E636" s="66" t="s">
        <v>1658</v>
      </c>
      <c r="F636" s="66" t="s">
        <v>1659</v>
      </c>
      <c r="G636" s="187" t="s">
        <v>13283</v>
      </c>
      <c r="H636" s="29" t="s">
        <v>61</v>
      </c>
      <c r="I636" s="29"/>
      <c r="J636" s="98">
        <v>45202</v>
      </c>
      <c r="K636" s="98">
        <f t="shared" si="46"/>
        <v>46298</v>
      </c>
      <c r="L636" s="110" t="s">
        <v>62</v>
      </c>
      <c r="M636" s="112" t="str">
        <f t="shared" ca="1" si="48"/>
        <v>Alerta</v>
      </c>
      <c r="N636" s="112"/>
      <c r="O636" s="67">
        <f t="shared" ca="1" si="45"/>
        <v>996</v>
      </c>
      <c r="P636" s="67">
        <f t="shared" ca="1" si="49"/>
        <v>100</v>
      </c>
      <c r="Q636" t="str">
        <f t="shared" si="47"/>
        <v>STO-41</v>
      </c>
    </row>
    <row r="637" spans="2:17" ht="15" customHeight="1" x14ac:dyDescent="0.35">
      <c r="B637" s="29">
        <v>13</v>
      </c>
      <c r="C637" s="29" t="s">
        <v>25</v>
      </c>
      <c r="D637" s="30">
        <v>53</v>
      </c>
      <c r="E637" s="66" t="s">
        <v>1660</v>
      </c>
      <c r="F637" s="66" t="s">
        <v>1661</v>
      </c>
      <c r="G637" s="187" t="s">
        <v>13283</v>
      </c>
      <c r="H637" s="29" t="s">
        <v>61</v>
      </c>
      <c r="I637" s="29" t="s">
        <v>61</v>
      </c>
      <c r="J637" s="98">
        <v>45743</v>
      </c>
      <c r="K637" s="98">
        <f t="shared" si="46"/>
        <v>46839</v>
      </c>
      <c r="L637" s="110" t="s">
        <v>62</v>
      </c>
      <c r="M637" s="112" t="str">
        <f t="shared" ca="1" si="48"/>
        <v>Em dia</v>
      </c>
      <c r="N637" s="112"/>
      <c r="O637" s="67">
        <f t="shared" ca="1" si="45"/>
        <v>455</v>
      </c>
      <c r="P637" s="67">
        <f t="shared" ca="1" si="49"/>
        <v>641</v>
      </c>
      <c r="Q637" t="str">
        <f t="shared" si="47"/>
        <v>STO-53</v>
      </c>
    </row>
    <row r="638" spans="2:17" ht="15" customHeight="1" x14ac:dyDescent="0.35">
      <c r="B638" s="29">
        <v>13</v>
      </c>
      <c r="C638" s="29" t="s">
        <v>25</v>
      </c>
      <c r="D638" s="30">
        <v>55</v>
      </c>
      <c r="E638" s="66" t="s">
        <v>1662</v>
      </c>
      <c r="F638" s="66" t="s">
        <v>1663</v>
      </c>
      <c r="G638" s="187" t="s">
        <v>13283</v>
      </c>
      <c r="H638" s="29" t="s">
        <v>61</v>
      </c>
      <c r="I638" s="29" t="s">
        <v>61</v>
      </c>
      <c r="J638" s="98">
        <v>45202</v>
      </c>
      <c r="K638" s="98">
        <f t="shared" si="46"/>
        <v>46298</v>
      </c>
      <c r="L638" s="110" t="s">
        <v>62</v>
      </c>
      <c r="M638" s="112" t="str">
        <f t="shared" ca="1" si="48"/>
        <v>Alerta</v>
      </c>
      <c r="N638" s="112"/>
      <c r="O638" s="67">
        <f t="shared" ca="1" si="45"/>
        <v>996</v>
      </c>
      <c r="P638" s="67">
        <f t="shared" ca="1" si="49"/>
        <v>100</v>
      </c>
      <c r="Q638" t="str">
        <f t="shared" si="47"/>
        <v>STO-55</v>
      </c>
    </row>
    <row r="639" spans="2:17" ht="15" customHeight="1" x14ac:dyDescent="0.35">
      <c r="B639" s="29">
        <v>13</v>
      </c>
      <c r="C639" s="29" t="s">
        <v>25</v>
      </c>
      <c r="D639" s="30">
        <v>56</v>
      </c>
      <c r="E639" s="66" t="s">
        <v>1664</v>
      </c>
      <c r="F639" s="66" t="s">
        <v>1665</v>
      </c>
      <c r="G639" s="66" t="s">
        <v>13283</v>
      </c>
      <c r="H639" s="29" t="s">
        <v>61</v>
      </c>
      <c r="I639" s="29" t="s">
        <v>61</v>
      </c>
      <c r="J639" s="98">
        <v>46107</v>
      </c>
      <c r="K639" s="98">
        <f t="shared" si="46"/>
        <v>47203</v>
      </c>
      <c r="L639" s="110" t="s">
        <v>62</v>
      </c>
      <c r="M639" s="112" t="str">
        <f t="shared" ca="1" si="48"/>
        <v>Em dia</v>
      </c>
      <c r="N639" s="112"/>
      <c r="O639" s="67">
        <f t="shared" ca="1" si="45"/>
        <v>91</v>
      </c>
      <c r="P639" s="67">
        <f t="shared" ca="1" si="49"/>
        <v>1005</v>
      </c>
      <c r="Q639" t="str">
        <f t="shared" si="47"/>
        <v>STO-56</v>
      </c>
    </row>
    <row r="640" spans="2:17" ht="15" customHeight="1" x14ac:dyDescent="0.35">
      <c r="B640" s="29">
        <v>13</v>
      </c>
      <c r="C640" s="29" t="s">
        <v>25</v>
      </c>
      <c r="D640" s="30">
        <v>57</v>
      </c>
      <c r="E640" s="66" t="s">
        <v>1666</v>
      </c>
      <c r="F640" s="66" t="s">
        <v>1667</v>
      </c>
      <c r="G640" s="187" t="s">
        <v>13283</v>
      </c>
      <c r="H640" s="29" t="s">
        <v>61</v>
      </c>
      <c r="I640" s="29" t="s">
        <v>61</v>
      </c>
      <c r="J640" s="98">
        <v>46107</v>
      </c>
      <c r="K640" s="98">
        <f t="shared" si="46"/>
        <v>47203</v>
      </c>
      <c r="L640" s="110" t="s">
        <v>62</v>
      </c>
      <c r="M640" s="112" t="str">
        <f t="shared" ca="1" si="48"/>
        <v>Em dia</v>
      </c>
      <c r="N640" s="112"/>
      <c r="O640" s="67">
        <f t="shared" ca="1" si="45"/>
        <v>91</v>
      </c>
      <c r="P640" s="67">
        <f t="shared" ca="1" si="49"/>
        <v>1005</v>
      </c>
      <c r="Q640" t="str">
        <f t="shared" si="47"/>
        <v>STO-57</v>
      </c>
    </row>
    <row r="641" spans="2:17" ht="15" customHeight="1" x14ac:dyDescent="0.35">
      <c r="B641" s="29">
        <v>13</v>
      </c>
      <c r="C641" s="29" t="s">
        <v>25</v>
      </c>
      <c r="D641" s="30">
        <v>58</v>
      </c>
      <c r="E641" s="66" t="s">
        <v>1668</v>
      </c>
      <c r="F641" s="66" t="s">
        <v>1669</v>
      </c>
      <c r="G641" s="66" t="s">
        <v>13284</v>
      </c>
      <c r="H641" s="29" t="s">
        <v>61</v>
      </c>
      <c r="I641" s="29" t="s">
        <v>61</v>
      </c>
      <c r="J641" s="98">
        <v>44739</v>
      </c>
      <c r="K641" s="98">
        <f t="shared" si="46"/>
        <v>45835</v>
      </c>
      <c r="L641" s="110" t="s">
        <v>62</v>
      </c>
      <c r="M641" s="112" t="str">
        <f t="shared" ca="1" si="48"/>
        <v>Vencido</v>
      </c>
      <c r="N641" s="112"/>
      <c r="O641" s="67">
        <f t="shared" ca="1" si="45"/>
        <v>1459</v>
      </c>
      <c r="P641" s="67">
        <f t="shared" ca="1" si="49"/>
        <v>-363</v>
      </c>
      <c r="Q641" t="str">
        <f t="shared" si="47"/>
        <v>STO-58</v>
      </c>
    </row>
    <row r="642" spans="2:17" ht="15" customHeight="1" x14ac:dyDescent="0.35">
      <c r="B642" s="29">
        <v>13</v>
      </c>
      <c r="C642" s="29" t="s">
        <v>25</v>
      </c>
      <c r="D642" s="30">
        <v>59</v>
      </c>
      <c r="E642" s="66" t="s">
        <v>1670</v>
      </c>
      <c r="F642" s="66" t="s">
        <v>1671</v>
      </c>
      <c r="G642" s="187" t="s">
        <v>13283</v>
      </c>
      <c r="H642" s="29" t="s">
        <v>61</v>
      </c>
      <c r="I642" s="29" t="s">
        <v>61</v>
      </c>
      <c r="J642" s="98">
        <v>45462</v>
      </c>
      <c r="K642" s="98">
        <f t="shared" si="46"/>
        <v>46558</v>
      </c>
      <c r="L642" s="110" t="s">
        <v>62</v>
      </c>
      <c r="M642" s="112" t="str">
        <f t="shared" ca="1" si="48"/>
        <v>Alerta</v>
      </c>
      <c r="N642" s="112"/>
      <c r="O642" s="67">
        <f t="shared" ca="1" si="45"/>
        <v>736</v>
      </c>
      <c r="P642" s="67">
        <f t="shared" ca="1" si="49"/>
        <v>360</v>
      </c>
      <c r="Q642" t="str">
        <f t="shared" si="47"/>
        <v>STO-59</v>
      </c>
    </row>
    <row r="643" spans="2:17" ht="15" customHeight="1" x14ac:dyDescent="0.35">
      <c r="B643" s="29">
        <v>13</v>
      </c>
      <c r="C643" s="29" t="s">
        <v>25</v>
      </c>
      <c r="D643" s="30">
        <v>60</v>
      </c>
      <c r="E643" s="66" t="s">
        <v>1672</v>
      </c>
      <c r="F643" s="66" t="s">
        <v>1673</v>
      </c>
      <c r="G643" s="187" t="s">
        <v>13284</v>
      </c>
      <c r="H643" s="29" t="s">
        <v>61</v>
      </c>
      <c r="I643" s="29" t="s">
        <v>61</v>
      </c>
      <c r="J643" s="98">
        <v>44819</v>
      </c>
      <c r="K643" s="98">
        <f t="shared" si="46"/>
        <v>45915</v>
      </c>
      <c r="L643" s="110" t="s">
        <v>62</v>
      </c>
      <c r="M643" s="112" t="str">
        <f t="shared" ca="1" si="48"/>
        <v>Vencido</v>
      </c>
      <c r="N643" s="112"/>
      <c r="O643" s="67">
        <f t="shared" ca="1" si="45"/>
        <v>1379</v>
      </c>
      <c r="P643" s="67">
        <f t="shared" ca="1" si="49"/>
        <v>-283</v>
      </c>
      <c r="Q643" t="str">
        <f t="shared" si="47"/>
        <v>STO-60</v>
      </c>
    </row>
    <row r="644" spans="2:17" ht="15" customHeight="1" x14ac:dyDescent="0.35">
      <c r="B644" s="29">
        <v>13</v>
      </c>
      <c r="C644" s="29" t="s">
        <v>25</v>
      </c>
      <c r="D644" s="30">
        <v>61</v>
      </c>
      <c r="E644" s="66" t="s">
        <v>1674</v>
      </c>
      <c r="F644" s="66" t="s">
        <v>1675</v>
      </c>
      <c r="G644" s="187" t="s">
        <v>13284</v>
      </c>
      <c r="H644" s="29" t="s">
        <v>61</v>
      </c>
      <c r="I644" s="29" t="s">
        <v>61</v>
      </c>
      <c r="J644" s="98">
        <v>44926</v>
      </c>
      <c r="K644" s="98">
        <f t="shared" si="46"/>
        <v>46022</v>
      </c>
      <c r="L644" s="110" t="s">
        <v>62</v>
      </c>
      <c r="M644" s="112" t="str">
        <f t="shared" ca="1" si="48"/>
        <v>Vencido</v>
      </c>
      <c r="N644" s="112"/>
      <c r="O644" s="67">
        <f t="shared" ref="O644:O707" ca="1" si="50">$O$4-J644</f>
        <v>1272</v>
      </c>
      <c r="P644" s="67">
        <f t="shared" ca="1" si="49"/>
        <v>-176</v>
      </c>
      <c r="Q644" t="str">
        <f t="shared" si="47"/>
        <v>STO-61</v>
      </c>
    </row>
    <row r="645" spans="2:17" ht="15" customHeight="1" x14ac:dyDescent="0.35">
      <c r="B645" s="29">
        <v>13</v>
      </c>
      <c r="C645" s="29" t="s">
        <v>25</v>
      </c>
      <c r="D645" s="30">
        <v>62</v>
      </c>
      <c r="E645" s="66" t="s">
        <v>1676</v>
      </c>
      <c r="F645" s="66" t="s">
        <v>1677</v>
      </c>
      <c r="G645" s="187" t="s">
        <v>13284</v>
      </c>
      <c r="H645" s="29" t="s">
        <v>61</v>
      </c>
      <c r="I645" s="29" t="s">
        <v>61</v>
      </c>
      <c r="J645" s="98">
        <v>44926</v>
      </c>
      <c r="K645" s="98">
        <f t="shared" ref="K645:K708" si="51">J645+1096</f>
        <v>46022</v>
      </c>
      <c r="L645" s="110" t="s">
        <v>62</v>
      </c>
      <c r="M645" s="112" t="str">
        <f t="shared" ca="1" si="48"/>
        <v>Vencido</v>
      </c>
      <c r="N645" s="112"/>
      <c r="O645" s="67">
        <f t="shared" ca="1" si="50"/>
        <v>1272</v>
      </c>
      <c r="P645" s="67">
        <f t="shared" ca="1" si="49"/>
        <v>-176</v>
      </c>
      <c r="Q645" t="str">
        <f t="shared" ref="Q645:Q708" si="52">IF(OR(C645="ARN",C645="SDP"),MID(E645,4,7),MID(E645,4,6))</f>
        <v>STO-62</v>
      </c>
    </row>
    <row r="646" spans="2:17" ht="15" customHeight="1" x14ac:dyDescent="0.35">
      <c r="B646" s="29">
        <v>13</v>
      </c>
      <c r="C646" s="29" t="s">
        <v>25</v>
      </c>
      <c r="D646" s="30">
        <v>65</v>
      </c>
      <c r="E646" s="66" t="s">
        <v>1678</v>
      </c>
      <c r="F646" s="66" t="s">
        <v>1679</v>
      </c>
      <c r="G646" s="187" t="s">
        <v>13284</v>
      </c>
      <c r="H646" s="29" t="s">
        <v>61</v>
      </c>
      <c r="I646" s="29" t="s">
        <v>61</v>
      </c>
      <c r="J646" s="98">
        <v>45202</v>
      </c>
      <c r="K646" s="98">
        <f t="shared" si="51"/>
        <v>46298</v>
      </c>
      <c r="L646" s="110" t="s">
        <v>62</v>
      </c>
      <c r="M646" s="112" t="str">
        <f t="shared" ref="M646:M709" ca="1" si="53">IF(O646="","",IF(O646&gt;1095,"Vencido",IF(O646&gt;910,"Alerta",IF(O646&gt;820,"Alerta",IF(O646&gt;730,"Alerta",IF(O646&gt;=0,"Em dia","Vencido"))))))</f>
        <v>Alerta</v>
      </c>
      <c r="N646" s="112"/>
      <c r="O646" s="67">
        <f t="shared" ca="1" si="50"/>
        <v>996</v>
      </c>
      <c r="P646" s="67">
        <f t="shared" ref="P646:P709" ca="1" si="54">K646-$P$3</f>
        <v>100</v>
      </c>
      <c r="Q646" t="str">
        <f t="shared" si="52"/>
        <v>STO-65</v>
      </c>
    </row>
    <row r="647" spans="2:17" ht="15" customHeight="1" x14ac:dyDescent="0.35">
      <c r="B647" s="29">
        <v>13</v>
      </c>
      <c r="C647" s="29" t="s">
        <v>25</v>
      </c>
      <c r="D647" s="30">
        <v>65</v>
      </c>
      <c r="E647" s="66" t="s">
        <v>1680</v>
      </c>
      <c r="F647" s="66" t="s">
        <v>1681</v>
      </c>
      <c r="G647" s="187" t="s">
        <v>13284</v>
      </c>
      <c r="H647" s="29" t="s">
        <v>61</v>
      </c>
      <c r="I647" s="29" t="s">
        <v>61</v>
      </c>
      <c r="J647" s="98">
        <v>45202</v>
      </c>
      <c r="K647" s="98">
        <f t="shared" si="51"/>
        <v>46298</v>
      </c>
      <c r="L647" s="110" t="s">
        <v>62</v>
      </c>
      <c r="M647" s="112" t="str">
        <f t="shared" ca="1" si="53"/>
        <v>Alerta</v>
      </c>
      <c r="N647" s="112"/>
      <c r="O647" s="67">
        <f t="shared" ca="1" si="50"/>
        <v>996</v>
      </c>
      <c r="P647" s="67">
        <f t="shared" ca="1" si="54"/>
        <v>100</v>
      </c>
      <c r="Q647" t="str">
        <f t="shared" si="52"/>
        <v>STO-65</v>
      </c>
    </row>
    <row r="648" spans="2:17" ht="15" customHeight="1" x14ac:dyDescent="0.35">
      <c r="B648" s="29">
        <v>13</v>
      </c>
      <c r="C648" s="29" t="s">
        <v>25</v>
      </c>
      <c r="D648" s="30">
        <v>71</v>
      </c>
      <c r="E648" s="66" t="s">
        <v>1682</v>
      </c>
      <c r="F648" s="66" t="s">
        <v>1683</v>
      </c>
      <c r="G648" s="26" t="s">
        <v>13282</v>
      </c>
      <c r="H648" s="29" t="s">
        <v>61</v>
      </c>
      <c r="I648" s="29"/>
      <c r="J648" s="98">
        <v>45202</v>
      </c>
      <c r="K648" s="98">
        <f t="shared" si="51"/>
        <v>46298</v>
      </c>
      <c r="L648" s="110" t="s">
        <v>62</v>
      </c>
      <c r="M648" s="112" t="str">
        <f t="shared" ca="1" si="53"/>
        <v>Alerta</v>
      </c>
      <c r="N648" s="112"/>
      <c r="O648" s="67">
        <f t="shared" ca="1" si="50"/>
        <v>996</v>
      </c>
      <c r="P648" s="67">
        <f t="shared" ca="1" si="54"/>
        <v>100</v>
      </c>
      <c r="Q648" t="str">
        <f t="shared" si="52"/>
        <v>STO-71</v>
      </c>
    </row>
    <row r="649" spans="2:17" ht="15" customHeight="1" x14ac:dyDescent="0.35">
      <c r="B649" s="29">
        <v>13</v>
      </c>
      <c r="C649" s="29" t="s">
        <v>25</v>
      </c>
      <c r="D649" s="30">
        <v>30</v>
      </c>
      <c r="E649" s="66" t="s">
        <v>1684</v>
      </c>
      <c r="F649" s="66" t="s">
        <v>1685</v>
      </c>
      <c r="G649" s="187" t="s">
        <v>13284</v>
      </c>
      <c r="H649" s="29" t="s">
        <v>61</v>
      </c>
      <c r="I649" s="29" t="s">
        <v>61</v>
      </c>
      <c r="J649" s="98">
        <v>44838</v>
      </c>
      <c r="K649" s="98">
        <f t="shared" si="51"/>
        <v>45934</v>
      </c>
      <c r="L649" s="110" t="s">
        <v>62</v>
      </c>
      <c r="M649" s="112" t="str">
        <f t="shared" ca="1" si="53"/>
        <v>Vencido</v>
      </c>
      <c r="N649" s="112"/>
      <c r="O649" s="67">
        <f t="shared" ca="1" si="50"/>
        <v>1360</v>
      </c>
      <c r="P649" s="67">
        <f t="shared" ca="1" si="54"/>
        <v>-264</v>
      </c>
      <c r="Q649" t="str">
        <f t="shared" si="52"/>
        <v>STO-30</v>
      </c>
    </row>
    <row r="650" spans="2:17" ht="15" customHeight="1" x14ac:dyDescent="0.35">
      <c r="B650" s="29">
        <v>13</v>
      </c>
      <c r="C650" s="29" t="s">
        <v>25</v>
      </c>
      <c r="D650" s="30">
        <v>31</v>
      </c>
      <c r="E650" s="66" t="s">
        <v>1686</v>
      </c>
      <c r="F650" s="66" t="s">
        <v>1687</v>
      </c>
      <c r="G650" s="187" t="s">
        <v>13284</v>
      </c>
      <c r="H650" s="29" t="s">
        <v>61</v>
      </c>
      <c r="I650" s="29" t="s">
        <v>61</v>
      </c>
      <c r="J650" s="98">
        <v>44838</v>
      </c>
      <c r="K650" s="98">
        <f t="shared" si="51"/>
        <v>45934</v>
      </c>
      <c r="L650" s="110" t="s">
        <v>62</v>
      </c>
      <c r="M650" s="112" t="str">
        <f t="shared" ca="1" si="53"/>
        <v>Vencido</v>
      </c>
      <c r="N650" s="112"/>
      <c r="O650" s="67">
        <f t="shared" ca="1" si="50"/>
        <v>1360</v>
      </c>
      <c r="P650" s="67">
        <f t="shared" ca="1" si="54"/>
        <v>-264</v>
      </c>
      <c r="Q650" t="str">
        <f t="shared" si="52"/>
        <v>STO-31</v>
      </c>
    </row>
    <row r="651" spans="2:17" ht="15" customHeight="1" x14ac:dyDescent="0.35">
      <c r="B651" s="29">
        <v>13</v>
      </c>
      <c r="C651" s="29" t="s">
        <v>25</v>
      </c>
      <c r="D651" s="30">
        <v>34</v>
      </c>
      <c r="E651" s="66" t="s">
        <v>1688</v>
      </c>
      <c r="F651" s="66" t="s">
        <v>1689</v>
      </c>
      <c r="G651" s="187" t="s">
        <v>13284</v>
      </c>
      <c r="H651" s="29" t="s">
        <v>61</v>
      </c>
      <c r="I651" s="29" t="s">
        <v>61</v>
      </c>
      <c r="J651" s="98">
        <v>45202</v>
      </c>
      <c r="K651" s="98">
        <f t="shared" si="51"/>
        <v>46298</v>
      </c>
      <c r="L651" s="110" t="s">
        <v>62</v>
      </c>
      <c r="M651" s="112" t="str">
        <f t="shared" ca="1" si="53"/>
        <v>Alerta</v>
      </c>
      <c r="N651" s="112"/>
      <c r="O651" s="67">
        <f t="shared" ca="1" si="50"/>
        <v>996</v>
      </c>
      <c r="P651" s="67">
        <f t="shared" ca="1" si="54"/>
        <v>100</v>
      </c>
      <c r="Q651" t="str">
        <f t="shared" si="52"/>
        <v>STO-34</v>
      </c>
    </row>
    <row r="652" spans="2:17" ht="15" customHeight="1" x14ac:dyDescent="0.35">
      <c r="B652" s="29">
        <v>13</v>
      </c>
      <c r="C652" s="29" t="s">
        <v>25</v>
      </c>
      <c r="D652" s="30">
        <v>35</v>
      </c>
      <c r="E652" s="66" t="s">
        <v>1690</v>
      </c>
      <c r="F652" s="66" t="s">
        <v>1691</v>
      </c>
      <c r="G652" s="187" t="s">
        <v>13284</v>
      </c>
      <c r="H652" s="29" t="s">
        <v>61</v>
      </c>
      <c r="I652" s="29" t="s">
        <v>61</v>
      </c>
      <c r="J652" s="98">
        <v>45274</v>
      </c>
      <c r="K652" s="98">
        <f t="shared" si="51"/>
        <v>46370</v>
      </c>
      <c r="L652" s="110" t="s">
        <v>62</v>
      </c>
      <c r="M652" s="112" t="str">
        <f t="shared" ca="1" si="53"/>
        <v>Alerta</v>
      </c>
      <c r="N652" s="112"/>
      <c r="O652" s="67">
        <f t="shared" ca="1" si="50"/>
        <v>924</v>
      </c>
      <c r="P652" s="67">
        <f t="shared" ca="1" si="54"/>
        <v>172</v>
      </c>
      <c r="Q652" t="str">
        <f t="shared" si="52"/>
        <v>STO-35</v>
      </c>
    </row>
    <row r="653" spans="2:17" ht="15" customHeight="1" x14ac:dyDescent="0.35">
      <c r="B653" s="29">
        <v>13</v>
      </c>
      <c r="C653" s="29" t="s">
        <v>25</v>
      </c>
      <c r="D653" s="30">
        <v>63</v>
      </c>
      <c r="E653" s="66" t="s">
        <v>1692</v>
      </c>
      <c r="F653" s="66" t="s">
        <v>1693</v>
      </c>
      <c r="G653" s="187" t="s">
        <v>13284</v>
      </c>
      <c r="H653" s="29" t="s">
        <v>61</v>
      </c>
      <c r="I653" s="29" t="s">
        <v>61</v>
      </c>
      <c r="J653" s="98">
        <v>44838</v>
      </c>
      <c r="K653" s="98">
        <f t="shared" si="51"/>
        <v>45934</v>
      </c>
      <c r="L653" s="110" t="s">
        <v>62</v>
      </c>
      <c r="M653" s="112" t="str">
        <f t="shared" ca="1" si="53"/>
        <v>Vencido</v>
      </c>
      <c r="N653" s="112"/>
      <c r="O653" s="67">
        <f t="shared" ca="1" si="50"/>
        <v>1360</v>
      </c>
      <c r="P653" s="67">
        <f t="shared" ca="1" si="54"/>
        <v>-264</v>
      </c>
      <c r="Q653" t="str">
        <f t="shared" si="52"/>
        <v>STO-63</v>
      </c>
    </row>
    <row r="654" spans="2:17" ht="15" customHeight="1" x14ac:dyDescent="0.35">
      <c r="B654" s="29">
        <v>14</v>
      </c>
      <c r="C654" s="29" t="s">
        <v>19</v>
      </c>
      <c r="D654" s="30">
        <v>0</v>
      </c>
      <c r="E654" s="66" t="s">
        <v>1694</v>
      </c>
      <c r="F654" s="65" t="s">
        <v>1695</v>
      </c>
      <c r="G654" s="26" t="s">
        <v>13301</v>
      </c>
      <c r="H654" s="29" t="s">
        <v>61</v>
      </c>
      <c r="I654" s="29"/>
      <c r="J654" s="98">
        <v>45202</v>
      </c>
      <c r="K654" s="98">
        <f t="shared" si="51"/>
        <v>46298</v>
      </c>
      <c r="L654" s="110" t="s">
        <v>62</v>
      </c>
      <c r="M654" s="112" t="str">
        <f t="shared" ca="1" si="53"/>
        <v>Alerta</v>
      </c>
      <c r="N654" s="112"/>
      <c r="O654" s="67">
        <f t="shared" ca="1" si="50"/>
        <v>996</v>
      </c>
      <c r="P654" s="67">
        <f t="shared" ca="1" si="54"/>
        <v>100</v>
      </c>
      <c r="Q654" t="str">
        <f t="shared" si="52"/>
        <v>TAQ-00</v>
      </c>
    </row>
    <row r="655" spans="2:17" ht="15" customHeight="1" x14ac:dyDescent="0.35">
      <c r="B655" s="29">
        <v>14</v>
      </c>
      <c r="C655" s="29" t="s">
        <v>19</v>
      </c>
      <c r="D655" s="30">
        <v>1</v>
      </c>
      <c r="E655" s="66" t="s">
        <v>1696</v>
      </c>
      <c r="F655" s="66" t="s">
        <v>1697</v>
      </c>
      <c r="G655" s="187" t="s">
        <v>13284</v>
      </c>
      <c r="H655" s="29" t="s">
        <v>61</v>
      </c>
      <c r="I655" s="29" t="s">
        <v>61</v>
      </c>
      <c r="J655" s="98">
        <v>44739</v>
      </c>
      <c r="K655" s="98">
        <f t="shared" si="51"/>
        <v>45835</v>
      </c>
      <c r="L655" s="110" t="s">
        <v>62</v>
      </c>
      <c r="M655" s="112" t="str">
        <f t="shared" ca="1" si="53"/>
        <v>Vencido</v>
      </c>
      <c r="N655" s="112"/>
      <c r="O655" s="67">
        <f t="shared" ca="1" si="50"/>
        <v>1459</v>
      </c>
      <c r="P655" s="67">
        <f t="shared" ca="1" si="54"/>
        <v>-363</v>
      </c>
      <c r="Q655" t="str">
        <f t="shared" si="52"/>
        <v>TAQ-01</v>
      </c>
    </row>
    <row r="656" spans="2:17" ht="15" customHeight="1" x14ac:dyDescent="0.35">
      <c r="B656" s="29">
        <v>14</v>
      </c>
      <c r="C656" s="29" t="s">
        <v>19</v>
      </c>
      <c r="D656" s="30">
        <v>2</v>
      </c>
      <c r="E656" s="66" t="s">
        <v>1698</v>
      </c>
      <c r="F656" s="66" t="s">
        <v>1699</v>
      </c>
      <c r="G656" s="26" t="s">
        <v>13284</v>
      </c>
      <c r="H656" s="29" t="s">
        <v>61</v>
      </c>
      <c r="I656" s="29" t="s">
        <v>61</v>
      </c>
      <c r="J656" s="98">
        <v>44739</v>
      </c>
      <c r="K656" s="98">
        <f t="shared" si="51"/>
        <v>45835</v>
      </c>
      <c r="L656" s="110" t="s">
        <v>62</v>
      </c>
      <c r="M656" s="112" t="str">
        <f t="shared" ca="1" si="53"/>
        <v>Vencido</v>
      </c>
      <c r="N656" s="112"/>
      <c r="O656" s="67">
        <f t="shared" ca="1" si="50"/>
        <v>1459</v>
      </c>
      <c r="P656" s="67">
        <f t="shared" ca="1" si="54"/>
        <v>-363</v>
      </c>
      <c r="Q656" t="str">
        <f t="shared" si="52"/>
        <v>TAQ-02</v>
      </c>
    </row>
    <row r="657" spans="2:17" ht="15" customHeight="1" x14ac:dyDescent="0.35">
      <c r="B657" s="29">
        <v>14</v>
      </c>
      <c r="C657" s="29" t="s">
        <v>19</v>
      </c>
      <c r="D657" s="30">
        <v>3</v>
      </c>
      <c r="E657" s="66" t="s">
        <v>1700</v>
      </c>
      <c r="F657" s="66" t="s">
        <v>1701</v>
      </c>
      <c r="G657" s="26" t="s">
        <v>13283</v>
      </c>
      <c r="H657" s="29" t="s">
        <v>61</v>
      </c>
      <c r="I657" s="29" t="s">
        <v>61</v>
      </c>
      <c r="J657" s="98">
        <v>45506</v>
      </c>
      <c r="K657" s="98">
        <f t="shared" si="51"/>
        <v>46602</v>
      </c>
      <c r="L657" s="110" t="s">
        <v>62</v>
      </c>
      <c r="M657" s="112" t="str">
        <f t="shared" ca="1" si="53"/>
        <v>Em dia</v>
      </c>
      <c r="N657" s="112"/>
      <c r="O657" s="67">
        <f t="shared" ca="1" si="50"/>
        <v>692</v>
      </c>
      <c r="P657" s="67">
        <f t="shared" ca="1" si="54"/>
        <v>404</v>
      </c>
      <c r="Q657" t="str">
        <f t="shared" si="52"/>
        <v>TAQ-03</v>
      </c>
    </row>
    <row r="658" spans="2:17" ht="15" customHeight="1" x14ac:dyDescent="0.35">
      <c r="B658" s="29">
        <v>14</v>
      </c>
      <c r="C658" s="29" t="s">
        <v>19</v>
      </c>
      <c r="D658" s="30">
        <v>4</v>
      </c>
      <c r="E658" s="66" t="s">
        <v>1702</v>
      </c>
      <c r="F658" s="66" t="s">
        <v>1703</v>
      </c>
      <c r="G658" s="186" t="s">
        <v>13283</v>
      </c>
      <c r="H658" s="29" t="s">
        <v>61</v>
      </c>
      <c r="I658" s="29" t="s">
        <v>61</v>
      </c>
      <c r="J658" s="98">
        <v>46104</v>
      </c>
      <c r="K658" s="98">
        <f t="shared" si="51"/>
        <v>47200</v>
      </c>
      <c r="L658" s="110" t="s">
        <v>62</v>
      </c>
      <c r="M658" s="112" t="str">
        <f t="shared" ca="1" si="53"/>
        <v>Em dia</v>
      </c>
      <c r="N658" s="112"/>
      <c r="O658" s="67">
        <f t="shared" ca="1" si="50"/>
        <v>94</v>
      </c>
      <c r="P658" s="67">
        <f t="shared" ca="1" si="54"/>
        <v>1002</v>
      </c>
      <c r="Q658" t="str">
        <f t="shared" si="52"/>
        <v>TAQ-04</v>
      </c>
    </row>
    <row r="659" spans="2:17" ht="15" customHeight="1" x14ac:dyDescent="0.35">
      <c r="B659" s="29">
        <v>14</v>
      </c>
      <c r="C659" s="29" t="s">
        <v>19</v>
      </c>
      <c r="D659" s="30">
        <v>5</v>
      </c>
      <c r="E659" s="66" t="s">
        <v>1704</v>
      </c>
      <c r="F659" s="66" t="s">
        <v>1705</v>
      </c>
      <c r="G659" s="186" t="s">
        <v>13283</v>
      </c>
      <c r="H659" s="29" t="s">
        <v>61</v>
      </c>
      <c r="I659" s="29" t="s">
        <v>61</v>
      </c>
      <c r="J659" s="98">
        <v>46104</v>
      </c>
      <c r="K659" s="98">
        <f t="shared" si="51"/>
        <v>47200</v>
      </c>
      <c r="L659" s="110" t="s">
        <v>62</v>
      </c>
      <c r="M659" s="112" t="str">
        <f t="shared" ca="1" si="53"/>
        <v>Em dia</v>
      </c>
      <c r="N659" s="112"/>
      <c r="O659" s="67">
        <f t="shared" ca="1" si="50"/>
        <v>94</v>
      </c>
      <c r="P659" s="67">
        <f t="shared" ca="1" si="54"/>
        <v>1002</v>
      </c>
      <c r="Q659" t="str">
        <f t="shared" si="52"/>
        <v>TAQ-05</v>
      </c>
    </row>
    <row r="660" spans="2:17" ht="15" customHeight="1" x14ac:dyDescent="0.35">
      <c r="B660" s="29">
        <v>14</v>
      </c>
      <c r="C660" s="29" t="s">
        <v>19</v>
      </c>
      <c r="D660" s="30">
        <v>6</v>
      </c>
      <c r="E660" s="66" t="s">
        <v>1706</v>
      </c>
      <c r="F660" s="66" t="s">
        <v>1707</v>
      </c>
      <c r="G660" s="186" t="s">
        <v>13283</v>
      </c>
      <c r="H660" s="29" t="s">
        <v>61</v>
      </c>
      <c r="I660" s="29" t="s">
        <v>61</v>
      </c>
      <c r="J660" s="98">
        <v>46104</v>
      </c>
      <c r="K660" s="98">
        <f t="shared" si="51"/>
        <v>47200</v>
      </c>
      <c r="L660" s="110" t="s">
        <v>62</v>
      </c>
      <c r="M660" s="112" t="str">
        <f t="shared" ca="1" si="53"/>
        <v>Em dia</v>
      </c>
      <c r="N660" s="112"/>
      <c r="O660" s="67">
        <f t="shared" ca="1" si="50"/>
        <v>94</v>
      </c>
      <c r="P660" s="67">
        <f t="shared" ca="1" si="54"/>
        <v>1002</v>
      </c>
      <c r="Q660" t="str">
        <f t="shared" si="52"/>
        <v>TAQ-06</v>
      </c>
    </row>
    <row r="661" spans="2:17" ht="15" customHeight="1" x14ac:dyDescent="0.35">
      <c r="B661" s="29">
        <v>14</v>
      </c>
      <c r="C661" s="29" t="s">
        <v>19</v>
      </c>
      <c r="D661" s="30">
        <v>7</v>
      </c>
      <c r="E661" s="66" t="s">
        <v>1708</v>
      </c>
      <c r="F661" s="66" t="s">
        <v>1709</v>
      </c>
      <c r="G661" s="186" t="s">
        <v>13283</v>
      </c>
      <c r="H661" s="29" t="s">
        <v>61</v>
      </c>
      <c r="I661" s="29" t="s">
        <v>61</v>
      </c>
      <c r="J661" s="98">
        <v>45959</v>
      </c>
      <c r="K661" s="98">
        <f t="shared" si="51"/>
        <v>47055</v>
      </c>
      <c r="L661" s="110" t="s">
        <v>62</v>
      </c>
      <c r="M661" s="112" t="str">
        <f t="shared" ca="1" si="53"/>
        <v>Em dia</v>
      </c>
      <c r="N661" s="112"/>
      <c r="O661" s="67">
        <f t="shared" ca="1" si="50"/>
        <v>239</v>
      </c>
      <c r="P661" s="67">
        <f t="shared" ca="1" si="54"/>
        <v>857</v>
      </c>
      <c r="Q661" t="str">
        <f t="shared" si="52"/>
        <v>TAQ-07</v>
      </c>
    </row>
    <row r="662" spans="2:17" ht="15" customHeight="1" x14ac:dyDescent="0.35">
      <c r="B662" s="29">
        <v>14</v>
      </c>
      <c r="C662" s="29" t="s">
        <v>19</v>
      </c>
      <c r="D662" s="30">
        <v>8</v>
      </c>
      <c r="E662" s="66" t="s">
        <v>1710</v>
      </c>
      <c r="F662" s="66" t="s">
        <v>1711</v>
      </c>
      <c r="G662" s="186" t="s">
        <v>13283</v>
      </c>
      <c r="H662" s="29" t="s">
        <v>61</v>
      </c>
      <c r="I662" s="29" t="s">
        <v>61</v>
      </c>
      <c r="J662" s="98">
        <v>45645</v>
      </c>
      <c r="K662" s="98">
        <f t="shared" si="51"/>
        <v>46741</v>
      </c>
      <c r="L662" s="110" t="s">
        <v>62</v>
      </c>
      <c r="M662" s="112" t="str">
        <f t="shared" ca="1" si="53"/>
        <v>Em dia</v>
      </c>
      <c r="N662" s="112"/>
      <c r="O662" s="67">
        <f t="shared" ca="1" si="50"/>
        <v>553</v>
      </c>
      <c r="P662" s="67">
        <f t="shared" ca="1" si="54"/>
        <v>543</v>
      </c>
      <c r="Q662" t="str">
        <f t="shared" si="52"/>
        <v>TAQ-08</v>
      </c>
    </row>
    <row r="663" spans="2:17" ht="15" customHeight="1" x14ac:dyDescent="0.35">
      <c r="B663" s="29">
        <v>14</v>
      </c>
      <c r="C663" s="29" t="s">
        <v>19</v>
      </c>
      <c r="D663" s="30">
        <v>9</v>
      </c>
      <c r="E663" s="66" t="s">
        <v>1712</v>
      </c>
      <c r="F663" s="66" t="s">
        <v>1713</v>
      </c>
      <c r="G663" s="186" t="s">
        <v>13283</v>
      </c>
      <c r="H663" s="29" t="s">
        <v>61</v>
      </c>
      <c r="I663" s="29" t="s">
        <v>61</v>
      </c>
      <c r="J663" s="98">
        <v>45959</v>
      </c>
      <c r="K663" s="98">
        <f t="shared" si="51"/>
        <v>47055</v>
      </c>
      <c r="L663" s="110" t="s">
        <v>62</v>
      </c>
      <c r="M663" s="112" t="str">
        <f t="shared" ca="1" si="53"/>
        <v>Em dia</v>
      </c>
      <c r="N663" s="112"/>
      <c r="O663" s="67">
        <f t="shared" ca="1" si="50"/>
        <v>239</v>
      </c>
      <c r="P663" s="67">
        <f t="shared" ca="1" si="54"/>
        <v>857</v>
      </c>
      <c r="Q663" t="str">
        <f t="shared" si="52"/>
        <v>TAQ-09</v>
      </c>
    </row>
    <row r="664" spans="2:17" ht="15" customHeight="1" x14ac:dyDescent="0.35">
      <c r="B664" s="29">
        <v>14</v>
      </c>
      <c r="C664" s="29" t="s">
        <v>19</v>
      </c>
      <c r="D664" s="30">
        <v>10</v>
      </c>
      <c r="E664" s="66" t="s">
        <v>1714</v>
      </c>
      <c r="F664" s="66" t="s">
        <v>1715</v>
      </c>
      <c r="G664" s="186" t="s">
        <v>13283</v>
      </c>
      <c r="H664" s="29" t="s">
        <v>61</v>
      </c>
      <c r="I664" s="29" t="s">
        <v>61</v>
      </c>
      <c r="J664" s="101">
        <v>45959</v>
      </c>
      <c r="K664" s="98">
        <f t="shared" si="51"/>
        <v>47055</v>
      </c>
      <c r="L664" s="110" t="s">
        <v>62</v>
      </c>
      <c r="M664" s="112" t="str">
        <f t="shared" ca="1" si="53"/>
        <v>Em dia</v>
      </c>
      <c r="N664" s="112"/>
      <c r="O664" s="67">
        <f t="shared" ca="1" si="50"/>
        <v>239</v>
      </c>
      <c r="P664" s="67">
        <f t="shared" ca="1" si="54"/>
        <v>857</v>
      </c>
      <c r="Q664" t="str">
        <f t="shared" si="52"/>
        <v>TAQ-10</v>
      </c>
    </row>
    <row r="665" spans="2:17" ht="15" customHeight="1" x14ac:dyDescent="0.35">
      <c r="B665" s="29">
        <v>14</v>
      </c>
      <c r="C665" s="29" t="s">
        <v>19</v>
      </c>
      <c r="D665" s="30">
        <v>11</v>
      </c>
      <c r="E665" s="66" t="s">
        <v>1716</v>
      </c>
      <c r="F665" s="66" t="s">
        <v>1717</v>
      </c>
      <c r="G665" s="186" t="s">
        <v>13283</v>
      </c>
      <c r="H665" s="29" t="s">
        <v>61</v>
      </c>
      <c r="I665" s="29" t="s">
        <v>61</v>
      </c>
      <c r="J665" s="98">
        <v>46104</v>
      </c>
      <c r="K665" s="98">
        <f t="shared" si="51"/>
        <v>47200</v>
      </c>
      <c r="L665" s="110" t="s">
        <v>62</v>
      </c>
      <c r="M665" s="112" t="str">
        <f t="shared" ca="1" si="53"/>
        <v>Em dia</v>
      </c>
      <c r="N665" s="112"/>
      <c r="O665" s="67">
        <f t="shared" ca="1" si="50"/>
        <v>94</v>
      </c>
      <c r="P665" s="67">
        <f t="shared" ca="1" si="54"/>
        <v>1002</v>
      </c>
      <c r="Q665" t="str">
        <f t="shared" si="52"/>
        <v>TAQ-11</v>
      </c>
    </row>
    <row r="666" spans="2:17" ht="15" customHeight="1" x14ac:dyDescent="0.35">
      <c r="B666" s="29">
        <v>14</v>
      </c>
      <c r="C666" s="29" t="s">
        <v>19</v>
      </c>
      <c r="D666" s="30">
        <v>12</v>
      </c>
      <c r="E666" s="66" t="s">
        <v>1718</v>
      </c>
      <c r="F666" s="66" t="s">
        <v>1719</v>
      </c>
      <c r="G666" s="186" t="s">
        <v>13283</v>
      </c>
      <c r="H666" s="29" t="s">
        <v>61</v>
      </c>
      <c r="I666" s="29" t="s">
        <v>61</v>
      </c>
      <c r="J666" s="98">
        <v>46104</v>
      </c>
      <c r="K666" s="98">
        <f t="shared" si="51"/>
        <v>47200</v>
      </c>
      <c r="L666" s="110" t="s">
        <v>62</v>
      </c>
      <c r="M666" s="112" t="str">
        <f t="shared" ca="1" si="53"/>
        <v>Em dia</v>
      </c>
      <c r="N666" s="112"/>
      <c r="O666" s="67">
        <f t="shared" ca="1" si="50"/>
        <v>94</v>
      </c>
      <c r="P666" s="67">
        <f t="shared" ca="1" si="54"/>
        <v>1002</v>
      </c>
      <c r="Q666" t="str">
        <f t="shared" si="52"/>
        <v>TAQ-12</v>
      </c>
    </row>
    <row r="667" spans="2:17" ht="15" customHeight="1" x14ac:dyDescent="0.35">
      <c r="B667" s="29">
        <v>14</v>
      </c>
      <c r="C667" s="29" t="s">
        <v>19</v>
      </c>
      <c r="D667" s="30">
        <v>13</v>
      </c>
      <c r="E667" s="66" t="s">
        <v>1720</v>
      </c>
      <c r="F667" s="66" t="s">
        <v>1721</v>
      </c>
      <c r="G667" s="186" t="s">
        <v>13283</v>
      </c>
      <c r="H667" s="29" t="s">
        <v>61</v>
      </c>
      <c r="I667" s="29" t="s">
        <v>61</v>
      </c>
      <c r="J667" s="98">
        <v>46104</v>
      </c>
      <c r="K667" s="98">
        <f t="shared" si="51"/>
        <v>47200</v>
      </c>
      <c r="L667" s="110" t="s">
        <v>62</v>
      </c>
      <c r="M667" s="112" t="str">
        <f t="shared" ca="1" si="53"/>
        <v>Em dia</v>
      </c>
      <c r="N667" s="112"/>
      <c r="O667" s="67">
        <f t="shared" ca="1" si="50"/>
        <v>94</v>
      </c>
      <c r="P667" s="67">
        <f t="shared" ca="1" si="54"/>
        <v>1002</v>
      </c>
      <c r="Q667" t="str">
        <f t="shared" si="52"/>
        <v>TAQ-13</v>
      </c>
    </row>
    <row r="668" spans="2:17" ht="15" customHeight="1" x14ac:dyDescent="0.35">
      <c r="B668" s="29">
        <v>14</v>
      </c>
      <c r="C668" s="29" t="s">
        <v>19</v>
      </c>
      <c r="D668" s="30">
        <v>14</v>
      </c>
      <c r="E668" s="66" t="s">
        <v>1722</v>
      </c>
      <c r="F668" s="66" t="s">
        <v>1723</v>
      </c>
      <c r="G668" s="186" t="s">
        <v>13283</v>
      </c>
      <c r="H668" s="29" t="s">
        <v>61</v>
      </c>
      <c r="I668" s="29" t="s">
        <v>61</v>
      </c>
      <c r="J668" s="98">
        <v>45202</v>
      </c>
      <c r="K668" s="98">
        <f t="shared" si="51"/>
        <v>46298</v>
      </c>
      <c r="L668" s="110" t="s">
        <v>62</v>
      </c>
      <c r="M668" s="112" t="str">
        <f t="shared" ca="1" si="53"/>
        <v>Alerta</v>
      </c>
      <c r="N668" s="152"/>
      <c r="O668" s="67">
        <f t="shared" ca="1" si="50"/>
        <v>996</v>
      </c>
      <c r="P668" s="67">
        <f t="shared" ca="1" si="54"/>
        <v>100</v>
      </c>
      <c r="Q668" t="str">
        <f t="shared" si="52"/>
        <v>TAQ-14</v>
      </c>
    </row>
    <row r="669" spans="2:17" ht="15" customHeight="1" x14ac:dyDescent="0.35">
      <c r="B669" s="128">
        <v>14</v>
      </c>
      <c r="C669" s="128" t="s">
        <v>19</v>
      </c>
      <c r="D669" s="129">
        <v>15</v>
      </c>
      <c r="E669" s="130" t="s">
        <v>1724</v>
      </c>
      <c r="F669" s="130" t="s">
        <v>1725</v>
      </c>
      <c r="G669" s="66" t="s">
        <v>13283</v>
      </c>
      <c r="H669" s="128" t="s">
        <v>61</v>
      </c>
      <c r="I669" s="128" t="s">
        <v>61</v>
      </c>
      <c r="J669" s="98">
        <v>46104</v>
      </c>
      <c r="K669" s="98">
        <f t="shared" si="51"/>
        <v>47200</v>
      </c>
      <c r="L669" s="132" t="s">
        <v>62</v>
      </c>
      <c r="M669" s="112" t="str">
        <f t="shared" ca="1" si="53"/>
        <v>Em dia</v>
      </c>
      <c r="N669" s="133"/>
      <c r="O669" s="67">
        <f t="shared" ca="1" si="50"/>
        <v>94</v>
      </c>
      <c r="P669" s="67">
        <f t="shared" ca="1" si="54"/>
        <v>1002</v>
      </c>
      <c r="Q669" t="str">
        <f t="shared" si="52"/>
        <v>TAQ-15</v>
      </c>
    </row>
    <row r="670" spans="2:17" ht="15" customHeight="1" x14ac:dyDescent="0.35">
      <c r="B670" s="29">
        <v>14</v>
      </c>
      <c r="C670" s="29" t="s">
        <v>19</v>
      </c>
      <c r="D670" s="30">
        <v>17</v>
      </c>
      <c r="E670" s="66" t="s">
        <v>1726</v>
      </c>
      <c r="F670" s="66" t="s">
        <v>1727</v>
      </c>
      <c r="G670" s="66" t="s">
        <v>13283</v>
      </c>
      <c r="H670" s="29" t="s">
        <v>61</v>
      </c>
      <c r="I670" s="29" t="s">
        <v>61</v>
      </c>
      <c r="J670" s="98">
        <v>45202</v>
      </c>
      <c r="K670" s="98">
        <f t="shared" si="51"/>
        <v>46298</v>
      </c>
      <c r="L670" s="110" t="s">
        <v>62</v>
      </c>
      <c r="M670" s="112" t="str">
        <f t="shared" ca="1" si="53"/>
        <v>Alerta</v>
      </c>
      <c r="N670" s="112"/>
      <c r="O670" s="67">
        <f t="shared" ca="1" si="50"/>
        <v>996</v>
      </c>
      <c r="P670" s="67">
        <f t="shared" ca="1" si="54"/>
        <v>100</v>
      </c>
      <c r="Q670" t="str">
        <f t="shared" si="52"/>
        <v>TAQ-17</v>
      </c>
    </row>
    <row r="671" spans="2:17" ht="15" customHeight="1" x14ac:dyDescent="0.35">
      <c r="B671" s="29">
        <v>14</v>
      </c>
      <c r="C671" s="29" t="s">
        <v>19</v>
      </c>
      <c r="D671" s="30">
        <v>18</v>
      </c>
      <c r="E671" s="66" t="s">
        <v>1728</v>
      </c>
      <c r="F671" s="66" t="s">
        <v>1729</v>
      </c>
      <c r="G671" s="187" t="s">
        <v>13283</v>
      </c>
      <c r="H671" s="29" t="s">
        <v>61</v>
      </c>
      <c r="I671" s="29" t="s">
        <v>61</v>
      </c>
      <c r="J671" s="98">
        <v>45645</v>
      </c>
      <c r="K671" s="98">
        <f t="shared" si="51"/>
        <v>46741</v>
      </c>
      <c r="L671" s="110" t="s">
        <v>62</v>
      </c>
      <c r="M671" s="112" t="str">
        <f t="shared" ca="1" si="53"/>
        <v>Em dia</v>
      </c>
      <c r="N671" s="112"/>
      <c r="O671" s="67">
        <f t="shared" ca="1" si="50"/>
        <v>553</v>
      </c>
      <c r="P671" s="67">
        <f t="shared" ca="1" si="54"/>
        <v>543</v>
      </c>
      <c r="Q671" t="str">
        <f t="shared" si="52"/>
        <v>TAQ-18</v>
      </c>
    </row>
    <row r="672" spans="2:17" ht="15" customHeight="1" x14ac:dyDescent="0.35">
      <c r="B672" s="29">
        <v>14</v>
      </c>
      <c r="C672" s="29" t="s">
        <v>19</v>
      </c>
      <c r="D672" s="30">
        <v>19</v>
      </c>
      <c r="E672" s="66" t="s">
        <v>1730</v>
      </c>
      <c r="F672" s="66" t="s">
        <v>1731</v>
      </c>
      <c r="G672" s="187" t="s">
        <v>13283</v>
      </c>
      <c r="H672" s="29" t="s">
        <v>61</v>
      </c>
      <c r="I672" s="29" t="s">
        <v>61</v>
      </c>
      <c r="J672" s="98">
        <v>46104</v>
      </c>
      <c r="K672" s="98">
        <f t="shared" si="51"/>
        <v>47200</v>
      </c>
      <c r="L672" s="110" t="s">
        <v>62</v>
      </c>
      <c r="M672" s="112" t="str">
        <f t="shared" ca="1" si="53"/>
        <v>Em dia</v>
      </c>
      <c r="N672" s="112"/>
      <c r="O672" s="67">
        <f t="shared" ca="1" si="50"/>
        <v>94</v>
      </c>
      <c r="P672" s="67">
        <f t="shared" ca="1" si="54"/>
        <v>1002</v>
      </c>
      <c r="Q672" t="str">
        <f t="shared" si="52"/>
        <v>TAQ-19</v>
      </c>
    </row>
    <row r="673" spans="2:17" ht="15" customHeight="1" x14ac:dyDescent="0.35">
      <c r="B673" s="29">
        <v>14</v>
      </c>
      <c r="C673" s="29" t="s">
        <v>19</v>
      </c>
      <c r="D673" s="30">
        <v>20</v>
      </c>
      <c r="E673" s="66" t="s">
        <v>1732</v>
      </c>
      <c r="F673" s="66" t="s">
        <v>1733</v>
      </c>
      <c r="G673" s="66" t="s">
        <v>13284</v>
      </c>
      <c r="H673" s="29" t="s">
        <v>61</v>
      </c>
      <c r="I673" s="29" t="s">
        <v>61</v>
      </c>
      <c r="J673" s="98">
        <v>44889</v>
      </c>
      <c r="K673" s="98">
        <f t="shared" si="51"/>
        <v>45985</v>
      </c>
      <c r="L673" s="110" t="s">
        <v>62</v>
      </c>
      <c r="M673" s="112" t="str">
        <f t="shared" ca="1" si="53"/>
        <v>Vencido</v>
      </c>
      <c r="N673" s="112"/>
      <c r="O673" s="67">
        <f t="shared" ca="1" si="50"/>
        <v>1309</v>
      </c>
      <c r="P673" s="67">
        <f t="shared" ca="1" si="54"/>
        <v>-213</v>
      </c>
      <c r="Q673" t="str">
        <f t="shared" si="52"/>
        <v>TAQ-20</v>
      </c>
    </row>
    <row r="674" spans="2:17" ht="15" customHeight="1" x14ac:dyDescent="0.35">
      <c r="B674" s="29">
        <v>14</v>
      </c>
      <c r="C674" s="29" t="s">
        <v>19</v>
      </c>
      <c r="D674" s="30">
        <v>21</v>
      </c>
      <c r="E674" s="66" t="s">
        <v>1734</v>
      </c>
      <c r="F674" s="66" t="s">
        <v>1735</v>
      </c>
      <c r="G674" s="187" t="s">
        <v>13283</v>
      </c>
      <c r="H674" s="29" t="s">
        <v>61</v>
      </c>
      <c r="I674" s="29" t="s">
        <v>61</v>
      </c>
      <c r="J674" s="98">
        <v>45645</v>
      </c>
      <c r="K674" s="98">
        <f t="shared" si="51"/>
        <v>46741</v>
      </c>
      <c r="L674" s="110" t="s">
        <v>62</v>
      </c>
      <c r="M674" s="112" t="str">
        <f t="shared" ca="1" si="53"/>
        <v>Em dia</v>
      </c>
      <c r="N674" s="112"/>
      <c r="O674" s="67">
        <f t="shared" ca="1" si="50"/>
        <v>553</v>
      </c>
      <c r="P674" s="67">
        <f t="shared" ca="1" si="54"/>
        <v>543</v>
      </c>
      <c r="Q674" t="str">
        <f t="shared" si="52"/>
        <v>TAQ-21</v>
      </c>
    </row>
    <row r="675" spans="2:17" ht="15" customHeight="1" x14ac:dyDescent="0.35">
      <c r="B675" s="29">
        <v>14</v>
      </c>
      <c r="C675" s="29" t="s">
        <v>19</v>
      </c>
      <c r="D675" s="30">
        <v>22</v>
      </c>
      <c r="E675" s="66" t="s">
        <v>1736</v>
      </c>
      <c r="F675" s="66" t="s">
        <v>1737</v>
      </c>
      <c r="G675" s="66" t="s">
        <v>13284</v>
      </c>
      <c r="H675" s="29" t="s">
        <v>61</v>
      </c>
      <c r="I675" s="29" t="s">
        <v>61</v>
      </c>
      <c r="J675" s="98">
        <v>44739</v>
      </c>
      <c r="K675" s="98">
        <f t="shared" si="51"/>
        <v>45835</v>
      </c>
      <c r="L675" s="110" t="s">
        <v>62</v>
      </c>
      <c r="M675" s="112" t="str">
        <f t="shared" ca="1" si="53"/>
        <v>Vencido</v>
      </c>
      <c r="N675" s="112"/>
      <c r="O675" s="67">
        <f t="shared" ca="1" si="50"/>
        <v>1459</v>
      </c>
      <c r="P675" s="67">
        <f t="shared" ca="1" si="54"/>
        <v>-363</v>
      </c>
      <c r="Q675" t="str">
        <f t="shared" si="52"/>
        <v>TAQ-22</v>
      </c>
    </row>
    <row r="676" spans="2:17" ht="15" customHeight="1" x14ac:dyDescent="0.35">
      <c r="B676" s="29">
        <v>14</v>
      </c>
      <c r="C676" s="29" t="s">
        <v>19</v>
      </c>
      <c r="D676" s="30">
        <v>23</v>
      </c>
      <c r="E676" s="66" t="s">
        <v>1738</v>
      </c>
      <c r="F676" s="66" t="s">
        <v>1739</v>
      </c>
      <c r="G676" s="187" t="s">
        <v>13284</v>
      </c>
      <c r="H676" s="29" t="s">
        <v>61</v>
      </c>
      <c r="I676" s="29" t="s">
        <v>61</v>
      </c>
      <c r="J676" s="98">
        <v>44739</v>
      </c>
      <c r="K676" s="98">
        <f t="shared" si="51"/>
        <v>45835</v>
      </c>
      <c r="L676" s="110" t="s">
        <v>62</v>
      </c>
      <c r="M676" s="112" t="str">
        <f t="shared" ca="1" si="53"/>
        <v>Vencido</v>
      </c>
      <c r="N676" s="112"/>
      <c r="O676" s="67">
        <f t="shared" ca="1" si="50"/>
        <v>1459</v>
      </c>
      <c r="P676" s="67">
        <f t="shared" ca="1" si="54"/>
        <v>-363</v>
      </c>
      <c r="Q676" t="str">
        <f t="shared" si="52"/>
        <v>TAQ-23</v>
      </c>
    </row>
    <row r="677" spans="2:17" ht="15" customHeight="1" x14ac:dyDescent="0.35">
      <c r="B677" s="29">
        <v>14</v>
      </c>
      <c r="C677" s="29" t="s">
        <v>19</v>
      </c>
      <c r="D677" s="30">
        <v>24</v>
      </c>
      <c r="E677" s="66" t="s">
        <v>1740</v>
      </c>
      <c r="F677" s="66" t="s">
        <v>1741</v>
      </c>
      <c r="G677" s="187" t="s">
        <v>13284</v>
      </c>
      <c r="H677" s="29" t="s">
        <v>61</v>
      </c>
      <c r="I677" s="29" t="s">
        <v>61</v>
      </c>
      <c r="J677" s="98">
        <v>44739</v>
      </c>
      <c r="K677" s="98">
        <f t="shared" si="51"/>
        <v>45835</v>
      </c>
      <c r="L677" s="110" t="s">
        <v>62</v>
      </c>
      <c r="M677" s="112" t="str">
        <f t="shared" ca="1" si="53"/>
        <v>Vencido</v>
      </c>
      <c r="N677" s="112"/>
      <c r="O677" s="67">
        <f t="shared" ca="1" si="50"/>
        <v>1459</v>
      </c>
      <c r="P677" s="67">
        <f t="shared" ca="1" si="54"/>
        <v>-363</v>
      </c>
      <c r="Q677" t="str">
        <f t="shared" si="52"/>
        <v>TAQ-24</v>
      </c>
    </row>
    <row r="678" spans="2:17" ht="15" customHeight="1" x14ac:dyDescent="0.35">
      <c r="B678" s="29">
        <v>14</v>
      </c>
      <c r="C678" s="29" t="s">
        <v>19</v>
      </c>
      <c r="D678" s="30">
        <v>25</v>
      </c>
      <c r="E678" s="66" t="s">
        <v>1742</v>
      </c>
      <c r="F678" s="66" t="s">
        <v>1743</v>
      </c>
      <c r="G678" s="187" t="s">
        <v>13283</v>
      </c>
      <c r="H678" s="29" t="s">
        <v>61</v>
      </c>
      <c r="I678" s="29" t="s">
        <v>61</v>
      </c>
      <c r="J678" s="98">
        <v>46009</v>
      </c>
      <c r="K678" s="98">
        <f t="shared" si="51"/>
        <v>47105</v>
      </c>
      <c r="L678" s="110" t="s">
        <v>62</v>
      </c>
      <c r="M678" s="112" t="str">
        <f t="shared" ca="1" si="53"/>
        <v>Em dia</v>
      </c>
      <c r="N678" s="112"/>
      <c r="O678" s="67">
        <f t="shared" ca="1" si="50"/>
        <v>189</v>
      </c>
      <c r="P678" s="67">
        <f t="shared" ca="1" si="54"/>
        <v>907</v>
      </c>
      <c r="Q678" t="str">
        <f t="shared" si="52"/>
        <v>TAQ-25</v>
      </c>
    </row>
    <row r="679" spans="2:17" ht="15" customHeight="1" x14ac:dyDescent="0.35">
      <c r="B679" s="29">
        <v>14</v>
      </c>
      <c r="C679" s="29" t="s">
        <v>19</v>
      </c>
      <c r="D679" s="30">
        <v>26</v>
      </c>
      <c r="E679" s="66" t="s">
        <v>1744</v>
      </c>
      <c r="F679" s="66" t="s">
        <v>1745</v>
      </c>
      <c r="G679" s="187" t="s">
        <v>13284</v>
      </c>
      <c r="H679" s="29" t="s">
        <v>61</v>
      </c>
      <c r="I679" s="29" t="s">
        <v>61</v>
      </c>
      <c r="J679" s="98">
        <v>44739</v>
      </c>
      <c r="K679" s="98">
        <f t="shared" si="51"/>
        <v>45835</v>
      </c>
      <c r="L679" s="110" t="s">
        <v>62</v>
      </c>
      <c r="M679" s="112" t="str">
        <f t="shared" ca="1" si="53"/>
        <v>Vencido</v>
      </c>
      <c r="N679" s="112"/>
      <c r="O679" s="67">
        <f t="shared" ca="1" si="50"/>
        <v>1459</v>
      </c>
      <c r="P679" s="67">
        <f t="shared" ca="1" si="54"/>
        <v>-363</v>
      </c>
      <c r="Q679" t="str">
        <f t="shared" si="52"/>
        <v>TAQ-26</v>
      </c>
    </row>
    <row r="680" spans="2:17" ht="15" customHeight="1" x14ac:dyDescent="0.35">
      <c r="B680" s="29">
        <v>14</v>
      </c>
      <c r="C680" s="29" t="s">
        <v>19</v>
      </c>
      <c r="D680" s="30">
        <v>27</v>
      </c>
      <c r="E680" s="66" t="s">
        <v>1746</v>
      </c>
      <c r="F680" s="66" t="s">
        <v>1747</v>
      </c>
      <c r="G680" s="187" t="s">
        <v>13284</v>
      </c>
      <c r="H680" s="29" t="s">
        <v>61</v>
      </c>
      <c r="I680" s="29" t="s">
        <v>61</v>
      </c>
      <c r="J680" s="98">
        <v>44739</v>
      </c>
      <c r="K680" s="98">
        <f t="shared" si="51"/>
        <v>45835</v>
      </c>
      <c r="L680" s="110" t="s">
        <v>62</v>
      </c>
      <c r="M680" s="112" t="str">
        <f t="shared" ca="1" si="53"/>
        <v>Vencido</v>
      </c>
      <c r="N680" s="112"/>
      <c r="O680" s="67">
        <f t="shared" ca="1" si="50"/>
        <v>1459</v>
      </c>
      <c r="P680" s="67">
        <f t="shared" ca="1" si="54"/>
        <v>-363</v>
      </c>
      <c r="Q680" t="str">
        <f t="shared" si="52"/>
        <v>TAQ-27</v>
      </c>
    </row>
    <row r="681" spans="2:17" ht="15" customHeight="1" x14ac:dyDescent="0.35">
      <c r="B681" s="29">
        <v>14</v>
      </c>
      <c r="C681" s="29" t="s">
        <v>19</v>
      </c>
      <c r="D681" s="30">
        <v>28</v>
      </c>
      <c r="E681" s="66" t="s">
        <v>1748</v>
      </c>
      <c r="F681" s="66" t="s">
        <v>1749</v>
      </c>
      <c r="G681" s="187" t="s">
        <v>13284</v>
      </c>
      <c r="H681" s="29" t="s">
        <v>61</v>
      </c>
      <c r="I681" s="29" t="s">
        <v>61</v>
      </c>
      <c r="J681" s="98">
        <v>45202</v>
      </c>
      <c r="K681" s="98">
        <f t="shared" si="51"/>
        <v>46298</v>
      </c>
      <c r="L681" s="110" t="s">
        <v>62</v>
      </c>
      <c r="M681" s="112" t="str">
        <f t="shared" ca="1" si="53"/>
        <v>Alerta</v>
      </c>
      <c r="N681" s="112"/>
      <c r="O681" s="67">
        <f t="shared" ca="1" si="50"/>
        <v>996</v>
      </c>
      <c r="P681" s="67">
        <f t="shared" ca="1" si="54"/>
        <v>100</v>
      </c>
      <c r="Q681" t="str">
        <f t="shared" si="52"/>
        <v>TAQ-28</v>
      </c>
    </row>
    <row r="682" spans="2:17" ht="15" customHeight="1" x14ac:dyDescent="0.35">
      <c r="B682" s="29">
        <v>14</v>
      </c>
      <c r="C682" s="29" t="s">
        <v>19</v>
      </c>
      <c r="D682" s="30">
        <v>29</v>
      </c>
      <c r="E682" s="66" t="s">
        <v>1750</v>
      </c>
      <c r="F682" s="66" t="s">
        <v>1751</v>
      </c>
      <c r="G682" s="187" t="s">
        <v>13284</v>
      </c>
      <c r="H682" s="29" t="s">
        <v>61</v>
      </c>
      <c r="I682" s="29" t="s">
        <v>61</v>
      </c>
      <c r="J682" s="98">
        <v>45202</v>
      </c>
      <c r="K682" s="98">
        <f t="shared" si="51"/>
        <v>46298</v>
      </c>
      <c r="L682" s="110" t="s">
        <v>62</v>
      </c>
      <c r="M682" s="112" t="str">
        <f t="shared" ca="1" si="53"/>
        <v>Alerta</v>
      </c>
      <c r="N682" s="112"/>
      <c r="O682" s="67">
        <f t="shared" ca="1" si="50"/>
        <v>996</v>
      </c>
      <c r="P682" s="67">
        <f t="shared" ca="1" si="54"/>
        <v>100</v>
      </c>
      <c r="Q682" t="str">
        <f t="shared" si="52"/>
        <v>TAQ-29</v>
      </c>
    </row>
    <row r="683" spans="2:17" ht="15" customHeight="1" x14ac:dyDescent="0.35">
      <c r="B683" s="29">
        <v>14</v>
      </c>
      <c r="C683" s="29" t="s">
        <v>19</v>
      </c>
      <c r="D683" s="30">
        <v>33</v>
      </c>
      <c r="E683" s="66" t="s">
        <v>1752</v>
      </c>
      <c r="F683" s="66" t="s">
        <v>1753</v>
      </c>
      <c r="G683" s="187" t="s">
        <v>13284</v>
      </c>
      <c r="H683" s="29" t="s">
        <v>61</v>
      </c>
      <c r="I683" s="29" t="s">
        <v>61</v>
      </c>
      <c r="J683" s="98">
        <v>44739</v>
      </c>
      <c r="K683" s="98">
        <f t="shared" si="51"/>
        <v>45835</v>
      </c>
      <c r="L683" s="110" t="s">
        <v>62</v>
      </c>
      <c r="M683" s="112" t="str">
        <f t="shared" ca="1" si="53"/>
        <v>Vencido</v>
      </c>
      <c r="N683" s="112"/>
      <c r="O683" s="67">
        <f t="shared" ca="1" si="50"/>
        <v>1459</v>
      </c>
      <c r="P683" s="67">
        <f t="shared" ca="1" si="54"/>
        <v>-363</v>
      </c>
      <c r="Q683" t="str">
        <f t="shared" si="52"/>
        <v>TAQ-33</v>
      </c>
    </row>
    <row r="684" spans="2:17" ht="15" customHeight="1" x14ac:dyDescent="0.35">
      <c r="B684" s="29">
        <v>14</v>
      </c>
      <c r="C684" s="29" t="s">
        <v>19</v>
      </c>
      <c r="D684" s="30">
        <v>40</v>
      </c>
      <c r="E684" s="66" t="s">
        <v>1754</v>
      </c>
      <c r="F684" s="66" t="s">
        <v>1755</v>
      </c>
      <c r="G684" s="187" t="s">
        <v>13283</v>
      </c>
      <c r="H684" s="29" t="s">
        <v>61</v>
      </c>
      <c r="I684" s="29"/>
      <c r="J684" s="98">
        <v>45202</v>
      </c>
      <c r="K684" s="98">
        <f t="shared" si="51"/>
        <v>46298</v>
      </c>
      <c r="L684" s="110" t="s">
        <v>62</v>
      </c>
      <c r="M684" s="112" t="str">
        <f t="shared" ca="1" si="53"/>
        <v>Alerta</v>
      </c>
      <c r="N684" s="112"/>
      <c r="O684" s="67">
        <f t="shared" ca="1" si="50"/>
        <v>996</v>
      </c>
      <c r="P684" s="67">
        <f t="shared" ca="1" si="54"/>
        <v>100</v>
      </c>
      <c r="Q684" t="str">
        <f t="shared" si="52"/>
        <v>TAQ-40</v>
      </c>
    </row>
    <row r="685" spans="2:17" ht="15" customHeight="1" x14ac:dyDescent="0.35">
      <c r="B685" s="29">
        <v>14</v>
      </c>
      <c r="C685" s="29" t="s">
        <v>19</v>
      </c>
      <c r="D685" s="30">
        <v>41</v>
      </c>
      <c r="E685" s="66" t="s">
        <v>1756</v>
      </c>
      <c r="F685" s="66" t="s">
        <v>1757</v>
      </c>
      <c r="G685" s="187" t="s">
        <v>13283</v>
      </c>
      <c r="H685" s="29" t="s">
        <v>61</v>
      </c>
      <c r="I685" s="29"/>
      <c r="J685" s="98">
        <v>45202</v>
      </c>
      <c r="K685" s="98">
        <f t="shared" si="51"/>
        <v>46298</v>
      </c>
      <c r="L685" s="110" t="s">
        <v>62</v>
      </c>
      <c r="M685" s="112" t="str">
        <f t="shared" ca="1" si="53"/>
        <v>Alerta</v>
      </c>
      <c r="N685" s="112"/>
      <c r="O685" s="67">
        <f t="shared" ca="1" si="50"/>
        <v>996</v>
      </c>
      <c r="P685" s="67">
        <f t="shared" ca="1" si="54"/>
        <v>100</v>
      </c>
      <c r="Q685" t="str">
        <f t="shared" si="52"/>
        <v>TAQ-41</v>
      </c>
    </row>
    <row r="686" spans="2:17" ht="15" customHeight="1" x14ac:dyDescent="0.35">
      <c r="B686" s="29">
        <v>14</v>
      </c>
      <c r="C686" s="29" t="s">
        <v>19</v>
      </c>
      <c r="D686" s="30">
        <v>51</v>
      </c>
      <c r="E686" s="66" t="s">
        <v>1758</v>
      </c>
      <c r="F686" s="66" t="s">
        <v>1759</v>
      </c>
      <c r="G686" s="187" t="s">
        <v>13283</v>
      </c>
      <c r="H686" s="29" t="s">
        <v>61</v>
      </c>
      <c r="I686" s="29" t="s">
        <v>371</v>
      </c>
      <c r="J686" s="98">
        <v>45959</v>
      </c>
      <c r="K686" s="98">
        <f t="shared" si="51"/>
        <v>47055</v>
      </c>
      <c r="L686" s="110" t="s">
        <v>62</v>
      </c>
      <c r="M686" s="112" t="str">
        <f t="shared" ca="1" si="53"/>
        <v>Em dia</v>
      </c>
      <c r="N686" s="112"/>
      <c r="O686" s="67">
        <f t="shared" ca="1" si="50"/>
        <v>239</v>
      </c>
      <c r="P686" s="67">
        <f t="shared" ca="1" si="54"/>
        <v>857</v>
      </c>
      <c r="Q686" t="str">
        <f t="shared" si="52"/>
        <v>TAQ-51</v>
      </c>
    </row>
    <row r="687" spans="2:17" ht="15" customHeight="1" x14ac:dyDescent="0.35">
      <c r="B687" s="29">
        <v>14</v>
      </c>
      <c r="C687" s="29" t="s">
        <v>19</v>
      </c>
      <c r="D687" s="30">
        <v>52</v>
      </c>
      <c r="E687" s="66" t="s">
        <v>1760</v>
      </c>
      <c r="F687" s="66" t="s">
        <v>1761</v>
      </c>
      <c r="G687" s="187" t="s">
        <v>13283</v>
      </c>
      <c r="H687" s="29" t="s">
        <v>61</v>
      </c>
      <c r="I687" s="29" t="s">
        <v>61</v>
      </c>
      <c r="J687" s="98">
        <v>46104</v>
      </c>
      <c r="K687" s="98">
        <f t="shared" si="51"/>
        <v>47200</v>
      </c>
      <c r="L687" s="110" t="s">
        <v>62</v>
      </c>
      <c r="M687" s="112" t="str">
        <f t="shared" ca="1" si="53"/>
        <v>Em dia</v>
      </c>
      <c r="N687" s="112"/>
      <c r="O687" s="67">
        <f t="shared" ca="1" si="50"/>
        <v>94</v>
      </c>
      <c r="P687" s="67">
        <f t="shared" ca="1" si="54"/>
        <v>1002</v>
      </c>
      <c r="Q687" t="str">
        <f t="shared" si="52"/>
        <v>TAQ-52</v>
      </c>
    </row>
    <row r="688" spans="2:17" ht="15.5" x14ac:dyDescent="0.35">
      <c r="B688" s="29">
        <v>14</v>
      </c>
      <c r="C688" s="29" t="s">
        <v>19</v>
      </c>
      <c r="D688" s="30">
        <v>58</v>
      </c>
      <c r="E688" s="66" t="s">
        <v>1762</v>
      </c>
      <c r="F688" s="66" t="s">
        <v>1763</v>
      </c>
      <c r="G688" s="66" t="s">
        <v>13284</v>
      </c>
      <c r="H688" s="29" t="s">
        <v>61</v>
      </c>
      <c r="I688" s="29" t="s">
        <v>61</v>
      </c>
      <c r="J688" s="98">
        <v>44739</v>
      </c>
      <c r="K688" s="98">
        <f t="shared" si="51"/>
        <v>45835</v>
      </c>
      <c r="L688" s="110" t="s">
        <v>62</v>
      </c>
      <c r="M688" s="112" t="str">
        <f t="shared" ca="1" si="53"/>
        <v>Vencido</v>
      </c>
      <c r="N688" s="112"/>
      <c r="O688" s="67">
        <f t="shared" ca="1" si="50"/>
        <v>1459</v>
      </c>
      <c r="P688" s="67">
        <f t="shared" ca="1" si="54"/>
        <v>-363</v>
      </c>
      <c r="Q688" t="str">
        <f t="shared" si="52"/>
        <v>TAQ-58</v>
      </c>
    </row>
    <row r="689" spans="2:17" ht="15" customHeight="1" x14ac:dyDescent="0.35">
      <c r="B689" s="29">
        <v>14</v>
      </c>
      <c r="C689" s="29" t="s">
        <v>19</v>
      </c>
      <c r="D689" s="30">
        <v>60</v>
      </c>
      <c r="E689" s="66" t="s">
        <v>1764</v>
      </c>
      <c r="F689" s="66" t="s">
        <v>1765</v>
      </c>
      <c r="G689" s="187" t="s">
        <v>13284</v>
      </c>
      <c r="H689" s="29" t="s">
        <v>61</v>
      </c>
      <c r="I689" s="29" t="s">
        <v>61</v>
      </c>
      <c r="J689" s="98">
        <v>44819</v>
      </c>
      <c r="K689" s="98">
        <f t="shared" si="51"/>
        <v>45915</v>
      </c>
      <c r="L689" s="110" t="s">
        <v>62</v>
      </c>
      <c r="M689" s="112" t="str">
        <f t="shared" ca="1" si="53"/>
        <v>Vencido</v>
      </c>
      <c r="N689" s="112"/>
      <c r="O689" s="67">
        <f t="shared" ca="1" si="50"/>
        <v>1379</v>
      </c>
      <c r="P689" s="67">
        <f t="shared" ca="1" si="54"/>
        <v>-283</v>
      </c>
      <c r="Q689" t="str">
        <f t="shared" si="52"/>
        <v>TAQ-60</v>
      </c>
    </row>
    <row r="690" spans="2:17" ht="15" customHeight="1" x14ac:dyDescent="0.35">
      <c r="B690" s="29">
        <v>14</v>
      </c>
      <c r="C690" s="29" t="s">
        <v>19</v>
      </c>
      <c r="D690" s="30">
        <v>61</v>
      </c>
      <c r="E690" s="66" t="s">
        <v>1766</v>
      </c>
      <c r="F690" s="66" t="s">
        <v>1767</v>
      </c>
      <c r="G690" s="187" t="s">
        <v>13284</v>
      </c>
      <c r="H690" s="29" t="s">
        <v>61</v>
      </c>
      <c r="I690" s="29" t="s">
        <v>61</v>
      </c>
      <c r="J690" s="98">
        <v>44926</v>
      </c>
      <c r="K690" s="98">
        <f t="shared" si="51"/>
        <v>46022</v>
      </c>
      <c r="L690" s="110" t="s">
        <v>62</v>
      </c>
      <c r="M690" s="112" t="str">
        <f t="shared" ca="1" si="53"/>
        <v>Vencido</v>
      </c>
      <c r="N690" s="112"/>
      <c r="O690" s="67">
        <f t="shared" ca="1" si="50"/>
        <v>1272</v>
      </c>
      <c r="P690" s="67">
        <f t="shared" ca="1" si="54"/>
        <v>-176</v>
      </c>
      <c r="Q690" t="str">
        <f t="shared" si="52"/>
        <v>TAQ-61</v>
      </c>
    </row>
    <row r="691" spans="2:17" ht="15" customHeight="1" x14ac:dyDescent="0.35">
      <c r="B691" s="29">
        <v>14</v>
      </c>
      <c r="C691" s="29" t="s">
        <v>19</v>
      </c>
      <c r="D691" s="30">
        <v>62</v>
      </c>
      <c r="E691" s="66" t="s">
        <v>1768</v>
      </c>
      <c r="F691" s="66" t="s">
        <v>1769</v>
      </c>
      <c r="G691" s="187" t="s">
        <v>13284</v>
      </c>
      <c r="H691" s="29" t="s">
        <v>61</v>
      </c>
      <c r="I691" s="29" t="s">
        <v>61</v>
      </c>
      <c r="J691" s="98">
        <v>44926</v>
      </c>
      <c r="K691" s="98">
        <f t="shared" si="51"/>
        <v>46022</v>
      </c>
      <c r="L691" s="110" t="s">
        <v>62</v>
      </c>
      <c r="M691" s="112" t="str">
        <f t="shared" ca="1" si="53"/>
        <v>Vencido</v>
      </c>
      <c r="N691" s="112"/>
      <c r="O691" s="67">
        <f t="shared" ca="1" si="50"/>
        <v>1272</v>
      </c>
      <c r="P691" s="67">
        <f t="shared" ca="1" si="54"/>
        <v>-176</v>
      </c>
      <c r="Q691" t="str">
        <f t="shared" si="52"/>
        <v>TAQ-62</v>
      </c>
    </row>
    <row r="692" spans="2:17" ht="15" customHeight="1" x14ac:dyDescent="0.35">
      <c r="B692" s="29">
        <v>14</v>
      </c>
      <c r="C692" s="29" t="s">
        <v>19</v>
      </c>
      <c r="D692" s="30">
        <v>65</v>
      </c>
      <c r="E692" s="66" t="s">
        <v>1770</v>
      </c>
      <c r="F692" s="66" t="s">
        <v>1771</v>
      </c>
      <c r="G692" s="187" t="s">
        <v>13284</v>
      </c>
      <c r="H692" s="29" t="s">
        <v>61</v>
      </c>
      <c r="I692" s="29" t="s">
        <v>61</v>
      </c>
      <c r="J692" s="98">
        <v>45202</v>
      </c>
      <c r="K692" s="98">
        <f t="shared" si="51"/>
        <v>46298</v>
      </c>
      <c r="L692" s="110" t="s">
        <v>62</v>
      </c>
      <c r="M692" s="112" t="str">
        <f t="shared" ca="1" si="53"/>
        <v>Alerta</v>
      </c>
      <c r="N692" s="112"/>
      <c r="O692" s="67">
        <f t="shared" ca="1" si="50"/>
        <v>996</v>
      </c>
      <c r="P692" s="67">
        <f t="shared" ca="1" si="54"/>
        <v>100</v>
      </c>
      <c r="Q692" t="str">
        <f t="shared" si="52"/>
        <v>TAQ-65</v>
      </c>
    </row>
    <row r="693" spans="2:17" ht="15" customHeight="1" x14ac:dyDescent="0.35">
      <c r="B693" s="29">
        <v>14</v>
      </c>
      <c r="C693" s="29" t="s">
        <v>19</v>
      </c>
      <c r="D693" s="30">
        <v>65</v>
      </c>
      <c r="E693" s="66" t="s">
        <v>1772</v>
      </c>
      <c r="F693" s="66" t="s">
        <v>1773</v>
      </c>
      <c r="G693" s="187" t="s">
        <v>13284</v>
      </c>
      <c r="H693" s="29" t="s">
        <v>61</v>
      </c>
      <c r="I693" s="29" t="s">
        <v>61</v>
      </c>
      <c r="J693" s="98">
        <v>45202</v>
      </c>
      <c r="K693" s="98">
        <f t="shared" si="51"/>
        <v>46298</v>
      </c>
      <c r="L693" s="110" t="s">
        <v>62</v>
      </c>
      <c r="M693" s="112" t="str">
        <f t="shared" ca="1" si="53"/>
        <v>Alerta</v>
      </c>
      <c r="N693" s="112"/>
      <c r="O693" s="67">
        <f t="shared" ca="1" si="50"/>
        <v>996</v>
      </c>
      <c r="P693" s="67">
        <f t="shared" ca="1" si="54"/>
        <v>100</v>
      </c>
      <c r="Q693" t="str">
        <f t="shared" si="52"/>
        <v>TAQ-65</v>
      </c>
    </row>
    <row r="694" spans="2:17" ht="15" customHeight="1" x14ac:dyDescent="0.35">
      <c r="B694" s="29">
        <v>14</v>
      </c>
      <c r="C694" s="29" t="s">
        <v>19</v>
      </c>
      <c r="D694" s="30">
        <v>68</v>
      </c>
      <c r="E694" s="66" t="s">
        <v>1774</v>
      </c>
      <c r="F694" s="66" t="s">
        <v>1775</v>
      </c>
      <c r="G694" s="187" t="s">
        <v>13284</v>
      </c>
      <c r="H694" s="29" t="s">
        <v>61</v>
      </c>
      <c r="I694" s="29" t="s">
        <v>61</v>
      </c>
      <c r="J694" s="98">
        <v>45202</v>
      </c>
      <c r="K694" s="98">
        <f t="shared" si="51"/>
        <v>46298</v>
      </c>
      <c r="L694" s="110" t="s">
        <v>62</v>
      </c>
      <c r="M694" s="112" t="str">
        <f t="shared" ca="1" si="53"/>
        <v>Alerta</v>
      </c>
      <c r="N694" s="112"/>
      <c r="O694" s="67">
        <f t="shared" ca="1" si="50"/>
        <v>996</v>
      </c>
      <c r="P694" s="67">
        <f t="shared" ca="1" si="54"/>
        <v>100</v>
      </c>
      <c r="Q694" t="str">
        <f t="shared" si="52"/>
        <v>TAQ-68</v>
      </c>
    </row>
    <row r="695" spans="2:17" ht="15" customHeight="1" x14ac:dyDescent="0.35">
      <c r="B695" s="29">
        <v>14</v>
      </c>
      <c r="C695" s="29" t="s">
        <v>19</v>
      </c>
      <c r="D695" s="30">
        <v>71</v>
      </c>
      <c r="E695" s="66" t="s">
        <v>1776</v>
      </c>
      <c r="F695" s="66" t="s">
        <v>1777</v>
      </c>
      <c r="G695" s="26" t="s">
        <v>13282</v>
      </c>
      <c r="H695" s="29" t="s">
        <v>61</v>
      </c>
      <c r="I695" s="29" t="s">
        <v>61</v>
      </c>
      <c r="J695" s="98">
        <v>45202</v>
      </c>
      <c r="K695" s="98">
        <f t="shared" si="51"/>
        <v>46298</v>
      </c>
      <c r="L695" s="110" t="s">
        <v>62</v>
      </c>
      <c r="M695" s="112" t="str">
        <f t="shared" ca="1" si="53"/>
        <v>Alerta</v>
      </c>
      <c r="N695" s="112"/>
      <c r="O695" s="67">
        <f t="shared" ca="1" si="50"/>
        <v>996</v>
      </c>
      <c r="P695" s="67" t="s">
        <v>13312</v>
      </c>
      <c r="Q695" t="str">
        <f t="shared" si="52"/>
        <v>TAQ-71</v>
      </c>
    </row>
    <row r="696" spans="2:17" ht="15" customHeight="1" x14ac:dyDescent="0.35">
      <c r="B696" s="29">
        <v>14</v>
      </c>
      <c r="C696" s="29" t="s">
        <v>19</v>
      </c>
      <c r="D696" s="30">
        <v>30</v>
      </c>
      <c r="E696" s="66" t="s">
        <v>1778</v>
      </c>
      <c r="F696" s="66" t="s">
        <v>1779</v>
      </c>
      <c r="G696" s="187" t="s">
        <v>13284</v>
      </c>
      <c r="H696" s="29" t="s">
        <v>61</v>
      </c>
      <c r="I696" s="29" t="s">
        <v>61</v>
      </c>
      <c r="J696" s="98">
        <v>44838</v>
      </c>
      <c r="K696" s="98">
        <f t="shared" si="51"/>
        <v>45934</v>
      </c>
      <c r="L696" s="110" t="s">
        <v>62</v>
      </c>
      <c r="M696" s="112" t="str">
        <f t="shared" ca="1" si="53"/>
        <v>Vencido</v>
      </c>
      <c r="N696" s="112"/>
      <c r="O696" s="67">
        <f t="shared" ca="1" si="50"/>
        <v>1360</v>
      </c>
      <c r="P696" s="67">
        <f t="shared" ca="1" si="54"/>
        <v>-264</v>
      </c>
      <c r="Q696" t="str">
        <f t="shared" si="52"/>
        <v>TAQ-30</v>
      </c>
    </row>
    <row r="697" spans="2:17" ht="15" customHeight="1" x14ac:dyDescent="0.35">
      <c r="B697" s="29">
        <v>14</v>
      </c>
      <c r="C697" s="29" t="s">
        <v>19</v>
      </c>
      <c r="D697" s="30">
        <v>31</v>
      </c>
      <c r="E697" s="66" t="s">
        <v>1780</v>
      </c>
      <c r="F697" s="66" t="s">
        <v>1781</v>
      </c>
      <c r="G697" s="187" t="s">
        <v>13284</v>
      </c>
      <c r="H697" s="29" t="s">
        <v>61</v>
      </c>
      <c r="I697" s="29" t="s">
        <v>61</v>
      </c>
      <c r="J697" s="98">
        <v>44838</v>
      </c>
      <c r="K697" s="98">
        <f t="shared" si="51"/>
        <v>45934</v>
      </c>
      <c r="L697" s="110" t="s">
        <v>62</v>
      </c>
      <c r="M697" s="112" t="str">
        <f t="shared" ca="1" si="53"/>
        <v>Vencido</v>
      </c>
      <c r="N697" s="112"/>
      <c r="O697" s="67">
        <f t="shared" ca="1" si="50"/>
        <v>1360</v>
      </c>
      <c r="P697" s="67">
        <f t="shared" ca="1" si="54"/>
        <v>-264</v>
      </c>
      <c r="Q697" t="str">
        <f t="shared" si="52"/>
        <v>TAQ-31</v>
      </c>
    </row>
    <row r="698" spans="2:17" ht="15" customHeight="1" x14ac:dyDescent="0.35">
      <c r="B698" s="29">
        <v>14</v>
      </c>
      <c r="C698" s="29" t="s">
        <v>19</v>
      </c>
      <c r="D698" s="30">
        <v>32</v>
      </c>
      <c r="E698" s="66" t="s">
        <v>1782</v>
      </c>
      <c r="F698" s="66" t="s">
        <v>1783</v>
      </c>
      <c r="G698" s="187" t="s">
        <v>13284</v>
      </c>
      <c r="H698" s="29" t="s">
        <v>61</v>
      </c>
      <c r="I698" s="29" t="s">
        <v>61</v>
      </c>
      <c r="J698" s="98">
        <v>44838</v>
      </c>
      <c r="K698" s="98">
        <f t="shared" si="51"/>
        <v>45934</v>
      </c>
      <c r="L698" s="110" t="s">
        <v>62</v>
      </c>
      <c r="M698" s="112" t="str">
        <f t="shared" ca="1" si="53"/>
        <v>Vencido</v>
      </c>
      <c r="N698" s="112"/>
      <c r="O698" s="67">
        <f t="shared" ca="1" si="50"/>
        <v>1360</v>
      </c>
      <c r="P698" s="67">
        <f t="shared" ca="1" si="54"/>
        <v>-264</v>
      </c>
      <c r="Q698" t="str">
        <f t="shared" si="52"/>
        <v>TAQ-32</v>
      </c>
    </row>
    <row r="699" spans="2:17" ht="15" customHeight="1" x14ac:dyDescent="0.35">
      <c r="B699" s="29">
        <v>14</v>
      </c>
      <c r="C699" s="29" t="s">
        <v>19</v>
      </c>
      <c r="D699" s="29">
        <v>86</v>
      </c>
      <c r="E699" s="66" t="s">
        <v>1784</v>
      </c>
      <c r="F699" s="66" t="s">
        <v>1785</v>
      </c>
      <c r="G699" s="187" t="s">
        <v>13284</v>
      </c>
      <c r="H699" s="29" t="s">
        <v>61</v>
      </c>
      <c r="I699" s="29"/>
      <c r="J699" s="98">
        <v>45274</v>
      </c>
      <c r="K699" s="98">
        <f t="shared" si="51"/>
        <v>46370</v>
      </c>
      <c r="L699" s="110" t="s">
        <v>62</v>
      </c>
      <c r="M699" s="112" t="str">
        <f t="shared" ca="1" si="53"/>
        <v>Alerta</v>
      </c>
      <c r="N699" s="112"/>
      <c r="O699" s="67">
        <f t="shared" ca="1" si="50"/>
        <v>924</v>
      </c>
      <c r="P699" s="67">
        <f t="shared" ca="1" si="54"/>
        <v>172</v>
      </c>
      <c r="Q699" t="str">
        <f t="shared" si="52"/>
        <v>TAQ-86</v>
      </c>
    </row>
    <row r="700" spans="2:17" ht="15" customHeight="1" x14ac:dyDescent="0.35">
      <c r="B700" s="29">
        <v>14</v>
      </c>
      <c r="C700" s="29" t="s">
        <v>19</v>
      </c>
      <c r="D700" s="30">
        <v>59</v>
      </c>
      <c r="E700" s="66" t="s">
        <v>1786</v>
      </c>
      <c r="F700" s="66" t="s">
        <v>1787</v>
      </c>
      <c r="G700" s="187" t="s">
        <v>13283</v>
      </c>
      <c r="H700" s="29" t="s">
        <v>61</v>
      </c>
      <c r="I700" s="29" t="s">
        <v>61</v>
      </c>
      <c r="J700" s="98">
        <v>45462</v>
      </c>
      <c r="K700" s="98">
        <f t="shared" si="51"/>
        <v>46558</v>
      </c>
      <c r="L700" s="110" t="s">
        <v>62</v>
      </c>
      <c r="M700" s="112" t="str">
        <f t="shared" ca="1" si="53"/>
        <v>Alerta</v>
      </c>
      <c r="N700" s="112"/>
      <c r="O700" s="67">
        <f t="shared" ca="1" si="50"/>
        <v>736</v>
      </c>
      <c r="P700" s="67">
        <f t="shared" ca="1" si="54"/>
        <v>360</v>
      </c>
      <c r="Q700" t="str">
        <f t="shared" si="52"/>
        <v>TAQ-59</v>
      </c>
    </row>
    <row r="701" spans="2:17" ht="15" customHeight="1" x14ac:dyDescent="0.35">
      <c r="B701" s="29">
        <v>14</v>
      </c>
      <c r="C701" s="29" t="s">
        <v>19</v>
      </c>
      <c r="D701" s="30">
        <v>63</v>
      </c>
      <c r="E701" s="66" t="s">
        <v>1788</v>
      </c>
      <c r="F701" s="66" t="s">
        <v>1789</v>
      </c>
      <c r="G701" s="187" t="s">
        <v>13284</v>
      </c>
      <c r="H701" s="29" t="s">
        <v>61</v>
      </c>
      <c r="I701" s="29" t="s">
        <v>61</v>
      </c>
      <c r="J701" s="98">
        <v>44838</v>
      </c>
      <c r="K701" s="98">
        <f t="shared" si="51"/>
        <v>45934</v>
      </c>
      <c r="L701" s="110" t="s">
        <v>62</v>
      </c>
      <c r="M701" s="112" t="str">
        <f t="shared" ca="1" si="53"/>
        <v>Vencido</v>
      </c>
      <c r="N701" s="112"/>
      <c r="O701" s="67">
        <f t="shared" ca="1" si="50"/>
        <v>1360</v>
      </c>
      <c r="P701" s="67">
        <f t="shared" ca="1" si="54"/>
        <v>-264</v>
      </c>
      <c r="Q701" t="str">
        <f t="shared" si="52"/>
        <v>TAQ-63</v>
      </c>
    </row>
    <row r="702" spans="2:17" ht="15" customHeight="1" x14ac:dyDescent="0.35">
      <c r="B702" s="29">
        <v>9</v>
      </c>
      <c r="C702" s="29" t="s">
        <v>24</v>
      </c>
      <c r="D702" s="30" t="s">
        <v>1790</v>
      </c>
      <c r="E702" s="66" t="s">
        <v>1791</v>
      </c>
      <c r="F702" s="66" t="s">
        <v>1792</v>
      </c>
      <c r="G702" s="187" t="s">
        <v>13284</v>
      </c>
      <c r="H702" s="29" t="s">
        <v>61</v>
      </c>
      <c r="I702" s="29" t="s">
        <v>61</v>
      </c>
      <c r="J702" s="98">
        <v>44926</v>
      </c>
      <c r="K702" s="98">
        <f t="shared" si="51"/>
        <v>46022</v>
      </c>
      <c r="L702" s="110" t="s">
        <v>62</v>
      </c>
      <c r="M702" s="112" t="str">
        <f t="shared" ca="1" si="53"/>
        <v>Vencido</v>
      </c>
      <c r="N702" s="112"/>
      <c r="O702" s="67">
        <f t="shared" ca="1" si="50"/>
        <v>1272</v>
      </c>
      <c r="P702" s="67">
        <f t="shared" ca="1" si="54"/>
        <v>-176</v>
      </c>
      <c r="Q702" t="str">
        <f t="shared" si="52"/>
        <v>JUP-61</v>
      </c>
    </row>
    <row r="703" spans="2:17" ht="15" customHeight="1" x14ac:dyDescent="0.35">
      <c r="B703" s="29">
        <v>9</v>
      </c>
      <c r="C703" s="29" t="s">
        <v>24</v>
      </c>
      <c r="D703" s="30" t="s">
        <v>1793</v>
      </c>
      <c r="E703" s="66" t="s">
        <v>1794</v>
      </c>
      <c r="F703" s="66" t="s">
        <v>1795</v>
      </c>
      <c r="G703" s="187" t="s">
        <v>13284</v>
      </c>
      <c r="H703" s="29" t="s">
        <v>61</v>
      </c>
      <c r="I703" s="29" t="s">
        <v>61</v>
      </c>
      <c r="J703" s="98">
        <v>44926</v>
      </c>
      <c r="K703" s="98">
        <f t="shared" si="51"/>
        <v>46022</v>
      </c>
      <c r="L703" s="110" t="s">
        <v>62</v>
      </c>
      <c r="M703" s="112" t="str">
        <f t="shared" ca="1" si="53"/>
        <v>Vencido</v>
      </c>
      <c r="N703" s="112"/>
      <c r="O703" s="67">
        <f t="shared" ca="1" si="50"/>
        <v>1272</v>
      </c>
      <c r="P703" s="67">
        <f t="shared" ca="1" si="54"/>
        <v>-176</v>
      </c>
      <c r="Q703" t="str">
        <f t="shared" si="52"/>
        <v>JUP-61</v>
      </c>
    </row>
    <row r="704" spans="2:17" ht="15" customHeight="1" x14ac:dyDescent="0.35">
      <c r="B704" s="29">
        <v>9</v>
      </c>
      <c r="C704" s="29" t="s">
        <v>24</v>
      </c>
      <c r="D704" s="29">
        <v>86</v>
      </c>
      <c r="E704" s="66" t="s">
        <v>1796</v>
      </c>
      <c r="F704" s="66" t="s">
        <v>1797</v>
      </c>
      <c r="G704" s="187" t="s">
        <v>13284</v>
      </c>
      <c r="H704" s="135" t="s">
        <v>61</v>
      </c>
      <c r="I704" s="29"/>
      <c r="J704" s="98">
        <v>45274</v>
      </c>
      <c r="K704" s="98">
        <f t="shared" si="51"/>
        <v>46370</v>
      </c>
      <c r="L704" s="110" t="s">
        <v>62</v>
      </c>
      <c r="M704" s="112" t="str">
        <f t="shared" ca="1" si="53"/>
        <v>Alerta</v>
      </c>
      <c r="N704" s="112"/>
      <c r="O704" s="67">
        <f t="shared" ca="1" si="50"/>
        <v>924</v>
      </c>
      <c r="P704" s="67">
        <f t="shared" ca="1" si="54"/>
        <v>172</v>
      </c>
      <c r="Q704" t="str">
        <f t="shared" si="52"/>
        <v>JUP-86</v>
      </c>
    </row>
    <row r="705" spans="2:17" ht="15" customHeight="1" x14ac:dyDescent="0.35">
      <c r="B705" s="29">
        <v>9</v>
      </c>
      <c r="C705" s="29" t="s">
        <v>24</v>
      </c>
      <c r="D705" s="30">
        <v>87</v>
      </c>
      <c r="E705" s="66" t="s">
        <v>1798</v>
      </c>
      <c r="F705" s="66" t="s">
        <v>1799</v>
      </c>
      <c r="G705" s="187" t="s">
        <v>13284</v>
      </c>
      <c r="H705" s="135" t="s">
        <v>61</v>
      </c>
      <c r="I705" s="29" t="s">
        <v>371</v>
      </c>
      <c r="J705" s="98">
        <v>45895</v>
      </c>
      <c r="K705" s="98">
        <f t="shared" si="51"/>
        <v>46991</v>
      </c>
      <c r="L705" s="110" t="s">
        <v>62</v>
      </c>
      <c r="M705" s="112" t="str">
        <f t="shared" ca="1" si="53"/>
        <v>Em dia</v>
      </c>
      <c r="N705" s="112"/>
      <c r="O705" s="67">
        <f t="shared" ca="1" si="50"/>
        <v>303</v>
      </c>
      <c r="P705" s="67">
        <f t="shared" ca="1" si="54"/>
        <v>793</v>
      </c>
      <c r="Q705" t="str">
        <f t="shared" si="52"/>
        <v>JUP-87</v>
      </c>
    </row>
    <row r="706" spans="2:17" ht="15.5" x14ac:dyDescent="0.35">
      <c r="B706" s="29">
        <v>9</v>
      </c>
      <c r="C706" s="29" t="s">
        <v>24</v>
      </c>
      <c r="D706" s="30">
        <v>35</v>
      </c>
      <c r="E706" s="66" t="s">
        <v>1800</v>
      </c>
      <c r="F706" s="66" t="s">
        <v>1801</v>
      </c>
      <c r="G706" s="187" t="s">
        <v>13284</v>
      </c>
      <c r="H706" s="135" t="s">
        <v>61</v>
      </c>
      <c r="I706" s="29" t="s">
        <v>371</v>
      </c>
      <c r="J706" s="98">
        <v>45274</v>
      </c>
      <c r="K706" s="98">
        <f t="shared" si="51"/>
        <v>46370</v>
      </c>
      <c r="L706" s="110" t="s">
        <v>62</v>
      </c>
      <c r="M706" s="112" t="str">
        <f t="shared" ca="1" si="53"/>
        <v>Alerta</v>
      </c>
      <c r="N706" s="112"/>
      <c r="O706" s="67">
        <f t="shared" ca="1" si="50"/>
        <v>924</v>
      </c>
      <c r="P706" s="67">
        <f t="shared" ca="1" si="54"/>
        <v>172</v>
      </c>
      <c r="Q706" t="str">
        <f t="shared" si="52"/>
        <v>JUP-35</v>
      </c>
    </row>
    <row r="707" spans="2:17" ht="15.5" hidden="1" x14ac:dyDescent="0.35">
      <c r="B707" s="29">
        <v>15</v>
      </c>
      <c r="C707" s="29" t="s">
        <v>40</v>
      </c>
      <c r="D707" s="29">
        <v>300</v>
      </c>
      <c r="E707" s="66" t="s">
        <v>1802</v>
      </c>
      <c r="F707" s="66" t="s">
        <v>1803</v>
      </c>
      <c r="G707" s="193" t="s">
        <v>13309</v>
      </c>
      <c r="H707" s="135" t="s">
        <v>61</v>
      </c>
      <c r="I707" s="29" t="s">
        <v>61</v>
      </c>
      <c r="J707" s="98">
        <v>45531</v>
      </c>
      <c r="K707" s="98">
        <f t="shared" si="51"/>
        <v>46627</v>
      </c>
      <c r="L707" s="110" t="s">
        <v>62</v>
      </c>
      <c r="M707" s="112" t="str">
        <f t="shared" ca="1" si="53"/>
        <v>Em dia</v>
      </c>
      <c r="N707" s="112"/>
      <c r="O707" s="67">
        <f t="shared" ca="1" si="50"/>
        <v>667</v>
      </c>
      <c r="P707" s="67">
        <f t="shared" ca="1" si="54"/>
        <v>429</v>
      </c>
      <c r="Q707" t="str">
        <f t="shared" si="52"/>
        <v>ARN-300</v>
      </c>
    </row>
    <row r="708" spans="2:17" ht="15.5" hidden="1" x14ac:dyDescent="0.35">
      <c r="B708" s="29">
        <v>15</v>
      </c>
      <c r="C708" s="29" t="s">
        <v>40</v>
      </c>
      <c r="D708" s="29">
        <v>301</v>
      </c>
      <c r="E708" s="66" t="s">
        <v>1804</v>
      </c>
      <c r="F708" s="66" t="s">
        <v>1804</v>
      </c>
      <c r="G708" s="193" t="s">
        <v>13309</v>
      </c>
      <c r="H708" s="135" t="s">
        <v>61</v>
      </c>
      <c r="I708" s="29" t="s">
        <v>61</v>
      </c>
      <c r="J708" s="98">
        <v>45531</v>
      </c>
      <c r="K708" s="98">
        <f t="shared" si="51"/>
        <v>46627</v>
      </c>
      <c r="L708" s="110" t="s">
        <v>62</v>
      </c>
      <c r="M708" s="112" t="str">
        <f t="shared" ca="1" si="53"/>
        <v>Em dia</v>
      </c>
      <c r="N708" s="112"/>
      <c r="O708" s="67">
        <f t="shared" ref="O708:O757" ca="1" si="55">$O$4-J708</f>
        <v>667</v>
      </c>
      <c r="P708" s="67">
        <f t="shared" ca="1" si="54"/>
        <v>429</v>
      </c>
      <c r="Q708" t="str">
        <f t="shared" si="52"/>
        <v>ARN-301</v>
      </c>
    </row>
    <row r="709" spans="2:17" ht="15.5" hidden="1" x14ac:dyDescent="0.35">
      <c r="B709" s="29">
        <v>15</v>
      </c>
      <c r="C709" s="29" t="s">
        <v>40</v>
      </c>
      <c r="D709" s="29">
        <v>302</v>
      </c>
      <c r="E709" s="66" t="s">
        <v>1805</v>
      </c>
      <c r="F709" s="66" t="s">
        <v>1806</v>
      </c>
      <c r="G709" s="193" t="s">
        <v>13309</v>
      </c>
      <c r="H709" s="135" t="s">
        <v>61</v>
      </c>
      <c r="I709" s="29" t="s">
        <v>371</v>
      </c>
      <c r="J709" s="98">
        <v>45506</v>
      </c>
      <c r="K709" s="98">
        <f t="shared" ref="K709:K756" si="56">J709+1096</f>
        <v>46602</v>
      </c>
      <c r="L709" s="110" t="s">
        <v>155</v>
      </c>
      <c r="M709" s="112" t="str">
        <f t="shared" ca="1" si="53"/>
        <v>Em dia</v>
      </c>
      <c r="N709" s="112"/>
      <c r="O709" s="67">
        <f t="shared" ca="1" si="55"/>
        <v>692</v>
      </c>
      <c r="P709" s="67">
        <f t="shared" ca="1" si="54"/>
        <v>404</v>
      </c>
      <c r="Q709" t="str">
        <f t="shared" ref="Q709:Q757" si="57">IF(OR(C709="ARN",C709="SDP"),MID(E709,4,7),MID(E709,4,6))</f>
        <v>ARN-302</v>
      </c>
    </row>
    <row r="710" spans="2:17" ht="15.5" hidden="1" x14ac:dyDescent="0.35">
      <c r="B710" s="29">
        <v>15</v>
      </c>
      <c r="C710" s="29" t="s">
        <v>40</v>
      </c>
      <c r="D710" s="29">
        <v>303</v>
      </c>
      <c r="E710" s="66" t="s">
        <v>1807</v>
      </c>
      <c r="F710" s="66" t="s">
        <v>1808</v>
      </c>
      <c r="G710" s="193" t="s">
        <v>13309</v>
      </c>
      <c r="H710" s="135" t="s">
        <v>61</v>
      </c>
      <c r="I710" s="29" t="s">
        <v>61</v>
      </c>
      <c r="J710" s="98">
        <v>45531</v>
      </c>
      <c r="K710" s="98">
        <f t="shared" si="56"/>
        <v>46627</v>
      </c>
      <c r="L710" s="110" t="s">
        <v>62</v>
      </c>
      <c r="M710" s="112" t="str">
        <f t="shared" ref="M710:M756" ca="1" si="58">IF(O710="","",IF(O710&gt;1095,"Vencido",IF(O710&gt;910,"Alerta",IF(O710&gt;820,"Alerta",IF(O710&gt;730,"Alerta",IF(O710&gt;=0,"Em dia","Vencido"))))))</f>
        <v>Em dia</v>
      </c>
      <c r="N710" s="112"/>
      <c r="O710" s="67">
        <f t="shared" ca="1" si="55"/>
        <v>667</v>
      </c>
      <c r="P710" s="67">
        <f t="shared" ref="P710:P757" ca="1" si="59">K710-$P$3</f>
        <v>429</v>
      </c>
      <c r="Q710" t="str">
        <f t="shared" si="57"/>
        <v>ARN-303</v>
      </c>
    </row>
    <row r="711" spans="2:17" ht="15.5" hidden="1" x14ac:dyDescent="0.35">
      <c r="B711" s="29">
        <v>15</v>
      </c>
      <c r="C711" s="29" t="s">
        <v>40</v>
      </c>
      <c r="D711" s="29">
        <v>306</v>
      </c>
      <c r="E711" s="66" t="s">
        <v>1809</v>
      </c>
      <c r="F711" s="66" t="s">
        <v>1810</v>
      </c>
      <c r="G711" s="193" t="s">
        <v>13309</v>
      </c>
      <c r="H711" s="135" t="s">
        <v>61</v>
      </c>
      <c r="I711" s="29" t="s">
        <v>371</v>
      </c>
      <c r="J711" s="98">
        <v>45462</v>
      </c>
      <c r="K711" s="98">
        <f t="shared" si="56"/>
        <v>46558</v>
      </c>
      <c r="L711" s="110" t="s">
        <v>155</v>
      </c>
      <c r="M711" s="112" t="str">
        <f t="shared" ca="1" si="58"/>
        <v>Alerta</v>
      </c>
      <c r="N711" s="112"/>
      <c r="O711" s="67">
        <f t="shared" ca="1" si="55"/>
        <v>736</v>
      </c>
      <c r="P711" s="67">
        <f t="shared" ca="1" si="59"/>
        <v>360</v>
      </c>
      <c r="Q711" t="str">
        <f t="shared" si="57"/>
        <v>ARN-306</v>
      </c>
    </row>
    <row r="712" spans="2:17" ht="15.5" hidden="1" x14ac:dyDescent="0.35">
      <c r="B712" s="29">
        <v>15</v>
      </c>
      <c r="C712" s="29" t="s">
        <v>40</v>
      </c>
      <c r="D712" s="29">
        <v>308</v>
      </c>
      <c r="E712" s="66" t="s">
        <v>1811</v>
      </c>
      <c r="F712" s="66" t="s">
        <v>1812</v>
      </c>
      <c r="G712" s="193" t="s">
        <v>13309</v>
      </c>
      <c r="H712" s="135" t="s">
        <v>61</v>
      </c>
      <c r="I712" s="29" t="s">
        <v>61</v>
      </c>
      <c r="J712" s="98">
        <v>45462</v>
      </c>
      <c r="K712" s="98">
        <f t="shared" si="56"/>
        <v>46558</v>
      </c>
      <c r="L712" s="110" t="s">
        <v>62</v>
      </c>
      <c r="M712" s="112" t="str">
        <f t="shared" ca="1" si="58"/>
        <v>Alerta</v>
      </c>
      <c r="N712" s="112"/>
      <c r="O712" s="67">
        <f t="shared" ca="1" si="55"/>
        <v>736</v>
      </c>
      <c r="P712" s="67">
        <f t="shared" ca="1" si="59"/>
        <v>360</v>
      </c>
      <c r="Q712" t="str">
        <f t="shared" si="57"/>
        <v>ARN-308</v>
      </c>
    </row>
    <row r="713" spans="2:17" ht="15.5" hidden="1" x14ac:dyDescent="0.35">
      <c r="B713" s="29">
        <v>15</v>
      </c>
      <c r="C713" s="29" t="s">
        <v>40</v>
      </c>
      <c r="D713" s="29">
        <v>310</v>
      </c>
      <c r="E713" s="66" t="s">
        <v>1813</v>
      </c>
      <c r="F713" s="66" t="s">
        <v>1814</v>
      </c>
      <c r="G713" s="193" t="s">
        <v>13309</v>
      </c>
      <c r="H713" s="135" t="s">
        <v>61</v>
      </c>
      <c r="I713" s="29" t="s">
        <v>371</v>
      </c>
      <c r="J713" s="98">
        <v>45462</v>
      </c>
      <c r="K713" s="98">
        <f t="shared" si="56"/>
        <v>46558</v>
      </c>
      <c r="L713" s="110" t="s">
        <v>155</v>
      </c>
      <c r="M713" s="112" t="str">
        <f t="shared" ca="1" si="58"/>
        <v>Alerta</v>
      </c>
      <c r="N713" s="112"/>
      <c r="O713" s="67">
        <f t="shared" ca="1" si="55"/>
        <v>736</v>
      </c>
      <c r="P713" s="67">
        <f t="shared" ca="1" si="59"/>
        <v>360</v>
      </c>
      <c r="Q713" t="str">
        <f t="shared" si="57"/>
        <v>ARN-310</v>
      </c>
    </row>
    <row r="714" spans="2:17" ht="15.5" hidden="1" x14ac:dyDescent="0.35">
      <c r="B714" s="29">
        <v>15</v>
      </c>
      <c r="C714" s="29" t="s">
        <v>40</v>
      </c>
      <c r="D714" s="29">
        <v>311</v>
      </c>
      <c r="E714" s="66" t="s">
        <v>1815</v>
      </c>
      <c r="F714" s="66" t="s">
        <v>1816</v>
      </c>
      <c r="G714" s="193" t="s">
        <v>13309</v>
      </c>
      <c r="H714" s="135" t="s">
        <v>61</v>
      </c>
      <c r="I714" s="29" t="s">
        <v>61</v>
      </c>
      <c r="J714" s="98">
        <v>45531</v>
      </c>
      <c r="K714" s="98">
        <f t="shared" si="56"/>
        <v>46627</v>
      </c>
      <c r="L714" s="110" t="s">
        <v>62</v>
      </c>
      <c r="M714" s="112" t="str">
        <f t="shared" ca="1" si="58"/>
        <v>Em dia</v>
      </c>
      <c r="N714" s="112"/>
      <c r="O714" s="67">
        <f t="shared" ca="1" si="55"/>
        <v>667</v>
      </c>
      <c r="P714" s="67">
        <f t="shared" ca="1" si="59"/>
        <v>429</v>
      </c>
      <c r="Q714" t="str">
        <f t="shared" si="57"/>
        <v>ARN-311</v>
      </c>
    </row>
    <row r="715" spans="2:17" ht="15.5" hidden="1" x14ac:dyDescent="0.35">
      <c r="B715" s="29">
        <v>15</v>
      </c>
      <c r="C715" s="29" t="s">
        <v>40</v>
      </c>
      <c r="D715" s="29">
        <v>312</v>
      </c>
      <c r="E715" s="66" t="s">
        <v>1817</v>
      </c>
      <c r="F715" s="66" t="s">
        <v>1818</v>
      </c>
      <c r="G715" s="193" t="s">
        <v>13309</v>
      </c>
      <c r="H715" s="135" t="s">
        <v>61</v>
      </c>
      <c r="I715" s="29" t="s">
        <v>371</v>
      </c>
      <c r="J715" s="98">
        <v>45506</v>
      </c>
      <c r="K715" s="98">
        <f t="shared" si="56"/>
        <v>46602</v>
      </c>
      <c r="L715" s="110" t="s">
        <v>155</v>
      </c>
      <c r="M715" s="112" t="str">
        <f t="shared" ca="1" si="58"/>
        <v>Em dia</v>
      </c>
      <c r="N715" s="112"/>
      <c r="O715" s="67">
        <f t="shared" ca="1" si="55"/>
        <v>692</v>
      </c>
      <c r="P715" s="67">
        <f t="shared" ca="1" si="59"/>
        <v>404</v>
      </c>
      <c r="Q715" t="str">
        <f t="shared" si="57"/>
        <v>ARN-312</v>
      </c>
    </row>
    <row r="716" spans="2:17" ht="15.5" hidden="1" x14ac:dyDescent="0.35">
      <c r="B716" s="29">
        <v>15</v>
      </c>
      <c r="C716" s="29" t="s">
        <v>40</v>
      </c>
      <c r="D716" s="29">
        <v>314</v>
      </c>
      <c r="E716" s="66" t="s">
        <v>1819</v>
      </c>
      <c r="F716" s="66" t="s">
        <v>1820</v>
      </c>
      <c r="G716" s="193" t="s">
        <v>13309</v>
      </c>
      <c r="H716" s="135" t="s">
        <v>61</v>
      </c>
      <c r="I716" s="29" t="s">
        <v>371</v>
      </c>
      <c r="J716" s="98">
        <v>45799</v>
      </c>
      <c r="K716" s="98">
        <f t="shared" si="56"/>
        <v>46895</v>
      </c>
      <c r="L716" s="110" t="s">
        <v>155</v>
      </c>
      <c r="M716" s="112" t="str">
        <f t="shared" ca="1" si="58"/>
        <v>Em dia</v>
      </c>
      <c r="N716" s="112"/>
      <c r="O716" s="67">
        <f t="shared" ca="1" si="55"/>
        <v>399</v>
      </c>
      <c r="P716" s="67">
        <f t="shared" ca="1" si="59"/>
        <v>697</v>
      </c>
      <c r="Q716" t="str">
        <f t="shared" si="57"/>
        <v>ARN-314</v>
      </c>
    </row>
    <row r="717" spans="2:17" ht="15.5" hidden="1" x14ac:dyDescent="0.35">
      <c r="B717" s="29">
        <v>15</v>
      </c>
      <c r="C717" s="29" t="s">
        <v>40</v>
      </c>
      <c r="D717" s="29">
        <v>315</v>
      </c>
      <c r="E717" s="66" t="s">
        <v>1821</v>
      </c>
      <c r="F717" s="66" t="s">
        <v>1822</v>
      </c>
      <c r="G717" s="193" t="s">
        <v>13309</v>
      </c>
      <c r="H717" s="135" t="s">
        <v>61</v>
      </c>
      <c r="I717" s="29" t="s">
        <v>371</v>
      </c>
      <c r="J717" s="98">
        <v>45379</v>
      </c>
      <c r="K717" s="98">
        <f t="shared" si="56"/>
        <v>46475</v>
      </c>
      <c r="L717" s="110" t="s">
        <v>155</v>
      </c>
      <c r="M717" s="112" t="str">
        <f t="shared" ca="1" si="58"/>
        <v>Alerta</v>
      </c>
      <c r="N717" s="112"/>
      <c r="O717" s="67">
        <f t="shared" ca="1" si="55"/>
        <v>819</v>
      </c>
      <c r="P717" s="67">
        <f t="shared" ca="1" si="59"/>
        <v>277</v>
      </c>
      <c r="Q717" t="str">
        <f t="shared" si="57"/>
        <v>ARN-315</v>
      </c>
    </row>
    <row r="718" spans="2:17" ht="15.5" hidden="1" x14ac:dyDescent="0.35">
      <c r="B718" s="29">
        <v>15</v>
      </c>
      <c r="C718" s="29" t="s">
        <v>40</v>
      </c>
      <c r="D718" s="29">
        <v>317</v>
      </c>
      <c r="E718" s="66" t="s">
        <v>1823</v>
      </c>
      <c r="F718" s="66" t="s">
        <v>1824</v>
      </c>
      <c r="G718" s="193" t="s">
        <v>13309</v>
      </c>
      <c r="H718" s="135" t="s">
        <v>61</v>
      </c>
      <c r="I718" s="29" t="s">
        <v>371</v>
      </c>
      <c r="J718" s="98">
        <v>45506</v>
      </c>
      <c r="K718" s="98">
        <f t="shared" si="56"/>
        <v>46602</v>
      </c>
      <c r="L718" s="110" t="s">
        <v>155</v>
      </c>
      <c r="M718" s="112" t="str">
        <f t="shared" ca="1" si="58"/>
        <v>Em dia</v>
      </c>
      <c r="N718" s="112"/>
      <c r="O718" s="67">
        <f t="shared" ca="1" si="55"/>
        <v>692</v>
      </c>
      <c r="P718" s="67">
        <f t="shared" ca="1" si="59"/>
        <v>404</v>
      </c>
      <c r="Q718" t="str">
        <f t="shared" si="57"/>
        <v>ARN-317</v>
      </c>
    </row>
    <row r="719" spans="2:17" ht="15.5" hidden="1" x14ac:dyDescent="0.35">
      <c r="B719" s="29">
        <v>15</v>
      </c>
      <c r="C719" s="29" t="s">
        <v>40</v>
      </c>
      <c r="D719" s="29">
        <v>319</v>
      </c>
      <c r="E719" s="66" t="s">
        <v>1825</v>
      </c>
      <c r="F719" s="66" t="s">
        <v>1826</v>
      </c>
      <c r="G719" s="193" t="s">
        <v>13309</v>
      </c>
      <c r="H719" s="135" t="s">
        <v>61</v>
      </c>
      <c r="I719" s="29" t="s">
        <v>371</v>
      </c>
      <c r="J719" s="98">
        <v>45462</v>
      </c>
      <c r="K719" s="98">
        <f t="shared" si="56"/>
        <v>46558</v>
      </c>
      <c r="L719" s="110" t="s">
        <v>62</v>
      </c>
      <c r="M719" s="112" t="str">
        <f t="shared" ca="1" si="58"/>
        <v>Alerta</v>
      </c>
      <c r="N719" s="112"/>
      <c r="O719" s="67">
        <f t="shared" ca="1" si="55"/>
        <v>736</v>
      </c>
      <c r="P719" s="67">
        <f t="shared" ca="1" si="59"/>
        <v>360</v>
      </c>
      <c r="Q719" t="str">
        <f t="shared" si="57"/>
        <v>ARN-319</v>
      </c>
    </row>
    <row r="720" spans="2:17" ht="15.5" hidden="1" x14ac:dyDescent="0.35">
      <c r="B720" s="29">
        <v>15</v>
      </c>
      <c r="C720" s="29" t="s">
        <v>40</v>
      </c>
      <c r="D720" s="29">
        <v>324</v>
      </c>
      <c r="E720" s="66" t="s">
        <v>1827</v>
      </c>
      <c r="F720" s="66" t="s">
        <v>1828</v>
      </c>
      <c r="G720" s="193" t="s">
        <v>13309</v>
      </c>
      <c r="H720" s="135" t="s">
        <v>61</v>
      </c>
      <c r="I720" s="29" t="s">
        <v>371</v>
      </c>
      <c r="J720" s="98">
        <v>45379</v>
      </c>
      <c r="K720" s="98">
        <f t="shared" si="56"/>
        <v>46475</v>
      </c>
      <c r="L720" s="110" t="s">
        <v>155</v>
      </c>
      <c r="M720" s="112" t="str">
        <f t="shared" ca="1" si="58"/>
        <v>Alerta</v>
      </c>
      <c r="N720" s="112"/>
      <c r="O720" s="67">
        <f t="shared" ca="1" si="55"/>
        <v>819</v>
      </c>
      <c r="P720" s="67">
        <f t="shared" ca="1" si="59"/>
        <v>277</v>
      </c>
      <c r="Q720" t="str">
        <f t="shared" si="57"/>
        <v>ARN-324</v>
      </c>
    </row>
    <row r="721" spans="2:17" ht="15.5" hidden="1" x14ac:dyDescent="0.35">
      <c r="B721" s="29">
        <v>15</v>
      </c>
      <c r="C721" s="29" t="s">
        <v>40</v>
      </c>
      <c r="D721" s="29">
        <v>325</v>
      </c>
      <c r="E721" s="66" t="s">
        <v>1829</v>
      </c>
      <c r="F721" s="66" t="s">
        <v>1830</v>
      </c>
      <c r="G721" s="193" t="s">
        <v>13309</v>
      </c>
      <c r="H721" s="135" t="s">
        <v>61</v>
      </c>
      <c r="I721" s="29" t="s">
        <v>371</v>
      </c>
      <c r="J721" s="98">
        <v>45645</v>
      </c>
      <c r="K721" s="98">
        <f t="shared" si="56"/>
        <v>46741</v>
      </c>
      <c r="L721" s="110" t="s">
        <v>155</v>
      </c>
      <c r="M721" s="112" t="str">
        <f t="shared" ca="1" si="58"/>
        <v>Em dia</v>
      </c>
      <c r="N721" s="112"/>
      <c r="O721" s="67">
        <f t="shared" ca="1" si="55"/>
        <v>553</v>
      </c>
      <c r="P721" s="67">
        <f t="shared" ca="1" si="59"/>
        <v>543</v>
      </c>
      <c r="Q721" t="str">
        <f t="shared" si="57"/>
        <v>ARN-325</v>
      </c>
    </row>
    <row r="722" spans="2:17" ht="15.5" hidden="1" x14ac:dyDescent="0.35">
      <c r="B722" s="29">
        <v>15</v>
      </c>
      <c r="C722" s="29" t="s">
        <v>40</v>
      </c>
      <c r="D722" s="29">
        <v>327</v>
      </c>
      <c r="E722" s="66" t="s">
        <v>1831</v>
      </c>
      <c r="F722" s="66" t="s">
        <v>1832</v>
      </c>
      <c r="G722" s="193" t="s">
        <v>13309</v>
      </c>
      <c r="H722" s="135" t="s">
        <v>61</v>
      </c>
      <c r="I722" s="29" t="s">
        <v>371</v>
      </c>
      <c r="J722" s="98">
        <v>45506</v>
      </c>
      <c r="K722" s="98">
        <f t="shared" si="56"/>
        <v>46602</v>
      </c>
      <c r="L722" s="110" t="s">
        <v>155</v>
      </c>
      <c r="M722" s="112" t="str">
        <f t="shared" ca="1" si="58"/>
        <v>Em dia</v>
      </c>
      <c r="N722" s="112"/>
      <c r="O722" s="67">
        <f t="shared" ca="1" si="55"/>
        <v>692</v>
      </c>
      <c r="P722" s="67">
        <f t="shared" ca="1" si="59"/>
        <v>404</v>
      </c>
      <c r="Q722" t="str">
        <f t="shared" si="57"/>
        <v>ARN-327</v>
      </c>
    </row>
    <row r="723" spans="2:17" ht="15.5" hidden="1" x14ac:dyDescent="0.35">
      <c r="B723" s="29">
        <v>15</v>
      </c>
      <c r="C723" s="29" t="s">
        <v>40</v>
      </c>
      <c r="D723" s="29">
        <v>340</v>
      </c>
      <c r="E723" s="66" t="s">
        <v>1833</v>
      </c>
      <c r="F723" s="66" t="s">
        <v>1834</v>
      </c>
      <c r="G723" s="193" t="s">
        <v>13309</v>
      </c>
      <c r="H723" s="135" t="s">
        <v>61</v>
      </c>
      <c r="I723" s="29" t="s">
        <v>371</v>
      </c>
      <c r="J723" s="98">
        <v>45379</v>
      </c>
      <c r="K723" s="98">
        <f t="shared" si="56"/>
        <v>46475</v>
      </c>
      <c r="L723" s="110" t="s">
        <v>155</v>
      </c>
      <c r="M723" s="112" t="str">
        <f t="shared" ca="1" si="58"/>
        <v>Alerta</v>
      </c>
      <c r="N723" s="112"/>
      <c r="O723" s="67">
        <f t="shared" ca="1" si="55"/>
        <v>819</v>
      </c>
      <c r="P723" s="67">
        <f t="shared" ca="1" si="59"/>
        <v>277</v>
      </c>
      <c r="Q723" t="str">
        <f t="shared" si="57"/>
        <v>ARN-340</v>
      </c>
    </row>
    <row r="724" spans="2:17" ht="15.5" hidden="1" x14ac:dyDescent="0.35">
      <c r="B724" s="29">
        <v>15</v>
      </c>
      <c r="C724" s="29" t="s">
        <v>40</v>
      </c>
      <c r="D724" s="29">
        <v>341</v>
      </c>
      <c r="E724" s="66" t="s">
        <v>1835</v>
      </c>
      <c r="F724" s="66" t="s">
        <v>1836</v>
      </c>
      <c r="G724" s="193" t="s">
        <v>13309</v>
      </c>
      <c r="H724" s="135" t="s">
        <v>61</v>
      </c>
      <c r="I724" s="29" t="s">
        <v>371</v>
      </c>
      <c r="J724" s="98">
        <v>45379</v>
      </c>
      <c r="K724" s="98">
        <f t="shared" si="56"/>
        <v>46475</v>
      </c>
      <c r="L724" s="110" t="s">
        <v>155</v>
      </c>
      <c r="M724" s="112" t="str">
        <f t="shared" ca="1" si="58"/>
        <v>Alerta</v>
      </c>
      <c r="N724" s="112"/>
      <c r="O724" s="67">
        <f t="shared" ca="1" si="55"/>
        <v>819</v>
      </c>
      <c r="P724" s="67">
        <f t="shared" ca="1" si="59"/>
        <v>277</v>
      </c>
      <c r="Q724" t="str">
        <f t="shared" si="57"/>
        <v>ARN-341</v>
      </c>
    </row>
    <row r="725" spans="2:17" ht="15.5" hidden="1" x14ac:dyDescent="0.35">
      <c r="B725" s="29">
        <v>15</v>
      </c>
      <c r="C725" s="29" t="s">
        <v>40</v>
      </c>
      <c r="D725" s="29">
        <v>351</v>
      </c>
      <c r="E725" s="66" t="s">
        <v>1837</v>
      </c>
      <c r="F725" s="66" t="s">
        <v>1838</v>
      </c>
      <c r="G725" s="193" t="s">
        <v>13309</v>
      </c>
      <c r="H725" s="135" t="s">
        <v>61</v>
      </c>
      <c r="I725" s="29" t="s">
        <v>371</v>
      </c>
      <c r="J725" s="98">
        <v>45379</v>
      </c>
      <c r="K725" s="98">
        <f t="shared" si="56"/>
        <v>46475</v>
      </c>
      <c r="L725" s="110" t="s">
        <v>155</v>
      </c>
      <c r="M725" s="112" t="str">
        <f t="shared" ca="1" si="58"/>
        <v>Alerta</v>
      </c>
      <c r="N725" s="112"/>
      <c r="O725" s="67">
        <f t="shared" ca="1" si="55"/>
        <v>819</v>
      </c>
      <c r="P725" s="67">
        <f t="shared" ca="1" si="59"/>
        <v>277</v>
      </c>
      <c r="Q725" t="str">
        <f t="shared" si="57"/>
        <v>ARN-351</v>
      </c>
    </row>
    <row r="726" spans="2:17" ht="15.5" hidden="1" x14ac:dyDescent="0.35">
      <c r="B726" s="29">
        <v>15</v>
      </c>
      <c r="C726" s="29" t="s">
        <v>40</v>
      </c>
      <c r="D726" s="134">
        <v>359</v>
      </c>
      <c r="E726" s="66" t="s">
        <v>1839</v>
      </c>
      <c r="F726" s="66" t="s">
        <v>1840</v>
      </c>
      <c r="G726" s="193" t="s">
        <v>13309</v>
      </c>
      <c r="H726" s="135" t="s">
        <v>61</v>
      </c>
      <c r="I726" s="29" t="s">
        <v>371</v>
      </c>
      <c r="J726" s="98">
        <v>45462</v>
      </c>
      <c r="K726" s="98">
        <f t="shared" si="56"/>
        <v>46558</v>
      </c>
      <c r="L726" s="110" t="s">
        <v>62</v>
      </c>
      <c r="M726" s="112" t="str">
        <f t="shared" ca="1" si="58"/>
        <v>Alerta</v>
      </c>
      <c r="N726" s="112"/>
      <c r="O726" s="67">
        <f t="shared" ca="1" si="55"/>
        <v>736</v>
      </c>
      <c r="P726" s="67">
        <f t="shared" ca="1" si="59"/>
        <v>360</v>
      </c>
      <c r="Q726" t="str">
        <f t="shared" si="57"/>
        <v>ARN-359</v>
      </c>
    </row>
    <row r="727" spans="2:17" ht="15.5" hidden="1" x14ac:dyDescent="0.35">
      <c r="B727" s="29">
        <v>15</v>
      </c>
      <c r="C727" s="29" t="s">
        <v>40</v>
      </c>
      <c r="D727" s="29">
        <v>360</v>
      </c>
      <c r="E727" s="66" t="s">
        <v>1841</v>
      </c>
      <c r="F727" s="66" t="s">
        <v>1842</v>
      </c>
      <c r="G727" s="193" t="s">
        <v>13309</v>
      </c>
      <c r="H727" s="135" t="s">
        <v>61</v>
      </c>
      <c r="I727" s="29" t="s">
        <v>371</v>
      </c>
      <c r="J727" s="98">
        <v>45506</v>
      </c>
      <c r="K727" s="98">
        <f t="shared" si="56"/>
        <v>46602</v>
      </c>
      <c r="L727" s="110" t="s">
        <v>155</v>
      </c>
      <c r="M727" s="112" t="str">
        <f t="shared" ca="1" si="58"/>
        <v>Em dia</v>
      </c>
      <c r="N727" s="112"/>
      <c r="O727" s="67">
        <f t="shared" ca="1" si="55"/>
        <v>692</v>
      </c>
      <c r="P727" s="67">
        <f t="shared" ca="1" si="59"/>
        <v>404</v>
      </c>
      <c r="Q727" t="str">
        <f t="shared" si="57"/>
        <v>ARN-360</v>
      </c>
    </row>
    <row r="728" spans="2:17" ht="15.5" x14ac:dyDescent="0.35">
      <c r="B728" s="29">
        <v>17</v>
      </c>
      <c r="C728" s="29" t="s">
        <v>42</v>
      </c>
      <c r="D728" s="29">
        <v>12</v>
      </c>
      <c r="E728" s="67" t="s">
        <v>1843</v>
      </c>
      <c r="F728" s="67" t="s">
        <v>1844</v>
      </c>
      <c r="G728" s="186" t="s">
        <v>13283</v>
      </c>
      <c r="H728" s="135" t="s">
        <v>61</v>
      </c>
      <c r="I728" s="29" t="s">
        <v>61</v>
      </c>
      <c r="J728" s="98">
        <v>45595</v>
      </c>
      <c r="K728" s="98">
        <f t="shared" si="56"/>
        <v>46691</v>
      </c>
      <c r="L728" s="110" t="s">
        <v>155</v>
      </c>
      <c r="M728" s="112" t="str">
        <f t="shared" ca="1" si="58"/>
        <v>Em dia</v>
      </c>
      <c r="N728" s="112"/>
      <c r="O728" s="67">
        <f t="shared" ca="1" si="55"/>
        <v>603</v>
      </c>
      <c r="P728" s="67">
        <f t="shared" ca="1" si="59"/>
        <v>493</v>
      </c>
      <c r="Q728" t="str">
        <f t="shared" si="57"/>
        <v>COG-12</v>
      </c>
    </row>
    <row r="729" spans="2:17" ht="15.5" hidden="1" x14ac:dyDescent="0.35">
      <c r="B729" s="29">
        <v>16</v>
      </c>
      <c r="C729" s="29" t="s">
        <v>41</v>
      </c>
      <c r="D729" s="29">
        <v>601</v>
      </c>
      <c r="E729" s="66" t="s">
        <v>1845</v>
      </c>
      <c r="F729" s="66" t="s">
        <v>1846</v>
      </c>
      <c r="G729" s="193" t="s">
        <v>13309</v>
      </c>
      <c r="H729" s="135" t="s">
        <v>61</v>
      </c>
      <c r="I729" s="29" t="s">
        <v>371</v>
      </c>
      <c r="J729" s="98">
        <v>45743</v>
      </c>
      <c r="K729" s="98">
        <f t="shared" si="56"/>
        <v>46839</v>
      </c>
      <c r="L729" s="110" t="s">
        <v>155</v>
      </c>
      <c r="M729" s="112" t="str">
        <f t="shared" ca="1" si="58"/>
        <v>Em dia</v>
      </c>
      <c r="N729" s="112"/>
      <c r="O729" s="67">
        <f t="shared" ca="1" si="55"/>
        <v>455</v>
      </c>
      <c r="P729" s="67">
        <f t="shared" ca="1" si="59"/>
        <v>641</v>
      </c>
      <c r="Q729" t="str">
        <f t="shared" si="57"/>
        <v>SDP-601</v>
      </c>
    </row>
    <row r="730" spans="2:17" ht="15.5" hidden="1" x14ac:dyDescent="0.35">
      <c r="B730" s="29">
        <v>16</v>
      </c>
      <c r="C730" s="29" t="s">
        <v>41</v>
      </c>
      <c r="D730" s="29">
        <v>602</v>
      </c>
      <c r="E730" s="66" t="s">
        <v>1847</v>
      </c>
      <c r="F730" s="66" t="s">
        <v>1848</v>
      </c>
      <c r="G730" s="193" t="s">
        <v>13309</v>
      </c>
      <c r="H730" s="135" t="s">
        <v>61</v>
      </c>
      <c r="I730" s="29" t="s">
        <v>371</v>
      </c>
      <c r="J730" s="98">
        <v>45743</v>
      </c>
      <c r="K730" s="98">
        <f t="shared" si="56"/>
        <v>46839</v>
      </c>
      <c r="L730" s="110" t="s">
        <v>155</v>
      </c>
      <c r="M730" s="112" t="str">
        <f t="shared" ca="1" si="58"/>
        <v>Em dia</v>
      </c>
      <c r="N730" s="112"/>
      <c r="O730" s="67">
        <f t="shared" ca="1" si="55"/>
        <v>455</v>
      </c>
      <c r="P730" s="67">
        <f t="shared" ca="1" si="59"/>
        <v>641</v>
      </c>
      <c r="Q730" t="str">
        <f t="shared" si="57"/>
        <v>SDP-602</v>
      </c>
    </row>
    <row r="731" spans="2:17" ht="15.5" hidden="1" x14ac:dyDescent="0.35">
      <c r="B731" s="29">
        <v>16</v>
      </c>
      <c r="C731" s="29" t="s">
        <v>41</v>
      </c>
      <c r="D731" s="29">
        <v>603</v>
      </c>
      <c r="E731" s="66" t="s">
        <v>1849</v>
      </c>
      <c r="F731" s="66" t="s">
        <v>1850</v>
      </c>
      <c r="G731" s="193" t="s">
        <v>13309</v>
      </c>
      <c r="H731" s="135" t="s">
        <v>61</v>
      </c>
      <c r="I731" s="29" t="s">
        <v>371</v>
      </c>
      <c r="J731" s="98">
        <v>45743</v>
      </c>
      <c r="K731" s="98">
        <f t="shared" si="56"/>
        <v>46839</v>
      </c>
      <c r="L731" s="110" t="s">
        <v>155</v>
      </c>
      <c r="M731" s="112" t="str">
        <f t="shared" ca="1" si="58"/>
        <v>Em dia</v>
      </c>
      <c r="N731" s="112"/>
      <c r="O731" s="67">
        <f t="shared" ca="1" si="55"/>
        <v>455</v>
      </c>
      <c r="P731" s="67">
        <f t="shared" ca="1" si="59"/>
        <v>641</v>
      </c>
      <c r="Q731" t="str">
        <f t="shared" si="57"/>
        <v>SDP-603</v>
      </c>
    </row>
    <row r="732" spans="2:17" ht="15.5" hidden="1" x14ac:dyDescent="0.35">
      <c r="B732" s="29">
        <v>16</v>
      </c>
      <c r="C732" s="29" t="s">
        <v>41</v>
      </c>
      <c r="D732" s="29">
        <v>606</v>
      </c>
      <c r="E732" s="66" t="s">
        <v>1851</v>
      </c>
      <c r="F732" s="66" t="s">
        <v>1852</v>
      </c>
      <c r="G732" s="193" t="s">
        <v>13309</v>
      </c>
      <c r="H732" s="135" t="s">
        <v>61</v>
      </c>
      <c r="I732" s="29" t="s">
        <v>371</v>
      </c>
      <c r="J732" s="98">
        <v>45645</v>
      </c>
      <c r="K732" s="98">
        <f t="shared" si="56"/>
        <v>46741</v>
      </c>
      <c r="L732" s="110" t="s">
        <v>155</v>
      </c>
      <c r="M732" s="112" t="str">
        <f t="shared" ca="1" si="58"/>
        <v>Em dia</v>
      </c>
      <c r="N732" s="112"/>
      <c r="O732" s="67">
        <f t="shared" ca="1" si="55"/>
        <v>553</v>
      </c>
      <c r="P732" s="67">
        <f t="shared" ca="1" si="59"/>
        <v>543</v>
      </c>
      <c r="Q732" t="str">
        <f t="shared" si="57"/>
        <v>SDP-606</v>
      </c>
    </row>
    <row r="733" spans="2:17" ht="15.5" hidden="1" x14ac:dyDescent="0.35">
      <c r="B733" s="29">
        <v>16</v>
      </c>
      <c r="C733" s="29" t="s">
        <v>41</v>
      </c>
      <c r="D733" s="29">
        <v>608</v>
      </c>
      <c r="E733" s="66" t="s">
        <v>1853</v>
      </c>
      <c r="F733" s="66" t="s">
        <v>1854</v>
      </c>
      <c r="G733" s="193" t="s">
        <v>13309</v>
      </c>
      <c r="H733" s="135" t="s">
        <v>61</v>
      </c>
      <c r="I733" s="29" t="s">
        <v>61</v>
      </c>
      <c r="J733" s="98">
        <v>45595</v>
      </c>
      <c r="K733" s="98">
        <f t="shared" si="56"/>
        <v>46691</v>
      </c>
      <c r="L733" s="110" t="s">
        <v>155</v>
      </c>
      <c r="M733" s="112" t="str">
        <f t="shared" ca="1" si="58"/>
        <v>Em dia</v>
      </c>
      <c r="N733" s="112"/>
      <c r="O733" s="67">
        <f t="shared" ca="1" si="55"/>
        <v>603</v>
      </c>
      <c r="P733" s="67">
        <f t="shared" ca="1" si="59"/>
        <v>493</v>
      </c>
      <c r="Q733" t="str">
        <f t="shared" si="57"/>
        <v>SDP-608</v>
      </c>
    </row>
    <row r="734" spans="2:17" ht="15.5" hidden="1" x14ac:dyDescent="0.35">
      <c r="B734" s="29">
        <v>16</v>
      </c>
      <c r="C734" s="29" t="s">
        <v>41</v>
      </c>
      <c r="D734" s="29">
        <v>609</v>
      </c>
      <c r="E734" s="66" t="s">
        <v>1855</v>
      </c>
      <c r="F734" s="66" t="s">
        <v>1856</v>
      </c>
      <c r="G734" s="193" t="s">
        <v>13309</v>
      </c>
      <c r="H734" s="135" t="s">
        <v>61</v>
      </c>
      <c r="I734" s="29" t="s">
        <v>371</v>
      </c>
      <c r="J734" s="98">
        <v>45645</v>
      </c>
      <c r="K734" s="98">
        <f t="shared" si="56"/>
        <v>46741</v>
      </c>
      <c r="L734" s="110" t="s">
        <v>155</v>
      </c>
      <c r="M734" s="112" t="str">
        <f t="shared" ca="1" si="58"/>
        <v>Em dia</v>
      </c>
      <c r="N734" s="112"/>
      <c r="O734" s="67">
        <f t="shared" ca="1" si="55"/>
        <v>553</v>
      </c>
      <c r="P734" s="67">
        <f t="shared" ca="1" si="59"/>
        <v>543</v>
      </c>
      <c r="Q734" t="str">
        <f t="shared" si="57"/>
        <v>SDP-609</v>
      </c>
    </row>
    <row r="735" spans="2:17" ht="15.5" hidden="1" x14ac:dyDescent="0.35">
      <c r="B735" s="29">
        <v>16</v>
      </c>
      <c r="C735" s="29" t="s">
        <v>41</v>
      </c>
      <c r="D735" s="29">
        <v>610</v>
      </c>
      <c r="E735" s="66" t="s">
        <v>1857</v>
      </c>
      <c r="F735" s="66" t="s">
        <v>1858</v>
      </c>
      <c r="G735" s="193" t="s">
        <v>13309</v>
      </c>
      <c r="H735" s="135" t="s">
        <v>61</v>
      </c>
      <c r="I735" s="29" t="s">
        <v>371</v>
      </c>
      <c r="J735" s="98">
        <v>45645</v>
      </c>
      <c r="K735" s="98">
        <f t="shared" si="56"/>
        <v>46741</v>
      </c>
      <c r="L735" s="110" t="s">
        <v>155</v>
      </c>
      <c r="M735" s="112" t="str">
        <f t="shared" ca="1" si="58"/>
        <v>Em dia</v>
      </c>
      <c r="N735" s="112"/>
      <c r="O735" s="67">
        <f t="shared" ca="1" si="55"/>
        <v>553</v>
      </c>
      <c r="P735" s="67">
        <f t="shared" ca="1" si="59"/>
        <v>543</v>
      </c>
      <c r="Q735" t="str">
        <f t="shared" si="57"/>
        <v>SDP-610</v>
      </c>
    </row>
    <row r="736" spans="2:17" ht="15.5" hidden="1" x14ac:dyDescent="0.35">
      <c r="B736" s="29">
        <v>16</v>
      </c>
      <c r="C736" s="29" t="s">
        <v>41</v>
      </c>
      <c r="D736" s="29">
        <v>611</v>
      </c>
      <c r="E736" s="66" t="s">
        <v>1859</v>
      </c>
      <c r="F736" s="66" t="s">
        <v>1860</v>
      </c>
      <c r="G736" s="193" t="s">
        <v>13309</v>
      </c>
      <c r="H736" s="135" t="s">
        <v>61</v>
      </c>
      <c r="I736" s="29" t="s">
        <v>61</v>
      </c>
      <c r="J736" s="98">
        <v>45595</v>
      </c>
      <c r="K736" s="98">
        <f t="shared" si="56"/>
        <v>46691</v>
      </c>
      <c r="L736" s="110" t="s">
        <v>155</v>
      </c>
      <c r="M736" s="112" t="str">
        <f t="shared" ca="1" si="58"/>
        <v>Em dia</v>
      </c>
      <c r="N736" s="112"/>
      <c r="O736" s="67">
        <f t="shared" ca="1" si="55"/>
        <v>603</v>
      </c>
      <c r="P736" s="67">
        <f t="shared" ca="1" si="59"/>
        <v>493</v>
      </c>
      <c r="Q736" t="str">
        <f t="shared" si="57"/>
        <v>SDP-611</v>
      </c>
    </row>
    <row r="737" spans="2:17" ht="15.5" hidden="1" x14ac:dyDescent="0.35">
      <c r="B737" s="29">
        <v>16</v>
      </c>
      <c r="C737" s="29" t="s">
        <v>41</v>
      </c>
      <c r="D737" s="29">
        <v>612</v>
      </c>
      <c r="E737" s="66" t="s">
        <v>1861</v>
      </c>
      <c r="F737" s="66" t="s">
        <v>1862</v>
      </c>
      <c r="G737" s="193" t="s">
        <v>13309</v>
      </c>
      <c r="H737" s="135" t="s">
        <v>61</v>
      </c>
      <c r="I737" s="29" t="s">
        <v>61</v>
      </c>
      <c r="J737" s="98">
        <v>45595</v>
      </c>
      <c r="K737" s="98">
        <f t="shared" si="56"/>
        <v>46691</v>
      </c>
      <c r="L737" s="110" t="s">
        <v>155</v>
      </c>
      <c r="M737" s="112" t="str">
        <f t="shared" ca="1" si="58"/>
        <v>Em dia</v>
      </c>
      <c r="N737" s="112"/>
      <c r="O737" s="67">
        <f t="shared" ca="1" si="55"/>
        <v>603</v>
      </c>
      <c r="P737" s="67">
        <f t="shared" ca="1" si="59"/>
        <v>493</v>
      </c>
      <c r="Q737" t="str">
        <f t="shared" si="57"/>
        <v>SDP-612</v>
      </c>
    </row>
    <row r="738" spans="2:17" ht="15.5" hidden="1" x14ac:dyDescent="0.35">
      <c r="B738" s="29">
        <v>16</v>
      </c>
      <c r="C738" s="29" t="s">
        <v>41</v>
      </c>
      <c r="D738" s="29">
        <v>614</v>
      </c>
      <c r="E738" s="66" t="s">
        <v>1863</v>
      </c>
      <c r="F738" s="66" t="s">
        <v>1864</v>
      </c>
      <c r="G738" s="193" t="s">
        <v>13309</v>
      </c>
      <c r="H738" s="135" t="s">
        <v>61</v>
      </c>
      <c r="I738" s="29" t="s">
        <v>371</v>
      </c>
      <c r="J738" s="98">
        <v>45799</v>
      </c>
      <c r="K738" s="98">
        <f t="shared" si="56"/>
        <v>46895</v>
      </c>
      <c r="L738" s="110" t="s">
        <v>155</v>
      </c>
      <c r="M738" s="112" t="str">
        <f t="shared" ca="1" si="58"/>
        <v>Em dia</v>
      </c>
      <c r="N738" s="112"/>
      <c r="O738" s="67">
        <f t="shared" ca="1" si="55"/>
        <v>399</v>
      </c>
      <c r="P738" s="67">
        <f t="shared" ca="1" si="59"/>
        <v>697</v>
      </c>
      <c r="Q738" t="str">
        <f t="shared" si="57"/>
        <v>SDP-614</v>
      </c>
    </row>
    <row r="739" spans="2:17" ht="15.5" hidden="1" x14ac:dyDescent="0.35">
      <c r="B739" s="29">
        <v>16</v>
      </c>
      <c r="C739" s="29" t="s">
        <v>41</v>
      </c>
      <c r="D739" s="29">
        <v>615</v>
      </c>
      <c r="E739" s="66" t="s">
        <v>1865</v>
      </c>
      <c r="F739" s="66" t="s">
        <v>1866</v>
      </c>
      <c r="G739" s="193" t="s">
        <v>13309</v>
      </c>
      <c r="H739" s="135" t="s">
        <v>61</v>
      </c>
      <c r="I739" s="29" t="s">
        <v>371</v>
      </c>
      <c r="J739" s="98">
        <v>45645</v>
      </c>
      <c r="K739" s="98">
        <f t="shared" si="56"/>
        <v>46741</v>
      </c>
      <c r="L739" s="110" t="s">
        <v>155</v>
      </c>
      <c r="M739" s="112" t="str">
        <f t="shared" ca="1" si="58"/>
        <v>Em dia</v>
      </c>
      <c r="N739" s="112"/>
      <c r="O739" s="67">
        <f t="shared" ca="1" si="55"/>
        <v>553</v>
      </c>
      <c r="P739" s="67">
        <f t="shared" ca="1" si="59"/>
        <v>543</v>
      </c>
      <c r="Q739" t="str">
        <f t="shared" si="57"/>
        <v>SDP-615</v>
      </c>
    </row>
    <row r="740" spans="2:17" ht="15.5" hidden="1" x14ac:dyDescent="0.35">
      <c r="B740" s="29">
        <v>16</v>
      </c>
      <c r="C740" s="29" t="s">
        <v>41</v>
      </c>
      <c r="D740" s="29">
        <v>617</v>
      </c>
      <c r="E740" s="66" t="s">
        <v>1867</v>
      </c>
      <c r="F740" s="66" t="s">
        <v>1868</v>
      </c>
      <c r="G740" s="193" t="s">
        <v>13309</v>
      </c>
      <c r="H740" s="135" t="s">
        <v>61</v>
      </c>
      <c r="I740" s="29" t="s">
        <v>371</v>
      </c>
      <c r="J740" s="98">
        <v>45645</v>
      </c>
      <c r="K740" s="98">
        <f t="shared" si="56"/>
        <v>46741</v>
      </c>
      <c r="L740" s="110" t="s">
        <v>155</v>
      </c>
      <c r="M740" s="112" t="str">
        <f t="shared" ca="1" si="58"/>
        <v>Em dia</v>
      </c>
      <c r="N740" s="112"/>
      <c r="O740" s="67">
        <f t="shared" ca="1" si="55"/>
        <v>553</v>
      </c>
      <c r="P740" s="67">
        <f t="shared" ca="1" si="59"/>
        <v>543</v>
      </c>
      <c r="Q740" t="str">
        <f t="shared" si="57"/>
        <v>SDP-617</v>
      </c>
    </row>
    <row r="741" spans="2:17" ht="15.5" hidden="1" x14ac:dyDescent="0.35">
      <c r="B741" s="29">
        <v>16</v>
      </c>
      <c r="C741" s="29" t="s">
        <v>41</v>
      </c>
      <c r="D741" s="29">
        <v>619</v>
      </c>
      <c r="E741" s="66" t="s">
        <v>1869</v>
      </c>
      <c r="F741" s="66" t="s">
        <v>1870</v>
      </c>
      <c r="G741" s="193" t="s">
        <v>13309</v>
      </c>
      <c r="H741" s="135" t="s">
        <v>61</v>
      </c>
      <c r="I741" s="29" t="s">
        <v>371</v>
      </c>
      <c r="J741" s="98">
        <v>45462</v>
      </c>
      <c r="K741" s="98">
        <f t="shared" si="56"/>
        <v>46558</v>
      </c>
      <c r="L741" s="110" t="s">
        <v>155</v>
      </c>
      <c r="M741" s="112" t="str">
        <f t="shared" ca="1" si="58"/>
        <v>Alerta</v>
      </c>
      <c r="N741" s="112"/>
      <c r="O741" s="67">
        <f t="shared" ca="1" si="55"/>
        <v>736</v>
      </c>
      <c r="P741" s="67">
        <f t="shared" ca="1" si="59"/>
        <v>360</v>
      </c>
      <c r="Q741" t="str">
        <f t="shared" si="57"/>
        <v>SDP-619</v>
      </c>
    </row>
    <row r="742" spans="2:17" ht="15.5" hidden="1" x14ac:dyDescent="0.35">
      <c r="B742" s="29">
        <v>16</v>
      </c>
      <c r="C742" s="29" t="s">
        <v>41</v>
      </c>
      <c r="D742" s="29">
        <v>624</v>
      </c>
      <c r="E742" s="66" t="s">
        <v>1871</v>
      </c>
      <c r="F742" s="66" t="s">
        <v>1872</v>
      </c>
      <c r="G742" s="193" t="s">
        <v>13309</v>
      </c>
      <c r="H742" s="135" t="s">
        <v>61</v>
      </c>
      <c r="I742" s="29" t="s">
        <v>371</v>
      </c>
      <c r="J742" s="98">
        <v>45645</v>
      </c>
      <c r="K742" s="98">
        <f t="shared" si="56"/>
        <v>46741</v>
      </c>
      <c r="L742" s="110" t="s">
        <v>155</v>
      </c>
      <c r="M742" s="112" t="str">
        <f t="shared" ca="1" si="58"/>
        <v>Em dia</v>
      </c>
      <c r="N742" s="112"/>
      <c r="O742" s="67">
        <f t="shared" ca="1" si="55"/>
        <v>553</v>
      </c>
      <c r="P742" s="67">
        <f t="shared" ca="1" si="59"/>
        <v>543</v>
      </c>
      <c r="Q742" t="str">
        <f t="shared" si="57"/>
        <v>SDP-624</v>
      </c>
    </row>
    <row r="743" spans="2:17" ht="15.5" hidden="1" x14ac:dyDescent="0.35">
      <c r="B743" s="29">
        <v>16</v>
      </c>
      <c r="C743" s="29" t="s">
        <v>41</v>
      </c>
      <c r="D743" s="29">
        <v>625</v>
      </c>
      <c r="E743" s="66" t="s">
        <v>1873</v>
      </c>
      <c r="F743" s="66" t="s">
        <v>1874</v>
      </c>
      <c r="G743" s="193" t="s">
        <v>13309</v>
      </c>
      <c r="H743" s="135" t="s">
        <v>61</v>
      </c>
      <c r="I743" s="29" t="s">
        <v>61</v>
      </c>
      <c r="J743" s="98">
        <v>45595</v>
      </c>
      <c r="K743" s="98">
        <f t="shared" si="56"/>
        <v>46691</v>
      </c>
      <c r="L743" s="110" t="s">
        <v>155</v>
      </c>
      <c r="M743" s="112" t="str">
        <f t="shared" ca="1" si="58"/>
        <v>Em dia</v>
      </c>
      <c r="N743" s="112"/>
      <c r="O743" s="67">
        <f t="shared" ca="1" si="55"/>
        <v>603</v>
      </c>
      <c r="P743" s="67">
        <f t="shared" ca="1" si="59"/>
        <v>493</v>
      </c>
      <c r="Q743" t="str">
        <f t="shared" si="57"/>
        <v>SDP-625</v>
      </c>
    </row>
    <row r="744" spans="2:17" ht="15.5" hidden="1" x14ac:dyDescent="0.35">
      <c r="B744" s="29">
        <v>16</v>
      </c>
      <c r="C744" s="29" t="s">
        <v>41</v>
      </c>
      <c r="D744" s="29">
        <v>627</v>
      </c>
      <c r="E744" s="66" t="s">
        <v>1875</v>
      </c>
      <c r="F744" s="66" t="s">
        <v>1876</v>
      </c>
      <c r="G744" s="193" t="s">
        <v>13309</v>
      </c>
      <c r="H744" s="135" t="s">
        <v>61</v>
      </c>
      <c r="I744" s="29" t="s">
        <v>371</v>
      </c>
      <c r="J744" s="98">
        <v>45645</v>
      </c>
      <c r="K744" s="98">
        <f t="shared" si="56"/>
        <v>46741</v>
      </c>
      <c r="L744" s="110" t="s">
        <v>155</v>
      </c>
      <c r="M744" s="112" t="str">
        <f t="shared" ca="1" si="58"/>
        <v>Em dia</v>
      </c>
      <c r="N744" s="112"/>
      <c r="O744" s="67">
        <f t="shared" ca="1" si="55"/>
        <v>553</v>
      </c>
      <c r="P744" s="67">
        <f t="shared" ca="1" si="59"/>
        <v>543</v>
      </c>
      <c r="Q744" t="str">
        <f t="shared" si="57"/>
        <v>SDP-627</v>
      </c>
    </row>
    <row r="745" spans="2:17" ht="15.5" hidden="1" x14ac:dyDescent="0.35">
      <c r="B745" s="29">
        <v>16</v>
      </c>
      <c r="C745" s="29" t="s">
        <v>41</v>
      </c>
      <c r="D745" s="29">
        <v>630</v>
      </c>
      <c r="E745" s="18" t="s">
        <v>1877</v>
      </c>
      <c r="F745" s="18" t="s">
        <v>1878</v>
      </c>
      <c r="G745" s="193" t="s">
        <v>13309</v>
      </c>
      <c r="H745" s="135" t="s">
        <v>61</v>
      </c>
      <c r="I745" s="29" t="s">
        <v>371</v>
      </c>
      <c r="J745" s="98">
        <v>45743</v>
      </c>
      <c r="K745" s="98">
        <f t="shared" si="56"/>
        <v>46839</v>
      </c>
      <c r="L745" s="110" t="s">
        <v>155</v>
      </c>
      <c r="M745" s="112" t="str">
        <f t="shared" ca="1" si="58"/>
        <v>Em dia</v>
      </c>
      <c r="N745" s="112"/>
      <c r="O745" s="67">
        <f t="shared" ca="1" si="55"/>
        <v>455</v>
      </c>
      <c r="P745" s="67">
        <f t="shared" ca="1" si="59"/>
        <v>641</v>
      </c>
      <c r="Q745" t="str">
        <f t="shared" si="57"/>
        <v>SDP-630</v>
      </c>
    </row>
    <row r="746" spans="2:17" ht="15.5" hidden="1" x14ac:dyDescent="0.35">
      <c r="B746" s="29">
        <v>16</v>
      </c>
      <c r="C746" s="29" t="s">
        <v>41</v>
      </c>
      <c r="D746" s="29">
        <v>631</v>
      </c>
      <c r="E746" s="18" t="s">
        <v>1879</v>
      </c>
      <c r="F746" s="18" t="s">
        <v>1879</v>
      </c>
      <c r="G746" s="193" t="s">
        <v>13309</v>
      </c>
      <c r="H746" s="135" t="s">
        <v>61</v>
      </c>
      <c r="I746" s="29" t="s">
        <v>371</v>
      </c>
      <c r="J746" s="98">
        <v>45743</v>
      </c>
      <c r="K746" s="98">
        <f t="shared" si="56"/>
        <v>46839</v>
      </c>
      <c r="L746" s="110" t="s">
        <v>155</v>
      </c>
      <c r="M746" s="112" t="str">
        <f t="shared" ca="1" si="58"/>
        <v>Em dia</v>
      </c>
      <c r="N746" s="112"/>
      <c r="O746" s="67">
        <f t="shared" ca="1" si="55"/>
        <v>455</v>
      </c>
      <c r="P746" s="67">
        <f t="shared" ca="1" si="59"/>
        <v>641</v>
      </c>
      <c r="Q746" t="str">
        <f t="shared" si="57"/>
        <v>SDP-631</v>
      </c>
    </row>
    <row r="747" spans="2:17" ht="15.5" hidden="1" x14ac:dyDescent="0.35">
      <c r="B747" s="29">
        <v>16</v>
      </c>
      <c r="C747" s="29" t="s">
        <v>41</v>
      </c>
      <c r="D747" s="29">
        <v>632</v>
      </c>
      <c r="E747" s="18" t="s">
        <v>1880</v>
      </c>
      <c r="F747" s="18" t="s">
        <v>1881</v>
      </c>
      <c r="G747" s="193" t="s">
        <v>13309</v>
      </c>
      <c r="H747" s="135" t="s">
        <v>61</v>
      </c>
      <c r="I747" s="135" t="s">
        <v>371</v>
      </c>
      <c r="J747" s="98">
        <v>45743</v>
      </c>
      <c r="K747" s="98">
        <f t="shared" si="56"/>
        <v>46839</v>
      </c>
      <c r="L747" s="110" t="s">
        <v>155</v>
      </c>
      <c r="M747" s="112" t="str">
        <f t="shared" ca="1" si="58"/>
        <v>Em dia</v>
      </c>
      <c r="N747" s="112"/>
      <c r="O747" s="67">
        <f t="shared" ca="1" si="55"/>
        <v>455</v>
      </c>
      <c r="P747" s="67">
        <f t="shared" ca="1" si="59"/>
        <v>641</v>
      </c>
      <c r="Q747" t="str">
        <f t="shared" si="57"/>
        <v>SDP-632</v>
      </c>
    </row>
    <row r="748" spans="2:17" ht="15.5" hidden="1" x14ac:dyDescent="0.35">
      <c r="B748" s="29">
        <v>16</v>
      </c>
      <c r="C748" s="29" t="s">
        <v>41</v>
      </c>
      <c r="D748" s="29">
        <v>633</v>
      </c>
      <c r="E748" s="18" t="s">
        <v>1882</v>
      </c>
      <c r="F748" s="18" t="s">
        <v>1883</v>
      </c>
      <c r="G748" s="193" t="s">
        <v>13309</v>
      </c>
      <c r="H748" s="135" t="s">
        <v>61</v>
      </c>
      <c r="I748" s="135" t="s">
        <v>371</v>
      </c>
      <c r="J748" s="98">
        <v>45743</v>
      </c>
      <c r="K748" s="98">
        <f t="shared" si="56"/>
        <v>46839</v>
      </c>
      <c r="L748" s="110" t="s">
        <v>155</v>
      </c>
      <c r="M748" s="112" t="str">
        <f t="shared" ca="1" si="58"/>
        <v>Em dia</v>
      </c>
      <c r="N748" s="112"/>
      <c r="O748" s="67">
        <f t="shared" ca="1" si="55"/>
        <v>455</v>
      </c>
      <c r="P748" s="67">
        <f t="shared" ca="1" si="59"/>
        <v>641</v>
      </c>
      <c r="Q748" t="str">
        <f t="shared" si="57"/>
        <v>SDP-633</v>
      </c>
    </row>
    <row r="749" spans="2:17" ht="15.5" hidden="1" x14ac:dyDescent="0.35">
      <c r="B749" s="29">
        <v>16</v>
      </c>
      <c r="C749" s="29" t="s">
        <v>41</v>
      </c>
      <c r="D749" s="29">
        <v>634</v>
      </c>
      <c r="E749" s="18" t="s">
        <v>1884</v>
      </c>
      <c r="F749" s="18" t="s">
        <v>1885</v>
      </c>
      <c r="G749" s="193" t="s">
        <v>13309</v>
      </c>
      <c r="H749" s="135" t="s">
        <v>61</v>
      </c>
      <c r="I749" s="135" t="s">
        <v>371</v>
      </c>
      <c r="J749" s="98">
        <v>45743</v>
      </c>
      <c r="K749" s="98">
        <f t="shared" si="56"/>
        <v>46839</v>
      </c>
      <c r="L749" s="110" t="s">
        <v>155</v>
      </c>
      <c r="M749" s="112" t="str">
        <f t="shared" ca="1" si="58"/>
        <v>Em dia</v>
      </c>
      <c r="N749" s="112"/>
      <c r="O749" s="67">
        <f t="shared" ca="1" si="55"/>
        <v>455</v>
      </c>
      <c r="P749" s="67">
        <f t="shared" ca="1" si="59"/>
        <v>641</v>
      </c>
      <c r="Q749" t="str">
        <f t="shared" si="57"/>
        <v>SDP-634</v>
      </c>
    </row>
    <row r="750" spans="2:17" ht="15.5" hidden="1" x14ac:dyDescent="0.35">
      <c r="B750" s="29">
        <v>16</v>
      </c>
      <c r="C750" s="135" t="s">
        <v>41</v>
      </c>
      <c r="D750" s="135">
        <v>640</v>
      </c>
      <c r="E750" s="137" t="s">
        <v>1886</v>
      </c>
      <c r="F750" s="137" t="s">
        <v>1887</v>
      </c>
      <c r="G750" s="193" t="s">
        <v>13309</v>
      </c>
      <c r="H750" s="135" t="s">
        <v>61</v>
      </c>
      <c r="I750" s="135" t="s">
        <v>61</v>
      </c>
      <c r="J750" s="98">
        <v>45595</v>
      </c>
      <c r="K750" s="98">
        <f t="shared" si="56"/>
        <v>46691</v>
      </c>
      <c r="L750" s="110" t="s">
        <v>155</v>
      </c>
      <c r="M750" s="112" t="str">
        <f t="shared" ca="1" si="58"/>
        <v>Em dia</v>
      </c>
      <c r="N750" s="112"/>
      <c r="O750" s="67">
        <f t="shared" ca="1" si="55"/>
        <v>603</v>
      </c>
      <c r="P750" s="67">
        <f t="shared" ca="1" si="59"/>
        <v>493</v>
      </c>
      <c r="Q750" t="str">
        <f t="shared" si="57"/>
        <v>SDP-640</v>
      </c>
    </row>
    <row r="751" spans="2:17" ht="28" hidden="1" x14ac:dyDescent="0.35">
      <c r="B751" s="29">
        <v>16</v>
      </c>
      <c r="C751" s="135" t="s">
        <v>41</v>
      </c>
      <c r="D751" s="135">
        <v>641</v>
      </c>
      <c r="E751" s="137" t="s">
        <v>1888</v>
      </c>
      <c r="F751" s="137" t="s">
        <v>1889</v>
      </c>
      <c r="G751" s="193" t="s">
        <v>13309</v>
      </c>
      <c r="H751" s="135" t="s">
        <v>61</v>
      </c>
      <c r="I751" s="135" t="s">
        <v>61</v>
      </c>
      <c r="J751" s="98">
        <v>45595</v>
      </c>
      <c r="K751" s="98">
        <f t="shared" si="56"/>
        <v>46691</v>
      </c>
      <c r="L751" s="110" t="s">
        <v>155</v>
      </c>
      <c r="M751" s="112" t="str">
        <f t="shared" ca="1" si="58"/>
        <v>Em dia</v>
      </c>
      <c r="N751" s="112"/>
      <c r="O751" s="67">
        <f t="shared" ca="1" si="55"/>
        <v>603</v>
      </c>
      <c r="P751" s="67">
        <f t="shared" ca="1" si="59"/>
        <v>493</v>
      </c>
      <c r="Q751" t="str">
        <f t="shared" si="57"/>
        <v>SDP-641</v>
      </c>
    </row>
    <row r="752" spans="2:17" ht="22" hidden="1" customHeight="1" x14ac:dyDescent="0.35">
      <c r="B752" s="29">
        <v>16</v>
      </c>
      <c r="C752" s="135" t="s">
        <v>41</v>
      </c>
      <c r="D752" s="135">
        <v>651</v>
      </c>
      <c r="E752" s="137" t="s">
        <v>1890</v>
      </c>
      <c r="F752" s="137" t="s">
        <v>1891</v>
      </c>
      <c r="G752" s="193" t="s">
        <v>13309</v>
      </c>
      <c r="H752" s="135" t="s">
        <v>61</v>
      </c>
      <c r="I752" s="135" t="s">
        <v>371</v>
      </c>
      <c r="J752" s="136">
        <v>45645</v>
      </c>
      <c r="K752" s="98">
        <f t="shared" si="56"/>
        <v>46741</v>
      </c>
      <c r="L752" s="110" t="s">
        <v>155</v>
      </c>
      <c r="M752" s="112" t="str">
        <f t="shared" ca="1" si="58"/>
        <v>Em dia</v>
      </c>
      <c r="N752" s="112"/>
      <c r="O752" s="67">
        <f t="shared" ca="1" si="55"/>
        <v>553</v>
      </c>
      <c r="P752" s="67">
        <f t="shared" ca="1" si="59"/>
        <v>543</v>
      </c>
      <c r="Q752" t="str">
        <f t="shared" si="57"/>
        <v>SDP-651</v>
      </c>
    </row>
    <row r="753" spans="2:17" ht="15.5" hidden="1" x14ac:dyDescent="0.35">
      <c r="B753" s="29">
        <v>16</v>
      </c>
      <c r="C753" s="135" t="s">
        <v>41</v>
      </c>
      <c r="D753" s="135">
        <v>653</v>
      </c>
      <c r="E753" s="137" t="s">
        <v>1892</v>
      </c>
      <c r="F753" s="137" t="s">
        <v>1893</v>
      </c>
      <c r="G753" s="193" t="s">
        <v>13309</v>
      </c>
      <c r="H753" s="135" t="s">
        <v>61</v>
      </c>
      <c r="I753" s="135" t="s">
        <v>61</v>
      </c>
      <c r="J753" s="98">
        <v>45743</v>
      </c>
      <c r="K753" s="98">
        <f t="shared" si="56"/>
        <v>46839</v>
      </c>
      <c r="L753" s="110" t="s">
        <v>155</v>
      </c>
      <c r="M753" s="112" t="str">
        <f t="shared" ca="1" si="58"/>
        <v>Em dia</v>
      </c>
      <c r="N753" s="112"/>
      <c r="O753" s="67">
        <f t="shared" ca="1" si="55"/>
        <v>455</v>
      </c>
      <c r="P753" s="67">
        <f t="shared" ca="1" si="59"/>
        <v>641</v>
      </c>
      <c r="Q753" t="str">
        <f t="shared" si="57"/>
        <v>SDP-653</v>
      </c>
    </row>
    <row r="754" spans="2:17" ht="15.5" hidden="1" x14ac:dyDescent="0.35">
      <c r="B754" s="29">
        <v>16</v>
      </c>
      <c r="C754" s="135" t="s">
        <v>41</v>
      </c>
      <c r="D754" s="138">
        <v>659</v>
      </c>
      <c r="E754" s="137" t="s">
        <v>1894</v>
      </c>
      <c r="F754" s="137" t="s">
        <v>1895</v>
      </c>
      <c r="G754" s="193" t="s">
        <v>13309</v>
      </c>
      <c r="H754" s="135" t="s">
        <v>61</v>
      </c>
      <c r="I754" s="135" t="s">
        <v>61</v>
      </c>
      <c r="J754" s="98">
        <v>45595</v>
      </c>
      <c r="K754" s="98">
        <f t="shared" si="56"/>
        <v>46691</v>
      </c>
      <c r="L754" s="110" t="s">
        <v>155</v>
      </c>
      <c r="M754" s="112" t="str">
        <f t="shared" ca="1" si="58"/>
        <v>Em dia</v>
      </c>
      <c r="N754" s="112"/>
      <c r="O754" s="67">
        <f t="shared" ca="1" si="55"/>
        <v>603</v>
      </c>
      <c r="P754" s="67">
        <f t="shared" ca="1" si="59"/>
        <v>493</v>
      </c>
      <c r="Q754" t="str">
        <f t="shared" si="57"/>
        <v>SDP-659</v>
      </c>
    </row>
    <row r="755" spans="2:17" ht="15.5" hidden="1" x14ac:dyDescent="0.35">
      <c r="B755" s="29">
        <v>16</v>
      </c>
      <c r="C755" s="135" t="s">
        <v>41</v>
      </c>
      <c r="D755" s="135">
        <v>660</v>
      </c>
      <c r="E755" s="137" t="s">
        <v>1896</v>
      </c>
      <c r="F755" s="137" t="s">
        <v>1897</v>
      </c>
      <c r="G755" s="193" t="s">
        <v>13309</v>
      </c>
      <c r="H755" s="135" t="s">
        <v>61</v>
      </c>
      <c r="I755" s="135" t="s">
        <v>371</v>
      </c>
      <c r="J755" s="98">
        <v>45645</v>
      </c>
      <c r="K755" s="98">
        <f t="shared" si="56"/>
        <v>46741</v>
      </c>
      <c r="L755" s="110" t="s">
        <v>155</v>
      </c>
      <c r="M755" s="112" t="str">
        <f t="shared" ca="1" si="58"/>
        <v>Em dia</v>
      </c>
      <c r="N755" s="112"/>
      <c r="O755" s="67">
        <f t="shared" ca="1" si="55"/>
        <v>553</v>
      </c>
      <c r="P755" s="67">
        <f t="shared" ca="1" si="59"/>
        <v>543</v>
      </c>
      <c r="Q755" t="str">
        <f t="shared" si="57"/>
        <v>SDP-660</v>
      </c>
    </row>
    <row r="756" spans="2:17" ht="15.5" x14ac:dyDescent="0.35">
      <c r="B756" s="29">
        <v>16</v>
      </c>
      <c r="C756" s="135" t="s">
        <v>41</v>
      </c>
      <c r="D756" s="135">
        <v>684</v>
      </c>
      <c r="E756" s="66" t="s">
        <v>1898</v>
      </c>
      <c r="F756" s="66" t="s">
        <v>1899</v>
      </c>
      <c r="G756" s="193" t="s">
        <v>13308</v>
      </c>
      <c r="H756" s="135" t="s">
        <v>61</v>
      </c>
      <c r="I756" s="29" t="s">
        <v>371</v>
      </c>
      <c r="J756" s="98">
        <v>45645</v>
      </c>
      <c r="K756" s="98">
        <f t="shared" si="56"/>
        <v>46741</v>
      </c>
      <c r="L756" s="110" t="s">
        <v>155</v>
      </c>
      <c r="M756" s="112" t="str">
        <f t="shared" ca="1" si="58"/>
        <v>Em dia</v>
      </c>
      <c r="N756" s="112"/>
      <c r="O756" s="67">
        <f t="shared" ca="1" si="55"/>
        <v>553</v>
      </c>
      <c r="P756" s="67">
        <f t="shared" ca="1" si="59"/>
        <v>543</v>
      </c>
      <c r="Q756" t="str">
        <f t="shared" si="57"/>
        <v>ILS-684</v>
      </c>
    </row>
    <row r="757" spans="2:17" ht="31" hidden="1" x14ac:dyDescent="0.35">
      <c r="B757" s="29">
        <v>17</v>
      </c>
      <c r="C757" s="29" t="s">
        <v>42</v>
      </c>
      <c r="D757" s="29">
        <v>89</v>
      </c>
      <c r="E757" s="67" t="s">
        <v>13076</v>
      </c>
      <c r="F757" s="67"/>
      <c r="G757" s="193" t="s">
        <v>13308</v>
      </c>
      <c r="H757" s="135"/>
      <c r="I757" s="29"/>
      <c r="J757" s="98"/>
      <c r="K757" s="98"/>
      <c r="L757" s="11" t="s">
        <v>267</v>
      </c>
      <c r="M757" s="112"/>
      <c r="N757" s="112"/>
      <c r="O757" s="67">
        <f t="shared" ca="1" si="55"/>
        <v>46198</v>
      </c>
      <c r="P757" s="67">
        <f t="shared" ca="1" si="59"/>
        <v>-46198</v>
      </c>
      <c r="Q757" t="str">
        <f t="shared" si="57"/>
        <v>COG-89</v>
      </c>
    </row>
    <row r="1048568" spans="10:11" x14ac:dyDescent="0.35">
      <c r="J1048568" s="98"/>
      <c r="K1048568" s="165"/>
    </row>
  </sheetData>
  <autoFilter ref="B4:O757" xr:uid="{0FAD87BF-902F-4E8B-8A80-81BF95E87270}">
    <filterColumn colId="5">
      <filters>
        <filter val="ENGENHARIA"/>
        <filter val="ENGENHARIA CONFIABILIDADE E PERFORMANCE"/>
        <filter val="ENGENHARIA ELÉTRICA"/>
        <filter val="ENGENHARIA MECÂNICA"/>
      </filters>
    </filterColumn>
    <filterColumn colId="10">
      <filters>
        <filter val="Publicado"/>
      </filters>
    </filterColumn>
  </autoFilter>
  <mergeCells count="1">
    <mergeCell ref="B2:M2"/>
  </mergeCells>
  <phoneticPr fontId="11" type="noConversion"/>
  <conditionalFormatting sqref="B1:N4 B5:F19 H5:N19 M6:M757 B20:N21 B22:F25 H22:N25 B26:N26 B27:F69 H27:N69 B70:N71 B72:F73 H72:N73 B74:N74 B75:F75 H75:N75 B76:N76 B77:F88 H77:N88 B89:N89 B90:F90 H90:N90 B91:N91 B92:F101 H92:N101 B102:N102 B103:F118 H103:N118 B119:N120 B121:F122 H121:N122 B123:N123 B124:F124 H124:N124 B125:N125 B126:F137 H126:N137 B138:N138 B139:F139 H139:N139 B140:N140 B141:F150 H141:N150 B151:N151 B152:F167 H152:N167 B168:N169 B170:F171 H170:N171 B172:N172 B173:F173 H173:N173 B174:N174 B175:F185 H175:N185 B186:N186 B187:F190 H187:N190 B191:N191 B192:F217 H192:N217 B218:N219 B220:F221 H220:N221 B222:N222 B223:F223 H223:N223 B224:N224 B225:F237 H225:N237 B238:N238 B239:F239 H239:N239 B240:N240 B241:F242 H241:N242 B243:N243 B244:F273 H244:N273 B274:N276 B277:F278 H277:N278 B279:N279 B280:F281 H280:N281 B282:N282 B283:F305 H283:N305 B306:N307 B308:F335 H308:N335 B336:N338 B339:F340 H339:N340 B341:N341 B342:F342 H342:N342 B343:N343 B344:F355 H344:N355 B356:N357 B358:F394 H358:N394 B395:N396 B397:F398 H397:N398 B399:N399 B400:F400 H400:N400 B401:N401 B402:F414 H402:N414 B415:N415 B416:F444 H416:N444 B445:N446 B447:F448 H447:N448 B449:N449 B450:F450 H450:N450 B451:N451 B452:F485 H452:N485 B486:N487 B488:F489 H488:N489 B490:N490 B491:F491 H491:N491 B492:N492 B493:F526 H493:N526 B527:N528 B529:F530 H529:N530 B531:N531 B532:F532 H532:N532 B533:N533 B534:F545 H534:N545 B546:N546 B547:F575 H547:N575 B576:N577 B578:F579 H578:N579 B580:N580 B581:F581 H581:N581 B582:N582 B583:F594 H583:N594 B595:N595 B596:F620 H596:N620 B621:N622 B623:F624 H623:N624 B625:N625 B626:F626 H626:N626 B627:N627 B628:F638 H628:N638 B639:N639 B640:F640 H640:N640 B641:N641 B642:F668 H642:N668 B669:N670 B671:F672 H671:N672 B673:N673 B674:F674 H674:N674 B675:N675 B676:F687 H676:N687 B688:N688 B689:F706 H689:N706 B707:N727 B728:F728 H728:N728 B729:N1048576">
    <cfRule type="containsText" dxfId="625" priority="2" operator="containsText" text="Aviso ">
      <formula>NOT(ISERROR(SEARCH("Aviso ",B1)))</formula>
    </cfRule>
  </conditionalFormatting>
  <conditionalFormatting sqref="M1:N1048576">
    <cfRule type="containsText" dxfId="624" priority="3" operator="containsText" text="Comunicado ">
      <formula>NOT(ISERROR(SEARCH("Comunicado ",M1)))</formula>
    </cfRule>
    <cfRule type="containsText" dxfId="623" priority="4" operator="containsText" text="Alerta">
      <formula>NOT(ISERROR(SEARCH("Alerta",M1)))</formula>
    </cfRule>
    <cfRule type="containsText" dxfId="622" priority="5" operator="containsText" text="Vencido">
      <formula>NOT(ISERROR(SEARCH("Vencido",M1)))</formula>
    </cfRule>
    <cfRule type="containsText" dxfId="621" priority="6" operator="containsText" text="Em dia">
      <formula>NOT(ISERROR(SEARCH("Em dia",M1)))</formula>
    </cfRule>
  </conditionalFormatting>
  <conditionalFormatting sqref="Q5:Q757">
    <cfRule type="duplicateValues" dxfId="620" priority="5008"/>
  </conditionalFormatting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</customPropertie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74B9-FD3A-4A92-91FD-DC78D0C590AB}">
  <sheetPr codeName="Planilha4" filterMode="1"/>
  <dimension ref="B1:Q746"/>
  <sheetViews>
    <sheetView topLeftCell="G1" zoomScale="85" zoomScaleNormal="85" workbookViewId="0">
      <selection activeCell="G14" sqref="G14"/>
    </sheetView>
  </sheetViews>
  <sheetFormatPr defaultRowHeight="14.5" x14ac:dyDescent="0.35"/>
  <cols>
    <col min="1" max="1" width="1.453125" customWidth="1"/>
    <col min="2" max="3" width="6.81640625" customWidth="1"/>
    <col min="4" max="4" width="7.54296875" customWidth="1"/>
    <col min="5" max="5" width="6.81640625" customWidth="1"/>
    <col min="6" max="6" width="14" customWidth="1"/>
    <col min="7" max="7" width="42.1796875" customWidth="1"/>
    <col min="8" max="8" width="58" customWidth="1"/>
    <col min="9" max="10" width="27.81640625" customWidth="1"/>
    <col min="11" max="11" width="15.81640625" style="165" bestFit="1" customWidth="1"/>
    <col min="12" max="12" width="15.81640625" style="165" customWidth="1"/>
    <col min="13" max="13" width="22" style="1" customWidth="1"/>
    <col min="14" max="14" width="12.81640625" style="1" hidden="1" customWidth="1"/>
    <col min="15" max="15" width="14.453125" bestFit="1" customWidth="1"/>
    <col min="16" max="16" width="11" hidden="1" customWidth="1"/>
    <col min="17" max="17" width="35.1796875" hidden="1" customWidth="1"/>
  </cols>
  <sheetData>
    <row r="1" spans="2:17" ht="15" thickBot="1" x14ac:dyDescent="0.4"/>
    <row r="2" spans="2:17" x14ac:dyDescent="0.35">
      <c r="B2" s="238" t="s">
        <v>1962</v>
      </c>
      <c r="C2" s="239"/>
      <c r="D2" s="239"/>
      <c r="E2" s="239"/>
      <c r="F2" s="239"/>
      <c r="G2" s="239"/>
      <c r="H2" s="239"/>
      <c r="I2" s="239"/>
      <c r="J2" s="239"/>
      <c r="K2" s="240"/>
      <c r="L2" s="240"/>
      <c r="M2" s="241"/>
    </row>
    <row r="3" spans="2:17" x14ac:dyDescent="0.35">
      <c r="B3" s="242"/>
      <c r="C3" s="243"/>
      <c r="D3" s="243"/>
      <c r="E3" s="243"/>
      <c r="F3" s="243"/>
      <c r="G3" s="243"/>
      <c r="H3" s="243"/>
      <c r="I3" s="243"/>
      <c r="J3" s="243"/>
      <c r="K3" s="244"/>
      <c r="L3" s="244"/>
      <c r="M3" s="245"/>
    </row>
    <row r="4" spans="2:17" ht="15" thickBot="1" x14ac:dyDescent="0.4">
      <c r="B4" s="246"/>
      <c r="C4" s="247"/>
      <c r="D4" s="247"/>
      <c r="E4" s="247"/>
      <c r="F4" s="247"/>
      <c r="G4" s="247"/>
      <c r="H4" s="247"/>
      <c r="I4" s="247"/>
      <c r="J4" s="247"/>
      <c r="K4" s="248"/>
      <c r="L4" s="248"/>
      <c r="M4" s="249"/>
      <c r="N4" s="169">
        <f>COUNTIF(N5:N1525,"X")</f>
        <v>482</v>
      </c>
      <c r="P4" s="102">
        <f ca="1">TODAY()</f>
        <v>46198</v>
      </c>
    </row>
    <row r="5" spans="2:17" ht="46.5" x14ac:dyDescent="0.35">
      <c r="B5" s="60" t="s">
        <v>43</v>
      </c>
      <c r="C5" s="60" t="s">
        <v>43</v>
      </c>
      <c r="D5" s="60" t="s">
        <v>1963</v>
      </c>
      <c r="E5" s="61" t="s">
        <v>1964</v>
      </c>
      <c r="F5" s="60" t="s">
        <v>1965</v>
      </c>
      <c r="G5" s="60" t="s">
        <v>49</v>
      </c>
      <c r="H5" s="60" t="s">
        <v>1966</v>
      </c>
      <c r="I5" s="60" t="s">
        <v>1967</v>
      </c>
      <c r="J5" s="60" t="s">
        <v>13285</v>
      </c>
      <c r="K5" s="166" t="s">
        <v>13279</v>
      </c>
      <c r="L5" s="166" t="s">
        <v>13277</v>
      </c>
      <c r="M5" s="60" t="s">
        <v>54</v>
      </c>
      <c r="N5" s="170" t="s">
        <v>51</v>
      </c>
    </row>
    <row r="6" spans="2:17" ht="25" x14ac:dyDescent="0.35">
      <c r="B6" s="50">
        <v>0</v>
      </c>
      <c r="C6" s="51" t="s">
        <v>43</v>
      </c>
      <c r="D6" s="52">
        <v>18</v>
      </c>
      <c r="E6" s="52">
        <v>1</v>
      </c>
      <c r="F6" s="53" t="s">
        <v>1968</v>
      </c>
      <c r="G6" s="53" t="s">
        <v>1969</v>
      </c>
      <c r="H6" s="54" t="str">
        <f>(F6)&amp;" - "&amp;(G6)</f>
        <v>MM-UHE-018.01 - Regulador Integrado Velocidade e Tensao -  RTVX G2</v>
      </c>
      <c r="I6" s="55" t="s">
        <v>1970</v>
      </c>
      <c r="J6" s="55" t="str">
        <f>VLOOKUP(D6,GM!$D$4:$G$1637,4,3)&amp;" e "&amp;C6</f>
        <v>ENGENHARIA ELÉTRICA  e UHE</v>
      </c>
      <c r="K6" s="164">
        <v>45274</v>
      </c>
      <c r="L6" s="164">
        <f>K6+1096</f>
        <v>46370</v>
      </c>
      <c r="M6" s="10" t="s">
        <v>62</v>
      </c>
      <c r="N6" s="1" t="s">
        <v>371</v>
      </c>
      <c r="O6" s="67" t="str">
        <f ca="1">IF(Q6="","",IF(Q6&gt;1095,"Vencido",IF(Q6&gt;910,"Alerta",IF(Q6&gt;820,"Alerta",IF(Q6&gt;730,"Alerta",IF(Q6&gt;=0,"Em dia","Vencido"))))))</f>
        <v>Alerta</v>
      </c>
      <c r="P6" s="67"/>
      <c r="Q6" s="67">
        <f ca="1">$P$4-K6</f>
        <v>924</v>
      </c>
    </row>
    <row r="7" spans="2:17" ht="26" x14ac:dyDescent="0.35">
      <c r="B7" s="50">
        <v>1</v>
      </c>
      <c r="C7" s="51" t="s">
        <v>13</v>
      </c>
      <c r="D7" s="52">
        <v>0</v>
      </c>
      <c r="E7" s="52">
        <v>2</v>
      </c>
      <c r="F7" s="53" t="s">
        <v>1971</v>
      </c>
      <c r="G7" s="53" t="s">
        <v>1972</v>
      </c>
      <c r="H7" s="54" t="str">
        <f t="shared" ref="H7:H70" si="0">(F7)&amp;" - "&amp;(G7)</f>
        <v>MM-JUR-000.02 - Procedimentos Execução Mergulho Profissional</v>
      </c>
      <c r="I7" s="55" t="s">
        <v>1973</v>
      </c>
      <c r="J7" s="55" t="str">
        <f>VLOOKUP(D7,GM!$D$4:$G$1637,4,3)&amp;" e "&amp;C7</f>
        <v>ENGENHARIA  e JUR</v>
      </c>
      <c r="K7" s="164">
        <v>44063</v>
      </c>
      <c r="L7" s="164">
        <f t="shared" ref="L7:L69" si="1">K7+1096</f>
        <v>45159</v>
      </c>
      <c r="M7" s="10" t="s">
        <v>62</v>
      </c>
      <c r="N7" s="1" t="s">
        <v>371</v>
      </c>
      <c r="O7" s="67" t="str">
        <f ca="1">IF(Q7="","",IF(Q7&gt;1095,"Vencido",IF(Q7&gt;910,"Alerta",IF(Q7&gt;820,"Alerta",IF(Q7&gt;730,"Alerta",IF(Q7&gt;=0,"Em dia","Vencido"))))))</f>
        <v>Vencido</v>
      </c>
      <c r="P7" s="67"/>
      <c r="Q7" s="67">
        <f t="shared" ref="Q7:Q9" ca="1" si="2">$P$4-K7</f>
        <v>2135</v>
      </c>
    </row>
    <row r="8" spans="2:17" ht="25" x14ac:dyDescent="0.35">
      <c r="B8" s="50">
        <v>1</v>
      </c>
      <c r="C8" s="51" t="s">
        <v>13</v>
      </c>
      <c r="D8" s="52">
        <v>1</v>
      </c>
      <c r="E8" s="52">
        <v>2</v>
      </c>
      <c r="F8" s="53" t="s">
        <v>1974</v>
      </c>
      <c r="G8" s="53" t="s">
        <v>1975</v>
      </c>
      <c r="H8" s="54" t="str">
        <f t="shared" si="0"/>
        <v>MM-JUR-001.02 - Procedimentos Para Ajustes de Verticalidade e Mancais</v>
      </c>
      <c r="I8" s="55" t="s">
        <v>1976</v>
      </c>
      <c r="J8" s="55" t="str">
        <f>VLOOKUP(D8,GM!$D$4:$G$1637,4,3)&amp;" e "&amp;C8</f>
        <v>ENGENHARIA MECÂNICA  e JUR</v>
      </c>
      <c r="K8" s="164">
        <v>44053</v>
      </c>
      <c r="L8" s="164">
        <f t="shared" si="1"/>
        <v>45149</v>
      </c>
      <c r="M8" s="10" t="s">
        <v>62</v>
      </c>
      <c r="N8" s="1" t="s">
        <v>371</v>
      </c>
      <c r="O8" s="67" t="str">
        <f t="shared" ref="O8:O71" ca="1" si="3">IF(Q8="","",IF(Q8&gt;1095,"Vencido",IF(Q8&gt;910,"Alerta",IF(Q8&gt;820,"Alerta",IF(Q8&gt;730,"Alerta",IF(Q8&gt;=0,"Em dia","Vencido"))))))</f>
        <v>Vencido</v>
      </c>
      <c r="P8" s="67"/>
      <c r="Q8" s="67">
        <f t="shared" ca="1" si="2"/>
        <v>2145</v>
      </c>
    </row>
    <row r="9" spans="2:17" ht="25" x14ac:dyDescent="0.35">
      <c r="B9" s="50">
        <v>1</v>
      </c>
      <c r="C9" s="51" t="s">
        <v>13</v>
      </c>
      <c r="D9" s="52">
        <v>1</v>
      </c>
      <c r="E9" s="52">
        <v>25</v>
      </c>
      <c r="F9" s="53" t="s">
        <v>1977</v>
      </c>
      <c r="G9" s="53" t="s">
        <v>1978</v>
      </c>
      <c r="H9" s="54" t="str">
        <f t="shared" si="0"/>
        <v>MM-JUR-001.25 - Plano de Lubrificação da Turbina</v>
      </c>
      <c r="I9" s="55" t="s">
        <v>1976</v>
      </c>
      <c r="J9" s="55" t="str">
        <f>VLOOKUP(D9,GM!$D$4:$G$1637,4,3)&amp;" e "&amp;C9</f>
        <v>ENGENHARIA MECÂNICA  e JUR</v>
      </c>
      <c r="K9" s="164">
        <v>44063</v>
      </c>
      <c r="L9" s="164">
        <f t="shared" si="1"/>
        <v>45159</v>
      </c>
      <c r="M9" s="10" t="s">
        <v>62</v>
      </c>
      <c r="N9" s="1" t="s">
        <v>371</v>
      </c>
      <c r="O9" s="67" t="str">
        <f t="shared" ca="1" si="3"/>
        <v>Vencido</v>
      </c>
      <c r="P9" s="67"/>
      <c r="Q9" s="67">
        <f t="shared" ca="1" si="2"/>
        <v>2135</v>
      </c>
    </row>
    <row r="10" spans="2:17" ht="25" hidden="1" x14ac:dyDescent="0.35">
      <c r="B10" s="50">
        <v>1</v>
      </c>
      <c r="C10" s="51" t="s">
        <v>13</v>
      </c>
      <c r="D10" s="52">
        <v>6</v>
      </c>
      <c r="E10" s="52">
        <v>1</v>
      </c>
      <c r="F10" s="53" t="s">
        <v>1979</v>
      </c>
      <c r="G10" s="53" t="s">
        <v>1980</v>
      </c>
      <c r="H10" s="54" t="str">
        <f t="shared" si="0"/>
        <v>MM-JUR-006.00 - Coleta de Amostras de Óleo Isolante</v>
      </c>
      <c r="I10" s="57" t="s">
        <v>1981</v>
      </c>
      <c r="J10" s="55" t="str">
        <f>VLOOKUP(D10,GM!$D$4:$G$1637,4,3)&amp;" e "&amp;C10</f>
        <v>ENGENHARIA ELÉTRICA  e JUR</v>
      </c>
      <c r="K10" s="164">
        <v>45743</v>
      </c>
      <c r="L10" s="164">
        <f t="shared" si="1"/>
        <v>46839</v>
      </c>
      <c r="M10" s="10" t="s">
        <v>62</v>
      </c>
      <c r="N10" s="1" t="s">
        <v>371</v>
      </c>
      <c r="O10" s="67" t="str">
        <f t="shared" ca="1" si="3"/>
        <v>Em dia</v>
      </c>
      <c r="P10" s="67"/>
      <c r="Q10" s="67">
        <f t="shared" ref="Q10:Q73" ca="1" si="4">$P$4-K10</f>
        <v>455</v>
      </c>
    </row>
    <row r="11" spans="2:17" ht="25" x14ac:dyDescent="0.35">
      <c r="B11" s="50">
        <v>1</v>
      </c>
      <c r="C11" s="51" t="s">
        <v>13</v>
      </c>
      <c r="D11" s="52">
        <v>20</v>
      </c>
      <c r="E11" s="52">
        <v>6</v>
      </c>
      <c r="F11" s="53" t="s">
        <v>1982</v>
      </c>
      <c r="G11" s="53" t="s">
        <v>1983</v>
      </c>
      <c r="H11" s="54" t="str">
        <f t="shared" si="0"/>
        <v>MM-JUR-020.06 - Plano de Lubrificação do RV</v>
      </c>
      <c r="I11" s="57" t="s">
        <v>1984</v>
      </c>
      <c r="J11" s="55" t="str">
        <f>VLOOKUP(D11,GM!$D$4:$G$1637,4,3)&amp;" e "&amp;C11</f>
        <v>ENGENHARIA MECÂNICA  e JUR</v>
      </c>
      <c r="K11" s="164">
        <v>44071</v>
      </c>
      <c r="L11" s="164">
        <f t="shared" si="1"/>
        <v>45167</v>
      </c>
      <c r="M11" s="10" t="s">
        <v>62</v>
      </c>
      <c r="N11" s="1" t="s">
        <v>371</v>
      </c>
      <c r="O11" s="67" t="str">
        <f t="shared" ca="1" si="3"/>
        <v>Vencido</v>
      </c>
      <c r="P11" s="67"/>
      <c r="Q11" s="67">
        <f t="shared" ca="1" si="4"/>
        <v>2127</v>
      </c>
    </row>
    <row r="12" spans="2:17" ht="25" x14ac:dyDescent="0.35">
      <c r="B12" s="50">
        <v>1</v>
      </c>
      <c r="C12" s="51" t="s">
        <v>13</v>
      </c>
      <c r="D12" s="52">
        <v>22</v>
      </c>
      <c r="E12" s="52">
        <v>3</v>
      </c>
      <c r="F12" s="53" t="s">
        <v>1985</v>
      </c>
      <c r="G12" s="53" t="s">
        <v>1986</v>
      </c>
      <c r="H12" s="54" t="str">
        <f t="shared" si="0"/>
        <v>MM-JUR-022.03 - Plano de Lubrificação dos Compressores</v>
      </c>
      <c r="I12" s="57" t="s">
        <v>1987</v>
      </c>
      <c r="J12" s="55" t="str">
        <f>VLOOKUP(D12,GM!$D$4:$G$1637,4,3)&amp;" e "&amp;C12</f>
        <v>ENGENHARIA MECÂNICA  e JUR</v>
      </c>
      <c r="K12" s="164">
        <v>44071</v>
      </c>
      <c r="L12" s="164">
        <f t="shared" si="1"/>
        <v>45167</v>
      </c>
      <c r="M12" s="10" t="s">
        <v>62</v>
      </c>
      <c r="N12" s="1" t="s">
        <v>371</v>
      </c>
      <c r="O12" s="67" t="str">
        <f t="shared" ca="1" si="3"/>
        <v>Vencido</v>
      </c>
      <c r="P12" s="67"/>
      <c r="Q12" s="67">
        <f t="shared" ca="1" si="4"/>
        <v>2127</v>
      </c>
    </row>
    <row r="13" spans="2:17" ht="25" x14ac:dyDescent="0.35">
      <c r="B13" s="50">
        <v>1</v>
      </c>
      <c r="C13" s="51" t="s">
        <v>13</v>
      </c>
      <c r="D13" s="52">
        <v>23</v>
      </c>
      <c r="E13" s="52">
        <v>3</v>
      </c>
      <c r="F13" s="53" t="s">
        <v>1988</v>
      </c>
      <c r="G13" s="53" t="s">
        <v>1989</v>
      </c>
      <c r="H13" s="54" t="str">
        <f t="shared" si="0"/>
        <v>MM-JUR-023.03 - Plano de Lubrificação do sistema de Refrigeração</v>
      </c>
      <c r="I13" s="57" t="s">
        <v>1990</v>
      </c>
      <c r="J13" s="55" t="str">
        <f>VLOOKUP(D13,GM!$D$4:$G$1637,4,3)&amp;" e "&amp;C13</f>
        <v>ENGENHARIA MECÂNICA  e JUR</v>
      </c>
      <c r="K13" s="164">
        <v>44071</v>
      </c>
      <c r="L13" s="164">
        <f t="shared" si="1"/>
        <v>45167</v>
      </c>
      <c r="M13" s="10" t="s">
        <v>62</v>
      </c>
      <c r="N13" s="1" t="s">
        <v>371</v>
      </c>
      <c r="O13" s="67" t="str">
        <f t="shared" ca="1" si="3"/>
        <v>Vencido</v>
      </c>
      <c r="P13" s="67"/>
      <c r="Q13" s="67">
        <f t="shared" ca="1" si="4"/>
        <v>2127</v>
      </c>
    </row>
    <row r="14" spans="2:17" ht="25" x14ac:dyDescent="0.35">
      <c r="B14" s="50">
        <v>1</v>
      </c>
      <c r="C14" s="51" t="s">
        <v>13</v>
      </c>
      <c r="D14" s="52">
        <v>24</v>
      </c>
      <c r="E14" s="52">
        <v>1</v>
      </c>
      <c r="F14" s="53" t="s">
        <v>1991</v>
      </c>
      <c r="G14" s="53" t="s">
        <v>1992</v>
      </c>
      <c r="H14" s="54" t="str">
        <f t="shared" si="0"/>
        <v>MM-JUR-024.01 - Procedimento Para Reabastecimento dos GAE</v>
      </c>
      <c r="I14" s="57" t="s">
        <v>1993</v>
      </c>
      <c r="J14" s="55" t="str">
        <f>VLOOKUP(D14,GM!$D$4:$G$1637,4,3)&amp;" e "&amp;C14</f>
        <v>ENGENHARIA MECÂNICA  e JUR</v>
      </c>
      <c r="K14" s="164">
        <v>44062</v>
      </c>
      <c r="L14" s="164">
        <f t="shared" si="1"/>
        <v>45158</v>
      </c>
      <c r="M14" s="10" t="s">
        <v>62</v>
      </c>
      <c r="N14" s="1" t="s">
        <v>371</v>
      </c>
      <c r="O14" s="67" t="str">
        <f t="shared" ca="1" si="3"/>
        <v>Vencido</v>
      </c>
      <c r="P14" s="67"/>
      <c r="Q14" s="67">
        <f t="shared" ca="1" si="4"/>
        <v>2136</v>
      </c>
    </row>
    <row r="15" spans="2:17" ht="25" x14ac:dyDescent="0.35">
      <c r="B15" s="50">
        <v>1</v>
      </c>
      <c r="C15" s="51" t="s">
        <v>13</v>
      </c>
      <c r="D15" s="52">
        <v>24</v>
      </c>
      <c r="E15" s="52">
        <v>4</v>
      </c>
      <c r="F15" s="53" t="s">
        <v>1994</v>
      </c>
      <c r="G15" s="53" t="s">
        <v>1995</v>
      </c>
      <c r="H15" s="54" t="str">
        <f t="shared" si="0"/>
        <v>MM-JUR-024.04 - Plano de Lubrificação do GAE</v>
      </c>
      <c r="I15" s="57" t="s">
        <v>1993</v>
      </c>
      <c r="J15" s="55" t="str">
        <f>VLOOKUP(D15,GM!$D$4:$G$1637,4,3)&amp;" e "&amp;C15</f>
        <v>ENGENHARIA MECÂNICA  e JUR</v>
      </c>
      <c r="K15" s="164">
        <v>44071</v>
      </c>
      <c r="L15" s="164">
        <f t="shared" si="1"/>
        <v>45167</v>
      </c>
      <c r="M15" s="10" t="s">
        <v>62</v>
      </c>
      <c r="N15" s="1" t="s">
        <v>371</v>
      </c>
      <c r="O15" s="67" t="str">
        <f t="shared" ca="1" si="3"/>
        <v>Vencido</v>
      </c>
      <c r="P15" s="67"/>
      <c r="Q15" s="67">
        <f t="shared" ca="1" si="4"/>
        <v>2127</v>
      </c>
    </row>
    <row r="16" spans="2:17" ht="26" x14ac:dyDescent="0.35">
      <c r="B16" s="50">
        <v>1</v>
      </c>
      <c r="C16" s="51" t="s">
        <v>13</v>
      </c>
      <c r="D16" s="52">
        <v>26</v>
      </c>
      <c r="E16" s="52">
        <v>7</v>
      </c>
      <c r="F16" s="53" t="s">
        <v>1996</v>
      </c>
      <c r="G16" s="53" t="s">
        <v>1997</v>
      </c>
      <c r="H16" s="54" t="str">
        <f t="shared" si="0"/>
        <v>MM-JUR-026.07 - Plano de Lubrificação do Sistema Drenagem e Esg</v>
      </c>
      <c r="I16" s="55" t="s">
        <v>1998</v>
      </c>
      <c r="J16" s="55" t="str">
        <f>VLOOKUP(D16,GM!$D$4:$G$1637,4,3)&amp;" e "&amp;C16</f>
        <v>ENGENHARIA MECÂNICA  e JUR</v>
      </c>
      <c r="K16" s="164">
        <v>44071</v>
      </c>
      <c r="L16" s="164">
        <f t="shared" si="1"/>
        <v>45167</v>
      </c>
      <c r="M16" s="10" t="s">
        <v>62</v>
      </c>
      <c r="N16" s="1" t="s">
        <v>371</v>
      </c>
      <c r="O16" s="67" t="str">
        <f t="shared" ca="1" si="3"/>
        <v>Vencido</v>
      </c>
      <c r="P16" s="67"/>
      <c r="Q16" s="67">
        <f t="shared" ca="1" si="4"/>
        <v>2127</v>
      </c>
    </row>
    <row r="17" spans="2:17" ht="25" x14ac:dyDescent="0.35">
      <c r="B17" s="50">
        <v>1</v>
      </c>
      <c r="C17" s="51" t="s">
        <v>13</v>
      </c>
      <c r="D17" s="52">
        <v>28</v>
      </c>
      <c r="E17" s="52">
        <v>2</v>
      </c>
      <c r="F17" s="53" t="s">
        <v>1999</v>
      </c>
      <c r="G17" s="53" t="s">
        <v>2000</v>
      </c>
      <c r="H17" s="54" t="str">
        <f t="shared" si="0"/>
        <v>MM-JUR-028.02 - Procedimento Manuseio Comportas de Manutenção</v>
      </c>
      <c r="I17" s="55" t="s">
        <v>2001</v>
      </c>
      <c r="J17" s="55" t="str">
        <f>VLOOKUP(D17,GM!$D$4:$G$1637,4,3)&amp;" e "&amp;C17</f>
        <v>ENGENHARIA MECÂNICA  e JUR</v>
      </c>
      <c r="K17" s="164">
        <v>44062</v>
      </c>
      <c r="L17" s="164">
        <f t="shared" si="1"/>
        <v>45158</v>
      </c>
      <c r="M17" s="10" t="s">
        <v>62</v>
      </c>
      <c r="N17" s="1" t="s">
        <v>371</v>
      </c>
      <c r="O17" s="67" t="str">
        <f t="shared" ca="1" si="3"/>
        <v>Vencido</v>
      </c>
      <c r="P17" s="67"/>
      <c r="Q17" s="67">
        <f t="shared" ca="1" si="4"/>
        <v>2136</v>
      </c>
    </row>
    <row r="18" spans="2:17" ht="25" x14ac:dyDescent="0.35">
      <c r="B18" s="50">
        <v>1</v>
      </c>
      <c r="C18" s="51" t="s">
        <v>13</v>
      </c>
      <c r="D18" s="52">
        <v>33</v>
      </c>
      <c r="E18" s="52">
        <v>1</v>
      </c>
      <c r="F18" s="53" t="s">
        <v>2002</v>
      </c>
      <c r="G18" s="53" t="s">
        <v>2003</v>
      </c>
      <c r="H18" s="54" t="str">
        <f t="shared" si="0"/>
        <v>MM-JUR-033.01 - Plano de Lubrificação do Elevador</v>
      </c>
      <c r="I18" s="57" t="s">
        <v>2004</v>
      </c>
      <c r="J18" s="55" t="str">
        <f>VLOOKUP(D18,GM!$D$4:$G$1637,4,3)&amp;" e "&amp;C18</f>
        <v>ENGENHARIA MECÂNICA  e JUR</v>
      </c>
      <c r="K18" s="164">
        <v>44071</v>
      </c>
      <c r="L18" s="164">
        <f t="shared" si="1"/>
        <v>45167</v>
      </c>
      <c r="M18" s="10" t="s">
        <v>62</v>
      </c>
      <c r="N18" s="1" t="s">
        <v>371</v>
      </c>
      <c r="O18" s="67" t="str">
        <f t="shared" ca="1" si="3"/>
        <v>Vencido</v>
      </c>
      <c r="P18" s="67"/>
      <c r="Q18" s="67">
        <f t="shared" ca="1" si="4"/>
        <v>2127</v>
      </c>
    </row>
    <row r="19" spans="2:17" ht="25" x14ac:dyDescent="0.35">
      <c r="B19" s="50">
        <v>1</v>
      </c>
      <c r="C19" s="51" t="s">
        <v>13</v>
      </c>
      <c r="D19" s="52">
        <v>34</v>
      </c>
      <c r="E19" s="52">
        <v>1</v>
      </c>
      <c r="F19" s="53" t="s">
        <v>2005</v>
      </c>
      <c r="G19" s="53" t="s">
        <v>2006</v>
      </c>
      <c r="H19" s="54" t="str">
        <f t="shared" si="0"/>
        <v>MM-JUR-034.01 - Plano de Lubrificação do Deposito Óleo</v>
      </c>
      <c r="I19" s="57" t="s">
        <v>2007</v>
      </c>
      <c r="J19" s="55" t="str">
        <f>VLOOKUP(D19,GM!$D$4:$G$1637,4,3)&amp;" e "&amp;C19</f>
        <v>ENGENHARIA MECÂNICA  e JUR</v>
      </c>
      <c r="K19" s="164">
        <v>44071</v>
      </c>
      <c r="L19" s="164">
        <f t="shared" si="1"/>
        <v>45167</v>
      </c>
      <c r="M19" s="10" t="s">
        <v>62</v>
      </c>
      <c r="N19" s="1" t="s">
        <v>371</v>
      </c>
      <c r="O19" s="67" t="str">
        <f t="shared" ca="1" si="3"/>
        <v>Vencido</v>
      </c>
      <c r="P19" s="67"/>
      <c r="Q19" s="67">
        <f t="shared" ca="1" si="4"/>
        <v>2127</v>
      </c>
    </row>
    <row r="20" spans="2:17" ht="25" hidden="1" x14ac:dyDescent="0.35">
      <c r="B20" s="50">
        <v>1</v>
      </c>
      <c r="C20" s="51" t="s">
        <v>13</v>
      </c>
      <c r="D20" s="52">
        <v>41</v>
      </c>
      <c r="E20" s="52">
        <v>0</v>
      </c>
      <c r="F20" s="53" t="s">
        <v>2008</v>
      </c>
      <c r="G20" s="53" t="s">
        <v>2009</v>
      </c>
      <c r="H20" s="54" t="str">
        <f t="shared" si="0"/>
        <v>MM-JUR-041.00 - Manutenção Preventiva  SPDA – Escopo 2</v>
      </c>
      <c r="I20" s="57" t="s">
        <v>2010</v>
      </c>
      <c r="J20" s="55" t="str">
        <f>VLOOKUP(D20,GM!$D$4:$G$1637,4,3)&amp;" e "&amp;C20</f>
        <v>ENGENHARIA ELÉTRICA  e JUR</v>
      </c>
      <c r="K20" s="164">
        <v>45755</v>
      </c>
      <c r="L20" s="164">
        <f t="shared" si="1"/>
        <v>46851</v>
      </c>
      <c r="M20" s="10" t="s">
        <v>62</v>
      </c>
      <c r="N20" s="1" t="s">
        <v>371</v>
      </c>
      <c r="O20" s="67" t="str">
        <f t="shared" ca="1" si="3"/>
        <v>Em dia</v>
      </c>
      <c r="P20" s="67"/>
      <c r="Q20" s="67">
        <f t="shared" ca="1" si="4"/>
        <v>443</v>
      </c>
    </row>
    <row r="21" spans="2:17" ht="25" hidden="1" x14ac:dyDescent="0.35">
      <c r="B21" s="50">
        <v>1</v>
      </c>
      <c r="C21" s="51" t="s">
        <v>13</v>
      </c>
      <c r="D21" s="52">
        <v>41</v>
      </c>
      <c r="E21" s="52">
        <v>1</v>
      </c>
      <c r="F21" s="53" t="s">
        <v>2011</v>
      </c>
      <c r="G21" s="53" t="s">
        <v>2012</v>
      </c>
      <c r="H21" s="54" t="str">
        <f t="shared" si="0"/>
        <v>MM-JUR-041.01 - Manutenção Preventiva  SPDA – Escopo 1</v>
      </c>
      <c r="I21" s="57" t="s">
        <v>2010</v>
      </c>
      <c r="J21" s="55" t="str">
        <f>VLOOKUP(D21,GM!$D$4:$G$1637,4,3)&amp;" e "&amp;C21</f>
        <v>ENGENHARIA ELÉTRICA  e JUR</v>
      </c>
      <c r="K21" s="164">
        <v>45755</v>
      </c>
      <c r="L21" s="164">
        <f t="shared" si="1"/>
        <v>46851</v>
      </c>
      <c r="M21" s="10" t="s">
        <v>62</v>
      </c>
      <c r="N21" s="1" t="s">
        <v>371</v>
      </c>
      <c r="O21" s="67" t="str">
        <f t="shared" ca="1" si="3"/>
        <v>Em dia</v>
      </c>
      <c r="P21" s="67"/>
      <c r="Q21" s="67">
        <f t="shared" ca="1" si="4"/>
        <v>443</v>
      </c>
    </row>
    <row r="22" spans="2:17" ht="25" x14ac:dyDescent="0.35">
      <c r="B22" s="50">
        <v>1</v>
      </c>
      <c r="C22" s="51" t="s">
        <v>13</v>
      </c>
      <c r="D22" s="52">
        <v>58</v>
      </c>
      <c r="E22" s="52">
        <v>2</v>
      </c>
      <c r="F22" s="53" t="s">
        <v>2013</v>
      </c>
      <c r="G22" s="53" t="s">
        <v>2014</v>
      </c>
      <c r="H22" s="54" t="str">
        <f t="shared" si="0"/>
        <v>MM-JUR-058.02 - Plano de Lubrificação Sistema Ventilação</v>
      </c>
      <c r="I22" s="57" t="s">
        <v>2015</v>
      </c>
      <c r="J22" s="55" t="str">
        <f>VLOOKUP(D22,GM!$D$4:$G$1637,4,3)&amp;" e "&amp;C22</f>
        <v>ENGENHARIA MECÂNICA  e JUR</v>
      </c>
      <c r="K22" s="164">
        <v>44071</v>
      </c>
      <c r="L22" s="164">
        <f t="shared" si="1"/>
        <v>45167</v>
      </c>
      <c r="M22" s="10" t="s">
        <v>62</v>
      </c>
      <c r="N22" s="1" t="s">
        <v>371</v>
      </c>
      <c r="O22" s="67" t="str">
        <f t="shared" ca="1" si="3"/>
        <v>Vencido</v>
      </c>
      <c r="P22" s="67"/>
      <c r="Q22" s="67">
        <f t="shared" ca="1" si="4"/>
        <v>2127</v>
      </c>
    </row>
    <row r="23" spans="2:17" ht="26" x14ac:dyDescent="0.35">
      <c r="B23" s="50">
        <v>1</v>
      </c>
      <c r="C23" s="51" t="s">
        <v>13</v>
      </c>
      <c r="D23" s="52">
        <v>60</v>
      </c>
      <c r="E23" s="52">
        <v>2</v>
      </c>
      <c r="F23" s="53" t="s">
        <v>2016</v>
      </c>
      <c r="G23" s="53" t="s">
        <v>2017</v>
      </c>
      <c r="H23" s="54" t="str">
        <f t="shared" si="0"/>
        <v>MM-JUR-060.02 - Manual de Manutenção sistema LGE</v>
      </c>
      <c r="I23" s="55" t="s">
        <v>2018</v>
      </c>
      <c r="J23" s="55" t="str">
        <f>VLOOKUP(D23,GM!$D$4:$G$1637,4,3)&amp;" e "&amp;C23</f>
        <v>ENGENHARIA MECÂNICA  e JUR</v>
      </c>
      <c r="K23" s="164">
        <v>44063</v>
      </c>
      <c r="L23" s="164">
        <f t="shared" si="1"/>
        <v>45159</v>
      </c>
      <c r="M23" s="10" t="s">
        <v>62</v>
      </c>
      <c r="N23" s="1" t="s">
        <v>371</v>
      </c>
      <c r="O23" s="67" t="str">
        <f t="shared" ca="1" si="3"/>
        <v>Vencido</v>
      </c>
      <c r="P23" s="67"/>
      <c r="Q23" s="67">
        <f t="shared" ca="1" si="4"/>
        <v>2135</v>
      </c>
    </row>
    <row r="24" spans="2:17" ht="26" x14ac:dyDescent="0.35">
      <c r="B24" s="50">
        <v>1</v>
      </c>
      <c r="C24" s="51" t="s">
        <v>13</v>
      </c>
      <c r="D24" s="52">
        <v>60</v>
      </c>
      <c r="E24" s="52">
        <v>3</v>
      </c>
      <c r="F24" s="53" t="s">
        <v>2019</v>
      </c>
      <c r="G24" s="53" t="s">
        <v>2020</v>
      </c>
      <c r="H24" s="54" t="str">
        <f t="shared" si="0"/>
        <v>MM-JUR-060.03 - Plano de Lubrificação Combate Incêndio</v>
      </c>
      <c r="I24" s="55" t="s">
        <v>2018</v>
      </c>
      <c r="J24" s="55" t="str">
        <f>VLOOKUP(D24,GM!$D$4:$G$1637,4,3)&amp;" e "&amp;C24</f>
        <v>ENGENHARIA MECÂNICA  e JUR</v>
      </c>
      <c r="K24" s="164">
        <v>44071</v>
      </c>
      <c r="L24" s="164">
        <f t="shared" si="1"/>
        <v>45167</v>
      </c>
      <c r="M24" s="10" t="s">
        <v>62</v>
      </c>
      <c r="N24" s="1" t="s">
        <v>371</v>
      </c>
      <c r="O24" s="67" t="str">
        <f t="shared" ca="1" si="3"/>
        <v>Vencido</v>
      </c>
      <c r="P24" s="67"/>
      <c r="Q24" s="67">
        <f t="shared" ca="1" si="4"/>
        <v>2127</v>
      </c>
    </row>
    <row r="25" spans="2:17" ht="25" x14ac:dyDescent="0.35">
      <c r="B25" s="50">
        <v>1</v>
      </c>
      <c r="C25" s="51" t="s">
        <v>13</v>
      </c>
      <c r="D25" s="52">
        <v>65</v>
      </c>
      <c r="E25" s="52">
        <v>1</v>
      </c>
      <c r="F25" s="53" t="s">
        <v>2021</v>
      </c>
      <c r="G25" s="53" t="s">
        <v>2022</v>
      </c>
      <c r="H25" s="54" t="str">
        <f t="shared" si="0"/>
        <v>MM-JUR-065.01 - Plano de Lubrificação Central Hidrau Comporta Emerg</v>
      </c>
      <c r="I25" s="57" t="s">
        <v>2023</v>
      </c>
      <c r="J25" s="55" t="str">
        <f>VLOOKUP(D25,GM!$D$4:$G$1637,4,3)&amp;" e "&amp;C25</f>
        <v>ENGENHARIA MECÂNICA  e JUR</v>
      </c>
      <c r="K25" s="164">
        <v>44071</v>
      </c>
      <c r="L25" s="164">
        <f t="shared" si="1"/>
        <v>45167</v>
      </c>
      <c r="M25" s="10" t="s">
        <v>62</v>
      </c>
      <c r="N25" s="1" t="s">
        <v>371</v>
      </c>
      <c r="O25" s="67" t="str">
        <f t="shared" ca="1" si="3"/>
        <v>Vencido</v>
      </c>
      <c r="P25" s="67"/>
      <c r="Q25" s="67">
        <f t="shared" ca="1" si="4"/>
        <v>2127</v>
      </c>
    </row>
    <row r="26" spans="2:17" ht="25" x14ac:dyDescent="0.35">
      <c r="B26" s="50">
        <v>1</v>
      </c>
      <c r="C26" s="51" t="s">
        <v>13</v>
      </c>
      <c r="D26" s="52">
        <v>65</v>
      </c>
      <c r="E26" s="52">
        <v>2</v>
      </c>
      <c r="F26" s="53" t="s">
        <v>2024</v>
      </c>
      <c r="G26" s="53" t="s">
        <v>2025</v>
      </c>
      <c r="H26" s="54" t="str">
        <f t="shared" si="0"/>
        <v>MM-JUR-065.02 - Plano de Lubrificação Central Hidrau do VS</v>
      </c>
      <c r="I26" s="57" t="s">
        <v>2026</v>
      </c>
      <c r="J26" s="55" t="str">
        <f>VLOOKUP(D26,GM!$D$4:$G$1637,4,3)&amp;" e "&amp;C26</f>
        <v>ENGENHARIA MECÂNICA  e JUR</v>
      </c>
      <c r="K26" s="164">
        <v>44071</v>
      </c>
      <c r="L26" s="164">
        <f t="shared" si="1"/>
        <v>45167</v>
      </c>
      <c r="M26" s="10" t="s">
        <v>62</v>
      </c>
      <c r="N26" s="1" t="s">
        <v>371</v>
      </c>
      <c r="O26" s="67" t="str">
        <f t="shared" ca="1" si="3"/>
        <v>Vencido</v>
      </c>
      <c r="P26" s="67"/>
      <c r="Q26" s="67">
        <f t="shared" ca="1" si="4"/>
        <v>2127</v>
      </c>
    </row>
    <row r="27" spans="2:17" ht="25" x14ac:dyDescent="0.35">
      <c r="B27" s="50">
        <v>1</v>
      </c>
      <c r="C27" s="51" t="s">
        <v>13</v>
      </c>
      <c r="D27" s="52">
        <v>66</v>
      </c>
      <c r="E27" s="52">
        <v>1</v>
      </c>
      <c r="F27" s="53" t="s">
        <v>2027</v>
      </c>
      <c r="G27" s="53" t="s">
        <v>2028</v>
      </c>
      <c r="H27" s="54" t="str">
        <f t="shared" si="0"/>
        <v>MM-JUR-066.01 - Plano de Lubrificação do Sistema de Elevação</v>
      </c>
      <c r="I27" s="57" t="s">
        <v>2029</v>
      </c>
      <c r="J27" s="55" t="str">
        <f>VLOOKUP(D27,GM!$D$4:$G$1637,4,3)&amp;" e "&amp;C27</f>
        <v>ENGENHARIA MECÂNICA  e JUR</v>
      </c>
      <c r="K27" s="164">
        <v>44071</v>
      </c>
      <c r="L27" s="164">
        <f t="shared" si="1"/>
        <v>45167</v>
      </c>
      <c r="M27" s="10" t="s">
        <v>62</v>
      </c>
      <c r="N27" s="1" t="s">
        <v>371</v>
      </c>
      <c r="O27" s="67" t="str">
        <f t="shared" ca="1" si="3"/>
        <v>Vencido</v>
      </c>
      <c r="P27" s="67"/>
      <c r="Q27" s="67">
        <f t="shared" ca="1" si="4"/>
        <v>2127</v>
      </c>
    </row>
    <row r="28" spans="2:17" ht="26" x14ac:dyDescent="0.35">
      <c r="B28" s="50">
        <v>2</v>
      </c>
      <c r="C28" s="51" t="s">
        <v>14</v>
      </c>
      <c r="D28" s="52">
        <v>0</v>
      </c>
      <c r="E28" s="52">
        <v>2</v>
      </c>
      <c r="F28" s="53" t="s">
        <v>2030</v>
      </c>
      <c r="G28" s="53" t="s">
        <v>1972</v>
      </c>
      <c r="H28" s="54" t="str">
        <f t="shared" si="0"/>
        <v>MM-CHV-000.02 - Procedimentos Execução Mergulho Profissional</v>
      </c>
      <c r="I28" s="55" t="s">
        <v>1973</v>
      </c>
      <c r="J28" s="55" t="str">
        <f>VLOOKUP(D28,GM!$D$4:$G$1637,4,3)&amp;" e "&amp;C28</f>
        <v>ENGENHARIA  e CHV</v>
      </c>
      <c r="K28" s="164">
        <v>44063</v>
      </c>
      <c r="L28" s="164">
        <f t="shared" si="1"/>
        <v>45159</v>
      </c>
      <c r="M28" s="10" t="s">
        <v>62</v>
      </c>
      <c r="N28" s="1" t="s">
        <v>371</v>
      </c>
      <c r="O28" s="67" t="str">
        <f t="shared" ca="1" si="3"/>
        <v>Vencido</v>
      </c>
      <c r="P28" s="67"/>
      <c r="Q28" s="67">
        <f t="shared" ca="1" si="4"/>
        <v>2135</v>
      </c>
    </row>
    <row r="29" spans="2:17" ht="25" x14ac:dyDescent="0.35">
      <c r="B29" s="50">
        <v>2</v>
      </c>
      <c r="C29" s="51" t="s">
        <v>14</v>
      </c>
      <c r="D29" s="52">
        <v>1</v>
      </c>
      <c r="E29" s="52">
        <v>2</v>
      </c>
      <c r="F29" s="53" t="s">
        <v>2031</v>
      </c>
      <c r="G29" s="53" t="s">
        <v>1975</v>
      </c>
      <c r="H29" s="54" t="str">
        <f t="shared" si="0"/>
        <v>MM-CHV-001.02  - Procedimentos Para Ajustes de Verticalidade e Mancais</v>
      </c>
      <c r="I29" s="55" t="s">
        <v>1976</v>
      </c>
      <c r="J29" s="55" t="str">
        <f>VLOOKUP(D29,GM!$D$4:$G$1637,4,3)&amp;" e "&amp;C29</f>
        <v>ENGENHARIA MECÂNICA  e CHV</v>
      </c>
      <c r="K29" s="164">
        <v>44049</v>
      </c>
      <c r="L29" s="164">
        <f t="shared" si="1"/>
        <v>45145</v>
      </c>
      <c r="M29" s="10" t="s">
        <v>62</v>
      </c>
      <c r="N29" s="1" t="s">
        <v>371</v>
      </c>
      <c r="O29" s="67" t="str">
        <f t="shared" ca="1" si="3"/>
        <v>Vencido</v>
      </c>
      <c r="P29" s="67"/>
      <c r="Q29" s="67">
        <f t="shared" ca="1" si="4"/>
        <v>2149</v>
      </c>
    </row>
    <row r="30" spans="2:17" ht="25" x14ac:dyDescent="0.35">
      <c r="B30" s="50">
        <v>2</v>
      </c>
      <c r="C30" s="51" t="s">
        <v>14</v>
      </c>
      <c r="D30" s="52">
        <v>1</v>
      </c>
      <c r="E30" s="52">
        <v>25</v>
      </c>
      <c r="F30" s="53" t="s">
        <v>2032</v>
      </c>
      <c r="G30" s="53" t="s">
        <v>1978</v>
      </c>
      <c r="H30" s="54" t="str">
        <f t="shared" si="0"/>
        <v>MM-CHV-001.25 - Plano de Lubrificação da Turbina</v>
      </c>
      <c r="I30" s="55" t="s">
        <v>1976</v>
      </c>
      <c r="J30" s="55" t="str">
        <f>VLOOKUP(D30,GM!$D$4:$G$1637,4,3)&amp;" e "&amp;C30</f>
        <v>ENGENHARIA MECÂNICA  e CHV</v>
      </c>
      <c r="K30" s="164">
        <v>44063</v>
      </c>
      <c r="L30" s="164">
        <f t="shared" si="1"/>
        <v>45159</v>
      </c>
      <c r="M30" s="10" t="s">
        <v>62</v>
      </c>
      <c r="N30" s="1" t="s">
        <v>371</v>
      </c>
      <c r="O30" s="67" t="str">
        <f t="shared" ca="1" si="3"/>
        <v>Vencido</v>
      </c>
      <c r="P30" s="67"/>
      <c r="Q30" s="67">
        <f t="shared" ca="1" si="4"/>
        <v>2135</v>
      </c>
    </row>
    <row r="31" spans="2:17" ht="25" hidden="1" x14ac:dyDescent="0.35">
      <c r="B31" s="50">
        <v>2</v>
      </c>
      <c r="C31" s="51" t="s">
        <v>14</v>
      </c>
      <c r="D31" s="52">
        <v>6</v>
      </c>
      <c r="E31" s="52">
        <v>0</v>
      </c>
      <c r="F31" s="53" t="s">
        <v>2033</v>
      </c>
      <c r="G31" s="53" t="s">
        <v>1980</v>
      </c>
      <c r="H31" s="54" t="str">
        <f t="shared" si="0"/>
        <v>MM-CHV-006.00 - Coleta de Amostras de Óleo Isolante</v>
      </c>
      <c r="I31" s="57" t="s">
        <v>2034</v>
      </c>
      <c r="J31" s="55" t="str">
        <f>VLOOKUP(D31,GM!$D$4:$G$1637,4,3)&amp;" e "&amp;C31</f>
        <v>ENGENHARIA ELÉTRICA  e CHV</v>
      </c>
      <c r="K31" s="164">
        <v>45743</v>
      </c>
      <c r="L31" s="164">
        <f t="shared" si="1"/>
        <v>46839</v>
      </c>
      <c r="M31" s="10" t="s">
        <v>62</v>
      </c>
      <c r="N31" s="1" t="s">
        <v>371</v>
      </c>
      <c r="O31" s="67" t="str">
        <f t="shared" ca="1" si="3"/>
        <v>Em dia</v>
      </c>
      <c r="P31" s="67"/>
      <c r="Q31" s="67">
        <f t="shared" ca="1" si="4"/>
        <v>455</v>
      </c>
    </row>
    <row r="32" spans="2:17" ht="25" x14ac:dyDescent="0.35">
      <c r="B32" s="50">
        <v>2</v>
      </c>
      <c r="C32" s="51" t="s">
        <v>14</v>
      </c>
      <c r="D32" s="52">
        <v>20</v>
      </c>
      <c r="E32" s="52">
        <v>6</v>
      </c>
      <c r="F32" s="53" t="s">
        <v>2035</v>
      </c>
      <c r="G32" s="53" t="s">
        <v>1983</v>
      </c>
      <c r="H32" s="54" t="str">
        <f t="shared" si="0"/>
        <v>MM-CHV-020.06 - Plano de Lubrificação do RV</v>
      </c>
      <c r="I32" s="57" t="s">
        <v>1984</v>
      </c>
      <c r="J32" s="55" t="str">
        <f>VLOOKUP(D32,GM!$D$4:$G$1637,4,3)&amp;" e "&amp;C32</f>
        <v>ENGENHARIA MECÂNICA  e CHV</v>
      </c>
      <c r="K32" s="164">
        <v>44063</v>
      </c>
      <c r="L32" s="164">
        <f t="shared" si="1"/>
        <v>45159</v>
      </c>
      <c r="M32" s="10" t="s">
        <v>62</v>
      </c>
      <c r="N32" s="1" t="s">
        <v>371</v>
      </c>
      <c r="O32" s="67" t="str">
        <f t="shared" ca="1" si="3"/>
        <v>Vencido</v>
      </c>
      <c r="P32" s="67"/>
      <c r="Q32" s="67">
        <f t="shared" ca="1" si="4"/>
        <v>2135</v>
      </c>
    </row>
    <row r="33" spans="2:17" ht="25" x14ac:dyDescent="0.35">
      <c r="B33" s="50">
        <v>2</v>
      </c>
      <c r="C33" s="51" t="s">
        <v>14</v>
      </c>
      <c r="D33" s="52">
        <v>22</v>
      </c>
      <c r="E33" s="52">
        <v>3</v>
      </c>
      <c r="F33" s="53" t="s">
        <v>2036</v>
      </c>
      <c r="G33" s="53" t="s">
        <v>1986</v>
      </c>
      <c r="H33" s="54" t="str">
        <f t="shared" si="0"/>
        <v>MM-CHV-022.03 - Plano de Lubrificação dos Compressores</v>
      </c>
      <c r="I33" s="57" t="s">
        <v>1987</v>
      </c>
      <c r="J33" s="55" t="str">
        <f>VLOOKUP(D33,GM!$D$4:$G$1637,4,3)&amp;" e "&amp;C33</f>
        <v>ENGENHARIA MECÂNICA  e CHV</v>
      </c>
      <c r="K33" s="164">
        <v>44063</v>
      </c>
      <c r="L33" s="164">
        <f t="shared" si="1"/>
        <v>45159</v>
      </c>
      <c r="M33" s="10" t="s">
        <v>62</v>
      </c>
      <c r="N33" s="1" t="s">
        <v>371</v>
      </c>
      <c r="O33" s="67" t="str">
        <f t="shared" ca="1" si="3"/>
        <v>Vencido</v>
      </c>
      <c r="P33" s="67"/>
      <c r="Q33" s="67">
        <f t="shared" ca="1" si="4"/>
        <v>2135</v>
      </c>
    </row>
    <row r="34" spans="2:17" ht="25" x14ac:dyDescent="0.35">
      <c r="B34" s="50">
        <v>2</v>
      </c>
      <c r="C34" s="51" t="s">
        <v>14</v>
      </c>
      <c r="D34" s="52">
        <v>23</v>
      </c>
      <c r="E34" s="52">
        <v>3</v>
      </c>
      <c r="F34" s="53" t="s">
        <v>2037</v>
      </c>
      <c r="G34" s="53" t="s">
        <v>1989</v>
      </c>
      <c r="H34" s="54" t="str">
        <f t="shared" si="0"/>
        <v>MM-CHV-023.03 - Plano de Lubrificação do sistema de Refrigeração</v>
      </c>
      <c r="I34" s="57" t="s">
        <v>1990</v>
      </c>
      <c r="J34" s="55" t="str">
        <f>VLOOKUP(D34,GM!$D$4:$G$1637,4,3)&amp;" e "&amp;C34</f>
        <v>ENGENHARIA MECÂNICA  e CHV</v>
      </c>
      <c r="K34" s="164">
        <v>44063</v>
      </c>
      <c r="L34" s="164">
        <f t="shared" si="1"/>
        <v>45159</v>
      </c>
      <c r="M34" s="10" t="s">
        <v>62</v>
      </c>
      <c r="N34" s="1" t="s">
        <v>371</v>
      </c>
      <c r="O34" s="67" t="str">
        <f t="shared" ca="1" si="3"/>
        <v>Vencido</v>
      </c>
      <c r="P34" s="67"/>
      <c r="Q34" s="67">
        <f t="shared" ca="1" si="4"/>
        <v>2135</v>
      </c>
    </row>
    <row r="35" spans="2:17" ht="25" x14ac:dyDescent="0.35">
      <c r="B35" s="50">
        <v>2</v>
      </c>
      <c r="C35" s="51" t="s">
        <v>14</v>
      </c>
      <c r="D35" s="52">
        <v>24</v>
      </c>
      <c r="E35" s="52">
        <v>1</v>
      </c>
      <c r="F35" s="53" t="s">
        <v>2038</v>
      </c>
      <c r="G35" s="53" t="s">
        <v>1992</v>
      </c>
      <c r="H35" s="54" t="str">
        <f t="shared" si="0"/>
        <v>MM-CHV-024.01 - Procedimento Para Reabastecimento dos GAE</v>
      </c>
      <c r="I35" s="57" t="s">
        <v>1993</v>
      </c>
      <c r="J35" s="55" t="str">
        <f>VLOOKUP(D35,GM!$D$4:$G$1637,4,3)&amp;" e "&amp;C35</f>
        <v>ENGENHARIA MECÂNICA  e CHV</v>
      </c>
      <c r="K35" s="164">
        <v>44062</v>
      </c>
      <c r="L35" s="164">
        <f t="shared" si="1"/>
        <v>45158</v>
      </c>
      <c r="M35" s="10" t="s">
        <v>62</v>
      </c>
      <c r="N35" s="1" t="s">
        <v>371</v>
      </c>
      <c r="O35" s="67" t="str">
        <f t="shared" ca="1" si="3"/>
        <v>Vencido</v>
      </c>
      <c r="P35" s="67"/>
      <c r="Q35" s="67">
        <f t="shared" ca="1" si="4"/>
        <v>2136</v>
      </c>
    </row>
    <row r="36" spans="2:17" ht="25" x14ac:dyDescent="0.35">
      <c r="B36" s="50">
        <v>2</v>
      </c>
      <c r="C36" s="51" t="s">
        <v>14</v>
      </c>
      <c r="D36" s="52">
        <v>24</v>
      </c>
      <c r="E36" s="52">
        <v>4</v>
      </c>
      <c r="F36" s="53" t="s">
        <v>2039</v>
      </c>
      <c r="G36" s="53" t="s">
        <v>1995</v>
      </c>
      <c r="H36" s="54" t="str">
        <f t="shared" si="0"/>
        <v>MM-CHV-024.04 - Plano de Lubrificação do GAE</v>
      </c>
      <c r="I36" s="57" t="s">
        <v>1993</v>
      </c>
      <c r="J36" s="55" t="str">
        <f>VLOOKUP(D36,GM!$D$4:$G$1637,4,3)&amp;" e "&amp;C36</f>
        <v>ENGENHARIA MECÂNICA  e CHV</v>
      </c>
      <c r="K36" s="164">
        <v>44063</v>
      </c>
      <c r="L36" s="164">
        <f t="shared" si="1"/>
        <v>45159</v>
      </c>
      <c r="M36" s="10" t="s">
        <v>62</v>
      </c>
      <c r="N36" s="1" t="s">
        <v>371</v>
      </c>
      <c r="O36" s="67" t="str">
        <f t="shared" ca="1" si="3"/>
        <v>Vencido</v>
      </c>
      <c r="P36" s="67"/>
      <c r="Q36" s="67">
        <f t="shared" ca="1" si="4"/>
        <v>2135</v>
      </c>
    </row>
    <row r="37" spans="2:17" ht="26" x14ac:dyDescent="0.35">
      <c r="B37" s="50">
        <v>2</v>
      </c>
      <c r="C37" s="51" t="s">
        <v>14</v>
      </c>
      <c r="D37" s="52">
        <v>26</v>
      </c>
      <c r="E37" s="52">
        <v>7</v>
      </c>
      <c r="F37" s="53" t="s">
        <v>2040</v>
      </c>
      <c r="G37" s="53" t="s">
        <v>1997</v>
      </c>
      <c r="H37" s="54" t="str">
        <f t="shared" si="0"/>
        <v>MM-CHV-026.07 - Plano de Lubrificação do Sistema Drenagem e Esg</v>
      </c>
      <c r="I37" s="55" t="s">
        <v>1998</v>
      </c>
      <c r="J37" s="55" t="str">
        <f>VLOOKUP(D37,GM!$D$4:$G$1637,4,3)&amp;" e "&amp;C37</f>
        <v>ENGENHARIA MECÂNICA  e CHV</v>
      </c>
      <c r="K37" s="164">
        <v>44063</v>
      </c>
      <c r="L37" s="164">
        <f t="shared" si="1"/>
        <v>45159</v>
      </c>
      <c r="M37" s="10" t="s">
        <v>62</v>
      </c>
      <c r="N37" s="1" t="s">
        <v>371</v>
      </c>
      <c r="O37" s="67" t="str">
        <f t="shared" ca="1" si="3"/>
        <v>Vencido</v>
      </c>
      <c r="P37" s="67"/>
      <c r="Q37" s="67">
        <f t="shared" ca="1" si="4"/>
        <v>2135</v>
      </c>
    </row>
    <row r="38" spans="2:17" ht="25" x14ac:dyDescent="0.35">
      <c r="B38" s="50">
        <v>2</v>
      </c>
      <c r="C38" s="51" t="s">
        <v>14</v>
      </c>
      <c r="D38" s="52">
        <v>28</v>
      </c>
      <c r="E38" s="52">
        <v>2</v>
      </c>
      <c r="F38" s="53" t="s">
        <v>2041</v>
      </c>
      <c r="G38" s="53" t="s">
        <v>2000</v>
      </c>
      <c r="H38" s="54" t="str">
        <f t="shared" si="0"/>
        <v>MM-CHV-028.02 - Procedimento Manuseio Comportas de Manutenção</v>
      </c>
      <c r="I38" s="55" t="s">
        <v>2001</v>
      </c>
      <c r="J38" s="55" t="str">
        <f>VLOOKUP(D38,GM!$D$4:$G$1637,4,3)&amp;" e "&amp;C38</f>
        <v>ENGENHARIA MECÂNICA  e CHV</v>
      </c>
      <c r="K38" s="164">
        <v>44062</v>
      </c>
      <c r="L38" s="164">
        <f t="shared" si="1"/>
        <v>45158</v>
      </c>
      <c r="M38" s="10" t="s">
        <v>62</v>
      </c>
      <c r="N38" s="1" t="s">
        <v>371</v>
      </c>
      <c r="O38" s="67" t="str">
        <f t="shared" ca="1" si="3"/>
        <v>Vencido</v>
      </c>
      <c r="P38" s="67"/>
      <c r="Q38" s="67">
        <f t="shared" ca="1" si="4"/>
        <v>2136</v>
      </c>
    </row>
    <row r="39" spans="2:17" ht="25" hidden="1" x14ac:dyDescent="0.35">
      <c r="B39" s="50">
        <v>2</v>
      </c>
      <c r="C39" s="51" t="s">
        <v>14</v>
      </c>
      <c r="D39" s="52">
        <v>41</v>
      </c>
      <c r="E39" s="52">
        <v>0</v>
      </c>
      <c r="F39" s="53" t="s">
        <v>2042</v>
      </c>
      <c r="G39" s="53" t="s">
        <v>2009</v>
      </c>
      <c r="H39" s="54" t="str">
        <f t="shared" si="0"/>
        <v>MM-CHV-041.00 - Manutenção Preventiva  SPDA – Escopo 2</v>
      </c>
      <c r="I39" s="57" t="s">
        <v>2010</v>
      </c>
      <c r="J39" s="55" t="str">
        <f>VLOOKUP(D39,GM!$D$4:$G$1637,4,3)&amp;" e "&amp;C39</f>
        <v>ENGENHARIA ELÉTRICA  e CHV</v>
      </c>
      <c r="K39" s="164">
        <v>45755</v>
      </c>
      <c r="L39" s="164">
        <f t="shared" si="1"/>
        <v>46851</v>
      </c>
      <c r="M39" s="10" t="s">
        <v>62</v>
      </c>
      <c r="N39" s="1" t="s">
        <v>371</v>
      </c>
      <c r="O39" s="67" t="str">
        <f t="shared" ca="1" si="3"/>
        <v>Em dia</v>
      </c>
      <c r="P39" s="67"/>
      <c r="Q39" s="67">
        <f t="shared" ca="1" si="4"/>
        <v>443</v>
      </c>
    </row>
    <row r="40" spans="2:17" ht="25" hidden="1" x14ac:dyDescent="0.35">
      <c r="B40" s="50">
        <v>2</v>
      </c>
      <c r="C40" s="51" t="s">
        <v>14</v>
      </c>
      <c r="D40" s="52">
        <v>41</v>
      </c>
      <c r="E40" s="52">
        <v>1</v>
      </c>
      <c r="F40" s="53" t="s">
        <v>2043</v>
      </c>
      <c r="G40" s="53" t="s">
        <v>2012</v>
      </c>
      <c r="H40" s="54" t="str">
        <f t="shared" si="0"/>
        <v>MM-CHV-041.01 - Manutenção Preventiva  SPDA – Escopo 1</v>
      </c>
      <c r="I40" s="57" t="s">
        <v>2010</v>
      </c>
      <c r="J40" s="55" t="str">
        <f>VLOOKUP(D40,GM!$D$4:$G$1637,4,3)&amp;" e "&amp;C40</f>
        <v>ENGENHARIA ELÉTRICA  e CHV</v>
      </c>
      <c r="K40" s="164">
        <v>45755</v>
      </c>
      <c r="L40" s="164">
        <f t="shared" si="1"/>
        <v>46851</v>
      </c>
      <c r="M40" s="10" t="s">
        <v>62</v>
      </c>
      <c r="N40" s="1" t="s">
        <v>371</v>
      </c>
      <c r="O40" s="67" t="str">
        <f t="shared" ca="1" si="3"/>
        <v>Em dia</v>
      </c>
      <c r="P40" s="67"/>
      <c r="Q40" s="67">
        <f t="shared" ca="1" si="4"/>
        <v>443</v>
      </c>
    </row>
    <row r="41" spans="2:17" ht="25" hidden="1" x14ac:dyDescent="0.35">
      <c r="B41" s="50">
        <v>2</v>
      </c>
      <c r="C41" s="51" t="s">
        <v>14</v>
      </c>
      <c r="D41" s="52">
        <v>51</v>
      </c>
      <c r="E41" s="52">
        <v>0</v>
      </c>
      <c r="F41" s="53" t="s">
        <v>2044</v>
      </c>
      <c r="G41" s="53" t="s">
        <v>2045</v>
      </c>
      <c r="H41" s="54" t="str">
        <f t="shared" si="0"/>
        <v>MM-CHV-051.00 - MCP0 nos Transformadores Auxiliares Imersos em Óleo</v>
      </c>
      <c r="I41" s="57" t="s">
        <v>2046</v>
      </c>
      <c r="J41" s="55" t="str">
        <f>VLOOKUP(D41,GM!$D$4:$G$1637,4,3)&amp;" e "&amp;C41</f>
        <v>ENGENHARIA ELÉTRICA  e CHV</v>
      </c>
      <c r="K41" s="164">
        <v>45791</v>
      </c>
      <c r="L41" s="164">
        <f t="shared" si="1"/>
        <v>46887</v>
      </c>
      <c r="M41" s="10" t="s">
        <v>62</v>
      </c>
      <c r="N41" s="1" t="s">
        <v>371</v>
      </c>
      <c r="O41" s="67" t="str">
        <f t="shared" ca="1" si="3"/>
        <v>Em dia</v>
      </c>
      <c r="P41" s="67"/>
      <c r="Q41" s="67">
        <f t="shared" ca="1" si="4"/>
        <v>407</v>
      </c>
    </row>
    <row r="42" spans="2:17" ht="25" hidden="1" x14ac:dyDescent="0.35">
      <c r="B42" s="50">
        <v>2</v>
      </c>
      <c r="C42" s="51" t="s">
        <v>14</v>
      </c>
      <c r="D42" s="52">
        <v>51</v>
      </c>
      <c r="E42" s="52">
        <v>1</v>
      </c>
      <c r="F42" s="53" t="s">
        <v>2047</v>
      </c>
      <c r="G42" s="53" t="s">
        <v>2048</v>
      </c>
      <c r="H42" s="54" t="str">
        <f t="shared" si="0"/>
        <v>MM-CHV-051.01 - MCP1 nos Transformadores Auxiliares Imersos em Óleo</v>
      </c>
      <c r="I42" s="57" t="s">
        <v>2046</v>
      </c>
      <c r="J42" s="55" t="str">
        <f>VLOOKUP(D42,GM!$D$4:$G$1637,4,3)&amp;" e "&amp;C42</f>
        <v>ENGENHARIA ELÉTRICA  e CHV</v>
      </c>
      <c r="K42" s="164">
        <v>45791</v>
      </c>
      <c r="L42" s="164">
        <f t="shared" si="1"/>
        <v>46887</v>
      </c>
      <c r="M42" s="10" t="s">
        <v>62</v>
      </c>
      <c r="N42" s="1" t="s">
        <v>371</v>
      </c>
      <c r="O42" s="67" t="str">
        <f t="shared" ca="1" si="3"/>
        <v>Em dia</v>
      </c>
      <c r="P42" s="67"/>
      <c r="Q42" s="67">
        <f t="shared" ca="1" si="4"/>
        <v>407</v>
      </c>
    </row>
    <row r="43" spans="2:17" ht="26" x14ac:dyDescent="0.35">
      <c r="B43" s="50">
        <v>2</v>
      </c>
      <c r="C43" s="51" t="s">
        <v>14</v>
      </c>
      <c r="D43" s="52">
        <v>60</v>
      </c>
      <c r="E43" s="52">
        <v>2</v>
      </c>
      <c r="F43" s="53" t="s">
        <v>2049</v>
      </c>
      <c r="G43" s="53" t="s">
        <v>2017</v>
      </c>
      <c r="H43" s="54" t="str">
        <f t="shared" si="0"/>
        <v>MM-CHV-060.02 - Manual de Manutenção sistema LGE</v>
      </c>
      <c r="I43" s="55" t="s">
        <v>2018</v>
      </c>
      <c r="J43" s="55" t="str">
        <f>VLOOKUP(D43,GM!$D$4:$G$1637,4,3)&amp;" e "&amp;C43</f>
        <v>ENGENHARIA MECÂNICA  e CHV</v>
      </c>
      <c r="K43" s="164">
        <v>44063</v>
      </c>
      <c r="L43" s="164">
        <f t="shared" si="1"/>
        <v>45159</v>
      </c>
      <c r="M43" s="10" t="s">
        <v>62</v>
      </c>
      <c r="N43" s="1" t="s">
        <v>371</v>
      </c>
      <c r="O43" s="67" t="str">
        <f t="shared" ca="1" si="3"/>
        <v>Vencido</v>
      </c>
      <c r="P43" s="67"/>
      <c r="Q43" s="67">
        <f t="shared" ca="1" si="4"/>
        <v>2135</v>
      </c>
    </row>
    <row r="44" spans="2:17" ht="25" x14ac:dyDescent="0.35">
      <c r="B44" s="50">
        <v>2</v>
      </c>
      <c r="C44" s="51" t="s">
        <v>14</v>
      </c>
      <c r="D44" s="52">
        <v>64</v>
      </c>
      <c r="E44" s="52">
        <v>1</v>
      </c>
      <c r="F44" s="53" t="s">
        <v>2050</v>
      </c>
      <c r="G44" s="53" t="s">
        <v>2051</v>
      </c>
      <c r="H44" s="54" t="str">
        <f t="shared" si="0"/>
        <v>MM-CHV-064.01 - Plano de Lubrificação da Válvula Borboleta</v>
      </c>
      <c r="I44" s="55" t="s">
        <v>2052</v>
      </c>
      <c r="J44" s="55" t="str">
        <f>VLOOKUP(D44,GM!$D$4:$G$1637,4,3)&amp;" e "&amp;C44</f>
        <v>ENGENHARIA MECÂNICA  e CHV</v>
      </c>
      <c r="K44" s="164">
        <v>44063</v>
      </c>
      <c r="L44" s="164">
        <f t="shared" si="1"/>
        <v>45159</v>
      </c>
      <c r="M44" s="10" t="s">
        <v>62</v>
      </c>
      <c r="N44" s="1" t="s">
        <v>371</v>
      </c>
      <c r="O44" s="67" t="str">
        <f t="shared" ca="1" si="3"/>
        <v>Vencido</v>
      </c>
      <c r="P44" s="67"/>
      <c r="Q44" s="67">
        <f t="shared" ca="1" si="4"/>
        <v>2135</v>
      </c>
    </row>
    <row r="45" spans="2:17" ht="25" x14ac:dyDescent="0.35">
      <c r="B45" s="50">
        <v>2</v>
      </c>
      <c r="C45" s="51" t="s">
        <v>14</v>
      </c>
      <c r="D45" s="52">
        <v>65</v>
      </c>
      <c r="E45" s="52">
        <v>1</v>
      </c>
      <c r="F45" s="53" t="s">
        <v>2053</v>
      </c>
      <c r="G45" s="53" t="s">
        <v>2022</v>
      </c>
      <c r="H45" s="54" t="str">
        <f t="shared" si="0"/>
        <v>MM-CHV-065.01 - Plano de Lubrificação Central Hidrau Comporta Emerg</v>
      </c>
      <c r="I45" s="57" t="s">
        <v>2023</v>
      </c>
      <c r="J45" s="55" t="str">
        <f>VLOOKUP(D45,GM!$D$4:$G$1637,4,3)&amp;" e "&amp;C45</f>
        <v>ENGENHARIA MECÂNICA  e CHV</v>
      </c>
      <c r="K45" s="164">
        <v>44063</v>
      </c>
      <c r="L45" s="164">
        <f t="shared" si="1"/>
        <v>45159</v>
      </c>
      <c r="M45" s="10" t="s">
        <v>62</v>
      </c>
      <c r="N45" s="1" t="s">
        <v>371</v>
      </c>
      <c r="O45" s="67" t="str">
        <f t="shared" ca="1" si="3"/>
        <v>Vencido</v>
      </c>
      <c r="P45" s="67"/>
      <c r="Q45" s="67">
        <f t="shared" ca="1" si="4"/>
        <v>2135</v>
      </c>
    </row>
    <row r="46" spans="2:17" ht="25" x14ac:dyDescent="0.35">
      <c r="B46" s="50">
        <v>2</v>
      </c>
      <c r="C46" s="51" t="s">
        <v>14</v>
      </c>
      <c r="D46" s="52">
        <v>65</v>
      </c>
      <c r="E46" s="52">
        <v>2</v>
      </c>
      <c r="F46" s="53" t="s">
        <v>2054</v>
      </c>
      <c r="G46" s="53" t="s">
        <v>2025</v>
      </c>
      <c r="H46" s="54" t="str">
        <f t="shared" si="0"/>
        <v>MM-CHV-065.02 - Plano de Lubrificação Central Hidrau do VS</v>
      </c>
      <c r="I46" s="57" t="s">
        <v>2026</v>
      </c>
      <c r="J46" s="55" t="str">
        <f>VLOOKUP(D46,GM!$D$4:$G$1637,4,3)&amp;" e "&amp;C46</f>
        <v>ENGENHARIA MECÂNICA  e CHV</v>
      </c>
      <c r="K46" s="164">
        <v>44063</v>
      </c>
      <c r="L46" s="164">
        <f t="shared" si="1"/>
        <v>45159</v>
      </c>
      <c r="M46" s="10" t="s">
        <v>62</v>
      </c>
      <c r="N46" s="1" t="s">
        <v>371</v>
      </c>
      <c r="O46" s="67" t="str">
        <f t="shared" ca="1" si="3"/>
        <v>Vencido</v>
      </c>
      <c r="P46" s="67"/>
      <c r="Q46" s="67">
        <f t="shared" ca="1" si="4"/>
        <v>2135</v>
      </c>
    </row>
    <row r="47" spans="2:17" ht="26" x14ac:dyDescent="0.35">
      <c r="B47" s="50">
        <v>3</v>
      </c>
      <c r="C47" s="51" t="s">
        <v>15</v>
      </c>
      <c r="D47" s="52">
        <v>0</v>
      </c>
      <c r="E47" s="52">
        <v>2</v>
      </c>
      <c r="F47" s="53" t="s">
        <v>2055</v>
      </c>
      <c r="G47" s="53" t="s">
        <v>1972</v>
      </c>
      <c r="H47" s="54" t="str">
        <f t="shared" si="0"/>
        <v>MM-SAG-000.02 - Procedimentos Execução Mergulho Profissional</v>
      </c>
      <c r="I47" s="55" t="s">
        <v>1973</v>
      </c>
      <c r="J47" s="55" t="str">
        <f>VLOOKUP(D47,GM!$D$4:$G$1637,4,3)&amp;" e "&amp;C47</f>
        <v>ENGENHARIA  e SAG</v>
      </c>
      <c r="K47" s="164">
        <v>44063</v>
      </c>
      <c r="L47" s="164">
        <f t="shared" si="1"/>
        <v>45159</v>
      </c>
      <c r="M47" s="10" t="s">
        <v>62</v>
      </c>
      <c r="N47" s="1" t="s">
        <v>371</v>
      </c>
      <c r="O47" s="67" t="str">
        <f t="shared" ca="1" si="3"/>
        <v>Vencido</v>
      </c>
      <c r="P47" s="67"/>
      <c r="Q47" s="67">
        <f t="shared" ca="1" si="4"/>
        <v>2135</v>
      </c>
    </row>
    <row r="48" spans="2:17" ht="25" x14ac:dyDescent="0.35">
      <c r="B48" s="50">
        <v>3</v>
      </c>
      <c r="C48" s="51" t="s">
        <v>15</v>
      </c>
      <c r="D48" s="52">
        <v>1</v>
      </c>
      <c r="E48" s="52">
        <v>2</v>
      </c>
      <c r="F48" s="53" t="s">
        <v>2056</v>
      </c>
      <c r="G48" s="53" t="s">
        <v>1975</v>
      </c>
      <c r="H48" s="54" t="str">
        <f t="shared" si="0"/>
        <v>MM-SAG-001.02 - Procedimentos Para Ajustes de Verticalidade e Mancais</v>
      </c>
      <c r="I48" s="55" t="s">
        <v>1976</v>
      </c>
      <c r="J48" s="55" t="str">
        <f>VLOOKUP(D48,GM!$D$4:$G$1637,4,3)&amp;" e "&amp;C48</f>
        <v>ENGENHARIA MECÂNICA  e SAG</v>
      </c>
      <c r="K48" s="164">
        <v>44054</v>
      </c>
      <c r="L48" s="164">
        <f t="shared" si="1"/>
        <v>45150</v>
      </c>
      <c r="M48" s="10" t="s">
        <v>62</v>
      </c>
      <c r="N48" s="1" t="s">
        <v>371</v>
      </c>
      <c r="O48" s="67" t="str">
        <f t="shared" ca="1" si="3"/>
        <v>Vencido</v>
      </c>
      <c r="P48" s="67"/>
      <c r="Q48" s="67">
        <f t="shared" ca="1" si="4"/>
        <v>2144</v>
      </c>
    </row>
    <row r="49" spans="2:17" ht="25" x14ac:dyDescent="0.35">
      <c r="B49" s="50">
        <v>3</v>
      </c>
      <c r="C49" s="51" t="s">
        <v>15</v>
      </c>
      <c r="D49" s="52">
        <v>1</v>
      </c>
      <c r="E49" s="52">
        <v>25</v>
      </c>
      <c r="F49" s="53" t="s">
        <v>2057</v>
      </c>
      <c r="G49" s="53" t="s">
        <v>1978</v>
      </c>
      <c r="H49" s="54" t="str">
        <f t="shared" si="0"/>
        <v>MM-SAG-001.25 - Plano de Lubrificação da Turbina</v>
      </c>
      <c r="I49" s="55" t="s">
        <v>1976</v>
      </c>
      <c r="J49" s="55" t="str">
        <f>VLOOKUP(D49,GM!$D$4:$G$1637,4,3)&amp;" e "&amp;C49</f>
        <v>ENGENHARIA MECÂNICA  e SAG</v>
      </c>
      <c r="K49" s="164">
        <v>44083</v>
      </c>
      <c r="L49" s="164">
        <f t="shared" si="1"/>
        <v>45179</v>
      </c>
      <c r="M49" s="10" t="s">
        <v>62</v>
      </c>
      <c r="N49" s="1" t="s">
        <v>371</v>
      </c>
      <c r="O49" s="67" t="str">
        <f t="shared" ca="1" si="3"/>
        <v>Vencido</v>
      </c>
      <c r="P49" s="67"/>
      <c r="Q49" s="67">
        <f t="shared" ca="1" si="4"/>
        <v>2115</v>
      </c>
    </row>
    <row r="50" spans="2:17" ht="25" hidden="1" x14ac:dyDescent="0.35">
      <c r="B50" s="50">
        <v>3</v>
      </c>
      <c r="C50" s="51" t="s">
        <v>15</v>
      </c>
      <c r="D50" s="52">
        <v>3</v>
      </c>
      <c r="E50" s="52">
        <v>0</v>
      </c>
      <c r="F50" s="53" t="s">
        <v>2058</v>
      </c>
      <c r="G50" s="53" t="s">
        <v>2059</v>
      </c>
      <c r="H50" s="54" t="str">
        <f t="shared" si="0"/>
        <v>MM-SAG-003.00 - Manutenção Preventiva Periódica Tipo MPP0 no Gerador</v>
      </c>
      <c r="I50" s="55" t="s">
        <v>2060</v>
      </c>
      <c r="J50" s="55" t="str">
        <f>VLOOKUP(D50,GM!$D$4:$G$1637,4,3)&amp;" e "&amp;C50</f>
        <v>ENGENHARIA ELÉTRICA  e SAG</v>
      </c>
      <c r="K50" s="164">
        <v>45791</v>
      </c>
      <c r="L50" s="164">
        <f t="shared" si="1"/>
        <v>46887</v>
      </c>
      <c r="M50" s="10" t="s">
        <v>62</v>
      </c>
      <c r="N50" s="1" t="s">
        <v>371</v>
      </c>
      <c r="O50" s="67" t="str">
        <f t="shared" ca="1" si="3"/>
        <v>Em dia</v>
      </c>
      <c r="P50" s="67"/>
      <c r="Q50" s="67">
        <f t="shared" ca="1" si="4"/>
        <v>407</v>
      </c>
    </row>
    <row r="51" spans="2:17" ht="25" hidden="1" x14ac:dyDescent="0.35">
      <c r="B51" s="50">
        <v>3</v>
      </c>
      <c r="C51" s="51" t="s">
        <v>15</v>
      </c>
      <c r="D51" s="52">
        <v>3</v>
      </c>
      <c r="E51" s="52">
        <v>1</v>
      </c>
      <c r="F51" s="53" t="s">
        <v>2061</v>
      </c>
      <c r="G51" s="53" t="s">
        <v>2062</v>
      </c>
      <c r="H51" s="54" t="str">
        <f t="shared" si="0"/>
        <v>MM-SAG-003.01 - Manutenção Preventiva Periódica Tipo MPP1 no Gerador</v>
      </c>
      <c r="I51" s="55" t="s">
        <v>2060</v>
      </c>
      <c r="J51" s="55" t="str">
        <f>VLOOKUP(D51,GM!$D$4:$G$1637,4,3)&amp;" e "&amp;C51</f>
        <v>ENGENHARIA ELÉTRICA  e SAG</v>
      </c>
      <c r="K51" s="164">
        <v>45791</v>
      </c>
      <c r="L51" s="164">
        <f t="shared" si="1"/>
        <v>46887</v>
      </c>
      <c r="M51" s="10" t="s">
        <v>62</v>
      </c>
      <c r="N51" s="1" t="s">
        <v>371</v>
      </c>
      <c r="O51" s="67" t="str">
        <f t="shared" ca="1" si="3"/>
        <v>Em dia</v>
      </c>
      <c r="P51" s="67"/>
      <c r="Q51" s="67">
        <f t="shared" ca="1" si="4"/>
        <v>407</v>
      </c>
    </row>
    <row r="52" spans="2:17" ht="25" hidden="1" x14ac:dyDescent="0.35">
      <c r="B52" s="50">
        <v>3</v>
      </c>
      <c r="C52" s="51" t="s">
        <v>15</v>
      </c>
      <c r="D52" s="52">
        <v>3</v>
      </c>
      <c r="E52" s="52">
        <v>2</v>
      </c>
      <c r="F52" s="53" t="s">
        <v>2063</v>
      </c>
      <c r="G52" s="53" t="s">
        <v>2064</v>
      </c>
      <c r="H52" s="54" t="str">
        <f t="shared" si="0"/>
        <v>MM-SAG-003.02 - Manutenção Preventiva Periódica Tipo MPP2 no Gerador</v>
      </c>
      <c r="I52" s="55" t="s">
        <v>2060</v>
      </c>
      <c r="J52" s="55" t="str">
        <f>VLOOKUP(D52,GM!$D$4:$G$1637,4,3)&amp;" e "&amp;C52</f>
        <v>ENGENHARIA ELÉTRICA  e SAG</v>
      </c>
      <c r="K52" s="164">
        <v>45791</v>
      </c>
      <c r="L52" s="164">
        <f t="shared" si="1"/>
        <v>46887</v>
      </c>
      <c r="M52" s="10" t="s">
        <v>62</v>
      </c>
      <c r="N52" s="1" t="s">
        <v>371</v>
      </c>
      <c r="O52" s="67" t="str">
        <f t="shared" ca="1" si="3"/>
        <v>Em dia</v>
      </c>
      <c r="P52" s="67"/>
      <c r="Q52" s="67">
        <f t="shared" ca="1" si="4"/>
        <v>407</v>
      </c>
    </row>
    <row r="53" spans="2:17" ht="28" x14ac:dyDescent="0.35">
      <c r="B53" s="50">
        <v>3</v>
      </c>
      <c r="C53" s="51" t="s">
        <v>15</v>
      </c>
      <c r="D53" s="52">
        <v>4</v>
      </c>
      <c r="E53" s="52">
        <v>0</v>
      </c>
      <c r="F53" s="53" t="s">
        <v>2065</v>
      </c>
      <c r="G53" s="53" t="s">
        <v>2066</v>
      </c>
      <c r="H53" s="54" t="str">
        <f t="shared" si="0"/>
        <v>MM-SAG-004.00 - Manutenção Preventiva Periódica Tipo 0 no Sistemas Auxiliares da Unidade Geradora</v>
      </c>
      <c r="I53" s="18" t="s">
        <v>2067</v>
      </c>
      <c r="J53" s="55" t="str">
        <f>VLOOKUP(D53,GM!$D$4:$G$1637,4,3)&amp;" e "&amp;C53</f>
        <v>ENGENHARIA ELÉTRICA  e SAG</v>
      </c>
      <c r="K53" s="164"/>
      <c r="L53" s="164"/>
      <c r="M53" s="11" t="s">
        <v>267</v>
      </c>
      <c r="O53" s="67" t="str">
        <f t="shared" ca="1" si="3"/>
        <v>Vencido</v>
      </c>
      <c r="P53" s="67"/>
      <c r="Q53" s="67">
        <f t="shared" ca="1" si="4"/>
        <v>46198</v>
      </c>
    </row>
    <row r="54" spans="2:17" ht="28" x14ac:dyDescent="0.35">
      <c r="B54" s="50">
        <v>3</v>
      </c>
      <c r="C54" s="51" t="s">
        <v>15</v>
      </c>
      <c r="D54" s="52">
        <v>4</v>
      </c>
      <c r="E54" s="52">
        <v>0</v>
      </c>
      <c r="F54" s="53" t="s">
        <v>2068</v>
      </c>
      <c r="G54" s="53" t="s">
        <v>2069</v>
      </c>
      <c r="H54" s="54" t="str">
        <f t="shared" si="0"/>
        <v>MM-SAG-004.01 - Manutenção Preventiva Periódica Tipo 1 no Sistemas Auxiliares da Unidade Geradora</v>
      </c>
      <c r="I54" s="18" t="s">
        <v>2067</v>
      </c>
      <c r="J54" s="55" t="str">
        <f>VLOOKUP(D54,GM!$D$4:$G$1637,4,3)&amp;" e "&amp;C54</f>
        <v>ENGENHARIA ELÉTRICA  e SAG</v>
      </c>
      <c r="K54" s="164"/>
      <c r="L54" s="164"/>
      <c r="M54" s="11" t="s">
        <v>267</v>
      </c>
      <c r="O54" s="67" t="str">
        <f t="shared" ca="1" si="3"/>
        <v>Vencido</v>
      </c>
      <c r="P54" s="67"/>
      <c r="Q54" s="67">
        <f t="shared" ca="1" si="4"/>
        <v>46198</v>
      </c>
    </row>
    <row r="55" spans="2:17" ht="28" x14ac:dyDescent="0.35">
      <c r="B55" s="50">
        <v>3</v>
      </c>
      <c r="C55" s="51" t="s">
        <v>15</v>
      </c>
      <c r="D55" s="52">
        <v>4</v>
      </c>
      <c r="E55" s="52">
        <v>0</v>
      </c>
      <c r="F55" s="53" t="s">
        <v>2070</v>
      </c>
      <c r="G55" s="53" t="s">
        <v>2071</v>
      </c>
      <c r="H55" s="54" t="str">
        <f t="shared" si="0"/>
        <v>MM-SAG-004.02 - Manutenção Preventiva Periódica Tipo 2 no Sistemas Auxiliares da Unidade Geradora</v>
      </c>
      <c r="I55" s="18" t="s">
        <v>2067</v>
      </c>
      <c r="J55" s="55" t="str">
        <f>VLOOKUP(D55,GM!$D$4:$G$1637,4,3)&amp;" e "&amp;C55</f>
        <v>ENGENHARIA ELÉTRICA  e SAG</v>
      </c>
      <c r="K55" s="164"/>
      <c r="L55" s="164"/>
      <c r="M55" s="11" t="s">
        <v>267</v>
      </c>
      <c r="O55" s="67" t="str">
        <f t="shared" ca="1" si="3"/>
        <v>Vencido</v>
      </c>
      <c r="P55" s="67"/>
      <c r="Q55" s="67">
        <f t="shared" ca="1" si="4"/>
        <v>46198</v>
      </c>
    </row>
    <row r="56" spans="2:17" ht="25" hidden="1" x14ac:dyDescent="0.35">
      <c r="B56" s="50">
        <v>3</v>
      </c>
      <c r="C56" s="51" t="s">
        <v>15</v>
      </c>
      <c r="D56" s="52">
        <v>6</v>
      </c>
      <c r="E56" s="52">
        <v>0</v>
      </c>
      <c r="F56" s="53" t="s">
        <v>2072</v>
      </c>
      <c r="G56" s="53" t="s">
        <v>1980</v>
      </c>
      <c r="H56" s="54" t="str">
        <f t="shared" si="0"/>
        <v>MM-SAG-006.00 - Coleta de Amostras de Óleo Isolante</v>
      </c>
      <c r="I56" s="18" t="s">
        <v>2034</v>
      </c>
      <c r="J56" s="55" t="str">
        <f>VLOOKUP(D56,GM!$D$4:$G$1637,4,3)&amp;" e "&amp;C56</f>
        <v>ENGENHARIA ELÉTRICA  e SAG</v>
      </c>
      <c r="K56" s="164">
        <v>45743</v>
      </c>
      <c r="L56" s="164">
        <f t="shared" si="1"/>
        <v>46839</v>
      </c>
      <c r="M56" s="10" t="s">
        <v>62</v>
      </c>
      <c r="N56" s="1" t="s">
        <v>371</v>
      </c>
      <c r="O56" s="67" t="str">
        <f t="shared" ca="1" si="3"/>
        <v>Em dia</v>
      </c>
      <c r="P56" s="67"/>
      <c r="Q56" s="67">
        <f t="shared" ca="1" si="4"/>
        <v>455</v>
      </c>
    </row>
    <row r="57" spans="2:17" ht="25" hidden="1" x14ac:dyDescent="0.35">
      <c r="B57" s="50">
        <v>3</v>
      </c>
      <c r="C57" s="51" t="s">
        <v>15</v>
      </c>
      <c r="D57" s="52">
        <v>13</v>
      </c>
      <c r="E57" s="52">
        <v>3</v>
      </c>
      <c r="F57" s="53" t="s">
        <v>2073</v>
      </c>
      <c r="G57" s="53" t="s">
        <v>2074</v>
      </c>
      <c r="H57" s="54" t="str">
        <f t="shared" si="0"/>
        <v>MM-SAG-013.03 - Intervenção nos Controladores Lógicos Programáveis Siemens</v>
      </c>
      <c r="I57" s="55" t="s">
        <v>2060</v>
      </c>
      <c r="J57" s="55" t="str">
        <f>VLOOKUP(D57,GM!$D$4:$G$1637,4,3)&amp;" e "&amp;C57</f>
        <v>ENGENHARIA ELÉTRICA  e SAG</v>
      </c>
      <c r="K57" s="164">
        <v>45791</v>
      </c>
      <c r="L57" s="164">
        <f t="shared" si="1"/>
        <v>46887</v>
      </c>
      <c r="M57" s="10" t="s">
        <v>62</v>
      </c>
      <c r="N57" s="1" t="s">
        <v>371</v>
      </c>
      <c r="O57" s="67" t="str">
        <f t="shared" ca="1" si="3"/>
        <v>Em dia</v>
      </c>
      <c r="P57" s="67"/>
      <c r="Q57" s="67">
        <f t="shared" ca="1" si="4"/>
        <v>407</v>
      </c>
    </row>
    <row r="58" spans="2:17" ht="28" hidden="1" x14ac:dyDescent="0.35">
      <c r="B58" s="50">
        <v>3</v>
      </c>
      <c r="C58" s="51" t="s">
        <v>15</v>
      </c>
      <c r="D58" s="52">
        <v>15</v>
      </c>
      <c r="E58" s="52">
        <v>1</v>
      </c>
      <c r="F58" s="53" t="s">
        <v>2075</v>
      </c>
      <c r="G58" s="53" t="s">
        <v>2076</v>
      </c>
      <c r="H58" s="54" t="str">
        <f t="shared" si="0"/>
        <v>MM-SAG-015.01 - Comunicação Relés Proteção SIPROTEC 4 e 5</v>
      </c>
      <c r="I58" s="18" t="s">
        <v>2077</v>
      </c>
      <c r="J58" s="55" t="str">
        <f>VLOOKUP(D58,GM!$D$4:$G$1637,4,3)&amp;" e "&amp;C58</f>
        <v>ENGENHARIA ELÉTRICA  e SAG</v>
      </c>
      <c r="K58" s="164">
        <v>45755</v>
      </c>
      <c r="L58" s="164">
        <f t="shared" si="1"/>
        <v>46851</v>
      </c>
      <c r="M58" s="10" t="s">
        <v>62</v>
      </c>
      <c r="N58" s="1" t="s">
        <v>371</v>
      </c>
      <c r="O58" s="67" t="str">
        <f t="shared" ca="1" si="3"/>
        <v>Em dia</v>
      </c>
      <c r="P58" s="67"/>
      <c r="Q58" s="67">
        <f t="shared" ca="1" si="4"/>
        <v>443</v>
      </c>
    </row>
    <row r="59" spans="2:17" ht="28" x14ac:dyDescent="0.35">
      <c r="B59" s="50">
        <v>3</v>
      </c>
      <c r="C59" s="51" t="s">
        <v>15</v>
      </c>
      <c r="D59" s="52">
        <v>21</v>
      </c>
      <c r="E59" s="52">
        <v>0</v>
      </c>
      <c r="F59" s="53" t="s">
        <v>2078</v>
      </c>
      <c r="G59" s="53" t="s">
        <v>2079</v>
      </c>
      <c r="H59" s="54" t="str">
        <f t="shared" si="0"/>
        <v>MM-SAG-021.00 - Manutenção Preventiva Periódica Tipo 0 no Regulador de Velocidade – Partes Elétricas</v>
      </c>
      <c r="I59" s="18" t="s">
        <v>2080</v>
      </c>
      <c r="J59" s="55" t="str">
        <f>VLOOKUP(D59,GM!$D$4:$G$1637,4,3)&amp;" e "&amp;C59</f>
        <v>ENGENHARIA ELÉTRICA  e SAG</v>
      </c>
      <c r="K59" s="164"/>
      <c r="L59" s="164"/>
      <c r="M59" s="11" t="s">
        <v>267</v>
      </c>
      <c r="O59" s="67" t="str">
        <f t="shared" ca="1" si="3"/>
        <v>Vencido</v>
      </c>
      <c r="P59" s="67"/>
      <c r="Q59" s="67">
        <f t="shared" ca="1" si="4"/>
        <v>46198</v>
      </c>
    </row>
    <row r="60" spans="2:17" ht="28" x14ac:dyDescent="0.35">
      <c r="B60" s="50">
        <v>3</v>
      </c>
      <c r="C60" s="51" t="s">
        <v>15</v>
      </c>
      <c r="D60" s="52">
        <v>21</v>
      </c>
      <c r="E60" s="52">
        <v>1</v>
      </c>
      <c r="F60" s="53" t="s">
        <v>2081</v>
      </c>
      <c r="G60" s="53" t="s">
        <v>2082</v>
      </c>
      <c r="H60" s="54" t="str">
        <f t="shared" si="0"/>
        <v>MM-SAG-021.01 - Manutenção Preventiva Periódica Tipo 1 no Regulador de Velocidade – Partes Elétricas</v>
      </c>
      <c r="I60" s="18" t="s">
        <v>2080</v>
      </c>
      <c r="J60" s="55" t="str">
        <f>VLOOKUP(D60,GM!$D$4:$G$1637,4,3)&amp;" e "&amp;C60</f>
        <v>ENGENHARIA ELÉTRICA  e SAG</v>
      </c>
      <c r="K60" s="164"/>
      <c r="L60" s="164"/>
      <c r="M60" s="11" t="s">
        <v>267</v>
      </c>
      <c r="O60" s="67" t="str">
        <f t="shared" ca="1" si="3"/>
        <v>Vencido</v>
      </c>
      <c r="P60" s="67"/>
      <c r="Q60" s="67">
        <f t="shared" ca="1" si="4"/>
        <v>46198</v>
      </c>
    </row>
    <row r="61" spans="2:17" ht="28" x14ac:dyDescent="0.35">
      <c r="B61" s="50">
        <v>3</v>
      </c>
      <c r="C61" s="51" t="s">
        <v>15</v>
      </c>
      <c r="D61" s="52">
        <v>21</v>
      </c>
      <c r="E61" s="52">
        <v>2</v>
      </c>
      <c r="F61" s="53" t="s">
        <v>2083</v>
      </c>
      <c r="G61" s="53" t="s">
        <v>2084</v>
      </c>
      <c r="H61" s="54" t="str">
        <f t="shared" si="0"/>
        <v>MM-SAG-021.02 - Manutenção Preventiva Periódica Tipo 2 no Regulador de Velocidade – Partes Elétricas</v>
      </c>
      <c r="I61" s="18" t="s">
        <v>2080</v>
      </c>
      <c r="J61" s="55" t="str">
        <f>VLOOKUP(D61,GM!$D$4:$G$1637,4,3)&amp;" e "&amp;C61</f>
        <v>ENGENHARIA ELÉTRICA  e SAG</v>
      </c>
      <c r="K61" s="164"/>
      <c r="L61" s="164"/>
      <c r="M61" s="11" t="s">
        <v>267</v>
      </c>
      <c r="O61" s="67" t="str">
        <f t="shared" ca="1" si="3"/>
        <v>Vencido</v>
      </c>
      <c r="P61" s="67"/>
      <c r="Q61" s="67">
        <f t="shared" ca="1" si="4"/>
        <v>46198</v>
      </c>
    </row>
    <row r="62" spans="2:17" ht="25" x14ac:dyDescent="0.35">
      <c r="B62" s="50">
        <v>3</v>
      </c>
      <c r="C62" s="51" t="s">
        <v>15</v>
      </c>
      <c r="D62" s="52">
        <v>22</v>
      </c>
      <c r="E62" s="52">
        <v>3</v>
      </c>
      <c r="F62" s="53" t="s">
        <v>2085</v>
      </c>
      <c r="G62" s="53" t="s">
        <v>1986</v>
      </c>
      <c r="H62" s="54" t="str">
        <f t="shared" si="0"/>
        <v>MM-SAG-022.03 - Plano de Lubrificação dos Compressores</v>
      </c>
      <c r="I62" s="57" t="s">
        <v>1987</v>
      </c>
      <c r="J62" s="55" t="str">
        <f>VLOOKUP(D62,GM!$D$4:$G$1637,4,3)&amp;" e "&amp;C62</f>
        <v>ENGENHARIA MECÂNICA  e SAG</v>
      </c>
      <c r="K62" s="164">
        <v>44083</v>
      </c>
      <c r="L62" s="164">
        <f t="shared" si="1"/>
        <v>45179</v>
      </c>
      <c r="M62" s="10" t="s">
        <v>62</v>
      </c>
      <c r="N62" s="1" t="s">
        <v>371</v>
      </c>
      <c r="O62" s="67" t="str">
        <f t="shared" ca="1" si="3"/>
        <v>Vencido</v>
      </c>
      <c r="P62" s="67"/>
      <c r="Q62" s="67">
        <f t="shared" ca="1" si="4"/>
        <v>2115</v>
      </c>
    </row>
    <row r="63" spans="2:17" ht="25" x14ac:dyDescent="0.35">
      <c r="B63" s="50">
        <v>3</v>
      </c>
      <c r="C63" s="51" t="s">
        <v>15</v>
      </c>
      <c r="D63" s="52">
        <v>23</v>
      </c>
      <c r="E63" s="52">
        <v>3</v>
      </c>
      <c r="F63" s="53" t="s">
        <v>2086</v>
      </c>
      <c r="G63" s="53" t="s">
        <v>1989</v>
      </c>
      <c r="H63" s="54" t="str">
        <f t="shared" si="0"/>
        <v>MM-SAG-023.03 - Plano de Lubrificação do sistema de Refrigeração</v>
      </c>
      <c r="I63" s="57" t="s">
        <v>1990</v>
      </c>
      <c r="J63" s="55" t="str">
        <f>VLOOKUP(D63,GM!$D$4:$G$1637,4,3)&amp;" e "&amp;C63</f>
        <v>ENGENHARIA MECÂNICA  e SAG</v>
      </c>
      <c r="K63" s="164">
        <v>44083</v>
      </c>
      <c r="L63" s="164">
        <f t="shared" si="1"/>
        <v>45179</v>
      </c>
      <c r="M63" s="10" t="s">
        <v>62</v>
      </c>
      <c r="N63" s="1" t="s">
        <v>371</v>
      </c>
      <c r="O63" s="67" t="str">
        <f t="shared" ca="1" si="3"/>
        <v>Vencido</v>
      </c>
      <c r="P63" s="67"/>
      <c r="Q63" s="67">
        <f t="shared" ca="1" si="4"/>
        <v>2115</v>
      </c>
    </row>
    <row r="64" spans="2:17" ht="25" x14ac:dyDescent="0.35">
      <c r="B64" s="50">
        <v>3</v>
      </c>
      <c r="C64" s="51" t="s">
        <v>15</v>
      </c>
      <c r="D64" s="52">
        <v>24</v>
      </c>
      <c r="E64" s="52">
        <v>1</v>
      </c>
      <c r="F64" s="53" t="s">
        <v>2087</v>
      </c>
      <c r="G64" s="53" t="s">
        <v>1992</v>
      </c>
      <c r="H64" s="54" t="str">
        <f t="shared" si="0"/>
        <v>MM-SAG-024.01 - Procedimento Para Reabastecimento dos GAE</v>
      </c>
      <c r="I64" s="57" t="s">
        <v>1993</v>
      </c>
      <c r="J64" s="55" t="str">
        <f>VLOOKUP(D64,GM!$D$4:$G$1637,4,3)&amp;" e "&amp;C64</f>
        <v>ENGENHARIA MECÂNICA  e SAG</v>
      </c>
      <c r="K64" s="164">
        <v>44062</v>
      </c>
      <c r="L64" s="164">
        <f t="shared" si="1"/>
        <v>45158</v>
      </c>
      <c r="M64" s="10" t="s">
        <v>62</v>
      </c>
      <c r="N64" s="1" t="s">
        <v>371</v>
      </c>
      <c r="O64" s="67" t="str">
        <f t="shared" ca="1" si="3"/>
        <v>Vencido</v>
      </c>
      <c r="P64" s="67"/>
      <c r="Q64" s="67">
        <f t="shared" ca="1" si="4"/>
        <v>2136</v>
      </c>
    </row>
    <row r="65" spans="2:17" ht="25" x14ac:dyDescent="0.35">
      <c r="B65" s="50">
        <v>3</v>
      </c>
      <c r="C65" s="51" t="s">
        <v>15</v>
      </c>
      <c r="D65" s="52">
        <v>24</v>
      </c>
      <c r="E65" s="52">
        <v>4</v>
      </c>
      <c r="F65" s="53" t="s">
        <v>2088</v>
      </c>
      <c r="G65" s="53" t="s">
        <v>1995</v>
      </c>
      <c r="H65" s="54" t="str">
        <f t="shared" si="0"/>
        <v>MM-SAG-024.04 - Plano de Lubrificação do GAE</v>
      </c>
      <c r="I65" s="57" t="s">
        <v>1993</v>
      </c>
      <c r="J65" s="55" t="str">
        <f>VLOOKUP(D65,GM!$D$4:$G$1637,4,3)&amp;" e "&amp;C65</f>
        <v>ENGENHARIA MECÂNICA  e SAG</v>
      </c>
      <c r="K65" s="164">
        <v>44083</v>
      </c>
      <c r="L65" s="164">
        <f t="shared" si="1"/>
        <v>45179</v>
      </c>
      <c r="M65" s="10" t="s">
        <v>62</v>
      </c>
      <c r="N65" s="1" t="s">
        <v>371</v>
      </c>
      <c r="O65" s="67" t="str">
        <f t="shared" ca="1" si="3"/>
        <v>Vencido</v>
      </c>
      <c r="P65" s="67"/>
      <c r="Q65" s="67">
        <f t="shared" ca="1" si="4"/>
        <v>2115</v>
      </c>
    </row>
    <row r="66" spans="2:17" ht="26" x14ac:dyDescent="0.35">
      <c r="B66" s="50">
        <v>3</v>
      </c>
      <c r="C66" s="51" t="s">
        <v>15</v>
      </c>
      <c r="D66" s="52">
        <v>26</v>
      </c>
      <c r="E66" s="52">
        <v>0</v>
      </c>
      <c r="F66" s="53" t="s">
        <v>2089</v>
      </c>
      <c r="G66" s="53" t="s">
        <v>2090</v>
      </c>
      <c r="H66" s="54" t="str">
        <f t="shared" si="0"/>
        <v>MM-SAG-026.00 - Sistema de Drenagem - MCP0</v>
      </c>
      <c r="I66" s="55" t="s">
        <v>1998</v>
      </c>
      <c r="J66" s="55" t="str">
        <f>VLOOKUP(D66,GM!$D$4:$G$1637,4,3)&amp;" e "&amp;C66</f>
        <v>ENGENHARIA MECÂNICA  e SAG</v>
      </c>
      <c r="K66" s="164"/>
      <c r="L66" s="164"/>
      <c r="M66" s="11" t="s">
        <v>267</v>
      </c>
      <c r="O66" s="67" t="str">
        <f t="shared" ca="1" si="3"/>
        <v>Vencido</v>
      </c>
      <c r="P66" s="67"/>
      <c r="Q66" s="67">
        <f t="shared" ca="1" si="4"/>
        <v>46198</v>
      </c>
    </row>
    <row r="67" spans="2:17" ht="26" x14ac:dyDescent="0.35">
      <c r="B67" s="50">
        <v>3</v>
      </c>
      <c r="C67" s="51" t="s">
        <v>15</v>
      </c>
      <c r="D67" s="52">
        <v>26</v>
      </c>
      <c r="E67" s="52">
        <v>1</v>
      </c>
      <c r="F67" s="53" t="s">
        <v>2091</v>
      </c>
      <c r="G67" s="53" t="s">
        <v>2092</v>
      </c>
      <c r="H67" s="54" t="str">
        <f t="shared" si="0"/>
        <v>MM-SAG-026.01 - Sistema de Drenagem - MCP1</v>
      </c>
      <c r="I67" s="55" t="s">
        <v>1998</v>
      </c>
      <c r="J67" s="55" t="str">
        <f>VLOOKUP(D67,GM!$D$4:$G$1637,4,3)&amp;" e "&amp;C67</f>
        <v>ENGENHARIA MECÂNICA  e SAG</v>
      </c>
      <c r="K67" s="164"/>
      <c r="L67" s="164"/>
      <c r="M67" s="11" t="s">
        <v>267</v>
      </c>
      <c r="O67" s="67" t="str">
        <f t="shared" ca="1" si="3"/>
        <v>Vencido</v>
      </c>
      <c r="P67" s="67"/>
      <c r="Q67" s="67">
        <f t="shared" ca="1" si="4"/>
        <v>46198</v>
      </c>
    </row>
    <row r="68" spans="2:17" ht="26" x14ac:dyDescent="0.35">
      <c r="B68" s="50">
        <v>3</v>
      </c>
      <c r="C68" s="51" t="s">
        <v>15</v>
      </c>
      <c r="D68" s="52">
        <v>26</v>
      </c>
      <c r="E68" s="52">
        <v>7</v>
      </c>
      <c r="F68" s="53" t="s">
        <v>2093</v>
      </c>
      <c r="G68" s="53" t="s">
        <v>1997</v>
      </c>
      <c r="H68" s="54" t="str">
        <f t="shared" si="0"/>
        <v>MM-SAG-026.07 - Plano de Lubrificação do Sistema Drenagem e Esg</v>
      </c>
      <c r="I68" s="55" t="s">
        <v>1998</v>
      </c>
      <c r="J68" s="55" t="str">
        <f>VLOOKUP(D68,GM!$D$4:$G$1637,4,3)&amp;" e "&amp;C68</f>
        <v>ENGENHARIA MECÂNICA  e SAG</v>
      </c>
      <c r="K68" s="164">
        <v>44083</v>
      </c>
      <c r="L68" s="164">
        <f t="shared" si="1"/>
        <v>45179</v>
      </c>
      <c r="M68" s="10" t="s">
        <v>62</v>
      </c>
      <c r="N68" s="1" t="s">
        <v>371</v>
      </c>
      <c r="O68" s="67" t="str">
        <f t="shared" ca="1" si="3"/>
        <v>Vencido</v>
      </c>
      <c r="P68" s="67"/>
      <c r="Q68" s="67">
        <f t="shared" ca="1" si="4"/>
        <v>2115</v>
      </c>
    </row>
    <row r="69" spans="2:17" ht="25" x14ac:dyDescent="0.35">
      <c r="B69" s="50">
        <v>3</v>
      </c>
      <c r="C69" s="51" t="s">
        <v>15</v>
      </c>
      <c r="D69" s="52">
        <v>28</v>
      </c>
      <c r="E69" s="52">
        <v>2</v>
      </c>
      <c r="F69" s="53" t="s">
        <v>2094</v>
      </c>
      <c r="G69" s="53" t="s">
        <v>2000</v>
      </c>
      <c r="H69" s="54" t="str">
        <f t="shared" si="0"/>
        <v>MM-SAG-028.02 - Procedimento Manuseio Comportas de Manutenção</v>
      </c>
      <c r="I69" s="55" t="s">
        <v>2001</v>
      </c>
      <c r="J69" s="55" t="str">
        <f>VLOOKUP(D69,GM!$D$4:$G$1637,4,3)&amp;" e "&amp;C69</f>
        <v>ENGENHARIA MECÂNICA  e SAG</v>
      </c>
      <c r="K69" s="164">
        <v>44062</v>
      </c>
      <c r="L69" s="164">
        <f t="shared" si="1"/>
        <v>45158</v>
      </c>
      <c r="M69" s="10" t="s">
        <v>62</v>
      </c>
      <c r="N69" s="1" t="s">
        <v>371</v>
      </c>
      <c r="O69" s="67" t="str">
        <f t="shared" ca="1" si="3"/>
        <v>Vencido</v>
      </c>
      <c r="P69" s="67"/>
      <c r="Q69" s="67">
        <f t="shared" ca="1" si="4"/>
        <v>2136</v>
      </c>
    </row>
    <row r="70" spans="2:17" ht="25" x14ac:dyDescent="0.35">
      <c r="B70" s="50">
        <v>3</v>
      </c>
      <c r="C70" s="51" t="s">
        <v>15</v>
      </c>
      <c r="D70" s="52">
        <v>30</v>
      </c>
      <c r="E70" s="52">
        <v>0</v>
      </c>
      <c r="F70" s="53" t="s">
        <v>2095</v>
      </c>
      <c r="G70" s="53" t="s">
        <v>2096</v>
      </c>
      <c r="H70" s="54" t="str">
        <f t="shared" si="0"/>
        <v>MM-SAG-030.00 - Manutençao Preventiva Pórtico 50T MCP0)</v>
      </c>
      <c r="I70" s="57" t="s">
        <v>2097</v>
      </c>
      <c r="J70" s="55" t="str">
        <f>VLOOKUP(D70,GM!$D$4:$G$1637,4,3)&amp;" e "&amp;C70</f>
        <v>ENGENHARIA MECÂNICA  e SAG</v>
      </c>
      <c r="K70" s="164"/>
      <c r="L70" s="164"/>
      <c r="M70" s="11" t="s">
        <v>267</v>
      </c>
      <c r="O70" s="67" t="str">
        <f t="shared" ca="1" si="3"/>
        <v>Vencido</v>
      </c>
      <c r="P70" s="67"/>
      <c r="Q70" s="67">
        <f t="shared" ca="1" si="4"/>
        <v>46198</v>
      </c>
    </row>
    <row r="71" spans="2:17" ht="25" x14ac:dyDescent="0.35">
      <c r="B71" s="50">
        <v>3</v>
      </c>
      <c r="C71" s="51" t="s">
        <v>15</v>
      </c>
      <c r="D71" s="52">
        <v>30</v>
      </c>
      <c r="E71" s="52">
        <v>1</v>
      </c>
      <c r="F71" s="53" t="s">
        <v>2098</v>
      </c>
      <c r="G71" s="53" t="s">
        <v>2099</v>
      </c>
      <c r="H71" s="54" t="str">
        <f t="shared" ref="H71:H134" si="5">(F71)&amp;" - "&amp;(G71)</f>
        <v>MM-SAG-030.01 - Plano de Lubrificação do Pórtico Montante</v>
      </c>
      <c r="I71" s="57" t="s">
        <v>2097</v>
      </c>
      <c r="J71" s="55" t="str">
        <f>VLOOKUP(D71,GM!$D$4:$G$1637,4,3)&amp;" e "&amp;C71</f>
        <v>ENGENHARIA MECÂNICA  e SAG</v>
      </c>
      <c r="K71" s="164">
        <v>44083</v>
      </c>
      <c r="L71" s="164">
        <f t="shared" ref="L71:L134" si="6">K71+1096</f>
        <v>45179</v>
      </c>
      <c r="M71" s="10" t="s">
        <v>62</v>
      </c>
      <c r="N71" s="1" t="s">
        <v>371</v>
      </c>
      <c r="O71" s="67" t="str">
        <f t="shared" ca="1" si="3"/>
        <v>Vencido</v>
      </c>
      <c r="P71" s="67"/>
      <c r="Q71" s="67">
        <f t="shared" ca="1" si="4"/>
        <v>2115</v>
      </c>
    </row>
    <row r="72" spans="2:17" ht="25" x14ac:dyDescent="0.35">
      <c r="B72" s="50">
        <v>3</v>
      </c>
      <c r="C72" s="51" t="s">
        <v>15</v>
      </c>
      <c r="D72" s="52">
        <v>30</v>
      </c>
      <c r="E72" s="52">
        <v>2</v>
      </c>
      <c r="F72" s="53" t="s">
        <v>2100</v>
      </c>
      <c r="G72" s="53" t="s">
        <v>2101</v>
      </c>
      <c r="H72" s="54" t="str">
        <f t="shared" si="5"/>
        <v>MM-SAG-030.02 - Manutenção Preventiva Pórtico 50T (MCP1)</v>
      </c>
      <c r="I72" s="57" t="s">
        <v>2097</v>
      </c>
      <c r="J72" s="55" t="str">
        <f>VLOOKUP(D72,GM!$D$4:$G$1637,4,3)&amp;" e "&amp;C72</f>
        <v>ENGENHARIA MECÂNICA  e SAG</v>
      </c>
      <c r="K72" s="164"/>
      <c r="L72" s="164"/>
      <c r="M72" s="11" t="s">
        <v>267</v>
      </c>
      <c r="O72" s="67" t="str">
        <f t="shared" ref="O72:O135" ca="1" si="7">IF(Q72="","",IF(Q72&gt;1095,"Vencido",IF(Q72&gt;910,"Alerta",IF(Q72&gt;820,"Alerta",IF(Q72&gt;730,"Alerta",IF(Q72&gt;=0,"Em dia","Vencido"))))))</f>
        <v>Vencido</v>
      </c>
      <c r="P72" s="67"/>
      <c r="Q72" s="67">
        <f t="shared" ca="1" si="4"/>
        <v>46198</v>
      </c>
    </row>
    <row r="73" spans="2:17" ht="25" x14ac:dyDescent="0.35">
      <c r="B73" s="50">
        <v>3</v>
      </c>
      <c r="C73" s="51" t="s">
        <v>15</v>
      </c>
      <c r="D73" s="52">
        <v>30</v>
      </c>
      <c r="E73" s="52">
        <v>3</v>
      </c>
      <c r="F73" s="53" t="s">
        <v>2102</v>
      </c>
      <c r="G73" s="67" t="s">
        <v>2103</v>
      </c>
      <c r="H73" s="54" t="str">
        <f t="shared" si="5"/>
        <v>MM-SAG-030.03 - Manutençao Preventiva Pórtico 12T (MCP0)</v>
      </c>
      <c r="I73" s="57" t="s">
        <v>2097</v>
      </c>
      <c r="J73" s="55" t="str">
        <f>VLOOKUP(D73,GM!$D$4:$G$1637,4,3)&amp;" e "&amp;C73</f>
        <v>ENGENHARIA MECÂNICA  e SAG</v>
      </c>
      <c r="K73" s="164"/>
      <c r="L73" s="164"/>
      <c r="M73" s="11" t="s">
        <v>267</v>
      </c>
      <c r="O73" s="67" t="str">
        <f t="shared" ca="1" si="7"/>
        <v>Vencido</v>
      </c>
      <c r="P73" s="67"/>
      <c r="Q73" s="67">
        <f t="shared" ca="1" si="4"/>
        <v>46198</v>
      </c>
    </row>
    <row r="74" spans="2:17" ht="25" x14ac:dyDescent="0.35">
      <c r="B74" s="50">
        <v>3</v>
      </c>
      <c r="C74" s="51" t="s">
        <v>15</v>
      </c>
      <c r="D74" s="52">
        <v>30</v>
      </c>
      <c r="E74" s="52">
        <v>4</v>
      </c>
      <c r="F74" s="53" t="s">
        <v>2104</v>
      </c>
      <c r="G74" s="67" t="s">
        <v>2105</v>
      </c>
      <c r="H74" s="54" t="str">
        <f t="shared" si="5"/>
        <v>MM-SAG-030.04 - Manutençao Preventiva Pórtico 12T (MCP1)</v>
      </c>
      <c r="I74" s="57" t="s">
        <v>2097</v>
      </c>
      <c r="J74" s="55" t="str">
        <f>VLOOKUP(D74,GM!$D$4:$G$1637,4,3)&amp;" e "&amp;C74</f>
        <v>ENGENHARIA MECÂNICA  e SAG</v>
      </c>
      <c r="K74" s="164"/>
      <c r="L74" s="164"/>
      <c r="M74" s="11" t="s">
        <v>267</v>
      </c>
      <c r="O74" s="67" t="str">
        <f t="shared" ca="1" si="7"/>
        <v>Vencido</v>
      </c>
      <c r="P74" s="67"/>
      <c r="Q74" s="67">
        <f t="shared" ref="Q74:Q137" ca="1" si="8">$P$4-K74</f>
        <v>46198</v>
      </c>
    </row>
    <row r="75" spans="2:17" ht="25" x14ac:dyDescent="0.35">
      <c r="B75" s="50">
        <v>3</v>
      </c>
      <c r="C75" s="51" t="s">
        <v>15</v>
      </c>
      <c r="D75" s="52">
        <v>31</v>
      </c>
      <c r="E75" s="52">
        <v>0</v>
      </c>
      <c r="F75" s="53" t="s">
        <v>2106</v>
      </c>
      <c r="G75" s="67" t="s">
        <v>2107</v>
      </c>
      <c r="H75" s="54" t="str">
        <f t="shared" si="5"/>
        <v>MM-SAG-031.00 - Manutenção Preventiva Ponte Rolante 136_23T (MCP0)</v>
      </c>
      <c r="I75" s="57" t="s">
        <v>2108</v>
      </c>
      <c r="J75" s="55" t="str">
        <f>VLOOKUP(D75,GM!$D$4:$G$1637,4,3)&amp;" e "&amp;C75</f>
        <v>ENGENHARIA MECÂNICA  e SAG</v>
      </c>
      <c r="K75" s="164"/>
      <c r="L75" s="164"/>
      <c r="M75" s="11" t="s">
        <v>267</v>
      </c>
      <c r="O75" s="67" t="str">
        <f t="shared" ca="1" si="7"/>
        <v>Vencido</v>
      </c>
      <c r="P75" s="67"/>
      <c r="Q75" s="67">
        <f t="shared" ca="1" si="8"/>
        <v>46198</v>
      </c>
    </row>
    <row r="76" spans="2:17" ht="25" x14ac:dyDescent="0.35">
      <c r="B76" s="50">
        <v>3</v>
      </c>
      <c r="C76" s="51" t="s">
        <v>15</v>
      </c>
      <c r="D76" s="52">
        <v>31</v>
      </c>
      <c r="E76" s="52">
        <v>1</v>
      </c>
      <c r="F76" s="53" t="s">
        <v>2109</v>
      </c>
      <c r="G76" s="67" t="s">
        <v>2110</v>
      </c>
      <c r="H76" s="54" t="str">
        <f t="shared" si="5"/>
        <v>MM-SAG-031.01 - Manutenção Preventiva Ponte Rolante 136_23T (MCP1)</v>
      </c>
      <c r="I76" s="57" t="s">
        <v>2108</v>
      </c>
      <c r="J76" s="55" t="str">
        <f>VLOOKUP(D76,GM!$D$4:$G$1637,4,3)&amp;" e "&amp;C76</f>
        <v>ENGENHARIA MECÂNICA  e SAG</v>
      </c>
      <c r="K76" s="164"/>
      <c r="L76" s="164"/>
      <c r="M76" s="11" t="s">
        <v>267</v>
      </c>
      <c r="O76" s="67" t="str">
        <f t="shared" ca="1" si="7"/>
        <v>Vencido</v>
      </c>
      <c r="P76" s="67"/>
      <c r="Q76" s="67">
        <f t="shared" ca="1" si="8"/>
        <v>46198</v>
      </c>
    </row>
    <row r="77" spans="2:17" ht="25" x14ac:dyDescent="0.35">
      <c r="B77" s="50">
        <v>3</v>
      </c>
      <c r="C77" s="51" t="s">
        <v>15</v>
      </c>
      <c r="D77" s="52">
        <v>31</v>
      </c>
      <c r="E77" s="52">
        <v>21</v>
      </c>
      <c r="F77" s="53" t="s">
        <v>2111</v>
      </c>
      <c r="G77" s="53" t="s">
        <v>2112</v>
      </c>
      <c r="H77" s="54" t="str">
        <f t="shared" si="5"/>
        <v>MM-SAG-031.21 - Plano de Lubrificação da Ponte Rolante</v>
      </c>
      <c r="I77" s="55" t="s">
        <v>2113</v>
      </c>
      <c r="J77" s="55" t="str">
        <f>VLOOKUP(D77,GM!$D$4:$G$1637,4,3)&amp;" e "&amp;C77</f>
        <v>ENGENHARIA MECÂNICA  e SAG</v>
      </c>
      <c r="K77" s="164">
        <v>44083</v>
      </c>
      <c r="L77" s="164">
        <f t="shared" si="6"/>
        <v>45179</v>
      </c>
      <c r="M77" s="10" t="s">
        <v>62</v>
      </c>
      <c r="N77" s="1" t="s">
        <v>371</v>
      </c>
      <c r="O77" s="67" t="str">
        <f t="shared" ca="1" si="7"/>
        <v>Vencido</v>
      </c>
      <c r="P77" s="67"/>
      <c r="Q77" s="67">
        <f t="shared" ca="1" si="8"/>
        <v>2115</v>
      </c>
    </row>
    <row r="78" spans="2:17" ht="25" x14ac:dyDescent="0.35">
      <c r="B78" s="50">
        <v>3</v>
      </c>
      <c r="C78" s="51" t="s">
        <v>15</v>
      </c>
      <c r="D78" s="52">
        <v>33</v>
      </c>
      <c r="E78" s="52">
        <v>0</v>
      </c>
      <c r="F78" s="53" t="s">
        <v>2114</v>
      </c>
      <c r="G78" s="53" t="s">
        <v>2115</v>
      </c>
      <c r="H78" s="54" t="str">
        <f t="shared" si="5"/>
        <v>MM-SAG-033.00 - MCP0 Elevador</v>
      </c>
      <c r="I78" s="55" t="s">
        <v>2004</v>
      </c>
      <c r="J78" s="55" t="str">
        <f>VLOOKUP(D78,GM!$D$4:$G$1637,4,3)&amp;" e "&amp;C78</f>
        <v>ENGENHARIA MECÂNICA  e SAG</v>
      </c>
      <c r="K78" s="164"/>
      <c r="L78" s="164"/>
      <c r="M78" s="11" t="s">
        <v>267</v>
      </c>
      <c r="O78" s="67" t="str">
        <f t="shared" ca="1" si="7"/>
        <v>Vencido</v>
      </c>
      <c r="P78" s="67"/>
      <c r="Q78" s="67">
        <f t="shared" ca="1" si="8"/>
        <v>46198</v>
      </c>
    </row>
    <row r="79" spans="2:17" ht="25" x14ac:dyDescent="0.35">
      <c r="B79" s="50">
        <v>3</v>
      </c>
      <c r="C79" s="51" t="s">
        <v>15</v>
      </c>
      <c r="D79" s="52">
        <v>33</v>
      </c>
      <c r="E79" s="52">
        <v>1</v>
      </c>
      <c r="F79" s="53" t="s">
        <v>2116</v>
      </c>
      <c r="G79" s="53" t="s">
        <v>2003</v>
      </c>
      <c r="H79" s="54" t="str">
        <f t="shared" si="5"/>
        <v>MM-SAG-033.01 - Plano de Lubrificação do Elevador</v>
      </c>
      <c r="I79" s="57" t="s">
        <v>2004</v>
      </c>
      <c r="J79" s="55" t="str">
        <f>VLOOKUP(D79,GM!$D$4:$G$1637,4,3)&amp;" e "&amp;C79</f>
        <v>ENGENHARIA MECÂNICA  e SAG</v>
      </c>
      <c r="K79" s="164">
        <v>44083</v>
      </c>
      <c r="L79" s="164">
        <f t="shared" si="6"/>
        <v>45179</v>
      </c>
      <c r="M79" s="10" t="s">
        <v>62</v>
      </c>
      <c r="N79" s="1" t="s">
        <v>371</v>
      </c>
      <c r="O79" s="67" t="str">
        <f t="shared" ca="1" si="7"/>
        <v>Vencido</v>
      </c>
      <c r="P79" s="67"/>
      <c r="Q79" s="67">
        <f t="shared" ca="1" si="8"/>
        <v>2115</v>
      </c>
    </row>
    <row r="80" spans="2:17" ht="26" hidden="1" x14ac:dyDescent="0.35">
      <c r="B80" s="50">
        <v>3</v>
      </c>
      <c r="C80" s="51" t="s">
        <v>15</v>
      </c>
      <c r="D80" s="52">
        <v>41</v>
      </c>
      <c r="E80" s="52">
        <v>0</v>
      </c>
      <c r="F80" s="53" t="s">
        <v>2117</v>
      </c>
      <c r="G80" s="53" t="s">
        <v>2118</v>
      </c>
      <c r="H80" s="54" t="str">
        <f t="shared" si="5"/>
        <v>MM-SAG-041.00 - Manutenção Preventiva SPDA - Escopo 2</v>
      </c>
      <c r="I80" s="55" t="s">
        <v>2010</v>
      </c>
      <c r="J80" s="55" t="str">
        <f>VLOOKUP(D80,GM!$D$4:$G$1637,4,3)&amp;" e "&amp;C80</f>
        <v>ENGENHARIA ELÉTRICA  e SAG</v>
      </c>
      <c r="K80" s="164">
        <v>45819</v>
      </c>
      <c r="L80" s="164">
        <f t="shared" si="6"/>
        <v>46915</v>
      </c>
      <c r="M80" s="10" t="s">
        <v>62</v>
      </c>
      <c r="N80" s="1" t="s">
        <v>371</v>
      </c>
      <c r="O80" s="67" t="str">
        <f t="shared" ca="1" si="7"/>
        <v>Em dia</v>
      </c>
      <c r="P80" s="67"/>
      <c r="Q80" s="67">
        <f t="shared" ca="1" si="8"/>
        <v>379</v>
      </c>
    </row>
    <row r="81" spans="2:17" ht="26" hidden="1" x14ac:dyDescent="0.35">
      <c r="B81" s="50">
        <v>3</v>
      </c>
      <c r="C81" s="51" t="s">
        <v>15</v>
      </c>
      <c r="D81" s="52">
        <v>41</v>
      </c>
      <c r="E81" s="52">
        <v>1</v>
      </c>
      <c r="F81" s="53" t="s">
        <v>2119</v>
      </c>
      <c r="G81" s="53" t="s">
        <v>2120</v>
      </c>
      <c r="H81" s="54" t="str">
        <f t="shared" si="5"/>
        <v>MM-SAG-041.01 - Manutenção Preventiva SPDA - Escopo 1</v>
      </c>
      <c r="I81" s="55" t="s">
        <v>2010</v>
      </c>
      <c r="J81" s="55" t="str">
        <f>VLOOKUP(D81,GM!$D$4:$G$1637,4,3)&amp;" e "&amp;C81</f>
        <v>ENGENHARIA ELÉTRICA  e SAG</v>
      </c>
      <c r="K81" s="164">
        <v>45819</v>
      </c>
      <c r="L81" s="164">
        <f t="shared" si="6"/>
        <v>46915</v>
      </c>
      <c r="M81" s="10" t="s">
        <v>62</v>
      </c>
      <c r="N81" s="1" t="s">
        <v>371</v>
      </c>
      <c r="O81" s="67" t="str">
        <f t="shared" ca="1" si="7"/>
        <v>Em dia</v>
      </c>
      <c r="P81" s="67"/>
      <c r="Q81" s="67">
        <f t="shared" ca="1" si="8"/>
        <v>379</v>
      </c>
    </row>
    <row r="82" spans="2:17" ht="25" x14ac:dyDescent="0.35">
      <c r="B82" s="50">
        <v>3</v>
      </c>
      <c r="C82" s="51" t="s">
        <v>15</v>
      </c>
      <c r="D82" s="52">
        <v>58</v>
      </c>
      <c r="E82" s="52">
        <v>2</v>
      </c>
      <c r="F82" s="53" t="s">
        <v>2121</v>
      </c>
      <c r="G82" s="53" t="s">
        <v>2014</v>
      </c>
      <c r="H82" s="54" t="str">
        <f t="shared" si="5"/>
        <v>MM-SAG-058.02 - Plano de Lubrificação Sistema Ventilação</v>
      </c>
      <c r="I82" s="57" t="s">
        <v>2015</v>
      </c>
      <c r="J82" s="55" t="str">
        <f>VLOOKUP(D82,GM!$D$4:$G$1637,4,3)&amp;" e "&amp;C82</f>
        <v>ENGENHARIA MECÂNICA  e SAG</v>
      </c>
      <c r="K82" s="164">
        <v>44083</v>
      </c>
      <c r="L82" s="164">
        <f t="shared" si="6"/>
        <v>45179</v>
      </c>
      <c r="M82" s="10" t="s">
        <v>62</v>
      </c>
      <c r="N82" s="1" t="s">
        <v>371</v>
      </c>
      <c r="O82" s="67" t="str">
        <f t="shared" ca="1" si="7"/>
        <v>Vencido</v>
      </c>
      <c r="P82" s="67"/>
      <c r="Q82" s="67">
        <f t="shared" ca="1" si="8"/>
        <v>2115</v>
      </c>
    </row>
    <row r="83" spans="2:17" ht="26" x14ac:dyDescent="0.35">
      <c r="B83" s="50">
        <v>3</v>
      </c>
      <c r="C83" s="51" t="s">
        <v>15</v>
      </c>
      <c r="D83" s="52">
        <v>60</v>
      </c>
      <c r="E83" s="52">
        <v>2</v>
      </c>
      <c r="F83" s="53" t="s">
        <v>2122</v>
      </c>
      <c r="G83" s="53" t="s">
        <v>2017</v>
      </c>
      <c r="H83" s="54" t="str">
        <f t="shared" si="5"/>
        <v>MM-SAG-060.02 - Manual de Manutenção sistema LGE</v>
      </c>
      <c r="I83" s="55" t="s">
        <v>2018</v>
      </c>
      <c r="J83" s="55" t="str">
        <f>VLOOKUP(D83,GM!$D$4:$G$1637,4,3)&amp;" e "&amp;C83</f>
        <v>ENGENHARIA MECÂNICA  e SAG</v>
      </c>
      <c r="K83" s="164">
        <v>44063</v>
      </c>
      <c r="L83" s="164">
        <f t="shared" si="6"/>
        <v>45159</v>
      </c>
      <c r="M83" s="10" t="s">
        <v>62</v>
      </c>
      <c r="N83" s="1" t="s">
        <v>371</v>
      </c>
      <c r="O83" s="67" t="str">
        <f t="shared" ca="1" si="7"/>
        <v>Vencido</v>
      </c>
      <c r="P83" s="67"/>
      <c r="Q83" s="67">
        <f t="shared" ca="1" si="8"/>
        <v>2135</v>
      </c>
    </row>
    <row r="84" spans="2:17" ht="25" x14ac:dyDescent="0.35">
      <c r="B84" s="50">
        <v>3</v>
      </c>
      <c r="C84" s="51" t="s">
        <v>15</v>
      </c>
      <c r="D84" s="52">
        <v>63</v>
      </c>
      <c r="E84" s="52">
        <v>0</v>
      </c>
      <c r="F84" s="53" t="s">
        <v>2123</v>
      </c>
      <c r="G84" s="67" t="s">
        <v>2124</v>
      </c>
      <c r="H84" s="54" t="str">
        <f t="shared" si="5"/>
        <v>MM-SAG-063.00 - Manutençao Preventiva Pórtico 25T (MCP0)</v>
      </c>
      <c r="I84" s="57" t="s">
        <v>2125</v>
      </c>
      <c r="J84" s="55" t="str">
        <f>VLOOKUP(D84,GM!$D$4:$G$1637,4,3)&amp;" e "&amp;C84</f>
        <v>ENGENHARIA MECÂNICA  e SAG</v>
      </c>
      <c r="K84" s="164"/>
      <c r="L84" s="164"/>
      <c r="M84" s="11" t="s">
        <v>267</v>
      </c>
      <c r="O84" s="67" t="str">
        <f t="shared" ca="1" si="7"/>
        <v>Vencido</v>
      </c>
      <c r="P84" s="67"/>
      <c r="Q84" s="67">
        <f t="shared" ca="1" si="8"/>
        <v>46198</v>
      </c>
    </row>
    <row r="85" spans="2:17" ht="25" x14ac:dyDescent="0.35">
      <c r="B85" s="50">
        <v>3</v>
      </c>
      <c r="C85" s="51" t="s">
        <v>15</v>
      </c>
      <c r="D85" s="52">
        <v>63</v>
      </c>
      <c r="E85" s="52">
        <v>1</v>
      </c>
      <c r="F85" s="53" t="s">
        <v>2126</v>
      </c>
      <c r="G85" s="53" t="s">
        <v>2127</v>
      </c>
      <c r="H85" s="54" t="str">
        <f t="shared" si="5"/>
        <v>MM-SAG-063.01 - Plano de Lubrificação do Pórtico Jusante</v>
      </c>
      <c r="I85" s="57" t="s">
        <v>2125</v>
      </c>
      <c r="J85" s="55" t="str">
        <f>VLOOKUP(D85,GM!$D$4:$G$1637,4,3)&amp;" e "&amp;C85</f>
        <v>ENGENHARIA MECÂNICA  e SAG</v>
      </c>
      <c r="K85" s="164">
        <v>44083</v>
      </c>
      <c r="L85" s="164">
        <f t="shared" si="6"/>
        <v>45179</v>
      </c>
      <c r="M85" s="10" t="s">
        <v>62</v>
      </c>
      <c r="N85" s="1" t="s">
        <v>371</v>
      </c>
      <c r="O85" s="67" t="str">
        <f t="shared" ca="1" si="7"/>
        <v>Vencido</v>
      </c>
      <c r="P85" s="67"/>
      <c r="Q85" s="67">
        <f t="shared" ca="1" si="8"/>
        <v>2115</v>
      </c>
    </row>
    <row r="86" spans="2:17" ht="25" x14ac:dyDescent="0.35">
      <c r="B86" s="50">
        <v>3</v>
      </c>
      <c r="C86" s="51" t="s">
        <v>15</v>
      </c>
      <c r="D86" s="52">
        <v>63</v>
      </c>
      <c r="E86" s="52">
        <v>2</v>
      </c>
      <c r="F86" s="53" t="s">
        <v>2128</v>
      </c>
      <c r="G86" s="67" t="s">
        <v>2129</v>
      </c>
      <c r="H86" s="54" t="str">
        <f t="shared" si="5"/>
        <v>MM-SAG-063.02 - Manutençao Preventiva Pórtico 25T (MCP1)</v>
      </c>
      <c r="I86" s="57" t="s">
        <v>2125</v>
      </c>
      <c r="J86" s="55" t="str">
        <f>VLOOKUP(D86,GM!$D$4:$G$1637,4,3)&amp;" e "&amp;C86</f>
        <v>ENGENHARIA MECÂNICA  e SAG</v>
      </c>
      <c r="K86" s="164"/>
      <c r="L86" s="164"/>
      <c r="M86" s="11" t="s">
        <v>267</v>
      </c>
      <c r="O86" s="67" t="str">
        <f t="shared" ca="1" si="7"/>
        <v>Vencido</v>
      </c>
      <c r="P86" s="67"/>
      <c r="Q86" s="67">
        <f t="shared" ca="1" si="8"/>
        <v>46198</v>
      </c>
    </row>
    <row r="87" spans="2:17" ht="25" x14ac:dyDescent="0.35">
      <c r="B87" s="50">
        <v>3</v>
      </c>
      <c r="C87" s="51" t="s">
        <v>15</v>
      </c>
      <c r="D87" s="144">
        <v>65</v>
      </c>
      <c r="E87" s="144">
        <v>2</v>
      </c>
      <c r="F87" s="157" t="s">
        <v>2130</v>
      </c>
      <c r="G87" s="157" t="s">
        <v>2025</v>
      </c>
      <c r="H87" s="54" t="str">
        <f t="shared" si="5"/>
        <v>MM-SAG-065.02 - Plano de Lubrificação Central Hidrau do VS</v>
      </c>
      <c r="I87" s="57" t="s">
        <v>2026</v>
      </c>
      <c r="J87" s="55" t="str">
        <f>VLOOKUP(D87,GM!$D$4:$G$1637,4,3)&amp;" e "&amp;C87</f>
        <v>ENGENHARIA MECÂNICA  e SAG</v>
      </c>
      <c r="K87" s="164">
        <v>44083</v>
      </c>
      <c r="L87" s="164">
        <f t="shared" si="6"/>
        <v>45179</v>
      </c>
      <c r="M87" s="10" t="s">
        <v>62</v>
      </c>
      <c r="N87" s="1" t="s">
        <v>371</v>
      </c>
      <c r="O87" s="67" t="str">
        <f t="shared" ca="1" si="7"/>
        <v>Vencido</v>
      </c>
      <c r="P87" s="67"/>
      <c r="Q87" s="67">
        <f t="shared" ca="1" si="8"/>
        <v>2115</v>
      </c>
    </row>
    <row r="88" spans="2:17" ht="25" x14ac:dyDescent="0.35">
      <c r="B88" s="50">
        <v>3</v>
      </c>
      <c r="C88" s="51" t="s">
        <v>15</v>
      </c>
      <c r="D88" s="52">
        <v>68</v>
      </c>
      <c r="E88" s="52">
        <v>1</v>
      </c>
      <c r="F88" s="53" t="s">
        <v>2131</v>
      </c>
      <c r="G88" s="53" t="s">
        <v>2132</v>
      </c>
      <c r="H88" s="54" t="str">
        <f t="shared" si="5"/>
        <v>MM-SAG-068.01 - Plano de Lubrificação do Limpa Grades</v>
      </c>
      <c r="I88" s="57" t="s">
        <v>2133</v>
      </c>
      <c r="J88" s="55" t="str">
        <f>VLOOKUP(D88,GM!$D$4:$G$1637,4,3)&amp;" e "&amp;C88</f>
        <v>ENGENHARIA MECÂNICA  e SAG</v>
      </c>
      <c r="K88" s="164">
        <v>44083</v>
      </c>
      <c r="L88" s="164">
        <f t="shared" si="6"/>
        <v>45179</v>
      </c>
      <c r="M88" s="10" t="s">
        <v>62</v>
      </c>
      <c r="N88" s="1" t="s">
        <v>371</v>
      </c>
      <c r="O88" s="67" t="str">
        <f t="shared" ca="1" si="7"/>
        <v>Vencido</v>
      </c>
      <c r="P88" s="67"/>
      <c r="Q88" s="67">
        <f t="shared" ca="1" si="8"/>
        <v>2115</v>
      </c>
    </row>
    <row r="89" spans="2:17" ht="26" x14ac:dyDescent="0.35">
      <c r="B89" s="50">
        <v>4</v>
      </c>
      <c r="C89" s="51" t="s">
        <v>16</v>
      </c>
      <c r="D89" s="52">
        <v>0</v>
      </c>
      <c r="E89" s="52">
        <v>2</v>
      </c>
      <c r="F89" s="53" t="s">
        <v>2134</v>
      </c>
      <c r="G89" s="53" t="s">
        <v>1972</v>
      </c>
      <c r="H89" s="54" t="str">
        <f t="shared" si="5"/>
        <v>MM-CN1-000.02 - Procedimentos Execução Mergulho Profissional</v>
      </c>
      <c r="I89" s="55" t="s">
        <v>1973</v>
      </c>
      <c r="J89" s="55" t="str">
        <f>VLOOKUP(D89,GM!$D$4:$G$1637,4,3)&amp;" e "&amp;C89</f>
        <v>ENGENHARIA  e CN1</v>
      </c>
      <c r="K89" s="164">
        <v>44063</v>
      </c>
      <c r="L89" s="164">
        <f t="shared" si="6"/>
        <v>45159</v>
      </c>
      <c r="M89" s="10" t="s">
        <v>62</v>
      </c>
      <c r="N89" s="1" t="s">
        <v>371</v>
      </c>
      <c r="O89" s="67" t="str">
        <f t="shared" ca="1" si="7"/>
        <v>Vencido</v>
      </c>
      <c r="P89" s="67"/>
      <c r="Q89" s="67">
        <f t="shared" ca="1" si="8"/>
        <v>2135</v>
      </c>
    </row>
    <row r="90" spans="2:17" ht="25" x14ac:dyDescent="0.35">
      <c r="B90" s="50">
        <v>4</v>
      </c>
      <c r="C90" s="51" t="s">
        <v>16</v>
      </c>
      <c r="D90" s="52">
        <v>1</v>
      </c>
      <c r="E90" s="52">
        <v>3</v>
      </c>
      <c r="F90" s="53" t="s">
        <v>2135</v>
      </c>
      <c r="G90" s="53" t="s">
        <v>2136</v>
      </c>
      <c r="H90" s="54" t="str">
        <f t="shared" si="5"/>
        <v>MM-CN1-001.03 - Procedimento de Desmontagem MGG</v>
      </c>
      <c r="I90" s="55" t="s">
        <v>1976</v>
      </c>
      <c r="J90" s="55" t="str">
        <f>VLOOKUP(D90,GM!$D$4:$G$1637,4,3)&amp;" e "&amp;C90</f>
        <v>ENGENHARIA MECÂNICA  e CN1</v>
      </c>
      <c r="K90" s="164">
        <v>44049</v>
      </c>
      <c r="L90" s="164">
        <f t="shared" si="6"/>
        <v>45145</v>
      </c>
      <c r="M90" s="10" t="s">
        <v>62</v>
      </c>
      <c r="N90" s="1" t="s">
        <v>371</v>
      </c>
      <c r="O90" s="67" t="str">
        <f t="shared" ca="1" si="7"/>
        <v>Vencido</v>
      </c>
      <c r="P90" s="67"/>
      <c r="Q90" s="67">
        <f t="shared" ca="1" si="8"/>
        <v>2149</v>
      </c>
    </row>
    <row r="91" spans="2:17" ht="25" x14ac:dyDescent="0.35">
      <c r="B91" s="50">
        <v>4</v>
      </c>
      <c r="C91" s="51" t="s">
        <v>16</v>
      </c>
      <c r="D91" s="52">
        <v>1</v>
      </c>
      <c r="E91" s="52">
        <v>25</v>
      </c>
      <c r="F91" s="53" t="s">
        <v>2137</v>
      </c>
      <c r="G91" s="53" t="s">
        <v>1978</v>
      </c>
      <c r="H91" s="54" t="str">
        <f t="shared" si="5"/>
        <v>MM-CN1-001.25 - Plano de Lubrificação da Turbina</v>
      </c>
      <c r="I91" s="55" t="s">
        <v>1976</v>
      </c>
      <c r="J91" s="55" t="str">
        <f>VLOOKUP(D91,GM!$D$4:$G$1637,4,3)&amp;" e "&amp;C91</f>
        <v>ENGENHARIA MECÂNICA  e CN1</v>
      </c>
      <c r="K91" s="164">
        <v>44064</v>
      </c>
      <c r="L91" s="164">
        <f t="shared" si="6"/>
        <v>45160</v>
      </c>
      <c r="M91" s="10" t="s">
        <v>62</v>
      </c>
      <c r="N91" s="1" t="s">
        <v>371</v>
      </c>
      <c r="O91" s="67" t="str">
        <f t="shared" ca="1" si="7"/>
        <v>Vencido</v>
      </c>
      <c r="P91" s="67"/>
      <c r="Q91" s="67">
        <f t="shared" ca="1" si="8"/>
        <v>2134</v>
      </c>
    </row>
    <row r="92" spans="2:17" ht="25" x14ac:dyDescent="0.35">
      <c r="B92" s="50">
        <v>4</v>
      </c>
      <c r="C92" s="51" t="s">
        <v>16</v>
      </c>
      <c r="D92" s="52">
        <v>2</v>
      </c>
      <c r="E92" s="52">
        <v>1</v>
      </c>
      <c r="F92" s="146" t="s">
        <v>2138</v>
      </c>
      <c r="G92" s="67" t="s">
        <v>2139</v>
      </c>
      <c r="H92" s="54" t="str">
        <f t="shared" si="5"/>
        <v>MM-CN1-002.01 - Manual de Manutenção do Gerador Parte Mecânica MPP0, 1 e 2</v>
      </c>
      <c r="I92" s="147" t="s">
        <v>2140</v>
      </c>
      <c r="J92" s="55" t="str">
        <f>VLOOKUP(D92,GM!$D$4:$G$1637,4,3)&amp;" e "&amp;C92</f>
        <v>ENGENHARIA MECÂNICA  e CN1</v>
      </c>
      <c r="K92" s="164"/>
      <c r="L92" s="164"/>
      <c r="M92" s="11" t="s">
        <v>267</v>
      </c>
      <c r="O92" s="67" t="str">
        <f t="shared" ca="1" si="7"/>
        <v>Vencido</v>
      </c>
      <c r="P92" s="67"/>
      <c r="Q92" s="67">
        <f t="shared" ca="1" si="8"/>
        <v>46198</v>
      </c>
    </row>
    <row r="93" spans="2:17" ht="25" hidden="1" x14ac:dyDescent="0.35">
      <c r="B93" s="50">
        <v>4</v>
      </c>
      <c r="C93" s="51" t="s">
        <v>16</v>
      </c>
      <c r="D93" s="52">
        <v>3</v>
      </c>
      <c r="E93" s="52">
        <v>0</v>
      </c>
      <c r="F93" s="53" t="s">
        <v>2141</v>
      </c>
      <c r="G93" s="67" t="s">
        <v>2142</v>
      </c>
      <c r="H93" s="54" t="str">
        <f t="shared" si="5"/>
        <v>MM-CN1-003.00 - anutenção Preventiva Periódica Tipo MPP0 no Gerador</v>
      </c>
      <c r="I93" s="67" t="s">
        <v>2060</v>
      </c>
      <c r="J93" s="55" t="str">
        <f>VLOOKUP(D93,GM!$D$4:$G$1637,4,3)&amp;" e "&amp;C93</f>
        <v>ENGENHARIA ELÉTRICA  e CN1</v>
      </c>
      <c r="K93" s="164">
        <v>45791</v>
      </c>
      <c r="L93" s="164">
        <f t="shared" si="6"/>
        <v>46887</v>
      </c>
      <c r="M93" s="10" t="s">
        <v>62</v>
      </c>
      <c r="N93" s="1" t="s">
        <v>371</v>
      </c>
      <c r="O93" s="67" t="str">
        <f t="shared" ca="1" si="7"/>
        <v>Em dia</v>
      </c>
      <c r="P93" s="67"/>
      <c r="Q93" s="67">
        <f t="shared" ca="1" si="8"/>
        <v>407</v>
      </c>
    </row>
    <row r="94" spans="2:17" ht="25" hidden="1" x14ac:dyDescent="0.35">
      <c r="B94" s="50">
        <v>4</v>
      </c>
      <c r="C94" s="51" t="s">
        <v>16</v>
      </c>
      <c r="D94" s="52">
        <v>3</v>
      </c>
      <c r="E94" s="52">
        <v>1</v>
      </c>
      <c r="F94" s="53" t="s">
        <v>2143</v>
      </c>
      <c r="G94" s="67" t="s">
        <v>2144</v>
      </c>
      <c r="H94" s="54" t="str">
        <f t="shared" si="5"/>
        <v>MM-CN1-003.01 - anutenção Preventiva Periódica Tipo MPP1 no Gerador</v>
      </c>
      <c r="I94" s="67" t="s">
        <v>2060</v>
      </c>
      <c r="J94" s="55" t="str">
        <f>VLOOKUP(D94,GM!$D$4:$G$1637,4,3)&amp;" e "&amp;C94</f>
        <v>ENGENHARIA ELÉTRICA  e CN1</v>
      </c>
      <c r="K94" s="164">
        <v>45791</v>
      </c>
      <c r="L94" s="164">
        <f t="shared" si="6"/>
        <v>46887</v>
      </c>
      <c r="M94" s="10" t="s">
        <v>62</v>
      </c>
      <c r="N94" s="1" t="s">
        <v>371</v>
      </c>
      <c r="O94" s="67" t="str">
        <f t="shared" ca="1" si="7"/>
        <v>Em dia</v>
      </c>
      <c r="P94" s="67"/>
      <c r="Q94" s="67">
        <f t="shared" ca="1" si="8"/>
        <v>407</v>
      </c>
    </row>
    <row r="95" spans="2:17" ht="25" hidden="1" x14ac:dyDescent="0.35">
      <c r="B95" s="50">
        <v>4</v>
      </c>
      <c r="C95" s="51" t="s">
        <v>16</v>
      </c>
      <c r="D95" s="52">
        <v>3</v>
      </c>
      <c r="E95" s="52">
        <v>2</v>
      </c>
      <c r="F95" s="53" t="s">
        <v>2145</v>
      </c>
      <c r="G95" s="67" t="s">
        <v>2146</v>
      </c>
      <c r="H95" s="54" t="str">
        <f t="shared" si="5"/>
        <v>MM-CN1-003.02 - anutenção Preventiva Periódica Tipo MPP2 no Gerador</v>
      </c>
      <c r="I95" s="67" t="s">
        <v>2060</v>
      </c>
      <c r="J95" s="55" t="str">
        <f>VLOOKUP(D95,GM!$D$4:$G$1637,4,3)&amp;" e "&amp;C95</f>
        <v>ENGENHARIA ELÉTRICA  e CN1</v>
      </c>
      <c r="K95" s="164">
        <v>45791</v>
      </c>
      <c r="L95" s="164">
        <f t="shared" si="6"/>
        <v>46887</v>
      </c>
      <c r="M95" s="10" t="s">
        <v>62</v>
      </c>
      <c r="N95" s="1" t="s">
        <v>371</v>
      </c>
      <c r="O95" s="67" t="str">
        <f t="shared" ca="1" si="7"/>
        <v>Em dia</v>
      </c>
      <c r="P95" s="67"/>
      <c r="Q95" s="67">
        <f t="shared" ca="1" si="8"/>
        <v>407</v>
      </c>
    </row>
    <row r="96" spans="2:17" ht="25" hidden="1" x14ac:dyDescent="0.35">
      <c r="B96" s="50">
        <v>4</v>
      </c>
      <c r="C96" s="51" t="s">
        <v>16</v>
      </c>
      <c r="D96" s="52">
        <v>3</v>
      </c>
      <c r="E96" s="52">
        <v>3</v>
      </c>
      <c r="F96" s="53" t="s">
        <v>2147</v>
      </c>
      <c r="G96" s="67" t="s">
        <v>2148</v>
      </c>
      <c r="H96" s="54" t="str">
        <f t="shared" si="5"/>
        <v>MM-CN1-003.03 - Manutenção Preventiva nos Coletores</v>
      </c>
      <c r="I96" s="67" t="s">
        <v>2060</v>
      </c>
      <c r="J96" s="55" t="str">
        <f>VLOOKUP(D96,GM!$D$4:$G$1637,4,3)&amp;" e "&amp;C96</f>
        <v>ENGENHARIA ELÉTRICA  e CN1</v>
      </c>
      <c r="K96" s="164">
        <v>45791</v>
      </c>
      <c r="L96" s="164">
        <f t="shared" si="6"/>
        <v>46887</v>
      </c>
      <c r="M96" s="10" t="s">
        <v>62</v>
      </c>
      <c r="N96" s="1" t="s">
        <v>371</v>
      </c>
      <c r="O96" s="67" t="str">
        <f t="shared" ca="1" si="7"/>
        <v>Em dia</v>
      </c>
      <c r="P96" s="67"/>
      <c r="Q96" s="67">
        <f t="shared" ca="1" si="8"/>
        <v>407</v>
      </c>
    </row>
    <row r="97" spans="2:17" ht="25" hidden="1" x14ac:dyDescent="0.35">
      <c r="B97" s="50">
        <v>4</v>
      </c>
      <c r="C97" s="51" t="s">
        <v>16</v>
      </c>
      <c r="D97" s="52">
        <v>4</v>
      </c>
      <c r="E97" s="52">
        <v>0</v>
      </c>
      <c r="F97" s="146" t="s">
        <v>2149</v>
      </c>
      <c r="G97" s="67" t="s">
        <v>2150</v>
      </c>
      <c r="H97" s="54" t="str">
        <f t="shared" si="5"/>
        <v>MM-CN1-004.00 - Manutenção Preventiva Periódica Tipo 0 nos Sistemas Auxiliares da Unidade Geradora</v>
      </c>
      <c r="I97" s="147" t="s">
        <v>2067</v>
      </c>
      <c r="J97" s="55" t="str">
        <f>VLOOKUP(D97,GM!$D$4:$G$1637,4,3)&amp;" e "&amp;C97</f>
        <v>ENGENHARIA ELÉTRICA  e CN1</v>
      </c>
      <c r="K97" s="164">
        <v>45819</v>
      </c>
      <c r="L97" s="164">
        <f t="shared" si="6"/>
        <v>46915</v>
      </c>
      <c r="M97" s="10" t="s">
        <v>62</v>
      </c>
      <c r="N97" s="1" t="s">
        <v>371</v>
      </c>
      <c r="O97" s="67" t="str">
        <f t="shared" ca="1" si="7"/>
        <v>Em dia</v>
      </c>
      <c r="P97" s="67"/>
      <c r="Q97" s="67">
        <f t="shared" ca="1" si="8"/>
        <v>379</v>
      </c>
    </row>
    <row r="98" spans="2:17" ht="25" hidden="1" x14ac:dyDescent="0.35">
      <c r="B98" s="50">
        <v>4</v>
      </c>
      <c r="C98" s="51" t="s">
        <v>16</v>
      </c>
      <c r="D98" s="52">
        <v>4</v>
      </c>
      <c r="E98" s="52">
        <v>1</v>
      </c>
      <c r="F98" s="146" t="s">
        <v>2151</v>
      </c>
      <c r="G98" s="67" t="s">
        <v>2152</v>
      </c>
      <c r="H98" s="54" t="str">
        <f t="shared" si="5"/>
        <v>MM-CN1-004.01 - Manutenção Preventiva Periódica Tipo 1 nos Sistemas Auxiliares da Unidade Geradora</v>
      </c>
      <c r="I98" s="147" t="s">
        <v>2067</v>
      </c>
      <c r="J98" s="55" t="str">
        <f>VLOOKUP(D98,GM!$D$4:$G$1637,4,3)&amp;" e "&amp;C98</f>
        <v>ENGENHARIA ELÉTRICA  e CN1</v>
      </c>
      <c r="K98" s="164">
        <v>45819</v>
      </c>
      <c r="L98" s="164">
        <f t="shared" si="6"/>
        <v>46915</v>
      </c>
      <c r="M98" s="10" t="s">
        <v>62</v>
      </c>
      <c r="N98" s="1" t="s">
        <v>371</v>
      </c>
      <c r="O98" s="67" t="str">
        <f t="shared" ca="1" si="7"/>
        <v>Em dia</v>
      </c>
      <c r="P98" s="67"/>
      <c r="Q98" s="67">
        <f t="shared" ca="1" si="8"/>
        <v>379</v>
      </c>
    </row>
    <row r="99" spans="2:17" ht="25" hidden="1" x14ac:dyDescent="0.35">
      <c r="B99" s="50">
        <v>4</v>
      </c>
      <c r="C99" s="51" t="s">
        <v>16</v>
      </c>
      <c r="D99" s="52">
        <v>4</v>
      </c>
      <c r="E99" s="52">
        <v>2</v>
      </c>
      <c r="F99" s="146" t="s">
        <v>2153</v>
      </c>
      <c r="G99" s="67" t="s">
        <v>2154</v>
      </c>
      <c r="H99" s="54" t="str">
        <f t="shared" si="5"/>
        <v>MM-CN1-004.02 - Manutenção Preventiva Periódica Tipo 2 nos Sistemas Auxiliares da Unidade Geradora</v>
      </c>
      <c r="I99" s="147" t="s">
        <v>2067</v>
      </c>
      <c r="J99" s="55" t="str">
        <f>VLOOKUP(D99,GM!$D$4:$G$1637,4,3)&amp;" e "&amp;C99</f>
        <v>ENGENHARIA ELÉTRICA  e CN1</v>
      </c>
      <c r="K99" s="164">
        <v>45819</v>
      </c>
      <c r="L99" s="164">
        <f t="shared" si="6"/>
        <v>46915</v>
      </c>
      <c r="M99" s="10" t="s">
        <v>62</v>
      </c>
      <c r="N99" s="1" t="s">
        <v>371</v>
      </c>
      <c r="O99" s="67" t="str">
        <f t="shared" ca="1" si="7"/>
        <v>Em dia</v>
      </c>
      <c r="P99" s="67"/>
      <c r="Q99" s="67">
        <f t="shared" ca="1" si="8"/>
        <v>379</v>
      </c>
    </row>
    <row r="100" spans="2:17" ht="25" hidden="1" x14ac:dyDescent="0.35">
      <c r="B100" s="50">
        <v>4</v>
      </c>
      <c r="C100" s="51" t="s">
        <v>16</v>
      </c>
      <c r="D100" s="52">
        <v>6</v>
      </c>
      <c r="E100" s="52">
        <v>0</v>
      </c>
      <c r="F100" s="146" t="s">
        <v>2155</v>
      </c>
      <c r="G100" s="67" t="s">
        <v>1980</v>
      </c>
      <c r="H100" s="54" t="str">
        <f t="shared" si="5"/>
        <v>MM-CN1-006.00 - Coleta de Amostras de Óleo Isolante</v>
      </c>
      <c r="I100" s="147" t="s">
        <v>2034</v>
      </c>
      <c r="J100" s="55" t="str">
        <f>VLOOKUP(D100,GM!$D$4:$G$1637,4,3)&amp;" e "&amp;C100</f>
        <v>ENGENHARIA ELÉTRICA  e CN1</v>
      </c>
      <c r="K100" s="164">
        <v>45743</v>
      </c>
      <c r="L100" s="164">
        <f t="shared" si="6"/>
        <v>46839</v>
      </c>
      <c r="M100" s="10" t="s">
        <v>62</v>
      </c>
      <c r="N100" s="1" t="s">
        <v>371</v>
      </c>
      <c r="O100" s="67" t="str">
        <f t="shared" ca="1" si="7"/>
        <v>Em dia</v>
      </c>
      <c r="P100" s="67"/>
      <c r="Q100" s="67">
        <f t="shared" ca="1" si="8"/>
        <v>455</v>
      </c>
    </row>
    <row r="101" spans="2:17" ht="25" hidden="1" x14ac:dyDescent="0.35">
      <c r="B101" s="50">
        <v>4</v>
      </c>
      <c r="C101" s="51" t="s">
        <v>16</v>
      </c>
      <c r="D101" s="52">
        <v>19</v>
      </c>
      <c r="E101" s="52">
        <v>0</v>
      </c>
      <c r="F101" s="53" t="s">
        <v>2156</v>
      </c>
      <c r="G101" s="53" t="s">
        <v>2157</v>
      </c>
      <c r="H101" s="54" t="str">
        <f t="shared" si="5"/>
        <v>MM-CN1-019.00 - Manutenção Complementar Preventiva Tipo 0 no Sistema de Corrente Contínua</v>
      </c>
      <c r="I101" s="57" t="s">
        <v>2158</v>
      </c>
      <c r="J101" s="55" t="str">
        <f>VLOOKUP(D101,GM!$D$4:$G$1637,4,3)&amp;" e "&amp;C101</f>
        <v>ENGENHARIA ELÉTRICA  e CN1</v>
      </c>
      <c r="K101" s="164">
        <v>45959</v>
      </c>
      <c r="L101" s="164">
        <f t="shared" si="6"/>
        <v>47055</v>
      </c>
      <c r="M101" s="184" t="s">
        <v>13129</v>
      </c>
      <c r="N101" s="1" t="s">
        <v>61</v>
      </c>
      <c r="O101" s="67" t="str">
        <f t="shared" ca="1" si="7"/>
        <v>Em dia</v>
      </c>
      <c r="P101" s="67"/>
      <c r="Q101" s="67">
        <f t="shared" ca="1" si="8"/>
        <v>239</v>
      </c>
    </row>
    <row r="102" spans="2:17" ht="25" hidden="1" x14ac:dyDescent="0.35">
      <c r="B102" s="50">
        <v>4</v>
      </c>
      <c r="C102" s="51" t="s">
        <v>16</v>
      </c>
      <c r="D102" s="52">
        <v>19</v>
      </c>
      <c r="E102" s="52">
        <v>1</v>
      </c>
      <c r="F102" s="53" t="s">
        <v>2159</v>
      </c>
      <c r="G102" s="53" t="s">
        <v>13115</v>
      </c>
      <c r="H102" s="54" t="str">
        <f t="shared" si="5"/>
        <v>MM-CN1-019.01 - Manutenção Complementar Preventiva Tipo 1 no Sistema de Corrente Contínua</v>
      </c>
      <c r="I102" s="57" t="s">
        <v>2158</v>
      </c>
      <c r="J102" s="55" t="str">
        <f>VLOOKUP(D102,GM!$D$4:$G$1637,4,3)&amp;" e "&amp;C102</f>
        <v>ENGENHARIA ELÉTRICA  e CN1</v>
      </c>
      <c r="K102" s="164">
        <v>45959</v>
      </c>
      <c r="L102" s="164">
        <f t="shared" si="6"/>
        <v>47055</v>
      </c>
      <c r="M102" s="184" t="s">
        <v>13129</v>
      </c>
      <c r="N102" s="1" t="s">
        <v>61</v>
      </c>
      <c r="O102" s="67" t="str">
        <f t="shared" ca="1" si="7"/>
        <v>Em dia</v>
      </c>
      <c r="P102" s="67"/>
      <c r="Q102" s="67">
        <f t="shared" ca="1" si="8"/>
        <v>239</v>
      </c>
    </row>
    <row r="103" spans="2:17" ht="25" hidden="1" x14ac:dyDescent="0.35">
      <c r="B103" s="50">
        <v>4</v>
      </c>
      <c r="C103" s="51" t="s">
        <v>16</v>
      </c>
      <c r="D103" s="52">
        <v>19</v>
      </c>
      <c r="E103" s="52">
        <v>2</v>
      </c>
      <c r="F103" s="53" t="s">
        <v>2160</v>
      </c>
      <c r="G103" s="53" t="s">
        <v>13116</v>
      </c>
      <c r="H103" s="54" t="str">
        <f t="shared" si="5"/>
        <v>MM-CN1-019.02 - Manutenção Complementar Preventiva Tipo 2 no Sistema de Corrente Contínua</v>
      </c>
      <c r="I103" s="57" t="s">
        <v>2158</v>
      </c>
      <c r="J103" s="55" t="str">
        <f>VLOOKUP(D103,GM!$D$4:$G$1637,4,3)&amp;" e "&amp;C103</f>
        <v>ENGENHARIA ELÉTRICA  e CN1</v>
      </c>
      <c r="K103" s="164">
        <v>45959</v>
      </c>
      <c r="L103" s="164">
        <f t="shared" si="6"/>
        <v>47055</v>
      </c>
      <c r="M103" s="184" t="s">
        <v>13129</v>
      </c>
      <c r="N103" s="1" t="s">
        <v>61</v>
      </c>
      <c r="O103" s="67" t="str">
        <f t="shared" ca="1" si="7"/>
        <v>Em dia</v>
      </c>
      <c r="P103" s="67"/>
      <c r="Q103" s="67">
        <f t="shared" ca="1" si="8"/>
        <v>239</v>
      </c>
    </row>
    <row r="104" spans="2:17" ht="25" x14ac:dyDescent="0.35">
      <c r="B104" s="50">
        <v>4</v>
      </c>
      <c r="C104" s="51" t="s">
        <v>16</v>
      </c>
      <c r="D104" s="52">
        <v>20</v>
      </c>
      <c r="E104" s="52">
        <v>6</v>
      </c>
      <c r="F104" s="53" t="s">
        <v>2161</v>
      </c>
      <c r="G104" s="53" t="s">
        <v>1983</v>
      </c>
      <c r="H104" s="54" t="str">
        <f t="shared" si="5"/>
        <v>MM-CN1-020.06 - Plano de Lubrificação do RV</v>
      </c>
      <c r="I104" s="57" t="s">
        <v>1984</v>
      </c>
      <c r="J104" s="55" t="str">
        <f>VLOOKUP(D104,GM!$D$4:$G$1637,4,3)&amp;" e "&amp;C104</f>
        <v>ENGENHARIA MECÂNICA  e CN1</v>
      </c>
      <c r="K104" s="164">
        <v>44064</v>
      </c>
      <c r="L104" s="164">
        <f t="shared" si="6"/>
        <v>45160</v>
      </c>
      <c r="M104" s="10" t="s">
        <v>62</v>
      </c>
      <c r="N104" s="1" t="s">
        <v>371</v>
      </c>
      <c r="O104" s="67" t="str">
        <f t="shared" ca="1" si="7"/>
        <v>Vencido</v>
      </c>
      <c r="P104" s="67"/>
      <c r="Q104" s="67">
        <f t="shared" ca="1" si="8"/>
        <v>2134</v>
      </c>
    </row>
    <row r="105" spans="2:17" ht="25" x14ac:dyDescent="0.35">
      <c r="B105" s="50">
        <v>4</v>
      </c>
      <c r="C105" s="51" t="s">
        <v>16</v>
      </c>
      <c r="D105" s="52">
        <v>22</v>
      </c>
      <c r="E105" s="52">
        <v>3</v>
      </c>
      <c r="F105" s="53" t="s">
        <v>2162</v>
      </c>
      <c r="G105" s="53" t="s">
        <v>1986</v>
      </c>
      <c r="H105" s="54" t="str">
        <f t="shared" si="5"/>
        <v>MM-CN1-022.03 - Plano de Lubrificação dos Compressores</v>
      </c>
      <c r="I105" s="57" t="s">
        <v>1987</v>
      </c>
      <c r="J105" s="55" t="str">
        <f>VLOOKUP(D105,GM!$D$4:$G$1637,4,3)&amp;" e "&amp;C105</f>
        <v>ENGENHARIA MECÂNICA  e CN1</v>
      </c>
      <c r="K105" s="164">
        <v>44064</v>
      </c>
      <c r="L105" s="164">
        <f t="shared" si="6"/>
        <v>45160</v>
      </c>
      <c r="M105" s="10" t="s">
        <v>62</v>
      </c>
      <c r="N105" s="1" t="s">
        <v>371</v>
      </c>
      <c r="O105" s="67" t="str">
        <f t="shared" ca="1" si="7"/>
        <v>Vencido</v>
      </c>
      <c r="P105" s="67"/>
      <c r="Q105" s="67">
        <f t="shared" ca="1" si="8"/>
        <v>2134</v>
      </c>
    </row>
    <row r="106" spans="2:17" ht="25" x14ac:dyDescent="0.35">
      <c r="B106" s="50">
        <v>4</v>
      </c>
      <c r="C106" s="51" t="s">
        <v>16</v>
      </c>
      <c r="D106" s="52">
        <v>23</v>
      </c>
      <c r="E106" s="52">
        <v>3</v>
      </c>
      <c r="F106" s="53" t="s">
        <v>2163</v>
      </c>
      <c r="G106" s="53" t="s">
        <v>1989</v>
      </c>
      <c r="H106" s="54" t="str">
        <f t="shared" si="5"/>
        <v>MM-CN1-023.03 - Plano de Lubrificação do sistema de Refrigeração</v>
      </c>
      <c r="I106" s="57" t="s">
        <v>1990</v>
      </c>
      <c r="J106" s="55" t="str">
        <f>VLOOKUP(D106,GM!$D$4:$G$1637,4,3)&amp;" e "&amp;C106</f>
        <v>ENGENHARIA MECÂNICA  e CN1</v>
      </c>
      <c r="K106" s="164">
        <v>44064</v>
      </c>
      <c r="L106" s="164">
        <f t="shared" si="6"/>
        <v>45160</v>
      </c>
      <c r="M106" s="10" t="s">
        <v>62</v>
      </c>
      <c r="N106" s="1" t="s">
        <v>371</v>
      </c>
      <c r="O106" s="67" t="str">
        <f t="shared" ca="1" si="7"/>
        <v>Vencido</v>
      </c>
      <c r="P106" s="67"/>
      <c r="Q106" s="67">
        <f t="shared" ca="1" si="8"/>
        <v>2134</v>
      </c>
    </row>
    <row r="107" spans="2:17" ht="25" x14ac:dyDescent="0.35">
      <c r="B107" s="50">
        <v>4</v>
      </c>
      <c r="C107" s="51" t="s">
        <v>16</v>
      </c>
      <c r="D107" s="52">
        <v>24</v>
      </c>
      <c r="E107" s="52">
        <v>1</v>
      </c>
      <c r="F107" s="53" t="s">
        <v>2164</v>
      </c>
      <c r="G107" s="53" t="s">
        <v>1992</v>
      </c>
      <c r="H107" s="54" t="str">
        <f t="shared" si="5"/>
        <v>MM-CN1-024.01 - Procedimento Para Reabastecimento dos GAE</v>
      </c>
      <c r="I107" s="57" t="s">
        <v>1993</v>
      </c>
      <c r="J107" s="55" t="str">
        <f>VLOOKUP(D107,GM!$D$4:$G$1637,4,3)&amp;" e "&amp;C107</f>
        <v>ENGENHARIA MECÂNICA  e CN1</v>
      </c>
      <c r="K107" s="164">
        <v>44062</v>
      </c>
      <c r="L107" s="164">
        <f t="shared" si="6"/>
        <v>45158</v>
      </c>
      <c r="M107" s="10" t="s">
        <v>62</v>
      </c>
      <c r="N107" s="1" t="s">
        <v>371</v>
      </c>
      <c r="O107" s="67" t="str">
        <f t="shared" ca="1" si="7"/>
        <v>Vencido</v>
      </c>
      <c r="P107" s="67"/>
      <c r="Q107" s="67">
        <f t="shared" ca="1" si="8"/>
        <v>2136</v>
      </c>
    </row>
    <row r="108" spans="2:17" ht="25" x14ac:dyDescent="0.35">
      <c r="B108" s="50">
        <v>4</v>
      </c>
      <c r="C108" s="51" t="s">
        <v>16</v>
      </c>
      <c r="D108" s="52">
        <v>24</v>
      </c>
      <c r="E108" s="52">
        <v>4</v>
      </c>
      <c r="F108" s="53" t="s">
        <v>2165</v>
      </c>
      <c r="G108" s="53" t="s">
        <v>1995</v>
      </c>
      <c r="H108" s="54" t="str">
        <f t="shared" si="5"/>
        <v>MM-CN1-024.04 - Plano de Lubrificação do GAE</v>
      </c>
      <c r="I108" s="57" t="s">
        <v>1993</v>
      </c>
      <c r="J108" s="55" t="str">
        <f>VLOOKUP(D108,GM!$D$4:$G$1637,4,3)&amp;" e "&amp;C108</f>
        <v>ENGENHARIA MECÂNICA  e CN1</v>
      </c>
      <c r="K108" s="164">
        <v>44064</v>
      </c>
      <c r="L108" s="164">
        <f t="shared" si="6"/>
        <v>45160</v>
      </c>
      <c r="M108" s="10" t="s">
        <v>62</v>
      </c>
      <c r="N108" s="1" t="s">
        <v>371</v>
      </c>
      <c r="O108" s="67" t="str">
        <f t="shared" ca="1" si="7"/>
        <v>Vencido</v>
      </c>
      <c r="P108" s="67"/>
      <c r="Q108" s="67">
        <f t="shared" ca="1" si="8"/>
        <v>2134</v>
      </c>
    </row>
    <row r="109" spans="2:17" ht="26" x14ac:dyDescent="0.35">
      <c r="B109" s="50">
        <v>4</v>
      </c>
      <c r="C109" s="51" t="s">
        <v>16</v>
      </c>
      <c r="D109" s="52">
        <v>26</v>
      </c>
      <c r="E109" s="52">
        <v>7</v>
      </c>
      <c r="F109" s="53" t="s">
        <v>2166</v>
      </c>
      <c r="G109" s="53" t="s">
        <v>1997</v>
      </c>
      <c r="H109" s="54" t="str">
        <f t="shared" si="5"/>
        <v>MM-CN1-026.07 - Plano de Lubrificação do Sistema Drenagem e Esg</v>
      </c>
      <c r="I109" s="55" t="s">
        <v>1998</v>
      </c>
      <c r="J109" s="55" t="str">
        <f>VLOOKUP(D109,GM!$D$4:$G$1637,4,3)&amp;" e "&amp;C109</f>
        <v>ENGENHARIA MECÂNICA  e CN1</v>
      </c>
      <c r="K109" s="164">
        <v>44064</v>
      </c>
      <c r="L109" s="164">
        <f t="shared" si="6"/>
        <v>45160</v>
      </c>
      <c r="M109" s="10" t="s">
        <v>62</v>
      </c>
      <c r="N109" s="1" t="s">
        <v>371</v>
      </c>
      <c r="O109" s="67" t="str">
        <f t="shared" ca="1" si="7"/>
        <v>Vencido</v>
      </c>
      <c r="P109" s="67"/>
      <c r="Q109" s="67">
        <f t="shared" ca="1" si="8"/>
        <v>2134</v>
      </c>
    </row>
    <row r="110" spans="2:17" ht="25" x14ac:dyDescent="0.35">
      <c r="B110" s="50">
        <v>4</v>
      </c>
      <c r="C110" s="51" t="s">
        <v>16</v>
      </c>
      <c r="D110" s="52">
        <v>28</v>
      </c>
      <c r="E110" s="52">
        <v>2</v>
      </c>
      <c r="F110" s="53" t="s">
        <v>2167</v>
      </c>
      <c r="G110" s="53" t="s">
        <v>2000</v>
      </c>
      <c r="H110" s="54" t="str">
        <f t="shared" si="5"/>
        <v>MM-CN1-028.02 - Procedimento Manuseio Comportas de Manutenção</v>
      </c>
      <c r="I110" s="55" t="s">
        <v>2001</v>
      </c>
      <c r="J110" s="55" t="str">
        <f>VLOOKUP(D110,GM!$D$4:$G$1637,4,3)&amp;" e "&amp;C110</f>
        <v>ENGENHARIA MECÂNICA  e CN1</v>
      </c>
      <c r="K110" s="164">
        <v>44062</v>
      </c>
      <c r="L110" s="164">
        <f t="shared" si="6"/>
        <v>45158</v>
      </c>
      <c r="M110" s="10" t="s">
        <v>62</v>
      </c>
      <c r="N110" s="1" t="s">
        <v>371</v>
      </c>
      <c r="O110" s="67" t="str">
        <f t="shared" ca="1" si="7"/>
        <v>Vencido</v>
      </c>
      <c r="P110" s="67"/>
      <c r="Q110" s="67">
        <f t="shared" ca="1" si="8"/>
        <v>2136</v>
      </c>
    </row>
    <row r="111" spans="2:17" ht="25" x14ac:dyDescent="0.35">
      <c r="B111" s="50">
        <v>4</v>
      </c>
      <c r="C111" s="51" t="s">
        <v>16</v>
      </c>
      <c r="D111" s="52">
        <v>30</v>
      </c>
      <c r="E111" s="52">
        <v>0</v>
      </c>
      <c r="F111" s="53" t="s">
        <v>2168</v>
      </c>
      <c r="G111" s="53" t="s">
        <v>2169</v>
      </c>
      <c r="H111" s="54" t="str">
        <f t="shared" si="5"/>
        <v>MM-CN1-030.00 - Manutenção Preventiva - Pórtico Montante 25-03t. e Limpa Grades (MCP1)</v>
      </c>
      <c r="I111" s="57" t="s">
        <v>2097</v>
      </c>
      <c r="J111" s="55" t="str">
        <f>VLOOKUP(D111,GM!$D$4:$G$1637,4,3)&amp;" e "&amp;C111</f>
        <v>ENGENHARIA MECÂNICA  e CN1</v>
      </c>
      <c r="K111" s="164"/>
      <c r="L111" s="164"/>
      <c r="M111" s="11" t="s">
        <v>267</v>
      </c>
      <c r="O111" s="67" t="str">
        <f t="shared" ca="1" si="7"/>
        <v>Vencido</v>
      </c>
      <c r="P111" s="67"/>
      <c r="Q111" s="67">
        <f t="shared" ca="1" si="8"/>
        <v>46198</v>
      </c>
    </row>
    <row r="112" spans="2:17" ht="25" x14ac:dyDescent="0.35">
      <c r="B112" s="50">
        <v>4</v>
      </c>
      <c r="C112" s="51" t="s">
        <v>16</v>
      </c>
      <c r="D112" s="52">
        <v>30</v>
      </c>
      <c r="E112" s="52">
        <v>1</v>
      </c>
      <c r="F112" s="53" t="s">
        <v>2170</v>
      </c>
      <c r="G112" s="53" t="s">
        <v>2099</v>
      </c>
      <c r="H112" s="54" t="str">
        <f t="shared" si="5"/>
        <v>MM-CN1-030.01 - Plano de Lubrificação do Pórtico Montante</v>
      </c>
      <c r="I112" s="57" t="s">
        <v>2097</v>
      </c>
      <c r="J112" s="55" t="str">
        <f>VLOOKUP(D112,GM!$D$4:$G$1637,4,3)&amp;" e "&amp;C112</f>
        <v>ENGENHARIA MECÂNICA  e CN1</v>
      </c>
      <c r="K112" s="164">
        <v>44064</v>
      </c>
      <c r="L112" s="164">
        <f t="shared" si="6"/>
        <v>45160</v>
      </c>
      <c r="M112" s="10" t="s">
        <v>62</v>
      </c>
      <c r="N112" s="1" t="s">
        <v>371</v>
      </c>
      <c r="O112" s="67" t="str">
        <f t="shared" ca="1" si="7"/>
        <v>Vencido</v>
      </c>
      <c r="P112" s="67"/>
      <c r="Q112" s="67">
        <f t="shared" ca="1" si="8"/>
        <v>2134</v>
      </c>
    </row>
    <row r="113" spans="2:17" ht="25" x14ac:dyDescent="0.35">
      <c r="B113" s="50">
        <v>4</v>
      </c>
      <c r="C113" s="51" t="s">
        <v>16</v>
      </c>
      <c r="D113" s="52">
        <v>31</v>
      </c>
      <c r="E113" s="52">
        <v>21</v>
      </c>
      <c r="F113" s="53" t="s">
        <v>2171</v>
      </c>
      <c r="G113" s="53" t="s">
        <v>2112</v>
      </c>
      <c r="H113" s="54" t="str">
        <f t="shared" si="5"/>
        <v>MM-CN1-031.21 - Plano de Lubrificação da Ponte Rolante</v>
      </c>
      <c r="I113" s="55" t="s">
        <v>2113</v>
      </c>
      <c r="J113" s="55" t="str">
        <f>VLOOKUP(D113,GM!$D$4:$G$1637,4,3)&amp;" e "&amp;C113</f>
        <v>ENGENHARIA MECÂNICA  e CN1</v>
      </c>
      <c r="K113" s="164">
        <v>44064</v>
      </c>
      <c r="L113" s="164">
        <f t="shared" si="6"/>
        <v>45160</v>
      </c>
      <c r="M113" s="10" t="s">
        <v>62</v>
      </c>
      <c r="N113" s="1" t="s">
        <v>371</v>
      </c>
      <c r="O113" s="67" t="str">
        <f t="shared" ca="1" si="7"/>
        <v>Vencido</v>
      </c>
      <c r="P113" s="67"/>
      <c r="Q113" s="67">
        <f t="shared" ca="1" si="8"/>
        <v>2134</v>
      </c>
    </row>
    <row r="114" spans="2:17" ht="25" hidden="1" x14ac:dyDescent="0.35">
      <c r="B114" s="50">
        <v>4</v>
      </c>
      <c r="C114" s="51" t="s">
        <v>16</v>
      </c>
      <c r="D114" s="52">
        <v>33</v>
      </c>
      <c r="E114" s="52">
        <v>0</v>
      </c>
      <c r="F114" s="146" t="s">
        <v>2172</v>
      </c>
      <c r="G114" s="67" t="s">
        <v>2115</v>
      </c>
      <c r="H114" s="54" t="str">
        <f t="shared" si="5"/>
        <v>MM-CN1-033.00 - MCP0 Elevador</v>
      </c>
      <c r="I114" s="147" t="s">
        <v>2173</v>
      </c>
      <c r="J114" s="55" t="str">
        <f>VLOOKUP(D114,GM!$D$4:$G$1637,4,3)&amp;" e "&amp;C114</f>
        <v>ENGENHARIA MECÂNICA  e CN1</v>
      </c>
      <c r="K114" s="164">
        <v>45959</v>
      </c>
      <c r="L114" s="164">
        <f t="shared" si="6"/>
        <v>47055</v>
      </c>
      <c r="M114" s="10" t="s">
        <v>62</v>
      </c>
      <c r="N114" s="1" t="s">
        <v>61</v>
      </c>
      <c r="O114" s="67" t="str">
        <f t="shared" ca="1" si="7"/>
        <v>Em dia</v>
      </c>
      <c r="P114" s="67"/>
      <c r="Q114" s="67">
        <f t="shared" ca="1" si="8"/>
        <v>239</v>
      </c>
    </row>
    <row r="115" spans="2:17" ht="25" hidden="1" x14ac:dyDescent="0.35">
      <c r="B115" s="50">
        <v>4</v>
      </c>
      <c r="C115" s="51" t="s">
        <v>16</v>
      </c>
      <c r="D115" s="52">
        <v>41</v>
      </c>
      <c r="E115" s="52">
        <v>0</v>
      </c>
      <c r="F115" s="53" t="s">
        <v>2174</v>
      </c>
      <c r="G115" s="67" t="s">
        <v>2009</v>
      </c>
      <c r="H115" s="54" t="str">
        <f t="shared" si="5"/>
        <v>MM-CN1-041.00 - Manutenção Preventiva  SPDA – Escopo 2</v>
      </c>
      <c r="I115" s="67" t="s">
        <v>2010</v>
      </c>
      <c r="J115" s="55" t="str">
        <f>VLOOKUP(D115,GM!$D$4:$G$1637,4,3)&amp;" e "&amp;C115</f>
        <v>ENGENHARIA ELÉTRICA  e CN1</v>
      </c>
      <c r="K115" s="164">
        <v>45791</v>
      </c>
      <c r="L115" s="164">
        <f t="shared" si="6"/>
        <v>46887</v>
      </c>
      <c r="M115" s="10" t="s">
        <v>62</v>
      </c>
      <c r="N115" s="1" t="s">
        <v>371</v>
      </c>
      <c r="O115" s="67" t="str">
        <f t="shared" ca="1" si="7"/>
        <v>Em dia</v>
      </c>
      <c r="P115" s="67"/>
      <c r="Q115" s="67">
        <f t="shared" ca="1" si="8"/>
        <v>407</v>
      </c>
    </row>
    <row r="116" spans="2:17" ht="25" hidden="1" x14ac:dyDescent="0.35">
      <c r="B116" s="50">
        <v>4</v>
      </c>
      <c r="C116" s="51" t="s">
        <v>16</v>
      </c>
      <c r="D116" s="52">
        <v>41</v>
      </c>
      <c r="E116" s="52">
        <v>1</v>
      </c>
      <c r="F116" s="53" t="s">
        <v>2175</v>
      </c>
      <c r="G116" s="67" t="s">
        <v>2012</v>
      </c>
      <c r="H116" s="54" t="str">
        <f t="shared" si="5"/>
        <v>MM-CN1-041.01 - Manutenção Preventiva  SPDA – Escopo 1</v>
      </c>
      <c r="I116" s="67" t="s">
        <v>2010</v>
      </c>
      <c r="J116" s="55" t="str">
        <f>VLOOKUP(D116,GM!$D$4:$G$1637,4,3)&amp;" e "&amp;C116</f>
        <v>ENGENHARIA ELÉTRICA  e CN1</v>
      </c>
      <c r="K116" s="164">
        <v>45791</v>
      </c>
      <c r="L116" s="164">
        <f t="shared" si="6"/>
        <v>46887</v>
      </c>
      <c r="M116" s="10" t="s">
        <v>62</v>
      </c>
      <c r="N116" s="1" t="s">
        <v>371</v>
      </c>
      <c r="O116" s="67" t="str">
        <f t="shared" ca="1" si="7"/>
        <v>Em dia</v>
      </c>
      <c r="P116" s="67"/>
      <c r="Q116" s="67">
        <f t="shared" ca="1" si="8"/>
        <v>407</v>
      </c>
    </row>
    <row r="117" spans="2:17" ht="25" x14ac:dyDescent="0.35">
      <c r="B117" s="50">
        <v>4</v>
      </c>
      <c r="C117" s="51" t="s">
        <v>16</v>
      </c>
      <c r="D117" s="52">
        <v>58</v>
      </c>
      <c r="E117" s="52">
        <v>2</v>
      </c>
      <c r="F117" s="53" t="s">
        <v>2176</v>
      </c>
      <c r="G117" s="53" t="s">
        <v>2014</v>
      </c>
      <c r="H117" s="54" t="str">
        <f t="shared" si="5"/>
        <v>MM-CN1-058.02 - Plano de Lubrificação Sistema Ventilação</v>
      </c>
      <c r="I117" s="57" t="s">
        <v>2015</v>
      </c>
      <c r="J117" s="55" t="str">
        <f>VLOOKUP(D117,GM!$D$4:$G$1637,4,3)&amp;" e "&amp;C117</f>
        <v>ENGENHARIA MECÂNICA  e CN1</v>
      </c>
      <c r="K117" s="164">
        <v>44064</v>
      </c>
      <c r="L117" s="164">
        <f t="shared" si="6"/>
        <v>45160</v>
      </c>
      <c r="M117" s="10" t="s">
        <v>62</v>
      </c>
      <c r="N117" s="1" t="s">
        <v>371</v>
      </c>
      <c r="O117" s="67" t="str">
        <f t="shared" ca="1" si="7"/>
        <v>Vencido</v>
      </c>
      <c r="P117" s="67"/>
      <c r="Q117" s="67">
        <f t="shared" ca="1" si="8"/>
        <v>2134</v>
      </c>
    </row>
    <row r="118" spans="2:17" ht="26" x14ac:dyDescent="0.35">
      <c r="B118" s="50">
        <v>4</v>
      </c>
      <c r="C118" s="51" t="s">
        <v>16</v>
      </c>
      <c r="D118" s="52">
        <v>60</v>
      </c>
      <c r="E118" s="52">
        <v>2</v>
      </c>
      <c r="F118" s="53" t="s">
        <v>2177</v>
      </c>
      <c r="G118" s="53" t="s">
        <v>2017</v>
      </c>
      <c r="H118" s="54" t="str">
        <f t="shared" si="5"/>
        <v>MM-CN1-060.02 - Manual de Manutenção sistema LGE</v>
      </c>
      <c r="I118" s="55" t="s">
        <v>2018</v>
      </c>
      <c r="J118" s="55" t="str">
        <f>VLOOKUP(D118,GM!$D$4:$G$1637,4,3)&amp;" e "&amp;C118</f>
        <v>ENGENHARIA MECÂNICA  e CN1</v>
      </c>
      <c r="K118" s="164">
        <v>44071</v>
      </c>
      <c r="L118" s="164">
        <f t="shared" si="6"/>
        <v>45167</v>
      </c>
      <c r="M118" s="10" t="s">
        <v>62</v>
      </c>
      <c r="N118" s="1" t="s">
        <v>371</v>
      </c>
      <c r="O118" s="67" t="str">
        <f t="shared" ca="1" si="7"/>
        <v>Vencido</v>
      </c>
      <c r="P118" s="67"/>
      <c r="Q118" s="67">
        <f t="shared" ca="1" si="8"/>
        <v>2127</v>
      </c>
    </row>
    <row r="119" spans="2:17" ht="25" x14ac:dyDescent="0.35">
      <c r="B119" s="50">
        <v>4</v>
      </c>
      <c r="C119" s="51" t="s">
        <v>16</v>
      </c>
      <c r="D119" s="52">
        <v>63</v>
      </c>
      <c r="E119" s="52">
        <v>0</v>
      </c>
      <c r="F119" s="53" t="s">
        <v>2178</v>
      </c>
      <c r="G119" s="53" t="s">
        <v>2179</v>
      </c>
      <c r="H119" s="54" t="str">
        <f t="shared" si="5"/>
        <v>MM-CN1-063.00 - Manutenção Preventiva - Pórtico Jusante 25t (MCP1)</v>
      </c>
      <c r="I119" s="57" t="s">
        <v>2125</v>
      </c>
      <c r="J119" s="55" t="str">
        <f>VLOOKUP(D119,GM!$D$4:$G$1637,4,3)&amp;" e "&amp;C119</f>
        <v>ENGENHARIA MECÂNICA  e CN1</v>
      </c>
      <c r="K119" s="164"/>
      <c r="L119" s="164"/>
      <c r="M119" s="11" t="s">
        <v>267</v>
      </c>
      <c r="O119" s="67" t="str">
        <f t="shared" ca="1" si="7"/>
        <v>Vencido</v>
      </c>
      <c r="P119" s="67"/>
      <c r="Q119" s="67">
        <f t="shared" ca="1" si="8"/>
        <v>46198</v>
      </c>
    </row>
    <row r="120" spans="2:17" ht="25" x14ac:dyDescent="0.35">
      <c r="B120" s="50">
        <v>4</v>
      </c>
      <c r="C120" s="51" t="s">
        <v>16</v>
      </c>
      <c r="D120" s="52">
        <v>63</v>
      </c>
      <c r="E120" s="52">
        <v>1</v>
      </c>
      <c r="F120" s="53" t="s">
        <v>2180</v>
      </c>
      <c r="G120" s="53" t="s">
        <v>2127</v>
      </c>
      <c r="H120" s="54" t="str">
        <f t="shared" si="5"/>
        <v>MM-CN1-063.01 - Plano de Lubrificação do Pórtico Jusante</v>
      </c>
      <c r="I120" s="57" t="s">
        <v>2125</v>
      </c>
      <c r="J120" s="55" t="str">
        <f>VLOOKUP(D120,GM!$D$4:$G$1637,4,3)&amp;" e "&amp;C120</f>
        <v>ENGENHARIA MECÂNICA  e CN1</v>
      </c>
      <c r="K120" s="164">
        <v>44064</v>
      </c>
      <c r="L120" s="164">
        <f t="shared" si="6"/>
        <v>45160</v>
      </c>
      <c r="M120" s="10" t="s">
        <v>62</v>
      </c>
      <c r="N120" s="1" t="s">
        <v>371</v>
      </c>
      <c r="O120" s="67" t="str">
        <f t="shared" ca="1" si="7"/>
        <v>Vencido</v>
      </c>
      <c r="P120" s="67"/>
      <c r="Q120" s="67">
        <f t="shared" ca="1" si="8"/>
        <v>2134</v>
      </c>
    </row>
    <row r="121" spans="2:17" ht="25" x14ac:dyDescent="0.35">
      <c r="B121" s="50">
        <v>4</v>
      </c>
      <c r="C121" s="51" t="s">
        <v>16</v>
      </c>
      <c r="D121" s="52">
        <v>65</v>
      </c>
      <c r="E121" s="52">
        <v>1</v>
      </c>
      <c r="F121" s="53" t="s">
        <v>2181</v>
      </c>
      <c r="G121" s="53" t="s">
        <v>2022</v>
      </c>
      <c r="H121" s="54" t="str">
        <f t="shared" si="5"/>
        <v>MM-CN1-065.01 - Plano de Lubrificação Central Hidrau Comporta Emerg</v>
      </c>
      <c r="I121" s="57" t="s">
        <v>2023</v>
      </c>
      <c r="J121" s="55" t="str">
        <f>VLOOKUP(D121,GM!$D$4:$G$1637,4,3)&amp;" e "&amp;C121</f>
        <v>ENGENHARIA MECÂNICA  e CN1</v>
      </c>
      <c r="K121" s="164">
        <v>44064</v>
      </c>
      <c r="L121" s="164">
        <f t="shared" si="6"/>
        <v>45160</v>
      </c>
      <c r="M121" s="10" t="s">
        <v>62</v>
      </c>
      <c r="N121" s="1" t="s">
        <v>371</v>
      </c>
      <c r="O121" s="67" t="str">
        <f t="shared" ca="1" si="7"/>
        <v>Vencido</v>
      </c>
      <c r="P121" s="67"/>
      <c r="Q121" s="67">
        <f t="shared" ca="1" si="8"/>
        <v>2134</v>
      </c>
    </row>
    <row r="122" spans="2:17" ht="25" x14ac:dyDescent="0.35">
      <c r="B122" s="50">
        <v>4</v>
      </c>
      <c r="C122" s="51" t="s">
        <v>16</v>
      </c>
      <c r="D122" s="52">
        <v>65</v>
      </c>
      <c r="E122" s="52">
        <v>2</v>
      </c>
      <c r="F122" s="53" t="s">
        <v>2182</v>
      </c>
      <c r="G122" s="53" t="s">
        <v>2025</v>
      </c>
      <c r="H122" s="54" t="str">
        <f t="shared" si="5"/>
        <v>MM-CN1-065.02 - Plano de Lubrificação Central Hidrau do VS</v>
      </c>
      <c r="I122" s="57" t="s">
        <v>2026</v>
      </c>
      <c r="J122" s="55" t="str">
        <f>VLOOKUP(D122,GM!$D$4:$G$1637,4,3)&amp;" e "&amp;C122</f>
        <v>ENGENHARIA MECÂNICA  e CN1</v>
      </c>
      <c r="K122" s="164">
        <v>44064</v>
      </c>
      <c r="L122" s="164">
        <f t="shared" si="6"/>
        <v>45160</v>
      </c>
      <c r="M122" s="10" t="s">
        <v>62</v>
      </c>
      <c r="N122" s="1" t="s">
        <v>371</v>
      </c>
      <c r="O122" s="67" t="str">
        <f t="shared" ca="1" si="7"/>
        <v>Vencido</v>
      </c>
      <c r="P122" s="67"/>
      <c r="Q122" s="67">
        <f t="shared" ca="1" si="8"/>
        <v>2134</v>
      </c>
    </row>
    <row r="123" spans="2:17" ht="25" x14ac:dyDescent="0.35">
      <c r="B123" s="50">
        <v>4</v>
      </c>
      <c r="C123" s="51" t="s">
        <v>16</v>
      </c>
      <c r="D123" s="52">
        <v>68</v>
      </c>
      <c r="E123" s="52">
        <v>1</v>
      </c>
      <c r="F123" s="53" t="s">
        <v>2183</v>
      </c>
      <c r="G123" s="53" t="s">
        <v>2132</v>
      </c>
      <c r="H123" s="54" t="str">
        <f t="shared" si="5"/>
        <v>MM-CN1-068.01 - Plano de Lubrificação do Limpa Grades</v>
      </c>
      <c r="I123" s="57" t="s">
        <v>2133</v>
      </c>
      <c r="J123" s="55" t="str">
        <f>VLOOKUP(D123,GM!$D$4:$G$1637,4,3)&amp;" e "&amp;C123</f>
        <v>ENGENHARIA MECÂNICA  e CN1</v>
      </c>
      <c r="K123" s="164">
        <v>44064</v>
      </c>
      <c r="L123" s="164">
        <f t="shared" si="6"/>
        <v>45160</v>
      </c>
      <c r="M123" s="10" t="s">
        <v>62</v>
      </c>
      <c r="N123" s="1" t="s">
        <v>371</v>
      </c>
      <c r="O123" s="67" t="str">
        <f t="shared" ca="1" si="7"/>
        <v>Vencido</v>
      </c>
      <c r="P123" s="67"/>
      <c r="Q123" s="67">
        <f t="shared" ca="1" si="8"/>
        <v>2134</v>
      </c>
    </row>
    <row r="124" spans="2:17" ht="25" x14ac:dyDescent="0.35">
      <c r="B124" s="50">
        <v>4</v>
      </c>
      <c r="C124" s="51" t="s">
        <v>16</v>
      </c>
      <c r="D124" s="52">
        <v>84</v>
      </c>
      <c r="E124" s="52">
        <v>1</v>
      </c>
      <c r="F124" s="53" t="s">
        <v>2184</v>
      </c>
      <c r="G124" s="53" t="s">
        <v>2185</v>
      </c>
      <c r="H124" s="54" t="str">
        <f t="shared" si="5"/>
        <v>MM-CN1-084.01 - Plano de Lubrificação do Tratamento Esgoto</v>
      </c>
      <c r="I124" s="57" t="s">
        <v>2186</v>
      </c>
      <c r="J124" s="55" t="str">
        <f>VLOOKUP(D124,GM!$D$4:$G$1637,4,3)&amp;" e "&amp;C124</f>
        <v>ENGENHARIA MECÂNICA  e CN1</v>
      </c>
      <c r="K124" s="164">
        <v>44064</v>
      </c>
      <c r="L124" s="164">
        <f t="shared" si="6"/>
        <v>45160</v>
      </c>
      <c r="M124" s="10" t="s">
        <v>62</v>
      </c>
      <c r="N124" s="1" t="s">
        <v>371</v>
      </c>
      <c r="O124" s="67" t="str">
        <f t="shared" ca="1" si="7"/>
        <v>Vencido</v>
      </c>
      <c r="P124" s="67"/>
      <c r="Q124" s="67">
        <f t="shared" ca="1" si="8"/>
        <v>2134</v>
      </c>
    </row>
    <row r="125" spans="2:17" ht="26" x14ac:dyDescent="0.35">
      <c r="B125" s="50">
        <v>5</v>
      </c>
      <c r="C125" s="51" t="s">
        <v>17</v>
      </c>
      <c r="D125" s="52">
        <v>0</v>
      </c>
      <c r="E125" s="52">
        <v>2</v>
      </c>
      <c r="F125" s="53" t="s">
        <v>2187</v>
      </c>
      <c r="G125" s="53" t="s">
        <v>1972</v>
      </c>
      <c r="H125" s="54" t="str">
        <f t="shared" si="5"/>
        <v>MM-CN2-000.02 - Procedimentos Execução Mergulho Profissional</v>
      </c>
      <c r="I125" s="55" t="s">
        <v>1973</v>
      </c>
      <c r="J125" s="55" t="str">
        <f>VLOOKUP(D125,GM!$D$4:$G$1637,4,3)&amp;" e "&amp;C125</f>
        <v>ENGENHARIA  e CN2</v>
      </c>
      <c r="K125" s="164">
        <v>44063</v>
      </c>
      <c r="L125" s="164">
        <f t="shared" si="6"/>
        <v>45159</v>
      </c>
      <c r="M125" s="10" t="s">
        <v>62</v>
      </c>
      <c r="N125" s="1" t="s">
        <v>371</v>
      </c>
      <c r="O125" s="67" t="str">
        <f t="shared" ca="1" si="7"/>
        <v>Vencido</v>
      </c>
      <c r="P125" s="67"/>
      <c r="Q125" s="67">
        <f t="shared" ca="1" si="8"/>
        <v>2135</v>
      </c>
    </row>
    <row r="126" spans="2:17" ht="25" x14ac:dyDescent="0.35">
      <c r="B126" s="50">
        <v>5</v>
      </c>
      <c r="C126" s="51" t="s">
        <v>17</v>
      </c>
      <c r="D126" s="52">
        <v>1</v>
      </c>
      <c r="E126" s="52">
        <v>3</v>
      </c>
      <c r="F126" s="53" t="s">
        <v>2188</v>
      </c>
      <c r="G126" s="53" t="s">
        <v>2136</v>
      </c>
      <c r="H126" s="54" t="str">
        <f t="shared" si="5"/>
        <v>MM-CN2-001.03 - Procedimento de Desmontagem MGG</v>
      </c>
      <c r="I126" s="55" t="s">
        <v>1976</v>
      </c>
      <c r="J126" s="55" t="str">
        <f>VLOOKUP(D126,GM!$D$4:$G$1637,4,3)&amp;" e "&amp;C126</f>
        <v>ENGENHARIA MECÂNICA  e CN2</v>
      </c>
      <c r="K126" s="164">
        <v>44049</v>
      </c>
      <c r="L126" s="164">
        <f t="shared" si="6"/>
        <v>45145</v>
      </c>
      <c r="M126" s="10" t="s">
        <v>62</v>
      </c>
      <c r="N126" s="1" t="s">
        <v>371</v>
      </c>
      <c r="O126" s="67" t="str">
        <f t="shared" ca="1" si="7"/>
        <v>Vencido</v>
      </c>
      <c r="P126" s="67"/>
      <c r="Q126" s="67">
        <f t="shared" ca="1" si="8"/>
        <v>2149</v>
      </c>
    </row>
    <row r="127" spans="2:17" ht="25" x14ac:dyDescent="0.35">
      <c r="B127" s="50">
        <v>5</v>
      </c>
      <c r="C127" s="51" t="s">
        <v>17</v>
      </c>
      <c r="D127" s="52">
        <v>1</v>
      </c>
      <c r="E127" s="52">
        <v>25</v>
      </c>
      <c r="F127" s="53" t="s">
        <v>2189</v>
      </c>
      <c r="G127" s="53" t="s">
        <v>1978</v>
      </c>
      <c r="H127" s="54" t="str">
        <f t="shared" si="5"/>
        <v>MM-CN2-001.25 - Plano de Lubrificação da Turbina</v>
      </c>
      <c r="I127" s="55" t="s">
        <v>1976</v>
      </c>
      <c r="J127" s="55" t="str">
        <f>VLOOKUP(D127,GM!$D$4:$G$1637,4,3)&amp;" e "&amp;C127</f>
        <v>ENGENHARIA MECÂNICA  e CN2</v>
      </c>
      <c r="K127" s="164">
        <v>44064</v>
      </c>
      <c r="L127" s="164">
        <f t="shared" si="6"/>
        <v>45160</v>
      </c>
      <c r="M127" s="10" t="s">
        <v>62</v>
      </c>
      <c r="N127" s="1" t="s">
        <v>371</v>
      </c>
      <c r="O127" s="67" t="str">
        <f t="shared" ca="1" si="7"/>
        <v>Vencido</v>
      </c>
      <c r="P127" s="67"/>
      <c r="Q127" s="67">
        <f t="shared" ca="1" si="8"/>
        <v>2134</v>
      </c>
    </row>
    <row r="128" spans="2:17" ht="25" x14ac:dyDescent="0.35">
      <c r="B128" s="50">
        <v>5</v>
      </c>
      <c r="C128" s="51" t="s">
        <v>17</v>
      </c>
      <c r="D128" s="52">
        <v>2</v>
      </c>
      <c r="E128" s="52">
        <v>1</v>
      </c>
      <c r="F128" s="146" t="s">
        <v>2190</v>
      </c>
      <c r="G128" s="67" t="s">
        <v>2139</v>
      </c>
      <c r="H128" s="54" t="str">
        <f t="shared" si="5"/>
        <v>MM-CN2-002.01 - Manual de Manutenção do Gerador Parte Mecânica MPP0, 1 e 2</v>
      </c>
      <c r="I128" s="147" t="s">
        <v>2140</v>
      </c>
      <c r="J128" s="55" t="str">
        <f>VLOOKUP(D128,GM!$D$4:$G$1637,4,3)&amp;" e "&amp;C128</f>
        <v>ENGENHARIA MECÂNICA  e CN2</v>
      </c>
      <c r="K128" s="164"/>
      <c r="L128" s="164"/>
      <c r="M128" s="11" t="s">
        <v>267</v>
      </c>
      <c r="O128" s="67" t="str">
        <f t="shared" ca="1" si="7"/>
        <v>Vencido</v>
      </c>
      <c r="P128" s="67"/>
      <c r="Q128" s="67">
        <f t="shared" ca="1" si="8"/>
        <v>46198</v>
      </c>
    </row>
    <row r="129" spans="2:17" ht="25" x14ac:dyDescent="0.35">
      <c r="B129" s="50">
        <v>5</v>
      </c>
      <c r="C129" s="51" t="s">
        <v>17</v>
      </c>
      <c r="D129" s="52">
        <v>2</v>
      </c>
      <c r="E129" s="52">
        <v>16</v>
      </c>
      <c r="F129" s="53" t="s">
        <v>2191</v>
      </c>
      <c r="G129" s="53" t="s">
        <v>2192</v>
      </c>
      <c r="H129" s="54" t="str">
        <f t="shared" si="5"/>
        <v>MM-CN2-002.16 - Plano de Lubrificação do Gerador</v>
      </c>
      <c r="I129" s="55" t="s">
        <v>2193</v>
      </c>
      <c r="J129" s="55" t="str">
        <f>VLOOKUP(D129,GM!$D$4:$G$1637,4,3)&amp;" e "&amp;C129</f>
        <v>ENGENHARIA MECÂNICA  e CN2</v>
      </c>
      <c r="K129" s="164">
        <v>44064</v>
      </c>
      <c r="L129" s="164">
        <f t="shared" si="6"/>
        <v>45160</v>
      </c>
      <c r="M129" s="10" t="s">
        <v>62</v>
      </c>
      <c r="N129" s="1" t="s">
        <v>371</v>
      </c>
      <c r="O129" s="67" t="str">
        <f t="shared" ca="1" si="7"/>
        <v>Vencido</v>
      </c>
      <c r="P129" s="67"/>
      <c r="Q129" s="67">
        <f t="shared" ca="1" si="8"/>
        <v>2134</v>
      </c>
    </row>
    <row r="130" spans="2:17" ht="25" hidden="1" x14ac:dyDescent="0.35">
      <c r="B130" s="50">
        <v>5</v>
      </c>
      <c r="C130" s="51" t="s">
        <v>17</v>
      </c>
      <c r="D130" s="52">
        <v>3</v>
      </c>
      <c r="E130" s="52">
        <v>0</v>
      </c>
      <c r="F130" s="53" t="s">
        <v>2194</v>
      </c>
      <c r="G130" s="67" t="s">
        <v>2142</v>
      </c>
      <c r="H130" s="54" t="str">
        <f t="shared" si="5"/>
        <v>MM-CN2-003.00 - anutenção Preventiva Periódica Tipo MPP0 no Gerador</v>
      </c>
      <c r="I130" s="57" t="s">
        <v>2060</v>
      </c>
      <c r="J130" s="55" t="str">
        <f>VLOOKUP(D130,GM!$D$4:$G$1637,4,3)&amp;" e "&amp;C130</f>
        <v>ENGENHARIA ELÉTRICA  e CN2</v>
      </c>
      <c r="K130" s="164">
        <v>45791</v>
      </c>
      <c r="L130" s="164">
        <f t="shared" si="6"/>
        <v>46887</v>
      </c>
      <c r="M130" s="10" t="s">
        <v>62</v>
      </c>
      <c r="N130" s="1" t="s">
        <v>371</v>
      </c>
      <c r="O130" s="67" t="str">
        <f t="shared" ca="1" si="7"/>
        <v>Em dia</v>
      </c>
      <c r="P130" s="67"/>
      <c r="Q130" s="67">
        <f t="shared" ca="1" si="8"/>
        <v>407</v>
      </c>
    </row>
    <row r="131" spans="2:17" ht="25" hidden="1" x14ac:dyDescent="0.35">
      <c r="B131" s="50">
        <v>5</v>
      </c>
      <c r="C131" s="51" t="s">
        <v>17</v>
      </c>
      <c r="D131" s="52">
        <v>3</v>
      </c>
      <c r="E131" s="52">
        <v>1</v>
      </c>
      <c r="F131" s="53" t="s">
        <v>2195</v>
      </c>
      <c r="G131" s="67" t="s">
        <v>2144</v>
      </c>
      <c r="H131" s="54" t="str">
        <f t="shared" si="5"/>
        <v>MM-CN2-003.01 - anutenção Preventiva Periódica Tipo MPP1 no Gerador</v>
      </c>
      <c r="I131" s="57" t="s">
        <v>2060</v>
      </c>
      <c r="J131" s="55" t="str">
        <f>VLOOKUP(D131,GM!$D$4:$G$1637,4,3)&amp;" e "&amp;C131</f>
        <v>ENGENHARIA ELÉTRICA  e CN2</v>
      </c>
      <c r="K131" s="164">
        <v>45791</v>
      </c>
      <c r="L131" s="164">
        <f t="shared" si="6"/>
        <v>46887</v>
      </c>
      <c r="M131" s="10" t="s">
        <v>62</v>
      </c>
      <c r="N131" s="1" t="s">
        <v>371</v>
      </c>
      <c r="O131" s="67" t="str">
        <f t="shared" ca="1" si="7"/>
        <v>Em dia</v>
      </c>
      <c r="P131" s="67"/>
      <c r="Q131" s="67">
        <f t="shared" ca="1" si="8"/>
        <v>407</v>
      </c>
    </row>
    <row r="132" spans="2:17" ht="25" hidden="1" x14ac:dyDescent="0.35">
      <c r="B132" s="50">
        <v>5</v>
      </c>
      <c r="C132" s="51" t="s">
        <v>17</v>
      </c>
      <c r="D132" s="52">
        <v>3</v>
      </c>
      <c r="E132" s="52">
        <v>2</v>
      </c>
      <c r="F132" s="53" t="s">
        <v>2196</v>
      </c>
      <c r="G132" s="67" t="s">
        <v>2146</v>
      </c>
      <c r="H132" s="54" t="str">
        <f t="shared" si="5"/>
        <v>MM-CN2-003.02 - anutenção Preventiva Periódica Tipo MPP2 no Gerador</v>
      </c>
      <c r="I132" s="57" t="s">
        <v>2060</v>
      </c>
      <c r="J132" s="55" t="str">
        <f>VLOOKUP(D132,GM!$D$4:$G$1637,4,3)&amp;" e "&amp;C132</f>
        <v>ENGENHARIA ELÉTRICA  e CN2</v>
      </c>
      <c r="K132" s="164">
        <v>45791</v>
      </c>
      <c r="L132" s="164">
        <f t="shared" si="6"/>
        <v>46887</v>
      </c>
      <c r="M132" s="10" t="s">
        <v>62</v>
      </c>
      <c r="N132" s="1" t="s">
        <v>371</v>
      </c>
      <c r="O132" s="67" t="str">
        <f t="shared" ca="1" si="7"/>
        <v>Em dia</v>
      </c>
      <c r="P132" s="67"/>
      <c r="Q132" s="67">
        <f t="shared" ca="1" si="8"/>
        <v>407</v>
      </c>
    </row>
    <row r="133" spans="2:17" ht="25" hidden="1" x14ac:dyDescent="0.35">
      <c r="B133" s="50">
        <v>5</v>
      </c>
      <c r="C133" s="51" t="s">
        <v>17</v>
      </c>
      <c r="D133" s="52">
        <v>3</v>
      </c>
      <c r="E133" s="52">
        <v>3</v>
      </c>
      <c r="F133" s="53" t="s">
        <v>2197</v>
      </c>
      <c r="G133" s="67" t="s">
        <v>2148</v>
      </c>
      <c r="H133" s="54" t="str">
        <f t="shared" si="5"/>
        <v>MM-CN2-003.03 - Manutenção Preventiva nos Coletores</v>
      </c>
      <c r="I133" s="57" t="s">
        <v>2060</v>
      </c>
      <c r="J133" s="55" t="str">
        <f>VLOOKUP(D133,GM!$D$4:$G$1637,4,3)&amp;" e "&amp;C133</f>
        <v>ENGENHARIA ELÉTRICA  e CN2</v>
      </c>
      <c r="K133" s="164">
        <v>45791</v>
      </c>
      <c r="L133" s="164">
        <f t="shared" si="6"/>
        <v>46887</v>
      </c>
      <c r="M133" s="10" t="s">
        <v>62</v>
      </c>
      <c r="N133" s="1" t="s">
        <v>371</v>
      </c>
      <c r="O133" s="67" t="str">
        <f t="shared" ca="1" si="7"/>
        <v>Em dia</v>
      </c>
      <c r="P133" s="67"/>
      <c r="Q133" s="67">
        <f t="shared" ca="1" si="8"/>
        <v>407</v>
      </c>
    </row>
    <row r="134" spans="2:17" ht="25" hidden="1" x14ac:dyDescent="0.35">
      <c r="B134" s="50">
        <v>5</v>
      </c>
      <c r="C134" s="51" t="s">
        <v>17</v>
      </c>
      <c r="D134" s="52">
        <v>4</v>
      </c>
      <c r="E134" s="52">
        <v>0</v>
      </c>
      <c r="F134" s="53" t="s">
        <v>2198</v>
      </c>
      <c r="G134" s="67" t="s">
        <v>2150</v>
      </c>
      <c r="H134" s="54" t="str">
        <f t="shared" si="5"/>
        <v>MM-CN2-004.00 - Manutenção Preventiva Periódica Tipo 0 nos Sistemas Auxiliares da Unidade Geradora</v>
      </c>
      <c r="I134" s="57" t="s">
        <v>2067</v>
      </c>
      <c r="J134" s="55" t="str">
        <f>VLOOKUP(D134,GM!$D$4:$G$1637,4,3)&amp;" e "&amp;C134</f>
        <v>ENGENHARIA ELÉTRICA  e CN2</v>
      </c>
      <c r="K134" s="164">
        <v>45819</v>
      </c>
      <c r="L134" s="164">
        <f t="shared" si="6"/>
        <v>46915</v>
      </c>
      <c r="M134" s="10" t="s">
        <v>62</v>
      </c>
      <c r="N134" s="1" t="s">
        <v>371</v>
      </c>
      <c r="O134" s="67" t="str">
        <f t="shared" ca="1" si="7"/>
        <v>Em dia</v>
      </c>
      <c r="P134" s="67"/>
      <c r="Q134" s="67">
        <f t="shared" ca="1" si="8"/>
        <v>379</v>
      </c>
    </row>
    <row r="135" spans="2:17" ht="25" hidden="1" x14ac:dyDescent="0.35">
      <c r="B135" s="50">
        <v>5</v>
      </c>
      <c r="C135" s="51" t="s">
        <v>17</v>
      </c>
      <c r="D135" s="52">
        <v>4</v>
      </c>
      <c r="E135" s="52">
        <v>1</v>
      </c>
      <c r="F135" s="53" t="s">
        <v>2199</v>
      </c>
      <c r="G135" s="67" t="s">
        <v>2152</v>
      </c>
      <c r="H135" s="54" t="str">
        <f t="shared" ref="H135:H198" si="9">(F135)&amp;" - "&amp;(G135)</f>
        <v>MM-CN2-004.01 - Manutenção Preventiva Periódica Tipo 1 nos Sistemas Auxiliares da Unidade Geradora</v>
      </c>
      <c r="I135" s="57" t="s">
        <v>2067</v>
      </c>
      <c r="J135" s="55" t="str">
        <f>VLOOKUP(D135,GM!$D$4:$G$1637,4,3)&amp;" e "&amp;C135</f>
        <v>ENGENHARIA ELÉTRICA  e CN2</v>
      </c>
      <c r="K135" s="164">
        <v>45819</v>
      </c>
      <c r="L135" s="164">
        <f t="shared" ref="L135:L198" si="10">K135+1096</f>
        <v>46915</v>
      </c>
      <c r="M135" s="10" t="s">
        <v>62</v>
      </c>
      <c r="N135" s="1" t="s">
        <v>371</v>
      </c>
      <c r="O135" s="67" t="str">
        <f t="shared" ca="1" si="7"/>
        <v>Em dia</v>
      </c>
      <c r="P135" s="67"/>
      <c r="Q135" s="67">
        <f t="shared" ca="1" si="8"/>
        <v>379</v>
      </c>
    </row>
    <row r="136" spans="2:17" ht="25" hidden="1" x14ac:dyDescent="0.35">
      <c r="B136" s="50">
        <v>5</v>
      </c>
      <c r="C136" s="51" t="s">
        <v>17</v>
      </c>
      <c r="D136" s="52">
        <v>4</v>
      </c>
      <c r="E136" s="52">
        <v>2</v>
      </c>
      <c r="F136" s="53" t="s">
        <v>2200</v>
      </c>
      <c r="G136" s="67" t="s">
        <v>2154</v>
      </c>
      <c r="H136" s="54" t="str">
        <f t="shared" si="9"/>
        <v>MM-CN2-004.02 - Manutenção Preventiva Periódica Tipo 2 nos Sistemas Auxiliares da Unidade Geradora</v>
      </c>
      <c r="I136" s="57" t="s">
        <v>2067</v>
      </c>
      <c r="J136" s="55" t="str">
        <f>VLOOKUP(D136,GM!$D$4:$G$1637,4,3)&amp;" e "&amp;C136</f>
        <v>ENGENHARIA ELÉTRICA  e CN2</v>
      </c>
      <c r="K136" s="164">
        <v>45819</v>
      </c>
      <c r="L136" s="164">
        <f t="shared" si="10"/>
        <v>46915</v>
      </c>
      <c r="M136" s="10" t="s">
        <v>62</v>
      </c>
      <c r="N136" s="1" t="s">
        <v>371</v>
      </c>
      <c r="O136" s="67" t="str">
        <f t="shared" ref="O136:O199" ca="1" si="11">IF(Q136="","",IF(Q136&gt;1095,"Vencido",IF(Q136&gt;910,"Alerta",IF(Q136&gt;820,"Alerta",IF(Q136&gt;730,"Alerta",IF(Q136&gt;=0,"Em dia","Vencido"))))))</f>
        <v>Em dia</v>
      </c>
      <c r="P136" s="67"/>
      <c r="Q136" s="67">
        <f t="shared" ca="1" si="8"/>
        <v>379</v>
      </c>
    </row>
    <row r="137" spans="2:17" ht="25" hidden="1" x14ac:dyDescent="0.35">
      <c r="B137" s="50">
        <v>5</v>
      </c>
      <c r="C137" s="51" t="s">
        <v>17</v>
      </c>
      <c r="D137" s="52">
        <v>6</v>
      </c>
      <c r="E137" s="52">
        <v>0</v>
      </c>
      <c r="F137" s="146" t="s">
        <v>2201</v>
      </c>
      <c r="G137" s="67" t="s">
        <v>1980</v>
      </c>
      <c r="H137" s="54" t="str">
        <f t="shared" si="9"/>
        <v>MM-CN2-006.00 - Coleta de Amostras de Óleo Isolante</v>
      </c>
      <c r="I137" s="147" t="s">
        <v>2034</v>
      </c>
      <c r="J137" s="55" t="str">
        <f>VLOOKUP(D137,GM!$D$4:$G$1637,4,3)&amp;" e "&amp;C137</f>
        <v>ENGENHARIA ELÉTRICA  e CN2</v>
      </c>
      <c r="K137" s="164">
        <v>45743</v>
      </c>
      <c r="L137" s="164">
        <f t="shared" si="10"/>
        <v>46839</v>
      </c>
      <c r="M137" s="10" t="s">
        <v>62</v>
      </c>
      <c r="N137" s="1" t="s">
        <v>371</v>
      </c>
      <c r="O137" s="67" t="str">
        <f t="shared" ca="1" si="11"/>
        <v>Em dia</v>
      </c>
      <c r="P137" s="67"/>
      <c r="Q137" s="67">
        <f t="shared" ca="1" si="8"/>
        <v>455</v>
      </c>
    </row>
    <row r="138" spans="2:17" ht="25" hidden="1" x14ac:dyDescent="0.35">
      <c r="B138" s="50">
        <v>5</v>
      </c>
      <c r="C138" s="51" t="s">
        <v>17</v>
      </c>
      <c r="D138" s="52">
        <v>19</v>
      </c>
      <c r="E138" s="52">
        <v>0</v>
      </c>
      <c r="F138" s="53" t="s">
        <v>2202</v>
      </c>
      <c r="G138" s="53" t="s">
        <v>2157</v>
      </c>
      <c r="H138" s="54" t="str">
        <f t="shared" si="9"/>
        <v>MM-CN2-019.00 - Manutenção Complementar Preventiva Tipo 0 no Sistema de Corrente Contínua</v>
      </c>
      <c r="I138" s="57" t="s">
        <v>2158</v>
      </c>
      <c r="J138" s="55" t="str">
        <f>VLOOKUP(D138,GM!$D$4:$G$1637,4,3)&amp;" e "&amp;C138</f>
        <v>ENGENHARIA ELÉTRICA  e CN2</v>
      </c>
      <c r="K138" s="164">
        <v>45959</v>
      </c>
      <c r="L138" s="164">
        <f t="shared" si="10"/>
        <v>47055</v>
      </c>
      <c r="M138" s="184" t="s">
        <v>155</v>
      </c>
      <c r="N138" s="1" t="s">
        <v>61</v>
      </c>
      <c r="O138" s="67" t="str">
        <f t="shared" ca="1" si="11"/>
        <v>Em dia</v>
      </c>
      <c r="P138" s="67"/>
      <c r="Q138" s="67">
        <f t="shared" ref="Q138:Q201" ca="1" si="12">$P$4-K138</f>
        <v>239</v>
      </c>
    </row>
    <row r="139" spans="2:17" ht="25" hidden="1" x14ac:dyDescent="0.35">
      <c r="B139" s="50">
        <v>5</v>
      </c>
      <c r="C139" s="51" t="s">
        <v>17</v>
      </c>
      <c r="D139" s="52">
        <v>19</v>
      </c>
      <c r="E139" s="52">
        <v>1</v>
      </c>
      <c r="F139" s="53" t="s">
        <v>2203</v>
      </c>
      <c r="G139" s="53" t="s">
        <v>13115</v>
      </c>
      <c r="H139" s="54" t="str">
        <f t="shared" si="9"/>
        <v>MM-CN2-019.01 - Manutenção Complementar Preventiva Tipo 1 no Sistema de Corrente Contínua</v>
      </c>
      <c r="I139" s="57" t="s">
        <v>2158</v>
      </c>
      <c r="J139" s="55" t="str">
        <f>VLOOKUP(D139,GM!$D$4:$G$1637,4,3)&amp;" e "&amp;C139</f>
        <v>ENGENHARIA ELÉTRICA  e CN2</v>
      </c>
      <c r="K139" s="164">
        <v>45959</v>
      </c>
      <c r="L139" s="164">
        <f t="shared" si="10"/>
        <v>47055</v>
      </c>
      <c r="M139" s="184" t="s">
        <v>155</v>
      </c>
      <c r="N139" s="1" t="s">
        <v>61</v>
      </c>
      <c r="O139" s="67" t="str">
        <f t="shared" ca="1" si="11"/>
        <v>Em dia</v>
      </c>
      <c r="P139" s="67"/>
      <c r="Q139" s="67">
        <f t="shared" ca="1" si="12"/>
        <v>239</v>
      </c>
    </row>
    <row r="140" spans="2:17" ht="25" hidden="1" x14ac:dyDescent="0.35">
      <c r="B140" s="50">
        <v>5</v>
      </c>
      <c r="C140" s="51" t="s">
        <v>17</v>
      </c>
      <c r="D140" s="52">
        <v>19</v>
      </c>
      <c r="E140" s="52">
        <v>2</v>
      </c>
      <c r="F140" s="53" t="s">
        <v>2204</v>
      </c>
      <c r="G140" s="53" t="s">
        <v>13116</v>
      </c>
      <c r="H140" s="54" t="str">
        <f t="shared" si="9"/>
        <v>MM-CN2-019.02 - Manutenção Complementar Preventiva Tipo 2 no Sistema de Corrente Contínua</v>
      </c>
      <c r="I140" s="57" t="s">
        <v>2158</v>
      </c>
      <c r="J140" s="55" t="str">
        <f>VLOOKUP(D140,GM!$D$4:$G$1637,4,3)&amp;" e "&amp;C140</f>
        <v>ENGENHARIA ELÉTRICA  e CN2</v>
      </c>
      <c r="K140" s="164">
        <v>45959</v>
      </c>
      <c r="L140" s="164">
        <f t="shared" si="10"/>
        <v>47055</v>
      </c>
      <c r="M140" s="184" t="s">
        <v>155</v>
      </c>
      <c r="N140" s="1" t="s">
        <v>61</v>
      </c>
      <c r="O140" s="67" t="str">
        <f t="shared" ca="1" si="11"/>
        <v>Em dia</v>
      </c>
      <c r="P140" s="67"/>
      <c r="Q140" s="67">
        <f t="shared" ca="1" si="12"/>
        <v>239</v>
      </c>
    </row>
    <row r="141" spans="2:17" ht="25" x14ac:dyDescent="0.35">
      <c r="B141" s="50">
        <v>5</v>
      </c>
      <c r="C141" s="51" t="s">
        <v>17</v>
      </c>
      <c r="D141" s="52">
        <v>20</v>
      </c>
      <c r="E141" s="52">
        <v>6</v>
      </c>
      <c r="F141" s="53" t="s">
        <v>2205</v>
      </c>
      <c r="G141" s="53" t="s">
        <v>1983</v>
      </c>
      <c r="H141" s="54" t="str">
        <f t="shared" si="9"/>
        <v>MM-CN2-020.06 - Plano de Lubrificação do RV</v>
      </c>
      <c r="I141" s="57" t="s">
        <v>1984</v>
      </c>
      <c r="J141" s="55" t="str">
        <f>VLOOKUP(D141,GM!$D$4:$G$1637,4,3)&amp;" e "&amp;C141</f>
        <v>ENGENHARIA MECÂNICA  e CN2</v>
      </c>
      <c r="K141" s="164">
        <v>44064</v>
      </c>
      <c r="L141" s="164">
        <f t="shared" si="10"/>
        <v>45160</v>
      </c>
      <c r="M141" s="10" t="s">
        <v>62</v>
      </c>
      <c r="N141" s="1" t="s">
        <v>371</v>
      </c>
      <c r="O141" s="67" t="str">
        <f t="shared" ca="1" si="11"/>
        <v>Vencido</v>
      </c>
      <c r="P141" s="67"/>
      <c r="Q141" s="67">
        <f t="shared" ca="1" si="12"/>
        <v>2134</v>
      </c>
    </row>
    <row r="142" spans="2:17" ht="25" x14ac:dyDescent="0.35">
      <c r="B142" s="50">
        <v>5</v>
      </c>
      <c r="C142" s="51" t="s">
        <v>17</v>
      </c>
      <c r="D142" s="52">
        <v>22</v>
      </c>
      <c r="E142" s="52">
        <v>3</v>
      </c>
      <c r="F142" s="53" t="s">
        <v>2206</v>
      </c>
      <c r="G142" s="53" t="s">
        <v>1986</v>
      </c>
      <c r="H142" s="54" t="str">
        <f t="shared" si="9"/>
        <v>MM-CN2-022.03 - Plano de Lubrificação dos Compressores</v>
      </c>
      <c r="I142" s="57" t="s">
        <v>1987</v>
      </c>
      <c r="J142" s="55" t="str">
        <f>VLOOKUP(D142,GM!$D$4:$G$1637,4,3)&amp;" e "&amp;C142</f>
        <v>ENGENHARIA MECÂNICA  e CN2</v>
      </c>
      <c r="K142" s="164">
        <v>44064</v>
      </c>
      <c r="L142" s="164">
        <f t="shared" si="10"/>
        <v>45160</v>
      </c>
      <c r="M142" s="10" t="s">
        <v>62</v>
      </c>
      <c r="N142" s="1" t="s">
        <v>371</v>
      </c>
      <c r="O142" s="67" t="str">
        <f t="shared" ca="1" si="11"/>
        <v>Vencido</v>
      </c>
      <c r="P142" s="67"/>
      <c r="Q142" s="67">
        <f t="shared" ca="1" si="12"/>
        <v>2134</v>
      </c>
    </row>
    <row r="143" spans="2:17" ht="25" x14ac:dyDescent="0.35">
      <c r="B143" s="50">
        <v>5</v>
      </c>
      <c r="C143" s="51" t="s">
        <v>17</v>
      </c>
      <c r="D143" s="52">
        <v>23</v>
      </c>
      <c r="E143" s="52">
        <v>3</v>
      </c>
      <c r="F143" s="53" t="s">
        <v>2207</v>
      </c>
      <c r="G143" s="53" t="s">
        <v>1989</v>
      </c>
      <c r="H143" s="54" t="str">
        <f t="shared" si="9"/>
        <v>MM-CN2-023.03 - Plano de Lubrificação do sistema de Refrigeração</v>
      </c>
      <c r="I143" s="57" t="s">
        <v>1990</v>
      </c>
      <c r="J143" s="55" t="str">
        <f>VLOOKUP(D143,GM!$D$4:$G$1637,4,3)&amp;" e "&amp;C143</f>
        <v>ENGENHARIA MECÂNICA  e CN2</v>
      </c>
      <c r="K143" s="164">
        <v>44064</v>
      </c>
      <c r="L143" s="164">
        <f t="shared" si="10"/>
        <v>45160</v>
      </c>
      <c r="M143" s="10" t="s">
        <v>62</v>
      </c>
      <c r="N143" s="1" t="s">
        <v>371</v>
      </c>
      <c r="O143" s="67" t="str">
        <f t="shared" ca="1" si="11"/>
        <v>Vencido</v>
      </c>
      <c r="P143" s="67"/>
      <c r="Q143" s="67">
        <f t="shared" ca="1" si="12"/>
        <v>2134</v>
      </c>
    </row>
    <row r="144" spans="2:17" ht="25" x14ac:dyDescent="0.35">
      <c r="B144" s="50">
        <v>5</v>
      </c>
      <c r="C144" s="51" t="s">
        <v>17</v>
      </c>
      <c r="D144" s="52">
        <v>24</v>
      </c>
      <c r="E144" s="52">
        <v>1</v>
      </c>
      <c r="F144" s="53" t="s">
        <v>2208</v>
      </c>
      <c r="G144" s="53" t="s">
        <v>1992</v>
      </c>
      <c r="H144" s="54" t="str">
        <f t="shared" si="9"/>
        <v>MM-CN2-024.01 - Procedimento Para Reabastecimento dos GAE</v>
      </c>
      <c r="I144" s="57" t="s">
        <v>1993</v>
      </c>
      <c r="J144" s="55" t="str">
        <f>VLOOKUP(D144,GM!$D$4:$G$1637,4,3)&amp;" e "&amp;C144</f>
        <v>ENGENHARIA MECÂNICA  e CN2</v>
      </c>
      <c r="K144" s="164">
        <v>44062</v>
      </c>
      <c r="L144" s="164">
        <f t="shared" si="10"/>
        <v>45158</v>
      </c>
      <c r="M144" s="10" t="s">
        <v>62</v>
      </c>
      <c r="N144" s="1" t="s">
        <v>371</v>
      </c>
      <c r="O144" s="67" t="str">
        <f t="shared" ca="1" si="11"/>
        <v>Vencido</v>
      </c>
      <c r="P144" s="67"/>
      <c r="Q144" s="67">
        <f t="shared" ca="1" si="12"/>
        <v>2136</v>
      </c>
    </row>
    <row r="145" spans="2:17" ht="25" x14ac:dyDescent="0.35">
      <c r="B145" s="50">
        <v>5</v>
      </c>
      <c r="C145" s="51" t="s">
        <v>17</v>
      </c>
      <c r="D145" s="52">
        <v>24</v>
      </c>
      <c r="E145" s="52">
        <v>4</v>
      </c>
      <c r="F145" s="53" t="s">
        <v>2209</v>
      </c>
      <c r="G145" s="53" t="s">
        <v>1995</v>
      </c>
      <c r="H145" s="54" t="str">
        <f t="shared" si="9"/>
        <v>MM-CN2-024.04 - Plano de Lubrificação do GAE</v>
      </c>
      <c r="I145" s="57" t="s">
        <v>1993</v>
      </c>
      <c r="J145" s="55" t="str">
        <f>VLOOKUP(D145,GM!$D$4:$G$1637,4,3)&amp;" e "&amp;C145</f>
        <v>ENGENHARIA MECÂNICA  e CN2</v>
      </c>
      <c r="K145" s="164">
        <v>44064</v>
      </c>
      <c r="L145" s="164">
        <f t="shared" si="10"/>
        <v>45160</v>
      </c>
      <c r="M145" s="10" t="s">
        <v>62</v>
      </c>
      <c r="N145" s="1" t="s">
        <v>371</v>
      </c>
      <c r="O145" s="67" t="str">
        <f t="shared" ca="1" si="11"/>
        <v>Vencido</v>
      </c>
      <c r="P145" s="67"/>
      <c r="Q145" s="67">
        <f t="shared" ca="1" si="12"/>
        <v>2134</v>
      </c>
    </row>
    <row r="146" spans="2:17" ht="26" hidden="1" x14ac:dyDescent="0.35">
      <c r="B146" s="50">
        <v>5</v>
      </c>
      <c r="C146" s="51" t="s">
        <v>17</v>
      </c>
      <c r="D146" s="52">
        <v>26</v>
      </c>
      <c r="E146" s="52">
        <v>0</v>
      </c>
      <c r="F146" s="53" t="s">
        <v>2210</v>
      </c>
      <c r="G146" s="67" t="s">
        <v>2211</v>
      </c>
      <c r="H146" s="54" t="str">
        <f t="shared" si="9"/>
        <v>MM-CN2-026.00 - Manutenção preventiva no Sistema de Drenagem e Esgotamento - MCP0</v>
      </c>
      <c r="I146" s="55" t="s">
        <v>1998</v>
      </c>
      <c r="J146" s="55" t="str">
        <f>VLOOKUP(D146,GM!$D$4:$G$1637,4,3)&amp;" e "&amp;C146</f>
        <v>ENGENHARIA MECÂNICA  e CN2</v>
      </c>
      <c r="K146" s="164">
        <v>45959</v>
      </c>
      <c r="L146" s="164">
        <f t="shared" si="10"/>
        <v>47055</v>
      </c>
      <c r="M146" s="10" t="s">
        <v>62</v>
      </c>
      <c r="N146" s="1" t="s">
        <v>61</v>
      </c>
      <c r="O146" s="67" t="str">
        <f t="shared" ca="1" si="11"/>
        <v>Em dia</v>
      </c>
      <c r="P146" s="67"/>
      <c r="Q146" s="67">
        <f t="shared" ca="1" si="12"/>
        <v>239</v>
      </c>
    </row>
    <row r="147" spans="2:17" ht="26" hidden="1" x14ac:dyDescent="0.35">
      <c r="B147" s="50">
        <v>5</v>
      </c>
      <c r="C147" s="51" t="s">
        <v>17</v>
      </c>
      <c r="D147" s="52">
        <v>26</v>
      </c>
      <c r="E147" s="52">
        <v>1</v>
      </c>
      <c r="F147" s="53" t="s">
        <v>2212</v>
      </c>
      <c r="G147" s="67" t="s">
        <v>2213</v>
      </c>
      <c r="H147" s="54" t="str">
        <f t="shared" si="9"/>
        <v>MM-CN2-026.01 - Manutenção preventiva no Sistema de Drenagem e Esgotamento - MCP1</v>
      </c>
      <c r="I147" s="55" t="s">
        <v>1998</v>
      </c>
      <c r="J147" s="55" t="str">
        <f>VLOOKUP(D147,GM!$D$4:$G$1637,4,3)&amp;" e "&amp;C147</f>
        <v>ENGENHARIA MECÂNICA  e CN2</v>
      </c>
      <c r="K147" s="164">
        <v>45959</v>
      </c>
      <c r="L147" s="164">
        <f t="shared" si="10"/>
        <v>47055</v>
      </c>
      <c r="M147" s="10" t="s">
        <v>62</v>
      </c>
      <c r="N147" s="1" t="s">
        <v>61</v>
      </c>
      <c r="O147" s="67" t="str">
        <f t="shared" ca="1" si="11"/>
        <v>Em dia</v>
      </c>
      <c r="P147" s="67"/>
      <c r="Q147" s="67">
        <f t="shared" ca="1" si="12"/>
        <v>239</v>
      </c>
    </row>
    <row r="148" spans="2:17" ht="26" x14ac:dyDescent="0.35">
      <c r="B148" s="50">
        <v>5</v>
      </c>
      <c r="C148" s="51" t="s">
        <v>17</v>
      </c>
      <c r="D148" s="52">
        <v>26</v>
      </c>
      <c r="E148" s="52">
        <v>7</v>
      </c>
      <c r="F148" s="53" t="s">
        <v>2214</v>
      </c>
      <c r="G148" s="53" t="s">
        <v>1997</v>
      </c>
      <c r="H148" s="54" t="str">
        <f t="shared" si="9"/>
        <v>MM-CN2-026.07 - Plano de Lubrificação do Sistema Drenagem e Esg</v>
      </c>
      <c r="I148" s="55" t="s">
        <v>1998</v>
      </c>
      <c r="J148" s="55" t="str">
        <f>VLOOKUP(D148,GM!$D$4:$G$1637,4,3)&amp;" e "&amp;C148</f>
        <v>ENGENHARIA MECÂNICA  e CN2</v>
      </c>
      <c r="K148" s="164">
        <v>44064</v>
      </c>
      <c r="L148" s="164">
        <f t="shared" si="10"/>
        <v>45160</v>
      </c>
      <c r="M148" s="10" t="s">
        <v>62</v>
      </c>
      <c r="N148" s="1" t="s">
        <v>371</v>
      </c>
      <c r="O148" s="67" t="str">
        <f t="shared" ca="1" si="11"/>
        <v>Vencido</v>
      </c>
      <c r="P148" s="67"/>
      <c r="Q148" s="67">
        <f t="shared" ca="1" si="12"/>
        <v>2134</v>
      </c>
    </row>
    <row r="149" spans="2:17" ht="25" x14ac:dyDescent="0.35">
      <c r="B149" s="50">
        <v>5</v>
      </c>
      <c r="C149" s="51" t="s">
        <v>17</v>
      </c>
      <c r="D149" s="182">
        <v>28</v>
      </c>
      <c r="E149" s="52">
        <v>2</v>
      </c>
      <c r="F149" s="53" t="s">
        <v>2215</v>
      </c>
      <c r="G149" s="53" t="s">
        <v>2000</v>
      </c>
      <c r="H149" s="54" t="str">
        <f t="shared" si="9"/>
        <v>MM-CN2-028.02 - Procedimento Manuseio Comportas de Manutenção</v>
      </c>
      <c r="I149" s="55" t="s">
        <v>2001</v>
      </c>
      <c r="J149" s="55" t="str">
        <f>VLOOKUP(D149,GM!$D$4:$G$1637,4,3)&amp;" e "&amp;C149</f>
        <v>ENGENHARIA MECÂNICA  e CN2</v>
      </c>
      <c r="K149" s="164">
        <v>44062</v>
      </c>
      <c r="L149" s="164">
        <f t="shared" si="10"/>
        <v>45158</v>
      </c>
      <c r="M149" s="10" t="s">
        <v>62</v>
      </c>
      <c r="N149" s="1" t="s">
        <v>371</v>
      </c>
      <c r="O149" s="67" t="str">
        <f t="shared" ca="1" si="11"/>
        <v>Vencido</v>
      </c>
      <c r="P149" s="67"/>
      <c r="Q149" s="67">
        <f t="shared" ca="1" si="12"/>
        <v>2136</v>
      </c>
    </row>
    <row r="150" spans="2:17" ht="25" x14ac:dyDescent="0.35">
      <c r="B150" s="50">
        <v>5</v>
      </c>
      <c r="C150" s="51" t="s">
        <v>17</v>
      </c>
      <c r="D150" s="52">
        <v>30</v>
      </c>
      <c r="E150" s="52">
        <v>0</v>
      </c>
      <c r="F150" s="53" t="s">
        <v>2216</v>
      </c>
      <c r="G150" s="53" t="s">
        <v>2099</v>
      </c>
      <c r="H150" s="54" t="str">
        <f t="shared" si="9"/>
        <v>MM-CN2-030.00 - Plano de Lubrificação do Pórtico Montante</v>
      </c>
      <c r="I150" s="57" t="s">
        <v>2097</v>
      </c>
      <c r="J150" s="55" t="str">
        <f>VLOOKUP(D150,GM!$D$4:$G$1637,4,3)&amp;" e "&amp;C150</f>
        <v>ENGENHARIA MECÂNICA  e CN2</v>
      </c>
      <c r="K150" s="164"/>
      <c r="L150" s="164"/>
      <c r="M150" s="11" t="s">
        <v>267</v>
      </c>
      <c r="O150" s="67" t="str">
        <f t="shared" ca="1" si="11"/>
        <v>Vencido</v>
      </c>
      <c r="P150" s="67"/>
      <c r="Q150" s="67">
        <f t="shared" ca="1" si="12"/>
        <v>46198</v>
      </c>
    </row>
    <row r="151" spans="2:17" ht="25" x14ac:dyDescent="0.35">
      <c r="B151" s="50">
        <v>5</v>
      </c>
      <c r="C151" s="51" t="s">
        <v>17</v>
      </c>
      <c r="D151" s="52">
        <v>30</v>
      </c>
      <c r="E151" s="52">
        <v>1</v>
      </c>
      <c r="F151" s="53" t="s">
        <v>2217</v>
      </c>
      <c r="G151" s="53" t="s">
        <v>2099</v>
      </c>
      <c r="H151" s="54" t="str">
        <f t="shared" si="9"/>
        <v>MM-CN2-030.01 - Plano de Lubrificação do Pórtico Montante</v>
      </c>
      <c r="I151" s="57" t="s">
        <v>2097</v>
      </c>
      <c r="J151" s="55" t="str">
        <f>VLOOKUP(D151,GM!$D$4:$G$1637,4,3)&amp;" e "&amp;C151</f>
        <v>ENGENHARIA MECÂNICA  e CN2</v>
      </c>
      <c r="K151" s="164">
        <v>44064</v>
      </c>
      <c r="L151" s="164">
        <f t="shared" si="10"/>
        <v>45160</v>
      </c>
      <c r="M151" s="10" t="s">
        <v>62</v>
      </c>
      <c r="N151" s="1" t="s">
        <v>371</v>
      </c>
      <c r="O151" s="67" t="str">
        <f t="shared" ca="1" si="11"/>
        <v>Vencido</v>
      </c>
      <c r="P151" s="67"/>
      <c r="Q151" s="67">
        <f t="shared" ca="1" si="12"/>
        <v>2134</v>
      </c>
    </row>
    <row r="152" spans="2:17" ht="25" x14ac:dyDescent="0.35">
      <c r="B152" s="50">
        <v>5</v>
      </c>
      <c r="C152" s="51" t="s">
        <v>17</v>
      </c>
      <c r="D152" s="52">
        <v>31</v>
      </c>
      <c r="E152" s="52">
        <v>21</v>
      </c>
      <c r="F152" s="53" t="s">
        <v>2218</v>
      </c>
      <c r="G152" s="53" t="s">
        <v>2112</v>
      </c>
      <c r="H152" s="54" t="str">
        <f t="shared" si="9"/>
        <v>MM-CN2-031.21 - Plano de Lubrificação da Ponte Rolante</v>
      </c>
      <c r="I152" s="55" t="s">
        <v>2113</v>
      </c>
      <c r="J152" s="55" t="str">
        <f>VLOOKUP(D152,GM!$D$4:$G$1637,4,3)&amp;" e "&amp;C152</f>
        <v>ENGENHARIA MECÂNICA  e CN2</v>
      </c>
      <c r="K152" s="164">
        <v>44064</v>
      </c>
      <c r="L152" s="164">
        <f t="shared" si="10"/>
        <v>45160</v>
      </c>
      <c r="M152" s="10" t="s">
        <v>62</v>
      </c>
      <c r="N152" s="1" t="s">
        <v>371</v>
      </c>
      <c r="O152" s="67" t="str">
        <f t="shared" ca="1" si="11"/>
        <v>Vencido</v>
      </c>
      <c r="P152" s="67"/>
      <c r="Q152" s="67">
        <f t="shared" ca="1" si="12"/>
        <v>2134</v>
      </c>
    </row>
    <row r="153" spans="2:17" ht="25" hidden="1" x14ac:dyDescent="0.35">
      <c r="B153" s="50">
        <v>5</v>
      </c>
      <c r="C153" s="51" t="s">
        <v>17</v>
      </c>
      <c r="D153" s="52">
        <v>33</v>
      </c>
      <c r="E153" s="52">
        <v>0</v>
      </c>
      <c r="F153" s="53" t="s">
        <v>2219</v>
      </c>
      <c r="G153" s="67" t="s">
        <v>2220</v>
      </c>
      <c r="H153" s="54" t="str">
        <f t="shared" si="9"/>
        <v>MM-CN2-033.00 - Elevador de Passageiros - MCP0</v>
      </c>
      <c r="I153" s="55" t="s">
        <v>2173</v>
      </c>
      <c r="J153" s="55" t="str">
        <f>VLOOKUP(D153,GM!$D$4:$G$1637,4,3)&amp;" e "&amp;C153</f>
        <v>ENGENHARIA MECÂNICA  e CN2</v>
      </c>
      <c r="K153" s="164">
        <v>45959</v>
      </c>
      <c r="L153" s="164">
        <f t="shared" si="10"/>
        <v>47055</v>
      </c>
      <c r="M153" s="10" t="s">
        <v>62</v>
      </c>
      <c r="N153" s="1" t="s">
        <v>61</v>
      </c>
      <c r="O153" s="67" t="str">
        <f t="shared" ca="1" si="11"/>
        <v>Em dia</v>
      </c>
      <c r="P153" s="67"/>
      <c r="Q153" s="67">
        <f t="shared" ca="1" si="12"/>
        <v>239</v>
      </c>
    </row>
    <row r="154" spans="2:17" ht="25" hidden="1" x14ac:dyDescent="0.35">
      <c r="B154" s="50">
        <v>5</v>
      </c>
      <c r="C154" s="51" t="s">
        <v>17</v>
      </c>
      <c r="D154" s="52">
        <v>41</v>
      </c>
      <c r="E154" s="52">
        <v>0</v>
      </c>
      <c r="F154" s="53" t="s">
        <v>2221</v>
      </c>
      <c r="G154" s="53" t="s">
        <v>2118</v>
      </c>
      <c r="H154" s="54" t="str">
        <f t="shared" si="9"/>
        <v>MM-CN2-041.00 - Manutenção Preventiva SPDA - Escopo 2</v>
      </c>
      <c r="I154" s="57" t="s">
        <v>2010</v>
      </c>
      <c r="J154" s="55" t="str">
        <f>VLOOKUP(D154,GM!$D$4:$G$1637,4,3)&amp;" e "&amp;C154</f>
        <v>ENGENHARIA ELÉTRICA  e CN2</v>
      </c>
      <c r="K154" s="164">
        <v>45819</v>
      </c>
      <c r="L154" s="164">
        <f t="shared" si="10"/>
        <v>46915</v>
      </c>
      <c r="M154" s="10" t="s">
        <v>62</v>
      </c>
      <c r="N154" s="1" t="s">
        <v>371</v>
      </c>
      <c r="O154" s="67" t="str">
        <f t="shared" ca="1" si="11"/>
        <v>Em dia</v>
      </c>
      <c r="P154" s="67"/>
      <c r="Q154" s="67">
        <f t="shared" ca="1" si="12"/>
        <v>379</v>
      </c>
    </row>
    <row r="155" spans="2:17" ht="25" hidden="1" x14ac:dyDescent="0.35">
      <c r="B155" s="50">
        <v>5</v>
      </c>
      <c r="C155" s="51" t="s">
        <v>17</v>
      </c>
      <c r="D155" s="52">
        <v>41</v>
      </c>
      <c r="E155" s="52">
        <v>1</v>
      </c>
      <c r="F155" s="53" t="s">
        <v>2222</v>
      </c>
      <c r="G155" s="53" t="s">
        <v>2120</v>
      </c>
      <c r="H155" s="54" t="str">
        <f t="shared" si="9"/>
        <v>MM-CN2-041.01 - Manutenção Preventiva SPDA - Escopo 1</v>
      </c>
      <c r="I155" s="57" t="s">
        <v>2010</v>
      </c>
      <c r="J155" s="55" t="str">
        <f>VLOOKUP(D155,GM!$D$4:$G$1637,4,3)&amp;" e "&amp;C155</f>
        <v>ENGENHARIA ELÉTRICA  e CN2</v>
      </c>
      <c r="K155" s="164">
        <v>45819</v>
      </c>
      <c r="L155" s="164">
        <f t="shared" si="10"/>
        <v>46915</v>
      </c>
      <c r="M155" s="10" t="s">
        <v>62</v>
      </c>
      <c r="N155" s="1" t="s">
        <v>371</v>
      </c>
      <c r="O155" s="67" t="str">
        <f t="shared" ca="1" si="11"/>
        <v>Em dia</v>
      </c>
      <c r="P155" s="67"/>
      <c r="Q155" s="67">
        <f t="shared" ca="1" si="12"/>
        <v>379</v>
      </c>
    </row>
    <row r="156" spans="2:17" ht="25" x14ac:dyDescent="0.35">
      <c r="B156" s="50">
        <v>5</v>
      </c>
      <c r="C156" s="51" t="s">
        <v>17</v>
      </c>
      <c r="D156" s="52">
        <v>58</v>
      </c>
      <c r="E156" s="52">
        <v>2</v>
      </c>
      <c r="F156" s="53" t="s">
        <v>2223</v>
      </c>
      <c r="G156" s="53" t="s">
        <v>2014</v>
      </c>
      <c r="H156" s="54" t="str">
        <f t="shared" si="9"/>
        <v>MM-CN2-058.02 - Plano de Lubrificação Sistema Ventilação</v>
      </c>
      <c r="I156" s="57" t="s">
        <v>2015</v>
      </c>
      <c r="J156" s="55" t="str">
        <f>VLOOKUP(D156,GM!$D$4:$G$1637,4,3)&amp;" e "&amp;C156</f>
        <v>ENGENHARIA MECÂNICA  e CN2</v>
      </c>
      <c r="K156" s="164">
        <v>44064</v>
      </c>
      <c r="L156" s="164">
        <f t="shared" si="10"/>
        <v>45160</v>
      </c>
      <c r="M156" s="10" t="s">
        <v>62</v>
      </c>
      <c r="N156" s="1" t="s">
        <v>371</v>
      </c>
      <c r="O156" s="67" t="str">
        <f t="shared" ca="1" si="11"/>
        <v>Vencido</v>
      </c>
      <c r="P156" s="67"/>
      <c r="Q156" s="67">
        <f t="shared" ca="1" si="12"/>
        <v>2134</v>
      </c>
    </row>
    <row r="157" spans="2:17" ht="25" x14ac:dyDescent="0.35">
      <c r="B157" s="50">
        <v>5</v>
      </c>
      <c r="C157" s="51" t="s">
        <v>17</v>
      </c>
      <c r="D157" s="52">
        <v>58</v>
      </c>
      <c r="E157" s="52">
        <v>3</v>
      </c>
      <c r="F157" s="53" t="s">
        <v>2224</v>
      </c>
      <c r="G157" s="53" t="s">
        <v>2014</v>
      </c>
      <c r="H157" s="54" t="str">
        <f t="shared" si="9"/>
        <v>MM-CN2-058.03 - Plano de Lubrificação Sistema Ventilação</v>
      </c>
      <c r="I157" s="57" t="s">
        <v>2225</v>
      </c>
      <c r="J157" s="55" t="str">
        <f>VLOOKUP(D157,GM!$D$4:$G$1637,4,3)&amp;" e "&amp;C157</f>
        <v>ENGENHARIA MECÂNICA  e CN2</v>
      </c>
      <c r="K157" s="164">
        <v>44064</v>
      </c>
      <c r="L157" s="164">
        <f t="shared" si="10"/>
        <v>45160</v>
      </c>
      <c r="M157" s="10" t="s">
        <v>62</v>
      </c>
      <c r="N157" s="1" t="s">
        <v>371</v>
      </c>
      <c r="O157" s="67" t="str">
        <f t="shared" ca="1" si="11"/>
        <v>Vencido</v>
      </c>
      <c r="P157" s="67"/>
      <c r="Q157" s="67">
        <f t="shared" ca="1" si="12"/>
        <v>2134</v>
      </c>
    </row>
    <row r="158" spans="2:17" ht="26" x14ac:dyDescent="0.35">
      <c r="B158" s="50">
        <v>5</v>
      </c>
      <c r="C158" s="51" t="s">
        <v>17</v>
      </c>
      <c r="D158" s="52">
        <v>60</v>
      </c>
      <c r="E158" s="52">
        <v>2</v>
      </c>
      <c r="F158" s="53" t="s">
        <v>2226</v>
      </c>
      <c r="G158" s="53" t="s">
        <v>2017</v>
      </c>
      <c r="H158" s="54" t="str">
        <f t="shared" si="9"/>
        <v>MM-CN2-060.02 - Manual de Manutenção sistema LGE</v>
      </c>
      <c r="I158" s="55" t="s">
        <v>2018</v>
      </c>
      <c r="J158" s="55" t="str">
        <f>VLOOKUP(D158,GM!$D$4:$G$1637,4,3)&amp;" e "&amp;C158</f>
        <v>ENGENHARIA MECÂNICA  e CN2</v>
      </c>
      <c r="K158" s="164">
        <v>44071</v>
      </c>
      <c r="L158" s="164">
        <f t="shared" si="10"/>
        <v>45167</v>
      </c>
      <c r="M158" s="10" t="s">
        <v>62</v>
      </c>
      <c r="N158" s="1" t="s">
        <v>371</v>
      </c>
      <c r="O158" s="67" t="str">
        <f t="shared" ca="1" si="11"/>
        <v>Vencido</v>
      </c>
      <c r="P158" s="67"/>
      <c r="Q158" s="67">
        <f t="shared" ca="1" si="12"/>
        <v>2127</v>
      </c>
    </row>
    <row r="159" spans="2:17" ht="25" x14ac:dyDescent="0.35">
      <c r="B159" s="50">
        <v>5</v>
      </c>
      <c r="C159" s="51" t="s">
        <v>17</v>
      </c>
      <c r="D159" s="52">
        <v>63</v>
      </c>
      <c r="E159" s="52">
        <v>0</v>
      </c>
      <c r="F159" s="53" t="s">
        <v>2227</v>
      </c>
      <c r="G159" s="67" t="s">
        <v>2228</v>
      </c>
      <c r="H159" s="54" t="str">
        <f t="shared" si="9"/>
        <v>MM-CN2-063.00 - Manutenção Preventiva - Pórtico Jusante 25t (MPP1)</v>
      </c>
      <c r="I159" s="57" t="s">
        <v>2125</v>
      </c>
      <c r="J159" s="55" t="str">
        <f>VLOOKUP(D159,GM!$D$4:$G$1637,4,3)&amp;" e "&amp;C159</f>
        <v>ENGENHARIA MECÂNICA  e CN2</v>
      </c>
      <c r="K159" s="164"/>
      <c r="L159" s="164"/>
      <c r="M159" s="11" t="s">
        <v>267</v>
      </c>
      <c r="O159" s="67" t="str">
        <f t="shared" ca="1" si="11"/>
        <v>Vencido</v>
      </c>
      <c r="P159" s="67"/>
      <c r="Q159" s="67">
        <f t="shared" ca="1" si="12"/>
        <v>46198</v>
      </c>
    </row>
    <row r="160" spans="2:17" ht="25" x14ac:dyDescent="0.35">
      <c r="B160" s="50">
        <v>5</v>
      </c>
      <c r="C160" s="51" t="s">
        <v>17</v>
      </c>
      <c r="D160" s="52">
        <v>63</v>
      </c>
      <c r="E160" s="52">
        <v>1</v>
      </c>
      <c r="F160" s="53" t="s">
        <v>2229</v>
      </c>
      <c r="G160" s="53" t="s">
        <v>2127</v>
      </c>
      <c r="H160" s="54" t="str">
        <f t="shared" si="9"/>
        <v>MM-CN2-063.01 - Plano de Lubrificação do Pórtico Jusante</v>
      </c>
      <c r="I160" s="57" t="s">
        <v>2125</v>
      </c>
      <c r="J160" s="55" t="str">
        <f>VLOOKUP(D160,GM!$D$4:$G$1637,4,3)&amp;" e "&amp;C160</f>
        <v>ENGENHARIA MECÂNICA  e CN2</v>
      </c>
      <c r="K160" s="164">
        <v>44064</v>
      </c>
      <c r="L160" s="164">
        <f t="shared" si="10"/>
        <v>45160</v>
      </c>
      <c r="M160" s="10" t="s">
        <v>62</v>
      </c>
      <c r="N160" s="1" t="s">
        <v>371</v>
      </c>
      <c r="O160" s="67" t="str">
        <f t="shared" ca="1" si="11"/>
        <v>Vencido</v>
      </c>
      <c r="P160" s="67"/>
      <c r="Q160" s="67">
        <f t="shared" ca="1" si="12"/>
        <v>2134</v>
      </c>
    </row>
    <row r="161" spans="2:17" ht="25" x14ac:dyDescent="0.35">
      <c r="B161" s="50">
        <v>5</v>
      </c>
      <c r="C161" s="51" t="s">
        <v>17</v>
      </c>
      <c r="D161" s="52">
        <v>65</v>
      </c>
      <c r="E161" s="52">
        <v>1</v>
      </c>
      <c r="F161" s="53" t="s">
        <v>2230</v>
      </c>
      <c r="G161" s="53" t="s">
        <v>2022</v>
      </c>
      <c r="H161" s="54" t="str">
        <f t="shared" si="9"/>
        <v>MM-CN2-065.01 - Plano de Lubrificação Central Hidrau Comporta Emerg</v>
      </c>
      <c r="I161" s="57" t="s">
        <v>2023</v>
      </c>
      <c r="J161" s="55" t="str">
        <f>VLOOKUP(D161,GM!$D$4:$G$1637,4,3)&amp;" e "&amp;C161</f>
        <v>ENGENHARIA MECÂNICA  e CN2</v>
      </c>
      <c r="K161" s="164">
        <v>44064</v>
      </c>
      <c r="L161" s="164">
        <f t="shared" si="10"/>
        <v>45160</v>
      </c>
      <c r="M161" s="10" t="s">
        <v>62</v>
      </c>
      <c r="N161" s="1" t="s">
        <v>371</v>
      </c>
      <c r="O161" s="67" t="str">
        <f t="shared" ca="1" si="11"/>
        <v>Vencido</v>
      </c>
      <c r="P161" s="67"/>
      <c r="Q161" s="67">
        <f t="shared" ca="1" si="12"/>
        <v>2134</v>
      </c>
    </row>
    <row r="162" spans="2:17" ht="25" x14ac:dyDescent="0.35">
      <c r="B162" s="50">
        <v>5</v>
      </c>
      <c r="C162" s="51" t="s">
        <v>17</v>
      </c>
      <c r="D162" s="52">
        <v>65</v>
      </c>
      <c r="E162" s="52">
        <v>2</v>
      </c>
      <c r="F162" s="53" t="s">
        <v>2231</v>
      </c>
      <c r="G162" s="53" t="s">
        <v>2025</v>
      </c>
      <c r="H162" s="54" t="str">
        <f t="shared" si="9"/>
        <v>MM-CN2-065.02 - Plano de Lubrificação Central Hidrau do VS</v>
      </c>
      <c r="I162" s="57" t="s">
        <v>2026</v>
      </c>
      <c r="J162" s="55" t="str">
        <f>VLOOKUP(D162,GM!$D$4:$G$1637,4,3)&amp;" e "&amp;C162</f>
        <v>ENGENHARIA MECÂNICA  e CN2</v>
      </c>
      <c r="K162" s="164">
        <v>44064</v>
      </c>
      <c r="L162" s="164">
        <f t="shared" si="10"/>
        <v>45160</v>
      </c>
      <c r="M162" s="10" t="s">
        <v>62</v>
      </c>
      <c r="N162" s="1" t="s">
        <v>371</v>
      </c>
      <c r="O162" s="67" t="str">
        <f t="shared" ca="1" si="11"/>
        <v>Vencido</v>
      </c>
      <c r="P162" s="67"/>
      <c r="Q162" s="67">
        <f t="shared" ca="1" si="12"/>
        <v>2134</v>
      </c>
    </row>
    <row r="163" spans="2:17" ht="25" x14ac:dyDescent="0.35">
      <c r="B163" s="50">
        <v>5</v>
      </c>
      <c r="C163" s="51" t="s">
        <v>17</v>
      </c>
      <c r="D163" s="52">
        <v>84</v>
      </c>
      <c r="E163" s="52">
        <v>1</v>
      </c>
      <c r="F163" s="53" t="s">
        <v>2232</v>
      </c>
      <c r="G163" s="53" t="s">
        <v>2185</v>
      </c>
      <c r="H163" s="54" t="str">
        <f t="shared" si="9"/>
        <v>MM-CN2-084.01 - Plano de Lubrificação do Tratamento Esgoto</v>
      </c>
      <c r="I163" s="57" t="s">
        <v>2186</v>
      </c>
      <c r="J163" s="55" t="str">
        <f>VLOOKUP(D163,GM!$D$4:$G$1637,4,3)&amp;" e "&amp;C163</f>
        <v>ENGENHARIA MECÂNICA  e CN2</v>
      </c>
      <c r="K163" s="164">
        <v>44064</v>
      </c>
      <c r="L163" s="164">
        <f t="shared" si="10"/>
        <v>45160</v>
      </c>
      <c r="M163" s="10" t="s">
        <v>62</v>
      </c>
      <c r="N163" s="1" t="s">
        <v>371</v>
      </c>
      <c r="O163" s="67" t="str">
        <f t="shared" ca="1" si="11"/>
        <v>Vencido</v>
      </c>
      <c r="P163" s="67"/>
      <c r="Q163" s="67">
        <f t="shared" ca="1" si="12"/>
        <v>2134</v>
      </c>
    </row>
    <row r="164" spans="2:17" ht="26" x14ac:dyDescent="0.35">
      <c r="B164" s="50">
        <v>6</v>
      </c>
      <c r="C164" s="51" t="s">
        <v>18</v>
      </c>
      <c r="D164" s="52">
        <v>0</v>
      </c>
      <c r="E164" s="52">
        <v>2</v>
      </c>
      <c r="F164" s="53" t="s">
        <v>2233</v>
      </c>
      <c r="G164" s="53" t="s">
        <v>1972</v>
      </c>
      <c r="H164" s="54" t="str">
        <f t="shared" si="9"/>
        <v>MM-CPV-000.02 - Procedimentos Execução Mergulho Profissional</v>
      </c>
      <c r="I164" s="55" t="s">
        <v>1973</v>
      </c>
      <c r="J164" s="55" t="str">
        <f>VLOOKUP(D164,GM!$D$4:$G$1637,4,3)&amp;" e "&amp;C164</f>
        <v>ENGENHARIA  e CPV</v>
      </c>
      <c r="K164" s="164">
        <v>44063</v>
      </c>
      <c r="L164" s="164">
        <f t="shared" si="10"/>
        <v>45159</v>
      </c>
      <c r="M164" s="10" t="s">
        <v>62</v>
      </c>
      <c r="N164" s="1" t="s">
        <v>371</v>
      </c>
      <c r="O164" s="67" t="str">
        <f t="shared" ca="1" si="11"/>
        <v>Vencido</v>
      </c>
      <c r="P164" s="67"/>
      <c r="Q164" s="67">
        <f t="shared" ca="1" si="12"/>
        <v>2135</v>
      </c>
    </row>
    <row r="165" spans="2:17" ht="25" x14ac:dyDescent="0.35">
      <c r="B165" s="50">
        <v>6</v>
      </c>
      <c r="C165" s="51" t="s">
        <v>18</v>
      </c>
      <c r="D165" s="52">
        <v>1</v>
      </c>
      <c r="E165" s="52">
        <v>1</v>
      </c>
      <c r="F165" s="53" t="s">
        <v>2234</v>
      </c>
      <c r="G165" s="53" t="s">
        <v>2235</v>
      </c>
      <c r="H165" s="54" t="str">
        <f t="shared" si="9"/>
        <v>MM-CPV-001.01 - Roteiro Para Montagem Guarda Chuva</v>
      </c>
      <c r="I165" s="55" t="s">
        <v>1976</v>
      </c>
      <c r="J165" s="55" t="str">
        <f>VLOOKUP(D165,GM!$D$4:$G$1637,4,3)&amp;" e "&amp;C165</f>
        <v>ENGENHARIA MECÂNICA  e CPV</v>
      </c>
      <c r="K165" s="164">
        <v>44048</v>
      </c>
      <c r="L165" s="164">
        <f t="shared" si="10"/>
        <v>45144</v>
      </c>
      <c r="M165" s="10" t="s">
        <v>62</v>
      </c>
      <c r="N165" s="1" t="s">
        <v>371</v>
      </c>
      <c r="O165" s="67" t="str">
        <f t="shared" ca="1" si="11"/>
        <v>Vencido</v>
      </c>
      <c r="P165" s="67"/>
      <c r="Q165" s="67">
        <f t="shared" ca="1" si="12"/>
        <v>2150</v>
      </c>
    </row>
    <row r="166" spans="2:17" ht="25" x14ac:dyDescent="0.35">
      <c r="B166" s="50">
        <v>6</v>
      </c>
      <c r="C166" s="51" t="s">
        <v>18</v>
      </c>
      <c r="D166" s="52">
        <v>1</v>
      </c>
      <c r="E166" s="52">
        <v>2</v>
      </c>
      <c r="F166" s="53" t="s">
        <v>2236</v>
      </c>
      <c r="G166" s="53" t="s">
        <v>1975</v>
      </c>
      <c r="H166" s="54" t="str">
        <f t="shared" si="9"/>
        <v>MM-CPV-001.02 - Procedimentos Para Ajustes de Verticalidade e Mancais</v>
      </c>
      <c r="I166" s="55" t="s">
        <v>1976</v>
      </c>
      <c r="J166" s="55" t="str">
        <f>VLOOKUP(D166,GM!$D$4:$G$1637,4,3)&amp;" e "&amp;C166</f>
        <v>ENGENHARIA MECÂNICA  e CPV</v>
      </c>
      <c r="K166" s="164">
        <v>44049</v>
      </c>
      <c r="L166" s="164">
        <f t="shared" si="10"/>
        <v>45145</v>
      </c>
      <c r="M166" s="10" t="s">
        <v>62</v>
      </c>
      <c r="N166" s="1" t="s">
        <v>371</v>
      </c>
      <c r="O166" s="67" t="str">
        <f t="shared" ca="1" si="11"/>
        <v>Vencido</v>
      </c>
      <c r="P166" s="67"/>
      <c r="Q166" s="67">
        <f t="shared" ca="1" si="12"/>
        <v>2149</v>
      </c>
    </row>
    <row r="167" spans="2:17" ht="25" x14ac:dyDescent="0.35">
      <c r="B167" s="50">
        <v>6</v>
      </c>
      <c r="C167" s="51" t="s">
        <v>18</v>
      </c>
      <c r="D167" s="52">
        <v>1</v>
      </c>
      <c r="E167" s="52">
        <v>25</v>
      </c>
      <c r="F167" s="53" t="s">
        <v>2237</v>
      </c>
      <c r="G167" s="53" t="s">
        <v>1978</v>
      </c>
      <c r="H167" s="54" t="str">
        <f t="shared" si="9"/>
        <v>MM-CPV-001.25 - Plano de Lubrificação da Turbina</v>
      </c>
      <c r="I167" s="55" t="s">
        <v>1976</v>
      </c>
      <c r="J167" s="55" t="str">
        <f>VLOOKUP(D167,GM!$D$4:$G$1637,4,3)&amp;" e "&amp;C167</f>
        <v>ENGENHARIA MECÂNICA  e CPV</v>
      </c>
      <c r="K167" s="164">
        <v>44082</v>
      </c>
      <c r="L167" s="164">
        <f t="shared" si="10"/>
        <v>45178</v>
      </c>
      <c r="M167" s="10" t="s">
        <v>62</v>
      </c>
      <c r="N167" s="1" t="s">
        <v>371</v>
      </c>
      <c r="O167" s="67" t="str">
        <f t="shared" ca="1" si="11"/>
        <v>Vencido</v>
      </c>
      <c r="P167" s="67"/>
      <c r="Q167" s="67">
        <f t="shared" ca="1" si="12"/>
        <v>2116</v>
      </c>
    </row>
    <row r="168" spans="2:17" ht="25" hidden="1" x14ac:dyDescent="0.35">
      <c r="B168" s="50">
        <v>6</v>
      </c>
      <c r="C168" s="51" t="s">
        <v>18</v>
      </c>
      <c r="D168" s="52">
        <v>3</v>
      </c>
      <c r="E168" s="52">
        <v>0</v>
      </c>
      <c r="F168" s="53" t="s">
        <v>2238</v>
      </c>
      <c r="G168" s="53" t="s">
        <v>2239</v>
      </c>
      <c r="H168" s="54" t="str">
        <f t="shared" si="9"/>
        <v>MM-CPV-003.00 - Manutenção Preventiva Periódica Tipo 0 no Gerador - Partes Elétricas</v>
      </c>
      <c r="I168" s="57" t="s">
        <v>2060</v>
      </c>
      <c r="J168" s="55" t="str">
        <f>VLOOKUP(D168,GM!$D$4:$G$1637,4,3)&amp;" e "&amp;C168</f>
        <v>ENGENHARIA ELÉTRICA  e CPV</v>
      </c>
      <c r="K168" s="164">
        <v>45743</v>
      </c>
      <c r="L168" s="164">
        <f t="shared" si="10"/>
        <v>46839</v>
      </c>
      <c r="M168" s="10" t="s">
        <v>62</v>
      </c>
      <c r="N168" s="1" t="s">
        <v>371</v>
      </c>
      <c r="O168" s="67" t="str">
        <f t="shared" ca="1" si="11"/>
        <v>Em dia</v>
      </c>
      <c r="P168" s="67"/>
      <c r="Q168" s="67">
        <f t="shared" ca="1" si="12"/>
        <v>455</v>
      </c>
    </row>
    <row r="169" spans="2:17" ht="25" x14ac:dyDescent="0.35">
      <c r="B169" s="50">
        <v>6</v>
      </c>
      <c r="C169" s="51" t="s">
        <v>18</v>
      </c>
      <c r="D169" s="52">
        <v>3</v>
      </c>
      <c r="E169" s="52">
        <v>2</v>
      </c>
      <c r="F169" s="53" t="s">
        <v>2240</v>
      </c>
      <c r="G169" s="53" t="s">
        <v>2241</v>
      </c>
      <c r="H169" s="54" t="str">
        <f t="shared" si="9"/>
        <v>MM-CPV-003.02 - Inspeção no Pacote Estatórico</v>
      </c>
      <c r="I169" s="55" t="s">
        <v>2242</v>
      </c>
      <c r="J169" s="55" t="str">
        <f>VLOOKUP(D169,GM!$D$4:$G$1637,4,3)&amp;" e "&amp;C169</f>
        <v>ENGENHARIA ELÉTRICA  e CPV</v>
      </c>
      <c r="K169" s="164">
        <v>44061</v>
      </c>
      <c r="L169" s="164">
        <f t="shared" si="10"/>
        <v>45157</v>
      </c>
      <c r="M169" s="10" t="s">
        <v>62</v>
      </c>
      <c r="N169" s="1" t="s">
        <v>371</v>
      </c>
      <c r="O169" s="67" t="str">
        <f t="shared" ca="1" si="11"/>
        <v>Vencido</v>
      </c>
      <c r="P169" s="67"/>
      <c r="Q169" s="67">
        <f t="shared" ca="1" si="12"/>
        <v>2137</v>
      </c>
    </row>
    <row r="170" spans="2:17" ht="37.5" hidden="1" x14ac:dyDescent="0.35">
      <c r="B170" s="50">
        <v>6</v>
      </c>
      <c r="C170" s="51" t="s">
        <v>18</v>
      </c>
      <c r="D170" s="52">
        <v>5</v>
      </c>
      <c r="E170" s="52">
        <v>0</v>
      </c>
      <c r="F170" s="53" t="s">
        <v>2243</v>
      </c>
      <c r="G170" s="53" t="s">
        <v>2244</v>
      </c>
      <c r="H170" s="54" t="str">
        <f t="shared" si="9"/>
        <v>MM-CPV-005.00 - Manutenção Preventiva Periódica Tipo 0 no Barramento de Saída do Gerador e seus Acessórios</v>
      </c>
      <c r="I170" s="18" t="s">
        <v>2245</v>
      </c>
      <c r="J170" s="55" t="str">
        <f>VLOOKUP(D170,GM!$D$4:$G$1637,4,3)&amp;" e "&amp;C170</f>
        <v>ENGENHARIA ELÉTRICA  e CPV</v>
      </c>
      <c r="K170" s="164">
        <v>45743</v>
      </c>
      <c r="L170" s="164">
        <f t="shared" si="10"/>
        <v>46839</v>
      </c>
      <c r="M170" s="10" t="s">
        <v>62</v>
      </c>
      <c r="N170" s="1" t="s">
        <v>371</v>
      </c>
      <c r="O170" s="67" t="str">
        <f t="shared" ca="1" si="11"/>
        <v>Em dia</v>
      </c>
      <c r="P170" s="67"/>
      <c r="Q170" s="67">
        <f t="shared" ca="1" si="12"/>
        <v>455</v>
      </c>
    </row>
    <row r="171" spans="2:17" ht="25" x14ac:dyDescent="0.35">
      <c r="B171" s="50">
        <v>6</v>
      </c>
      <c r="C171" s="51" t="s">
        <v>18</v>
      </c>
      <c r="D171" s="52">
        <v>6</v>
      </c>
      <c r="E171" s="52">
        <v>0</v>
      </c>
      <c r="F171" s="53" t="s">
        <v>2246</v>
      </c>
      <c r="G171" s="53" t="s">
        <v>2247</v>
      </c>
      <c r="H171" s="54" t="str">
        <f t="shared" si="9"/>
        <v>MM-CPV-006.00 - -Manutenção Preventiva Periódica Tipo 0 em Transformadores Elevadores</v>
      </c>
      <c r="I171" s="18" t="s">
        <v>2034</v>
      </c>
      <c r="J171" s="55" t="str">
        <f>VLOOKUP(D171,GM!$D$4:$G$1637,4,3)&amp;" e "&amp;C171</f>
        <v>ENGENHARIA ELÉTRICA  e CPV</v>
      </c>
      <c r="K171" s="164"/>
      <c r="L171" s="164"/>
      <c r="M171" s="11" t="s">
        <v>267</v>
      </c>
      <c r="O171" s="67" t="str">
        <f t="shared" ca="1" si="11"/>
        <v>Vencido</v>
      </c>
      <c r="P171" s="67"/>
      <c r="Q171" s="67">
        <f t="shared" ca="1" si="12"/>
        <v>46198</v>
      </c>
    </row>
    <row r="172" spans="2:17" ht="25" hidden="1" x14ac:dyDescent="0.35">
      <c r="B172" s="50">
        <v>6</v>
      </c>
      <c r="C172" s="51" t="s">
        <v>18</v>
      </c>
      <c r="D172" s="52">
        <v>6</v>
      </c>
      <c r="E172" s="52">
        <v>1</v>
      </c>
      <c r="F172" s="53" t="s">
        <v>2248</v>
      </c>
      <c r="G172" s="53" t="s">
        <v>107</v>
      </c>
      <c r="H172" s="54" t="str">
        <f t="shared" si="9"/>
        <v>MM-CPV-006.01 - Coleta e Análise de Óleo Isolante</v>
      </c>
      <c r="I172" s="18" t="s">
        <v>2034</v>
      </c>
      <c r="J172" s="55" t="str">
        <f>VLOOKUP(D172,GM!$D$4:$G$1637,4,3)&amp;" e "&amp;C172</f>
        <v>ENGENHARIA ELÉTRICA  e CPV</v>
      </c>
      <c r="K172" s="164">
        <v>45743</v>
      </c>
      <c r="L172" s="164">
        <f t="shared" si="10"/>
        <v>46839</v>
      </c>
      <c r="M172" s="10" t="s">
        <v>62</v>
      </c>
      <c r="N172" s="1" t="s">
        <v>371</v>
      </c>
      <c r="O172" s="67" t="str">
        <f t="shared" ca="1" si="11"/>
        <v>Em dia</v>
      </c>
      <c r="P172" s="67"/>
      <c r="Q172" s="67">
        <f t="shared" ca="1" si="12"/>
        <v>455</v>
      </c>
    </row>
    <row r="173" spans="2:17" ht="25" hidden="1" x14ac:dyDescent="0.35">
      <c r="B173" s="50">
        <v>6</v>
      </c>
      <c r="C173" s="51" t="s">
        <v>18</v>
      </c>
      <c r="D173" s="52">
        <v>7</v>
      </c>
      <c r="E173" s="52">
        <v>0</v>
      </c>
      <c r="F173" s="53" t="s">
        <v>2249</v>
      </c>
      <c r="G173" s="53" t="s">
        <v>2250</v>
      </c>
      <c r="H173" s="54" t="str">
        <f t="shared" si="9"/>
        <v>MM-CPV-007.00 - Manutenção Preventiva Periódica Tipo O em Transformador a Seco (Reatores)</v>
      </c>
      <c r="I173" s="57" t="s">
        <v>2251</v>
      </c>
      <c r="J173" s="55" t="str">
        <f>VLOOKUP(D173,GM!$D$4:$G$1637,4,3)&amp;" e "&amp;C173</f>
        <v>ENGENHARIA ELÉTRICA  e CPV</v>
      </c>
      <c r="K173" s="164">
        <v>45743</v>
      </c>
      <c r="L173" s="164">
        <f t="shared" si="10"/>
        <v>46839</v>
      </c>
      <c r="M173" s="10" t="s">
        <v>62</v>
      </c>
      <c r="N173" s="1" t="s">
        <v>371</v>
      </c>
      <c r="O173" s="67" t="str">
        <f t="shared" ca="1" si="11"/>
        <v>Em dia</v>
      </c>
      <c r="P173" s="67"/>
      <c r="Q173" s="67">
        <f t="shared" ca="1" si="12"/>
        <v>455</v>
      </c>
    </row>
    <row r="174" spans="2:17" ht="28" hidden="1" x14ac:dyDescent="0.35">
      <c r="B174" s="50">
        <v>6</v>
      </c>
      <c r="C174" s="51" t="s">
        <v>18</v>
      </c>
      <c r="D174" s="52">
        <v>8</v>
      </c>
      <c r="E174" s="52">
        <v>0</v>
      </c>
      <c r="F174" s="53" t="s">
        <v>2252</v>
      </c>
      <c r="G174" s="53" t="s">
        <v>2253</v>
      </c>
      <c r="H174" s="54" t="str">
        <f t="shared" si="9"/>
        <v>MM-CPV-008.00 - Manutenção Preventiva Periódica Tipo O em Equipamentos de Alta Tensão</v>
      </c>
      <c r="I174" s="18" t="s">
        <v>2254</v>
      </c>
      <c r="J174" s="55" t="str">
        <f>VLOOKUP(D174,GM!$D$4:$G$1637,4,3)&amp;" e "&amp;C174</f>
        <v>ENGENHARIA ELÉTRICA  e CPV</v>
      </c>
      <c r="K174" s="164">
        <v>45743</v>
      </c>
      <c r="L174" s="164">
        <f t="shared" si="10"/>
        <v>46839</v>
      </c>
      <c r="M174" s="10" t="s">
        <v>62</v>
      </c>
      <c r="N174" s="1" t="s">
        <v>371</v>
      </c>
      <c r="O174" s="67" t="str">
        <f t="shared" ca="1" si="11"/>
        <v>Em dia</v>
      </c>
      <c r="P174" s="67"/>
      <c r="Q174" s="67">
        <f t="shared" ca="1" si="12"/>
        <v>455</v>
      </c>
    </row>
    <row r="175" spans="2:17" ht="25" x14ac:dyDescent="0.35">
      <c r="B175" s="50">
        <v>6</v>
      </c>
      <c r="C175" s="51" t="s">
        <v>18</v>
      </c>
      <c r="D175" s="52">
        <v>8</v>
      </c>
      <c r="E175" s="52">
        <v>1</v>
      </c>
      <c r="F175" s="53" t="s">
        <v>2255</v>
      </c>
      <c r="G175" s="53" t="s">
        <v>95</v>
      </c>
      <c r="H175" s="54" t="str">
        <f t="shared" si="9"/>
        <v>MM-CPV-008.01 - Ensaios de Termovisão</v>
      </c>
      <c r="I175" s="18" t="s">
        <v>2254</v>
      </c>
      <c r="J175" s="55" t="str">
        <f>VLOOKUP(D175,GM!$D$4:$G$1637,4,3)&amp;" e "&amp;C175</f>
        <v>ENGENHARIA ELÉTRICA  e CPV</v>
      </c>
      <c r="K175" s="164"/>
      <c r="L175" s="164"/>
      <c r="M175" s="11" t="s">
        <v>267</v>
      </c>
      <c r="O175" s="67" t="str">
        <f t="shared" ca="1" si="11"/>
        <v>Vencido</v>
      </c>
      <c r="P175" s="67"/>
      <c r="Q175" s="67">
        <f t="shared" ca="1" si="12"/>
        <v>46198</v>
      </c>
    </row>
    <row r="176" spans="2:17" ht="28" hidden="1" x14ac:dyDescent="0.35">
      <c r="B176" s="50">
        <v>6</v>
      </c>
      <c r="C176" s="51" t="s">
        <v>18</v>
      </c>
      <c r="D176" s="52">
        <v>8</v>
      </c>
      <c r="E176" s="52">
        <v>2</v>
      </c>
      <c r="F176" s="53" t="s">
        <v>2256</v>
      </c>
      <c r="G176" s="53" t="s">
        <v>2257</v>
      </c>
      <c r="H176" s="54" t="str">
        <f t="shared" si="9"/>
        <v>MM-CPV-008.02 - Manutenção Preventiva Periódica Tipo 0 em Seccionadoras de Alta Tensão</v>
      </c>
      <c r="I176" s="18" t="s">
        <v>2254</v>
      </c>
      <c r="J176" s="55" t="str">
        <f>VLOOKUP(D176,GM!$D$4:$G$1637,4,3)&amp;" e "&amp;C176</f>
        <v>ENGENHARIA ELÉTRICA  e CPV</v>
      </c>
      <c r="K176" s="164">
        <v>45743</v>
      </c>
      <c r="L176" s="164">
        <f t="shared" si="10"/>
        <v>46839</v>
      </c>
      <c r="M176" s="10" t="s">
        <v>62</v>
      </c>
      <c r="N176" s="1" t="s">
        <v>371</v>
      </c>
      <c r="O176" s="67" t="str">
        <f t="shared" ca="1" si="11"/>
        <v>Em dia</v>
      </c>
      <c r="P176" s="67"/>
      <c r="Q176" s="67">
        <f t="shared" ca="1" si="12"/>
        <v>455</v>
      </c>
    </row>
    <row r="177" spans="2:17" ht="28" hidden="1" x14ac:dyDescent="0.35">
      <c r="B177" s="50">
        <v>6</v>
      </c>
      <c r="C177" s="51" t="s">
        <v>18</v>
      </c>
      <c r="D177" s="52">
        <v>8</v>
      </c>
      <c r="E177" s="52">
        <v>3</v>
      </c>
      <c r="F177" s="53" t="s">
        <v>2258</v>
      </c>
      <c r="G177" s="53" t="s">
        <v>2259</v>
      </c>
      <c r="H177" s="54" t="str">
        <f t="shared" si="9"/>
        <v>MM-CPV-008.03 - Manutenção Preventiva Periódica Tipo 0 em Transformador de Corrente</v>
      </c>
      <c r="I177" s="18" t="s">
        <v>2254</v>
      </c>
      <c r="J177" s="55" t="str">
        <f>VLOOKUP(D177,GM!$D$4:$G$1637,4,3)&amp;" e "&amp;C177</f>
        <v>ENGENHARIA ELÉTRICA  e CPV</v>
      </c>
      <c r="K177" s="164">
        <v>45743</v>
      </c>
      <c r="L177" s="164">
        <f t="shared" si="10"/>
        <v>46839</v>
      </c>
      <c r="M177" s="10" t="s">
        <v>62</v>
      </c>
      <c r="N177" s="1" t="s">
        <v>371</v>
      </c>
      <c r="O177" s="67" t="str">
        <f t="shared" ca="1" si="11"/>
        <v>Em dia</v>
      </c>
      <c r="P177" s="67"/>
      <c r="Q177" s="67">
        <f t="shared" ca="1" si="12"/>
        <v>455</v>
      </c>
    </row>
    <row r="178" spans="2:17" ht="28" hidden="1" x14ac:dyDescent="0.35">
      <c r="B178" s="50">
        <v>6</v>
      </c>
      <c r="C178" s="51" t="s">
        <v>18</v>
      </c>
      <c r="D178" s="52">
        <v>8</v>
      </c>
      <c r="E178" s="52">
        <v>4</v>
      </c>
      <c r="F178" s="53" t="s">
        <v>2260</v>
      </c>
      <c r="G178" s="53" t="s">
        <v>2261</v>
      </c>
      <c r="H178" s="54" t="str">
        <f t="shared" si="9"/>
        <v>MM-CPV-008.04 - Manutenção Preventiva Periódica Tipo 0 em Disjuntores</v>
      </c>
      <c r="I178" s="18" t="s">
        <v>2254</v>
      </c>
      <c r="J178" s="55" t="str">
        <f>VLOOKUP(D178,GM!$D$4:$G$1637,4,3)&amp;" e "&amp;C178</f>
        <v>ENGENHARIA ELÉTRICA  e CPV</v>
      </c>
      <c r="K178" s="164">
        <v>45743</v>
      </c>
      <c r="L178" s="164">
        <f t="shared" si="10"/>
        <v>46839</v>
      </c>
      <c r="M178" s="10" t="s">
        <v>62</v>
      </c>
      <c r="N178" s="1" t="s">
        <v>371</v>
      </c>
      <c r="O178" s="67" t="str">
        <f t="shared" ca="1" si="11"/>
        <v>Em dia</v>
      </c>
      <c r="P178" s="67"/>
      <c r="Q178" s="67">
        <f t="shared" ca="1" si="12"/>
        <v>455</v>
      </c>
    </row>
    <row r="179" spans="2:17" ht="25" hidden="1" x14ac:dyDescent="0.35">
      <c r="B179" s="50">
        <v>6</v>
      </c>
      <c r="C179" s="51" t="s">
        <v>18</v>
      </c>
      <c r="D179" s="52">
        <v>10</v>
      </c>
      <c r="E179" s="52">
        <v>0</v>
      </c>
      <c r="F179" s="53" t="s">
        <v>2262</v>
      </c>
      <c r="G179" s="53" t="s">
        <v>2263</v>
      </c>
      <c r="H179" s="54" t="str">
        <f t="shared" si="9"/>
        <v>MM-CPV-010.00 - Manutenção Complementar Preventiva Tipo 0 nos Painéis de Baixa Tensão</v>
      </c>
      <c r="I179" s="18" t="s">
        <v>2264</v>
      </c>
      <c r="J179" s="55" t="str">
        <f>VLOOKUP(D179,GM!$D$4:$G$1637,4,3)&amp;" e "&amp;C179</f>
        <v>ENGENHARIA ELÉTRICA  e CPV</v>
      </c>
      <c r="K179" s="164">
        <v>45743</v>
      </c>
      <c r="L179" s="164">
        <f t="shared" si="10"/>
        <v>46839</v>
      </c>
      <c r="M179" s="10" t="s">
        <v>62</v>
      </c>
      <c r="N179" s="1" t="s">
        <v>371</v>
      </c>
      <c r="O179" s="67" t="str">
        <f t="shared" ca="1" si="11"/>
        <v>Em dia</v>
      </c>
      <c r="P179" s="67"/>
      <c r="Q179" s="67">
        <f t="shared" ca="1" si="12"/>
        <v>455</v>
      </c>
    </row>
    <row r="180" spans="2:17" ht="28" hidden="1" x14ac:dyDescent="0.35">
      <c r="B180" s="50">
        <v>6</v>
      </c>
      <c r="C180" s="51" t="s">
        <v>18</v>
      </c>
      <c r="D180" s="52">
        <v>15</v>
      </c>
      <c r="E180" s="52">
        <v>0</v>
      </c>
      <c r="F180" s="53" t="s">
        <v>2265</v>
      </c>
      <c r="G180" s="53" t="s">
        <v>2266</v>
      </c>
      <c r="H180" s="54" t="str">
        <f t="shared" si="9"/>
        <v>MM-CPV-015.00 - Manutenção Preventiva Periódica Tipo 0 na Proteção da Unidade Geradora</v>
      </c>
      <c r="I180" s="18" t="s">
        <v>2077</v>
      </c>
      <c r="J180" s="55" t="str">
        <f>VLOOKUP(D180,GM!$D$4:$G$1637,4,3)&amp;" e "&amp;C180</f>
        <v>ENGENHARIA ELÉTRICA  e CPV</v>
      </c>
      <c r="K180" s="164">
        <v>45743</v>
      </c>
      <c r="L180" s="164">
        <f t="shared" si="10"/>
        <v>46839</v>
      </c>
      <c r="M180" s="10" t="s">
        <v>62</v>
      </c>
      <c r="N180" s="1" t="s">
        <v>371</v>
      </c>
      <c r="O180" s="67" t="str">
        <f t="shared" ca="1" si="11"/>
        <v>Em dia</v>
      </c>
      <c r="P180" s="67"/>
      <c r="Q180" s="67">
        <f t="shared" ca="1" si="12"/>
        <v>455</v>
      </c>
    </row>
    <row r="181" spans="2:17" ht="25" x14ac:dyDescent="0.35">
      <c r="B181" s="50">
        <v>6</v>
      </c>
      <c r="C181" s="51" t="s">
        <v>18</v>
      </c>
      <c r="D181" s="52">
        <v>18</v>
      </c>
      <c r="E181" s="52">
        <v>1</v>
      </c>
      <c r="F181" s="53" t="s">
        <v>2267</v>
      </c>
      <c r="G181" s="53" t="s">
        <v>2268</v>
      </c>
      <c r="H181" s="54" t="str">
        <f t="shared" si="9"/>
        <v>MM-CPV-018.01 - Roteiro Para Ensaios no Sistema de Excitação</v>
      </c>
      <c r="I181" s="55" t="s">
        <v>1970</v>
      </c>
      <c r="J181" s="55" t="str">
        <f>VLOOKUP(D181,GM!$D$4:$G$1637,4,3)&amp;" e "&amp;C181</f>
        <v>ENGENHARIA ELÉTRICA  e CPV</v>
      </c>
      <c r="K181" s="164">
        <v>44061</v>
      </c>
      <c r="L181" s="164">
        <f t="shared" si="10"/>
        <v>45157</v>
      </c>
      <c r="M181" s="10" t="s">
        <v>62</v>
      </c>
      <c r="N181" s="1" t="s">
        <v>371</v>
      </c>
      <c r="O181" s="67" t="str">
        <f t="shared" ca="1" si="11"/>
        <v>Vencido</v>
      </c>
      <c r="P181" s="67"/>
      <c r="Q181" s="67">
        <f t="shared" ca="1" si="12"/>
        <v>2137</v>
      </c>
    </row>
    <row r="182" spans="2:17" ht="25" x14ac:dyDescent="0.35">
      <c r="B182" s="50">
        <v>6</v>
      </c>
      <c r="C182" s="51" t="s">
        <v>18</v>
      </c>
      <c r="D182" s="52">
        <v>20</v>
      </c>
      <c r="E182" s="52">
        <v>6</v>
      </c>
      <c r="F182" s="53" t="s">
        <v>2269</v>
      </c>
      <c r="G182" s="53" t="s">
        <v>1983</v>
      </c>
      <c r="H182" s="54" t="str">
        <f t="shared" si="9"/>
        <v>MM-CPV-020.06 - Plano de Lubrificação do RV</v>
      </c>
      <c r="I182" s="57" t="s">
        <v>1984</v>
      </c>
      <c r="J182" s="55" t="str">
        <f>VLOOKUP(D182,GM!$D$4:$G$1637,4,3)&amp;" e "&amp;C182</f>
        <v>ENGENHARIA MECÂNICA  e CPV</v>
      </c>
      <c r="K182" s="164">
        <v>44082</v>
      </c>
      <c r="L182" s="164">
        <f t="shared" si="10"/>
        <v>45178</v>
      </c>
      <c r="M182" s="10" t="s">
        <v>62</v>
      </c>
      <c r="N182" s="1" t="s">
        <v>371</v>
      </c>
      <c r="O182" s="67" t="str">
        <f t="shared" ca="1" si="11"/>
        <v>Vencido</v>
      </c>
      <c r="P182" s="67"/>
      <c r="Q182" s="67">
        <f t="shared" ca="1" si="12"/>
        <v>2116</v>
      </c>
    </row>
    <row r="183" spans="2:17" ht="25" x14ac:dyDescent="0.35">
      <c r="B183" s="50">
        <v>6</v>
      </c>
      <c r="C183" s="51" t="s">
        <v>18</v>
      </c>
      <c r="D183" s="52">
        <v>22</v>
      </c>
      <c r="E183" s="52">
        <v>3</v>
      </c>
      <c r="F183" s="53" t="s">
        <v>2270</v>
      </c>
      <c r="G183" s="53" t="s">
        <v>1986</v>
      </c>
      <c r="H183" s="54" t="str">
        <f t="shared" si="9"/>
        <v>MM-CPV-022.03 - Plano de Lubrificação dos Compressores</v>
      </c>
      <c r="I183" s="57" t="s">
        <v>1987</v>
      </c>
      <c r="J183" s="55" t="str">
        <f>VLOOKUP(D183,GM!$D$4:$G$1637,4,3)&amp;" e "&amp;C183</f>
        <v>ENGENHARIA MECÂNICA  e CPV</v>
      </c>
      <c r="K183" s="164">
        <v>44082</v>
      </c>
      <c r="L183" s="164">
        <f t="shared" si="10"/>
        <v>45178</v>
      </c>
      <c r="M183" s="10" t="s">
        <v>62</v>
      </c>
      <c r="N183" s="1" t="s">
        <v>371</v>
      </c>
      <c r="O183" s="67" t="str">
        <f t="shared" ca="1" si="11"/>
        <v>Vencido</v>
      </c>
      <c r="P183" s="67"/>
      <c r="Q183" s="67">
        <f t="shared" ca="1" si="12"/>
        <v>2116</v>
      </c>
    </row>
    <row r="184" spans="2:17" ht="25" x14ac:dyDescent="0.35">
      <c r="B184" s="50">
        <v>6</v>
      </c>
      <c r="C184" s="51" t="s">
        <v>18</v>
      </c>
      <c r="D184" s="52">
        <v>24</v>
      </c>
      <c r="E184" s="52">
        <v>1</v>
      </c>
      <c r="F184" s="53" t="s">
        <v>2271</v>
      </c>
      <c r="G184" s="53" t="s">
        <v>1992</v>
      </c>
      <c r="H184" s="54" t="str">
        <f t="shared" si="9"/>
        <v>MM-CPV-024.01 - Procedimento Para Reabastecimento dos GAE</v>
      </c>
      <c r="I184" s="57" t="s">
        <v>1993</v>
      </c>
      <c r="J184" s="55" t="str">
        <f>VLOOKUP(D184,GM!$D$4:$G$1637,4,3)&amp;" e "&amp;C184</f>
        <v>ENGENHARIA MECÂNICA  e CPV</v>
      </c>
      <c r="K184" s="164">
        <v>44062</v>
      </c>
      <c r="L184" s="164">
        <f t="shared" si="10"/>
        <v>45158</v>
      </c>
      <c r="M184" s="10" t="s">
        <v>62</v>
      </c>
      <c r="N184" s="1" t="s">
        <v>371</v>
      </c>
      <c r="O184" s="67" t="str">
        <f t="shared" ca="1" si="11"/>
        <v>Vencido</v>
      </c>
      <c r="P184" s="67"/>
      <c r="Q184" s="67">
        <f t="shared" ca="1" si="12"/>
        <v>2136</v>
      </c>
    </row>
    <row r="185" spans="2:17" ht="25" x14ac:dyDescent="0.35">
      <c r="B185" s="50">
        <v>6</v>
      </c>
      <c r="C185" s="51" t="s">
        <v>18</v>
      </c>
      <c r="D185" s="52">
        <v>24</v>
      </c>
      <c r="E185" s="52">
        <v>4</v>
      </c>
      <c r="F185" s="53" t="s">
        <v>2272</v>
      </c>
      <c r="G185" s="53" t="s">
        <v>1995</v>
      </c>
      <c r="H185" s="54" t="str">
        <f t="shared" si="9"/>
        <v>MM-CPV-024.04 - Plano de Lubrificação do GAE</v>
      </c>
      <c r="I185" s="57" t="s">
        <v>1993</v>
      </c>
      <c r="J185" s="55" t="str">
        <f>VLOOKUP(D185,GM!$D$4:$G$1637,4,3)&amp;" e "&amp;C185</f>
        <v>ENGENHARIA MECÂNICA  e CPV</v>
      </c>
      <c r="K185" s="164">
        <v>44082</v>
      </c>
      <c r="L185" s="164">
        <f t="shared" si="10"/>
        <v>45178</v>
      </c>
      <c r="M185" s="10" t="s">
        <v>62</v>
      </c>
      <c r="N185" s="1" t="s">
        <v>371</v>
      </c>
      <c r="O185" s="67" t="str">
        <f t="shared" ca="1" si="11"/>
        <v>Vencido</v>
      </c>
      <c r="P185" s="67"/>
      <c r="Q185" s="67">
        <f t="shared" ca="1" si="12"/>
        <v>2116</v>
      </c>
    </row>
    <row r="186" spans="2:17" ht="26" x14ac:dyDescent="0.35">
      <c r="B186" s="50">
        <v>6</v>
      </c>
      <c r="C186" s="51" t="s">
        <v>18</v>
      </c>
      <c r="D186" s="52">
        <v>26</v>
      </c>
      <c r="E186" s="52">
        <v>7</v>
      </c>
      <c r="F186" s="53" t="s">
        <v>2273</v>
      </c>
      <c r="G186" s="53" t="s">
        <v>1997</v>
      </c>
      <c r="H186" s="54" t="str">
        <f t="shared" si="9"/>
        <v>MM-CPV-026.07 - Plano de Lubrificação do Sistema Drenagem e Esg</v>
      </c>
      <c r="I186" s="55" t="s">
        <v>1998</v>
      </c>
      <c r="J186" s="55" t="str">
        <f>VLOOKUP(D186,GM!$D$4:$G$1637,4,3)&amp;" e "&amp;C186</f>
        <v>ENGENHARIA MECÂNICA  e CPV</v>
      </c>
      <c r="K186" s="164">
        <v>44082</v>
      </c>
      <c r="L186" s="164">
        <f t="shared" si="10"/>
        <v>45178</v>
      </c>
      <c r="M186" s="10" t="s">
        <v>62</v>
      </c>
      <c r="N186" s="1" t="s">
        <v>371</v>
      </c>
      <c r="O186" s="67" t="str">
        <f t="shared" ca="1" si="11"/>
        <v>Vencido</v>
      </c>
      <c r="P186" s="67"/>
      <c r="Q186" s="67">
        <f t="shared" ca="1" si="12"/>
        <v>2116</v>
      </c>
    </row>
    <row r="187" spans="2:17" ht="25" x14ac:dyDescent="0.35">
      <c r="B187" s="50">
        <v>6</v>
      </c>
      <c r="C187" s="51" t="s">
        <v>18</v>
      </c>
      <c r="D187" s="52">
        <v>27</v>
      </c>
      <c r="E187" s="52">
        <v>0</v>
      </c>
      <c r="F187" s="53" t="s">
        <v>2274</v>
      </c>
      <c r="G187" s="53" t="s">
        <v>2275</v>
      </c>
      <c r="H187" s="54" t="str">
        <f t="shared" si="9"/>
        <v>MM-CPV-027.00 - Manutenção Complementar Preventiva Tipo 0 Sistema Separador de Óleo</v>
      </c>
      <c r="I187" s="18" t="s">
        <v>2276</v>
      </c>
      <c r="J187" s="55" t="str">
        <f>VLOOKUP(D187,GM!$D$4:$G$1637,4,3)&amp;" e "&amp;C187</f>
        <v>ENGENHARIA MECÂNICA  e CPV</v>
      </c>
      <c r="K187" s="164"/>
      <c r="L187" s="164"/>
      <c r="M187" s="11" t="s">
        <v>267</v>
      </c>
      <c r="O187" s="67" t="str">
        <f t="shared" ca="1" si="11"/>
        <v>Vencido</v>
      </c>
      <c r="P187" s="67"/>
      <c r="Q187" s="67">
        <f t="shared" ca="1" si="12"/>
        <v>46198</v>
      </c>
    </row>
    <row r="188" spans="2:17" ht="25" x14ac:dyDescent="0.35">
      <c r="B188" s="50">
        <v>6</v>
      </c>
      <c r="C188" s="51" t="s">
        <v>18</v>
      </c>
      <c r="D188" s="52">
        <v>28</v>
      </c>
      <c r="E188" s="52">
        <v>0</v>
      </c>
      <c r="F188" s="53" t="s">
        <v>2277</v>
      </c>
      <c r="G188" s="53" t="s">
        <v>2278</v>
      </c>
      <c r="H188" s="54" t="str">
        <f t="shared" si="9"/>
        <v>MM-CPV-028.00 - Manutenção Complementar  Preventiva Tipo 0 nas Comportas de Manutenção - Stop-logs</v>
      </c>
      <c r="I188" s="55" t="s">
        <v>2001</v>
      </c>
      <c r="J188" s="55" t="str">
        <f>VLOOKUP(D188,GM!$D$4:$G$1637,4,3)&amp;" e "&amp;C188</f>
        <v>ENGENHARIA MECÂNICA  e CPV</v>
      </c>
      <c r="K188" s="164"/>
      <c r="L188" s="164"/>
      <c r="M188" s="11" t="s">
        <v>267</v>
      </c>
      <c r="O188" s="67" t="str">
        <f t="shared" ca="1" si="11"/>
        <v>Vencido</v>
      </c>
      <c r="P188" s="67"/>
      <c r="Q188" s="67">
        <f t="shared" ca="1" si="12"/>
        <v>46198</v>
      </c>
    </row>
    <row r="189" spans="2:17" ht="25" x14ac:dyDescent="0.35">
      <c r="B189" s="50">
        <v>6</v>
      </c>
      <c r="C189" s="51" t="s">
        <v>18</v>
      </c>
      <c r="D189" s="52">
        <v>28</v>
      </c>
      <c r="E189" s="52">
        <v>2</v>
      </c>
      <c r="F189" s="53" t="s">
        <v>2279</v>
      </c>
      <c r="G189" s="53" t="s">
        <v>2000</v>
      </c>
      <c r="H189" s="54" t="str">
        <f t="shared" si="9"/>
        <v>MM-CPV-028.02 - Procedimento Manuseio Comportas de Manutenção</v>
      </c>
      <c r="I189" s="55" t="s">
        <v>2001</v>
      </c>
      <c r="J189" s="55" t="str">
        <f>VLOOKUP(D189,GM!$D$4:$G$1637,4,3)&amp;" e "&amp;C189</f>
        <v>ENGENHARIA MECÂNICA  e CPV</v>
      </c>
      <c r="K189" s="164">
        <v>44062</v>
      </c>
      <c r="L189" s="164">
        <f t="shared" si="10"/>
        <v>45158</v>
      </c>
      <c r="M189" s="10" t="s">
        <v>62</v>
      </c>
      <c r="N189" s="1" t="s">
        <v>371</v>
      </c>
      <c r="O189" s="67" t="str">
        <f t="shared" ca="1" si="11"/>
        <v>Vencido</v>
      </c>
      <c r="P189" s="67"/>
      <c r="Q189" s="67">
        <f t="shared" ca="1" si="12"/>
        <v>2136</v>
      </c>
    </row>
    <row r="190" spans="2:17" ht="25" x14ac:dyDescent="0.35">
      <c r="B190" s="50">
        <v>6</v>
      </c>
      <c r="C190" s="51" t="s">
        <v>18</v>
      </c>
      <c r="D190" s="52">
        <v>30</v>
      </c>
      <c r="E190" s="52">
        <v>0</v>
      </c>
      <c r="F190" s="53" t="s">
        <v>2280</v>
      </c>
      <c r="G190" s="53" t="s">
        <v>2281</v>
      </c>
      <c r="H190" s="54" t="str">
        <f t="shared" si="9"/>
        <v>MM-CPV-030.00 - Manutenção Complementar Preventiva  Tipo 0 na Pórtico Montante</v>
      </c>
      <c r="I190" s="55" t="s">
        <v>2282</v>
      </c>
      <c r="J190" s="55" t="str">
        <f>VLOOKUP(D190,GM!$D$4:$G$1637,4,3)&amp;" e "&amp;C190</f>
        <v>ENGENHARIA MECÂNICA  e CPV</v>
      </c>
      <c r="K190" s="164"/>
      <c r="L190" s="164"/>
      <c r="M190" s="11" t="s">
        <v>267</v>
      </c>
      <c r="O190" s="67" t="str">
        <f t="shared" ca="1" si="11"/>
        <v>Vencido</v>
      </c>
      <c r="P190" s="67"/>
      <c r="Q190" s="67">
        <f t="shared" ca="1" si="12"/>
        <v>46198</v>
      </c>
    </row>
    <row r="191" spans="2:17" ht="25" x14ac:dyDescent="0.35">
      <c r="B191" s="50">
        <v>6</v>
      </c>
      <c r="C191" s="51" t="s">
        <v>18</v>
      </c>
      <c r="D191" s="52">
        <v>30</v>
      </c>
      <c r="E191" s="52">
        <v>1</v>
      </c>
      <c r="F191" s="53" t="s">
        <v>2283</v>
      </c>
      <c r="G191" s="53" t="s">
        <v>2284</v>
      </c>
      <c r="H191" s="54" t="str">
        <f t="shared" si="9"/>
        <v>MM-CPV-030.01 - Manutenção Complementar Preventiva  Tipo 0 na Pórtico Vertedouro</v>
      </c>
      <c r="I191" s="55" t="s">
        <v>2282</v>
      </c>
      <c r="J191" s="55" t="str">
        <f>VLOOKUP(D191,GM!$D$4:$G$1637,4,3)&amp;" e "&amp;C191</f>
        <v>ENGENHARIA MECÂNICA  e CPV</v>
      </c>
      <c r="K191" s="164"/>
      <c r="L191" s="164"/>
      <c r="M191" s="11" t="s">
        <v>267</v>
      </c>
      <c r="O191" s="67" t="str">
        <f t="shared" ca="1" si="11"/>
        <v>Vencido</v>
      </c>
      <c r="P191" s="67"/>
      <c r="Q191" s="67">
        <f t="shared" ca="1" si="12"/>
        <v>46198</v>
      </c>
    </row>
    <row r="192" spans="2:17" ht="37.5" x14ac:dyDescent="0.35">
      <c r="B192" s="50">
        <v>6</v>
      </c>
      <c r="C192" s="51" t="s">
        <v>18</v>
      </c>
      <c r="D192" s="52">
        <v>31</v>
      </c>
      <c r="E192" s="52">
        <v>0</v>
      </c>
      <c r="F192" s="53" t="s">
        <v>2285</v>
      </c>
      <c r="G192" s="53" t="s">
        <v>2286</v>
      </c>
      <c r="H192" s="54" t="str">
        <f t="shared" si="9"/>
        <v xml:space="preserve">MM-CPV-031.00 - Manutenção Complementar Preventiva  Tipo 0 na Ponte Rolante Principal e Asservida
</v>
      </c>
      <c r="I192" s="55" t="s">
        <v>2113</v>
      </c>
      <c r="J192" s="55" t="str">
        <f>VLOOKUP(D192,GM!$D$4:$G$1637,4,3)&amp;" e "&amp;C192</f>
        <v>ENGENHARIA MECÂNICA  e CPV</v>
      </c>
      <c r="K192" s="164"/>
      <c r="L192" s="164"/>
      <c r="M192" s="11" t="s">
        <v>267</v>
      </c>
      <c r="O192" s="67" t="str">
        <f t="shared" ca="1" si="11"/>
        <v>Vencido</v>
      </c>
      <c r="P192" s="67"/>
      <c r="Q192" s="67">
        <f t="shared" ca="1" si="12"/>
        <v>46198</v>
      </c>
    </row>
    <row r="193" spans="2:17" ht="25" x14ac:dyDescent="0.35">
      <c r="B193" s="50">
        <v>6</v>
      </c>
      <c r="C193" s="51" t="s">
        <v>18</v>
      </c>
      <c r="D193" s="52">
        <v>31</v>
      </c>
      <c r="E193" s="52">
        <v>21</v>
      </c>
      <c r="F193" s="53" t="s">
        <v>2287</v>
      </c>
      <c r="G193" s="53" t="s">
        <v>2112</v>
      </c>
      <c r="H193" s="54" t="str">
        <f t="shared" si="9"/>
        <v>MM-CPV-031.21 - Plano de Lubrificação da Ponte Rolante</v>
      </c>
      <c r="I193" s="55" t="s">
        <v>2113</v>
      </c>
      <c r="J193" s="55" t="str">
        <f>VLOOKUP(D193,GM!$D$4:$G$1637,4,3)&amp;" e "&amp;C193</f>
        <v>ENGENHARIA MECÂNICA  e CPV</v>
      </c>
      <c r="K193" s="164">
        <v>44082</v>
      </c>
      <c r="L193" s="164">
        <f t="shared" si="10"/>
        <v>45178</v>
      </c>
      <c r="M193" s="10" t="s">
        <v>62</v>
      </c>
      <c r="N193" s="1" t="s">
        <v>371</v>
      </c>
      <c r="O193" s="67" t="str">
        <f t="shared" ca="1" si="11"/>
        <v>Vencido</v>
      </c>
      <c r="P193" s="67"/>
      <c r="Q193" s="67">
        <f t="shared" ca="1" si="12"/>
        <v>2116</v>
      </c>
    </row>
    <row r="194" spans="2:17" ht="25" x14ac:dyDescent="0.35">
      <c r="B194" s="50">
        <v>6</v>
      </c>
      <c r="C194" s="51" t="s">
        <v>18</v>
      </c>
      <c r="D194" s="52">
        <v>32</v>
      </c>
      <c r="E194" s="52">
        <v>0</v>
      </c>
      <c r="F194" s="53" t="s">
        <v>2288</v>
      </c>
      <c r="G194" s="53" t="s">
        <v>2289</v>
      </c>
      <c r="H194" s="54" t="str">
        <f t="shared" si="9"/>
        <v>MM-CPV-032.00 - Manutenção Complementar Preventiva  Tipo 0 na Ponte Auxiliar</v>
      </c>
      <c r="I194" s="55" t="s">
        <v>2108</v>
      </c>
      <c r="J194" s="55" t="str">
        <f>VLOOKUP(D194,GM!$D$4:$G$1637,4,3)&amp;" e "&amp;C194</f>
        <v>ENGENHARIA MECÂNICA  e CPV</v>
      </c>
      <c r="K194" s="164"/>
      <c r="L194" s="164"/>
      <c r="M194" s="11" t="s">
        <v>267</v>
      </c>
      <c r="O194" s="67" t="str">
        <f t="shared" ca="1" si="11"/>
        <v>Vencido</v>
      </c>
      <c r="P194" s="67"/>
      <c r="Q194" s="67">
        <f t="shared" ca="1" si="12"/>
        <v>46198</v>
      </c>
    </row>
    <row r="195" spans="2:17" ht="25" x14ac:dyDescent="0.35">
      <c r="B195" s="50">
        <v>6</v>
      </c>
      <c r="C195" s="51" t="s">
        <v>18</v>
      </c>
      <c r="D195" s="52">
        <v>33</v>
      </c>
      <c r="E195" s="52">
        <v>0</v>
      </c>
      <c r="F195" s="53" t="s">
        <v>2290</v>
      </c>
      <c r="G195" s="53" t="s">
        <v>13087</v>
      </c>
      <c r="H195" s="54" t="str">
        <f t="shared" si="9"/>
        <v xml:space="preserve">MM-CPV-033.00 - Manutenção Complementar Preventiva Tipo 0 </v>
      </c>
      <c r="I195" s="55" t="s">
        <v>2291</v>
      </c>
      <c r="J195" s="55" t="str">
        <f>VLOOKUP(D195,GM!$D$4:$G$1637,4,3)&amp;" e "&amp;C195</f>
        <v>ENGENHARIA MECÂNICA  e CPV</v>
      </c>
      <c r="K195" s="164"/>
      <c r="L195" s="164"/>
      <c r="M195" s="11" t="s">
        <v>267</v>
      </c>
      <c r="O195" s="67" t="str">
        <f t="shared" ca="1" si="11"/>
        <v>Vencido</v>
      </c>
      <c r="P195" s="67"/>
      <c r="Q195" s="67">
        <f t="shared" ca="1" si="12"/>
        <v>46198</v>
      </c>
    </row>
    <row r="196" spans="2:17" ht="25" hidden="1" x14ac:dyDescent="0.35">
      <c r="B196" s="50">
        <v>6</v>
      </c>
      <c r="C196" s="51" t="s">
        <v>18</v>
      </c>
      <c r="D196" s="52">
        <v>40</v>
      </c>
      <c r="E196" s="52">
        <v>0</v>
      </c>
      <c r="F196" s="53" t="s">
        <v>2292</v>
      </c>
      <c r="G196" s="53" t="s">
        <v>2293</v>
      </c>
      <c r="H196" s="54" t="str">
        <f t="shared" si="9"/>
        <v>MM-CPV-040.00 - Manutenção Complementar Preventiva Tipo 0 no Sistema de Iluminação e Tomadas</v>
      </c>
      <c r="I196" s="55" t="s">
        <v>2294</v>
      </c>
      <c r="J196" s="55" t="str">
        <f>VLOOKUP(D196,GM!$D$4:$G$1637,4,3)&amp;" e "&amp;C196</f>
        <v>ENGENHARIA ELÉTRICA  e CPV</v>
      </c>
      <c r="K196" s="164">
        <v>45743</v>
      </c>
      <c r="L196" s="164">
        <f t="shared" si="10"/>
        <v>46839</v>
      </c>
      <c r="M196" s="10" t="s">
        <v>62</v>
      </c>
      <c r="N196" s="1" t="s">
        <v>371</v>
      </c>
      <c r="O196" s="67" t="str">
        <f t="shared" ca="1" si="11"/>
        <v>Em dia</v>
      </c>
      <c r="P196" s="67"/>
      <c r="Q196" s="67">
        <f t="shared" ca="1" si="12"/>
        <v>455</v>
      </c>
    </row>
    <row r="197" spans="2:17" ht="26" hidden="1" x14ac:dyDescent="0.35">
      <c r="B197" s="50">
        <v>6</v>
      </c>
      <c r="C197" s="51" t="s">
        <v>18</v>
      </c>
      <c r="D197" s="52">
        <v>41</v>
      </c>
      <c r="E197" s="52">
        <v>0</v>
      </c>
      <c r="F197" s="53" t="s">
        <v>2295</v>
      </c>
      <c r="G197" s="53" t="s">
        <v>2296</v>
      </c>
      <c r="H197" s="54" t="str">
        <f t="shared" si="9"/>
        <v>MM-CPV-041.00 - Manutenção Complementar Preventiva Tipo 0 em SPDA</v>
      </c>
      <c r="I197" s="55" t="s">
        <v>2010</v>
      </c>
      <c r="J197" s="55" t="str">
        <f>VLOOKUP(D197,GM!$D$4:$G$1637,4,3)&amp;" e "&amp;C197</f>
        <v>ENGENHARIA ELÉTRICA  e CPV</v>
      </c>
      <c r="K197" s="164">
        <v>45743</v>
      </c>
      <c r="L197" s="164">
        <f t="shared" si="10"/>
        <v>46839</v>
      </c>
      <c r="M197" s="10" t="s">
        <v>62</v>
      </c>
      <c r="N197" s="1" t="s">
        <v>371</v>
      </c>
      <c r="O197" s="67" t="str">
        <f t="shared" ca="1" si="11"/>
        <v>Em dia</v>
      </c>
      <c r="P197" s="67"/>
      <c r="Q197" s="67">
        <f t="shared" ca="1" si="12"/>
        <v>455</v>
      </c>
    </row>
    <row r="198" spans="2:17" ht="26" hidden="1" x14ac:dyDescent="0.35">
      <c r="B198" s="50">
        <v>6</v>
      </c>
      <c r="C198" s="51" t="s">
        <v>18</v>
      </c>
      <c r="D198" s="52">
        <v>51</v>
      </c>
      <c r="E198" s="52">
        <v>0</v>
      </c>
      <c r="F198" s="53" t="s">
        <v>2297</v>
      </c>
      <c r="G198" s="53" t="s">
        <v>2298</v>
      </c>
      <c r="H198" s="54" t="str">
        <f t="shared" si="9"/>
        <v>MM-CPV-051.00 - Manutenção Complementar Preventiva Tipo 0 em Transformadores auxiliares imersos em óleo</v>
      </c>
      <c r="I198" s="55" t="s">
        <v>2046</v>
      </c>
      <c r="J198" s="55" t="str">
        <f>VLOOKUP(D198,GM!$D$4:$G$1637,4,3)&amp;" e "&amp;C198</f>
        <v>ENGENHARIA ELÉTRICA  e CPV</v>
      </c>
      <c r="K198" s="164">
        <v>45743</v>
      </c>
      <c r="L198" s="164">
        <f t="shared" si="10"/>
        <v>46839</v>
      </c>
      <c r="M198" s="10" t="s">
        <v>62</v>
      </c>
      <c r="N198" s="1" t="s">
        <v>371</v>
      </c>
      <c r="O198" s="67" t="str">
        <f t="shared" ca="1" si="11"/>
        <v>Em dia</v>
      </c>
      <c r="P198" s="67"/>
      <c r="Q198" s="67">
        <f t="shared" ca="1" si="12"/>
        <v>455</v>
      </c>
    </row>
    <row r="199" spans="2:17" ht="25" x14ac:dyDescent="0.35">
      <c r="B199" s="50">
        <v>6</v>
      </c>
      <c r="C199" s="51" t="s">
        <v>18</v>
      </c>
      <c r="D199" s="52">
        <v>58</v>
      </c>
      <c r="E199" s="52">
        <v>0</v>
      </c>
      <c r="F199" s="53" t="s">
        <v>2299</v>
      </c>
      <c r="G199" s="53" t="s">
        <v>2300</v>
      </c>
      <c r="H199" s="54" t="str">
        <f t="shared" ref="H199:H262" si="13">(F199)&amp;" - "&amp;(G199)</f>
        <v>MM-CPV-058.00 - Manutenção Complementar Preventiva Tipo 0 no Sistema de Ventilação</v>
      </c>
      <c r="I199" s="55" t="s">
        <v>2301</v>
      </c>
      <c r="J199" s="55" t="str">
        <f>VLOOKUP(D199,GM!$D$4:$G$1637,4,3)&amp;" e "&amp;C199</f>
        <v>ENGENHARIA MECÂNICA  e CPV</v>
      </c>
      <c r="K199" s="164"/>
      <c r="L199" s="164"/>
      <c r="M199" s="11" t="s">
        <v>267</v>
      </c>
      <c r="O199" s="67" t="str">
        <f t="shared" ca="1" si="11"/>
        <v>Vencido</v>
      </c>
      <c r="P199" s="67"/>
      <c r="Q199" s="67">
        <f t="shared" ca="1" si="12"/>
        <v>46198</v>
      </c>
    </row>
    <row r="200" spans="2:17" ht="25" x14ac:dyDescent="0.35">
      <c r="B200" s="50">
        <v>6</v>
      </c>
      <c r="C200" s="51" t="s">
        <v>18</v>
      </c>
      <c r="D200" s="52">
        <v>58</v>
      </c>
      <c r="E200" s="52">
        <v>2</v>
      </c>
      <c r="F200" s="53" t="s">
        <v>2302</v>
      </c>
      <c r="G200" s="53" t="s">
        <v>2014</v>
      </c>
      <c r="H200" s="54" t="str">
        <f t="shared" si="13"/>
        <v>MM-CPV-058.02 - Plano de Lubrificação Sistema Ventilação</v>
      </c>
      <c r="I200" s="57" t="s">
        <v>2015</v>
      </c>
      <c r="J200" s="55" t="str">
        <f>VLOOKUP(D200,GM!$D$4:$G$1637,4,3)&amp;" e "&amp;C200</f>
        <v>ENGENHARIA MECÂNICA  e CPV</v>
      </c>
      <c r="K200" s="164">
        <v>44082</v>
      </c>
      <c r="L200" s="164">
        <f t="shared" ref="L200:L254" si="14">K200+1096</f>
        <v>45178</v>
      </c>
      <c r="M200" s="10" t="s">
        <v>62</v>
      </c>
      <c r="N200" s="1" t="s">
        <v>371</v>
      </c>
      <c r="O200" s="67" t="str">
        <f t="shared" ref="O200:O263" ca="1" si="15">IF(Q200="","",IF(Q200&gt;1095,"Vencido",IF(Q200&gt;910,"Alerta",IF(Q200&gt;820,"Alerta",IF(Q200&gt;730,"Alerta",IF(Q200&gt;=0,"Em dia","Vencido"))))))</f>
        <v>Vencido</v>
      </c>
      <c r="P200" s="67"/>
      <c r="Q200" s="67">
        <f t="shared" ca="1" si="12"/>
        <v>2116</v>
      </c>
    </row>
    <row r="201" spans="2:17" ht="26" x14ac:dyDescent="0.35">
      <c r="B201" s="50">
        <v>6</v>
      </c>
      <c r="C201" s="51" t="s">
        <v>18</v>
      </c>
      <c r="D201" s="52">
        <v>60</v>
      </c>
      <c r="E201" s="52">
        <v>2</v>
      </c>
      <c r="F201" s="53" t="s">
        <v>2303</v>
      </c>
      <c r="G201" s="53" t="s">
        <v>2017</v>
      </c>
      <c r="H201" s="54" t="str">
        <f t="shared" si="13"/>
        <v>MM-CPV-060.02 - Manual de Manutenção sistema LGE</v>
      </c>
      <c r="I201" s="55" t="s">
        <v>2018</v>
      </c>
      <c r="J201" s="55" t="str">
        <f>VLOOKUP(D201,GM!$D$4:$G$1637,4,3)&amp;" e "&amp;C201</f>
        <v>ENGENHARIA MECÂNICA  e CPV</v>
      </c>
      <c r="K201" s="164">
        <v>44071</v>
      </c>
      <c r="L201" s="164">
        <f t="shared" si="14"/>
        <v>45167</v>
      </c>
      <c r="M201" s="10" t="s">
        <v>62</v>
      </c>
      <c r="N201" s="1" t="s">
        <v>371</v>
      </c>
      <c r="O201" s="67" t="str">
        <f t="shared" ca="1" si="15"/>
        <v>Vencido</v>
      </c>
      <c r="P201" s="67"/>
      <c r="Q201" s="67">
        <f t="shared" ca="1" si="12"/>
        <v>2127</v>
      </c>
    </row>
    <row r="202" spans="2:17" ht="26" x14ac:dyDescent="0.35">
      <c r="B202" s="50">
        <v>6</v>
      </c>
      <c r="C202" s="51" t="s">
        <v>18</v>
      </c>
      <c r="D202" s="52">
        <v>60</v>
      </c>
      <c r="E202" s="52">
        <v>3</v>
      </c>
      <c r="F202" s="53" t="s">
        <v>2304</v>
      </c>
      <c r="G202" s="53" t="s">
        <v>2020</v>
      </c>
      <c r="H202" s="54" t="str">
        <f t="shared" si="13"/>
        <v>MM-CPV-060.03 - Plano de Lubrificação Combate Incêndio</v>
      </c>
      <c r="I202" s="55" t="s">
        <v>2018</v>
      </c>
      <c r="J202" s="55" t="str">
        <f>VLOOKUP(D202,GM!$D$4:$G$1637,4,3)&amp;" e "&amp;C202</f>
        <v>ENGENHARIA MECÂNICA  e CPV</v>
      </c>
      <c r="K202" s="164">
        <v>44080</v>
      </c>
      <c r="L202" s="164">
        <f t="shared" si="14"/>
        <v>45176</v>
      </c>
      <c r="M202" s="10" t="s">
        <v>62</v>
      </c>
      <c r="N202" s="1" t="s">
        <v>371</v>
      </c>
      <c r="O202" s="67" t="str">
        <f t="shared" ca="1" si="15"/>
        <v>Vencido</v>
      </c>
      <c r="P202" s="67"/>
      <c r="Q202" s="67">
        <f t="shared" ref="Q202:Q265" ca="1" si="16">$P$4-K202</f>
        <v>2118</v>
      </c>
    </row>
    <row r="203" spans="2:17" ht="25" x14ac:dyDescent="0.35">
      <c r="B203" s="50">
        <v>6</v>
      </c>
      <c r="C203" s="51" t="s">
        <v>18</v>
      </c>
      <c r="D203" s="52">
        <v>61</v>
      </c>
      <c r="E203" s="52">
        <v>0</v>
      </c>
      <c r="F203" s="53" t="s">
        <v>2305</v>
      </c>
      <c r="G203" s="53" t="s">
        <v>2306</v>
      </c>
      <c r="H203" s="54" t="str">
        <f t="shared" si="13"/>
        <v>MM-CPV-061.00 - Manutenção Complementar Preventiva Tipo 0 Comportas do Vertedouro</v>
      </c>
      <c r="I203" s="57" t="s">
        <v>2307</v>
      </c>
      <c r="J203" s="55" t="str">
        <f>VLOOKUP(D203,GM!$D$4:$G$1637,4,3)&amp;" e "&amp;C203</f>
        <v>ENGENHARIA MECÂNICA  e CPV</v>
      </c>
      <c r="K203" s="164"/>
      <c r="L203" s="164"/>
      <c r="M203" s="11" t="s">
        <v>267</v>
      </c>
      <c r="O203" s="67" t="str">
        <f t="shared" ca="1" si="15"/>
        <v>Vencido</v>
      </c>
      <c r="P203" s="67"/>
      <c r="Q203" s="67">
        <f t="shared" ca="1" si="16"/>
        <v>46198</v>
      </c>
    </row>
    <row r="204" spans="2:17" ht="25" x14ac:dyDescent="0.35">
      <c r="B204" s="50">
        <v>6</v>
      </c>
      <c r="C204" s="51" t="s">
        <v>18</v>
      </c>
      <c r="D204" s="52">
        <v>63</v>
      </c>
      <c r="E204" s="52">
        <v>0</v>
      </c>
      <c r="F204" s="53" t="s">
        <v>2308</v>
      </c>
      <c r="G204" s="53" t="s">
        <v>2309</v>
      </c>
      <c r="H204" s="54" t="str">
        <f t="shared" si="13"/>
        <v>MM-CPV-063.00 - Manutenção Complementar Preventiva  Tipo 0 na Ponte Rolante Jusante</v>
      </c>
      <c r="I204" s="55" t="s">
        <v>2310</v>
      </c>
      <c r="J204" s="55" t="str">
        <f>VLOOKUP(D204,GM!$D$4:$G$1637,4,3)&amp;" e "&amp;C204</f>
        <v>ENGENHARIA MECÂNICA  e CPV</v>
      </c>
      <c r="K204" s="164"/>
      <c r="L204" s="164"/>
      <c r="M204" s="11" t="s">
        <v>267</v>
      </c>
      <c r="O204" s="67" t="str">
        <f t="shared" ca="1" si="15"/>
        <v>Vencido</v>
      </c>
      <c r="P204" s="67"/>
      <c r="Q204" s="67">
        <f t="shared" ca="1" si="16"/>
        <v>46198</v>
      </c>
    </row>
    <row r="205" spans="2:17" ht="25" x14ac:dyDescent="0.35">
      <c r="B205" s="50">
        <v>6</v>
      </c>
      <c r="C205" s="51" t="s">
        <v>18</v>
      </c>
      <c r="D205" s="52">
        <v>65</v>
      </c>
      <c r="E205" s="52">
        <v>0</v>
      </c>
      <c r="F205" s="53" t="s">
        <v>2311</v>
      </c>
      <c r="G205" s="53" t="s">
        <v>2312</v>
      </c>
      <c r="H205" s="54" t="str">
        <f t="shared" si="13"/>
        <v>MM-CPV-065.00 - Manutenção Complementar Preventiva Tipo 0 Sistema Hidráulico Comportas do Vertedouro</v>
      </c>
      <c r="I205" s="57" t="s">
        <v>2026</v>
      </c>
      <c r="J205" s="55" t="str">
        <f>VLOOKUP(D205,GM!$D$4:$G$1637,4,3)&amp;" e "&amp;C205</f>
        <v>ENGENHARIA MECÂNICA  e CPV</v>
      </c>
      <c r="K205" s="164"/>
      <c r="L205" s="164"/>
      <c r="M205" s="11" t="s">
        <v>267</v>
      </c>
      <c r="O205" s="67" t="str">
        <f t="shared" ca="1" si="15"/>
        <v>Vencido</v>
      </c>
      <c r="P205" s="67"/>
      <c r="Q205" s="67">
        <f t="shared" ca="1" si="16"/>
        <v>46198</v>
      </c>
    </row>
    <row r="206" spans="2:17" ht="25" x14ac:dyDescent="0.35">
      <c r="B206" s="50">
        <v>6</v>
      </c>
      <c r="C206" s="51" t="s">
        <v>18</v>
      </c>
      <c r="D206" s="52">
        <v>65</v>
      </c>
      <c r="E206" s="52">
        <v>1</v>
      </c>
      <c r="F206" s="53" t="s">
        <v>2313</v>
      </c>
      <c r="G206" s="53" t="s">
        <v>2022</v>
      </c>
      <c r="H206" s="54" t="str">
        <f t="shared" si="13"/>
        <v>MM-CPV-065.01 - Plano de Lubrificação Central Hidrau Comporta Emerg</v>
      </c>
      <c r="I206" s="57" t="s">
        <v>2023</v>
      </c>
      <c r="J206" s="55" t="str">
        <f>VLOOKUP(D206,GM!$D$4:$G$1637,4,3)&amp;" e "&amp;C206</f>
        <v>ENGENHARIA MECÂNICA  e CPV</v>
      </c>
      <c r="K206" s="164">
        <v>44082</v>
      </c>
      <c r="L206" s="164">
        <f t="shared" si="14"/>
        <v>45178</v>
      </c>
      <c r="M206" s="10" t="s">
        <v>62</v>
      </c>
      <c r="N206" s="1" t="s">
        <v>371</v>
      </c>
      <c r="O206" s="67" t="str">
        <f t="shared" ca="1" si="15"/>
        <v>Vencido</v>
      </c>
      <c r="P206" s="67"/>
      <c r="Q206" s="67">
        <f t="shared" ca="1" si="16"/>
        <v>2116</v>
      </c>
    </row>
    <row r="207" spans="2:17" ht="25" x14ac:dyDescent="0.35">
      <c r="B207" s="50">
        <v>6</v>
      </c>
      <c r="C207" s="51" t="s">
        <v>18</v>
      </c>
      <c r="D207" s="52">
        <v>65</v>
      </c>
      <c r="E207" s="52">
        <v>2</v>
      </c>
      <c r="F207" s="53" t="s">
        <v>2314</v>
      </c>
      <c r="G207" s="53" t="s">
        <v>2025</v>
      </c>
      <c r="H207" s="54" t="str">
        <f t="shared" si="13"/>
        <v>MM-CPV-065.02 - Plano de Lubrificação Central Hidrau do VS</v>
      </c>
      <c r="I207" s="57" t="s">
        <v>2026</v>
      </c>
      <c r="J207" s="55" t="str">
        <f>VLOOKUP(D207,GM!$D$4:$G$1637,4,3)&amp;" e "&amp;C207</f>
        <v>ENGENHARIA MECÂNICA  e CPV</v>
      </c>
      <c r="K207" s="164">
        <v>44082</v>
      </c>
      <c r="L207" s="164">
        <f t="shared" si="14"/>
        <v>45178</v>
      </c>
      <c r="M207" s="10" t="s">
        <v>62</v>
      </c>
      <c r="N207" s="1" t="s">
        <v>371</v>
      </c>
      <c r="O207" s="67" t="str">
        <f t="shared" ca="1" si="15"/>
        <v>Vencido</v>
      </c>
      <c r="P207" s="67"/>
      <c r="Q207" s="67">
        <f t="shared" ca="1" si="16"/>
        <v>2116</v>
      </c>
    </row>
    <row r="208" spans="2:17" ht="25" x14ac:dyDescent="0.35">
      <c r="B208" s="50">
        <v>6</v>
      </c>
      <c r="C208" s="51" t="s">
        <v>18</v>
      </c>
      <c r="D208" s="52">
        <v>71</v>
      </c>
      <c r="E208" s="52">
        <v>0</v>
      </c>
      <c r="F208" s="53" t="s">
        <v>2311</v>
      </c>
      <c r="G208" s="53" t="s">
        <v>2315</v>
      </c>
      <c r="H208" s="54" t="str">
        <f t="shared" si="13"/>
        <v>MM-CPV-065.00 - Manutenção Preventiva Programada Tipo 0 no Sistema de Manutenção Preventiva (MDM)</v>
      </c>
      <c r="I208" s="57" t="s">
        <v>2026</v>
      </c>
      <c r="J208" s="55" t="str">
        <f>VLOOKUP(D208,GM!$D$4:$G$1637,4,3)&amp;" e "&amp;C208</f>
        <v>ENGENHARIA MECÂNICA  e CPV</v>
      </c>
      <c r="K208" s="164"/>
      <c r="L208" s="164"/>
      <c r="M208" s="11" t="s">
        <v>267</v>
      </c>
      <c r="O208" s="67" t="str">
        <f t="shared" ca="1" si="15"/>
        <v>Vencido</v>
      </c>
      <c r="P208" s="67"/>
      <c r="Q208" s="67">
        <f t="shared" ca="1" si="16"/>
        <v>46198</v>
      </c>
    </row>
    <row r="209" spans="2:17" ht="26" x14ac:dyDescent="0.35">
      <c r="B209" s="50">
        <v>7</v>
      </c>
      <c r="C209" s="51" t="s">
        <v>26</v>
      </c>
      <c r="D209" s="52">
        <v>1</v>
      </c>
      <c r="E209" s="52">
        <v>0</v>
      </c>
      <c r="F209" s="53" t="s">
        <v>2316</v>
      </c>
      <c r="G209" s="55" t="s">
        <v>2317</v>
      </c>
      <c r="H209" s="54" t="str">
        <f t="shared" si="13"/>
        <v>MM-GAR-001.00 - Manual de medição de folga dos mancais de guia das turbinas das Unidades Geradoras 1, 2 e 3</v>
      </c>
      <c r="I209" s="55" t="s">
        <v>2318</v>
      </c>
      <c r="J209" s="55" t="str">
        <f>VLOOKUP(D209,GM!$D$4:$G$1637,4,3)&amp;" e "&amp;C209</f>
        <v>ENGENHARIA MECÂNICA  e GAR</v>
      </c>
      <c r="K209" s="164"/>
      <c r="L209" s="164"/>
      <c r="M209" s="11" t="s">
        <v>267</v>
      </c>
      <c r="O209" s="67" t="str">
        <f t="shared" ca="1" si="15"/>
        <v>Vencido</v>
      </c>
      <c r="P209" s="67"/>
      <c r="Q209" s="67">
        <f t="shared" ca="1" si="16"/>
        <v>46198</v>
      </c>
    </row>
    <row r="210" spans="2:17" ht="26" x14ac:dyDescent="0.35">
      <c r="B210" s="50">
        <v>7</v>
      </c>
      <c r="C210" s="51" t="s">
        <v>26</v>
      </c>
      <c r="D210" s="52">
        <v>1</v>
      </c>
      <c r="E210" s="52">
        <v>1</v>
      </c>
      <c r="F210" s="53" t="s">
        <v>2319</v>
      </c>
      <c r="G210" s="55" t="s">
        <v>2320</v>
      </c>
      <c r="H210" s="54" t="str">
        <f t="shared" si="13"/>
        <v>MM-GAR-001.01 - Manutenção Preventiva no Sistema e Seus Auxiliares MPP0</v>
      </c>
      <c r="I210" s="55" t="s">
        <v>2318</v>
      </c>
      <c r="J210" s="55" t="str">
        <f>VLOOKUP(D210,GM!$D$4:$G$1637,4,3)&amp;" e "&amp;C210</f>
        <v>ENGENHARIA MECÂNICA  e GAR</v>
      </c>
      <c r="K210" s="164"/>
      <c r="L210" s="164"/>
      <c r="M210" s="11" t="s">
        <v>267</v>
      </c>
      <c r="O210" s="67" t="str">
        <f t="shared" ca="1" si="15"/>
        <v>Vencido</v>
      </c>
      <c r="P210" s="67"/>
      <c r="Q210" s="67">
        <f t="shared" ca="1" si="16"/>
        <v>46198</v>
      </c>
    </row>
    <row r="211" spans="2:17" ht="26" x14ac:dyDescent="0.35">
      <c r="B211" s="50">
        <v>7</v>
      </c>
      <c r="C211" s="51" t="s">
        <v>26</v>
      </c>
      <c r="D211" s="52">
        <v>1</v>
      </c>
      <c r="E211" s="52">
        <v>1</v>
      </c>
      <c r="F211" s="53" t="s">
        <v>2321</v>
      </c>
      <c r="G211" s="55" t="s">
        <v>2322</v>
      </c>
      <c r="H211" s="54" t="str">
        <f t="shared" si="13"/>
        <v>MM-GAR-001.02 - Manutenção Preventiva no Sistema e Seus Auxiliares MPP1</v>
      </c>
      <c r="I211" s="55" t="s">
        <v>2318</v>
      </c>
      <c r="J211" s="55" t="str">
        <f>VLOOKUP(D211,GM!$D$4:$G$1637,4,3)&amp;" e "&amp;C211</f>
        <v>ENGENHARIA MECÂNICA  e GAR</v>
      </c>
      <c r="K211" s="164"/>
      <c r="L211" s="164"/>
      <c r="M211" s="11" t="s">
        <v>267</v>
      </c>
      <c r="O211" s="67" t="str">
        <f t="shared" ca="1" si="15"/>
        <v>Vencido</v>
      </c>
      <c r="P211" s="67"/>
      <c r="Q211" s="67">
        <f t="shared" ca="1" si="16"/>
        <v>46198</v>
      </c>
    </row>
    <row r="212" spans="2:17" ht="25" x14ac:dyDescent="0.35">
      <c r="B212" s="50">
        <v>7</v>
      </c>
      <c r="C212" s="51" t="s">
        <v>26</v>
      </c>
      <c r="D212" s="52">
        <v>2</v>
      </c>
      <c r="E212" s="52">
        <v>1</v>
      </c>
      <c r="F212" s="53" t="s">
        <v>2323</v>
      </c>
      <c r="G212" s="55" t="s">
        <v>2324</v>
      </c>
      <c r="H212" s="54" t="str">
        <f t="shared" si="13"/>
        <v>MM-GAR-002.01 - Substituição do radiador do gerador UGs Francis</v>
      </c>
      <c r="I212" s="55" t="s">
        <v>2318</v>
      </c>
      <c r="J212" s="55" t="str">
        <f>VLOOKUP(D212,GM!$D$4:$G$1637,4,3)&amp;" e "&amp;C212</f>
        <v>ENGENHARIA MECÂNICA  e GAR</v>
      </c>
      <c r="K212" s="164"/>
      <c r="L212" s="164"/>
      <c r="M212" s="11" t="s">
        <v>267</v>
      </c>
      <c r="O212" s="67" t="str">
        <f t="shared" ca="1" si="15"/>
        <v>Vencido</v>
      </c>
      <c r="P212" s="67"/>
      <c r="Q212" s="67">
        <f t="shared" ca="1" si="16"/>
        <v>46198</v>
      </c>
    </row>
    <row r="213" spans="2:17" ht="25" x14ac:dyDescent="0.35">
      <c r="B213" s="50">
        <v>7</v>
      </c>
      <c r="C213" s="51" t="s">
        <v>26</v>
      </c>
      <c r="D213" s="52">
        <v>3</v>
      </c>
      <c r="E213" s="52">
        <v>1</v>
      </c>
      <c r="F213" s="53" t="s">
        <v>2325</v>
      </c>
      <c r="G213" s="55" t="s">
        <v>2326</v>
      </c>
      <c r="H213" s="54" t="str">
        <f t="shared" si="13"/>
        <v>MM-GAR-003.01 - Partes Elétricas UHE Garibaldi UG-01 - MPP0</v>
      </c>
      <c r="I213" s="55" t="s">
        <v>2060</v>
      </c>
      <c r="J213" s="55" t="str">
        <f>VLOOKUP(D213,GM!$D$4:$G$1637,4,3)&amp;" e "&amp;C213</f>
        <v>ENGENHARIA ELÉTRICA  e GAR</v>
      </c>
      <c r="K213" s="164">
        <v>45274</v>
      </c>
      <c r="L213" s="164">
        <f t="shared" si="14"/>
        <v>46370</v>
      </c>
      <c r="M213" s="10" t="s">
        <v>62</v>
      </c>
      <c r="N213" s="1" t="s">
        <v>371</v>
      </c>
      <c r="O213" s="67" t="str">
        <f t="shared" ca="1" si="15"/>
        <v>Alerta</v>
      </c>
      <c r="P213" s="67"/>
      <c r="Q213" s="67">
        <f t="shared" ca="1" si="16"/>
        <v>924</v>
      </c>
    </row>
    <row r="214" spans="2:17" ht="25" x14ac:dyDescent="0.35">
      <c r="B214" s="50">
        <v>7</v>
      </c>
      <c r="C214" s="51" t="s">
        <v>26</v>
      </c>
      <c r="D214" s="52">
        <v>3</v>
      </c>
      <c r="E214" s="52">
        <v>2</v>
      </c>
      <c r="F214" s="53" t="s">
        <v>2327</v>
      </c>
      <c r="G214" s="55" t="s">
        <v>2328</v>
      </c>
      <c r="H214" s="54" t="str">
        <f t="shared" si="13"/>
        <v>MM-GAR-003.02 - Partes Elétricas UHE Garibaldi UG-02 - MPP0</v>
      </c>
      <c r="I214" s="55" t="s">
        <v>2060</v>
      </c>
      <c r="J214" s="55" t="str">
        <f>VLOOKUP(D214,GM!$D$4:$G$1637,4,3)&amp;" e "&amp;C214</f>
        <v>ENGENHARIA ELÉTRICA  e GAR</v>
      </c>
      <c r="K214" s="164">
        <v>45274</v>
      </c>
      <c r="L214" s="164">
        <f t="shared" si="14"/>
        <v>46370</v>
      </c>
      <c r="M214" s="10" t="s">
        <v>62</v>
      </c>
      <c r="N214" s="1" t="s">
        <v>371</v>
      </c>
      <c r="O214" s="67" t="str">
        <f t="shared" ca="1" si="15"/>
        <v>Alerta</v>
      </c>
      <c r="P214" s="67"/>
      <c r="Q214" s="67">
        <f t="shared" ca="1" si="16"/>
        <v>924</v>
      </c>
    </row>
    <row r="215" spans="2:17" ht="25" x14ac:dyDescent="0.35">
      <c r="B215" s="50">
        <v>7</v>
      </c>
      <c r="C215" s="51" t="s">
        <v>26</v>
      </c>
      <c r="D215" s="52">
        <v>3</v>
      </c>
      <c r="E215" s="52">
        <v>3</v>
      </c>
      <c r="F215" s="53" t="s">
        <v>2329</v>
      </c>
      <c r="G215" s="55" t="s">
        <v>2330</v>
      </c>
      <c r="H215" s="54" t="str">
        <f t="shared" si="13"/>
        <v>MM-GAR-003.03 - Partes Elétricas UHE Garibaldi UG-03 - MPP0</v>
      </c>
      <c r="I215" s="55" t="s">
        <v>2060</v>
      </c>
      <c r="J215" s="55" t="str">
        <f>VLOOKUP(D215,GM!$D$4:$G$1637,4,3)&amp;" e "&amp;C215</f>
        <v>ENGENHARIA ELÉTRICA  e GAR</v>
      </c>
      <c r="K215" s="164">
        <v>45274</v>
      </c>
      <c r="L215" s="164">
        <f t="shared" si="14"/>
        <v>46370</v>
      </c>
      <c r="M215" s="10" t="s">
        <v>62</v>
      </c>
      <c r="N215" s="1" t="s">
        <v>371</v>
      </c>
      <c r="O215" s="67" t="str">
        <f t="shared" ca="1" si="15"/>
        <v>Alerta</v>
      </c>
      <c r="P215" s="67"/>
      <c r="Q215" s="67">
        <f t="shared" ca="1" si="16"/>
        <v>924</v>
      </c>
    </row>
    <row r="216" spans="2:17" ht="25" x14ac:dyDescent="0.35">
      <c r="B216" s="50">
        <v>7</v>
      </c>
      <c r="C216" s="51" t="s">
        <v>26</v>
      </c>
      <c r="D216" s="52">
        <v>3</v>
      </c>
      <c r="E216" s="52">
        <v>4</v>
      </c>
      <c r="F216" s="53" t="s">
        <v>2331</v>
      </c>
      <c r="G216" s="55" t="s">
        <v>2332</v>
      </c>
      <c r="H216" s="54" t="str">
        <f t="shared" si="13"/>
        <v>MM-GAR-003.04 - Partes Elétricas UHE Garibaldi UG-01 - MPP1</v>
      </c>
      <c r="I216" s="55" t="s">
        <v>2060</v>
      </c>
      <c r="J216" s="55" t="str">
        <f>VLOOKUP(D216,GM!$D$4:$G$1637,4,3)&amp;" e "&amp;C216</f>
        <v>ENGENHARIA ELÉTRICA  e GAR</v>
      </c>
      <c r="K216" s="164">
        <v>45274</v>
      </c>
      <c r="L216" s="164">
        <f t="shared" si="14"/>
        <v>46370</v>
      </c>
      <c r="M216" s="10" t="s">
        <v>62</v>
      </c>
      <c r="N216" s="1" t="s">
        <v>371</v>
      </c>
      <c r="O216" s="67" t="str">
        <f t="shared" ca="1" si="15"/>
        <v>Alerta</v>
      </c>
      <c r="P216" s="67"/>
      <c r="Q216" s="67">
        <f t="shared" ca="1" si="16"/>
        <v>924</v>
      </c>
    </row>
    <row r="217" spans="2:17" ht="25" x14ac:dyDescent="0.35">
      <c r="B217" s="50">
        <v>7</v>
      </c>
      <c r="C217" s="51" t="s">
        <v>26</v>
      </c>
      <c r="D217" s="52">
        <v>3</v>
      </c>
      <c r="E217" s="52">
        <v>5</v>
      </c>
      <c r="F217" s="53" t="s">
        <v>2333</v>
      </c>
      <c r="G217" s="55" t="s">
        <v>2334</v>
      </c>
      <c r="H217" s="54" t="str">
        <f t="shared" si="13"/>
        <v>MM-GAR-003.05 - Partes Elétricas UHE Garibaldi UG-02 - MPP1</v>
      </c>
      <c r="I217" s="55" t="s">
        <v>2060</v>
      </c>
      <c r="J217" s="55" t="str">
        <f>VLOOKUP(D217,GM!$D$4:$G$1637,4,3)&amp;" e "&amp;C217</f>
        <v>ENGENHARIA ELÉTRICA  e GAR</v>
      </c>
      <c r="K217" s="164">
        <v>45274</v>
      </c>
      <c r="L217" s="164">
        <f t="shared" si="14"/>
        <v>46370</v>
      </c>
      <c r="M217" s="10" t="s">
        <v>62</v>
      </c>
      <c r="N217" s="1" t="s">
        <v>371</v>
      </c>
      <c r="O217" s="67" t="str">
        <f t="shared" ca="1" si="15"/>
        <v>Alerta</v>
      </c>
      <c r="P217" s="67"/>
      <c r="Q217" s="67">
        <f t="shared" ca="1" si="16"/>
        <v>924</v>
      </c>
    </row>
    <row r="218" spans="2:17" ht="25" x14ac:dyDescent="0.35">
      <c r="B218" s="50">
        <v>7</v>
      </c>
      <c r="C218" s="51" t="s">
        <v>26</v>
      </c>
      <c r="D218" s="52">
        <v>3</v>
      </c>
      <c r="E218" s="52">
        <v>6</v>
      </c>
      <c r="F218" s="53" t="s">
        <v>2335</v>
      </c>
      <c r="G218" s="55" t="s">
        <v>2336</v>
      </c>
      <c r="H218" s="54" t="str">
        <f t="shared" si="13"/>
        <v>MM-GAR-003.06 - Partes Elétricas UHE Garibaldi UG-03 - MPP1</v>
      </c>
      <c r="I218" s="55" t="s">
        <v>2060</v>
      </c>
      <c r="J218" s="55" t="str">
        <f>VLOOKUP(D218,GM!$D$4:$G$1637,4,3)&amp;" e "&amp;C218</f>
        <v>ENGENHARIA ELÉTRICA  e GAR</v>
      </c>
      <c r="K218" s="164">
        <v>45274</v>
      </c>
      <c r="L218" s="164">
        <f t="shared" si="14"/>
        <v>46370</v>
      </c>
      <c r="M218" s="10" t="s">
        <v>62</v>
      </c>
      <c r="N218" s="1" t="s">
        <v>371</v>
      </c>
      <c r="O218" s="67" t="str">
        <f t="shared" ca="1" si="15"/>
        <v>Alerta</v>
      </c>
      <c r="P218" s="67"/>
      <c r="Q218" s="67">
        <f t="shared" ca="1" si="16"/>
        <v>924</v>
      </c>
    </row>
    <row r="219" spans="2:17" ht="25" x14ac:dyDescent="0.35">
      <c r="B219" s="50">
        <v>7</v>
      </c>
      <c r="C219" s="51" t="s">
        <v>26</v>
      </c>
      <c r="D219" s="52">
        <v>6</v>
      </c>
      <c r="E219" s="52">
        <v>1</v>
      </c>
      <c r="F219" s="53" t="s">
        <v>2337</v>
      </c>
      <c r="G219" s="55" t="s">
        <v>2338</v>
      </c>
      <c r="H219" s="54" t="str">
        <f t="shared" si="13"/>
        <v>MM-GAR-006.01 - MPP0 do transformador elevador 01 (TE-U1)</v>
      </c>
      <c r="I219" s="55" t="s">
        <v>2034</v>
      </c>
      <c r="J219" s="55" t="str">
        <f>VLOOKUP(D219,GM!$D$4:$G$1637,4,3)&amp;" e "&amp;C219</f>
        <v>ENGENHARIA ELÉTRICA  e GAR</v>
      </c>
      <c r="K219" s="164">
        <v>45274</v>
      </c>
      <c r="L219" s="164">
        <f t="shared" si="14"/>
        <v>46370</v>
      </c>
      <c r="M219" s="10" t="s">
        <v>62</v>
      </c>
      <c r="N219" s="1" t="s">
        <v>371</v>
      </c>
      <c r="O219" s="67" t="str">
        <f t="shared" ca="1" si="15"/>
        <v>Alerta</v>
      </c>
      <c r="P219" s="67"/>
      <c r="Q219" s="67">
        <f t="shared" ca="1" si="16"/>
        <v>924</v>
      </c>
    </row>
    <row r="220" spans="2:17" ht="25" x14ac:dyDescent="0.35">
      <c r="B220" s="50">
        <v>7</v>
      </c>
      <c r="C220" s="51" t="s">
        <v>26</v>
      </c>
      <c r="D220" s="52">
        <v>6</v>
      </c>
      <c r="E220" s="52">
        <v>2</v>
      </c>
      <c r="F220" s="53" t="s">
        <v>2339</v>
      </c>
      <c r="G220" s="55" t="s">
        <v>2340</v>
      </c>
      <c r="H220" s="54" t="str">
        <f t="shared" si="13"/>
        <v>MM-GAR-006.02 - MPP0 do transformador elevador 02 (TE-U2)</v>
      </c>
      <c r="I220" s="55" t="s">
        <v>2034</v>
      </c>
      <c r="J220" s="55" t="str">
        <f>VLOOKUP(D220,GM!$D$4:$G$1637,4,3)&amp;" e "&amp;C220</f>
        <v>ENGENHARIA ELÉTRICA  e GAR</v>
      </c>
      <c r="K220" s="164">
        <v>45274</v>
      </c>
      <c r="L220" s="164">
        <f t="shared" si="14"/>
        <v>46370</v>
      </c>
      <c r="M220" s="10" t="s">
        <v>62</v>
      </c>
      <c r="N220" s="1" t="s">
        <v>371</v>
      </c>
      <c r="O220" s="67" t="str">
        <f t="shared" ca="1" si="15"/>
        <v>Alerta</v>
      </c>
      <c r="P220" s="67"/>
      <c r="Q220" s="67">
        <f t="shared" ca="1" si="16"/>
        <v>924</v>
      </c>
    </row>
    <row r="221" spans="2:17" ht="25" x14ac:dyDescent="0.35">
      <c r="B221" s="50">
        <v>7</v>
      </c>
      <c r="C221" s="51" t="s">
        <v>26</v>
      </c>
      <c r="D221" s="52">
        <v>6</v>
      </c>
      <c r="E221" s="52">
        <v>3</v>
      </c>
      <c r="F221" s="53" t="s">
        <v>2341</v>
      </c>
      <c r="G221" s="55" t="s">
        <v>2342</v>
      </c>
      <c r="H221" s="54" t="str">
        <f t="shared" si="13"/>
        <v>MM-GAR-006.03 - MPP0 do transformador elevador 03 (TE-U3)</v>
      </c>
      <c r="I221" s="55" t="s">
        <v>2034</v>
      </c>
      <c r="J221" s="55" t="str">
        <f>VLOOKUP(D221,GM!$D$4:$G$1637,4,3)&amp;" e "&amp;C221</f>
        <v>ENGENHARIA ELÉTRICA  e GAR</v>
      </c>
      <c r="K221" s="164">
        <v>45274</v>
      </c>
      <c r="L221" s="164">
        <f t="shared" si="14"/>
        <v>46370</v>
      </c>
      <c r="M221" s="10" t="s">
        <v>62</v>
      </c>
      <c r="N221" s="1" t="s">
        <v>371</v>
      </c>
      <c r="O221" s="67" t="str">
        <f t="shared" ca="1" si="15"/>
        <v>Alerta</v>
      </c>
      <c r="P221" s="67"/>
      <c r="Q221" s="67">
        <f t="shared" ca="1" si="16"/>
        <v>924</v>
      </c>
    </row>
    <row r="222" spans="2:17" ht="25" x14ac:dyDescent="0.35">
      <c r="B222" s="50">
        <v>7</v>
      </c>
      <c r="C222" s="51" t="s">
        <v>26</v>
      </c>
      <c r="D222" s="52">
        <v>6</v>
      </c>
      <c r="E222" s="52">
        <v>4</v>
      </c>
      <c r="F222" s="53" t="s">
        <v>2343</v>
      </c>
      <c r="G222" s="55" t="s">
        <v>2344</v>
      </c>
      <c r="H222" s="54" t="str">
        <f t="shared" si="13"/>
        <v>MM-GAR-006.04 - MPP0 do transformador elevador 04 (TE-U4)</v>
      </c>
      <c r="I222" s="55" t="s">
        <v>2034</v>
      </c>
      <c r="J222" s="55" t="str">
        <f>VLOOKUP(D222,GM!$D$4:$G$1637,4,3)&amp;" e "&amp;C222</f>
        <v>ENGENHARIA ELÉTRICA  e GAR</v>
      </c>
      <c r="K222" s="164">
        <v>45274</v>
      </c>
      <c r="L222" s="164">
        <f t="shared" si="14"/>
        <v>46370</v>
      </c>
      <c r="M222" s="10" t="s">
        <v>62</v>
      </c>
      <c r="N222" s="1" t="s">
        <v>371</v>
      </c>
      <c r="O222" s="67" t="str">
        <f t="shared" ca="1" si="15"/>
        <v>Alerta</v>
      </c>
      <c r="P222" s="67"/>
      <c r="Q222" s="67">
        <f t="shared" ca="1" si="16"/>
        <v>924</v>
      </c>
    </row>
    <row r="223" spans="2:17" ht="26" hidden="1" x14ac:dyDescent="0.35">
      <c r="B223" s="50">
        <v>7</v>
      </c>
      <c r="C223" s="51" t="s">
        <v>26</v>
      </c>
      <c r="D223" s="52">
        <v>6</v>
      </c>
      <c r="E223" s="52">
        <v>5</v>
      </c>
      <c r="F223" s="53" t="s">
        <v>2345</v>
      </c>
      <c r="G223" s="141" t="s">
        <v>2346</v>
      </c>
      <c r="H223" s="54" t="str">
        <f t="shared" si="13"/>
        <v xml:space="preserve">MM-GAR-006.05 - Coleta de Óleo Isolante nos Transformadores Elevadores </v>
      </c>
      <c r="I223" s="55" t="s">
        <v>2034</v>
      </c>
      <c r="J223" s="55" t="str">
        <f>VLOOKUP(D223,GM!$D$4:$G$1637,4,3)&amp;" e "&amp;C223</f>
        <v>ENGENHARIA ELÉTRICA  e GAR</v>
      </c>
      <c r="K223" s="164">
        <v>45755</v>
      </c>
      <c r="L223" s="164">
        <f t="shared" si="14"/>
        <v>46851</v>
      </c>
      <c r="M223" s="10" t="s">
        <v>62</v>
      </c>
      <c r="N223" s="1" t="s">
        <v>371</v>
      </c>
      <c r="O223" s="67" t="str">
        <f t="shared" ca="1" si="15"/>
        <v>Em dia</v>
      </c>
      <c r="P223" s="67"/>
      <c r="Q223" s="67">
        <f t="shared" ca="1" si="16"/>
        <v>443</v>
      </c>
    </row>
    <row r="224" spans="2:17" ht="25" x14ac:dyDescent="0.35">
      <c r="B224" s="50">
        <v>7</v>
      </c>
      <c r="C224" s="51" t="s">
        <v>26</v>
      </c>
      <c r="D224" s="52">
        <v>7</v>
      </c>
      <c r="E224" s="52">
        <v>1</v>
      </c>
      <c r="F224" s="53" t="s">
        <v>2347</v>
      </c>
      <c r="G224" s="53" t="s">
        <v>2348</v>
      </c>
      <c r="H224" s="54" t="str">
        <f t="shared" si="13"/>
        <v>MM-GAR-007.01 - Manutenção preventiva nos transformadores de serviço auxiliar 04, 05, 06 e 07</v>
      </c>
      <c r="I224" s="55" t="s">
        <v>2251</v>
      </c>
      <c r="J224" s="55" t="str">
        <f>VLOOKUP(D224,GM!$D$4:$G$1637,4,3)&amp;" e "&amp;C224</f>
        <v>ENGENHARIA ELÉTRICA  e GAR</v>
      </c>
      <c r="K224" s="164">
        <v>45274</v>
      </c>
      <c r="L224" s="164">
        <f t="shared" si="14"/>
        <v>46370</v>
      </c>
      <c r="M224" s="10" t="s">
        <v>62</v>
      </c>
      <c r="N224" s="1" t="s">
        <v>371</v>
      </c>
      <c r="O224" s="67" t="str">
        <f t="shared" ca="1" si="15"/>
        <v>Alerta</v>
      </c>
      <c r="P224" s="67"/>
      <c r="Q224" s="67">
        <f t="shared" ca="1" si="16"/>
        <v>924</v>
      </c>
    </row>
    <row r="225" spans="2:17" ht="25" hidden="1" x14ac:dyDescent="0.35">
      <c r="B225" s="50">
        <v>7</v>
      </c>
      <c r="C225" s="51" t="s">
        <v>26</v>
      </c>
      <c r="D225" s="52">
        <v>7</v>
      </c>
      <c r="E225" s="52">
        <v>2</v>
      </c>
      <c r="F225" s="53" t="s">
        <v>2349</v>
      </c>
      <c r="G225" s="53" t="s">
        <v>2350</v>
      </c>
      <c r="H225" s="54" t="str">
        <f t="shared" si="13"/>
        <v>MM-GAR-007.02 - Manutenção MPP1 nos Transformadores a seco</v>
      </c>
      <c r="I225" s="55" t="s">
        <v>2251</v>
      </c>
      <c r="J225" s="55" t="str">
        <f>VLOOKUP(D225,GM!$D$4:$G$1637,4,3)&amp;" e "&amp;C225</f>
        <v>ENGENHARIA ELÉTRICA  e GAR</v>
      </c>
      <c r="K225" s="164">
        <v>45959</v>
      </c>
      <c r="L225" s="164">
        <f t="shared" si="14"/>
        <v>47055</v>
      </c>
      <c r="M225" s="10" t="s">
        <v>62</v>
      </c>
      <c r="N225" s="1" t="s">
        <v>61</v>
      </c>
      <c r="O225" s="67" t="str">
        <f t="shared" ca="1" si="15"/>
        <v>Em dia</v>
      </c>
      <c r="P225" s="67"/>
      <c r="Q225" s="67">
        <f t="shared" ca="1" si="16"/>
        <v>239</v>
      </c>
    </row>
    <row r="226" spans="2:17" ht="25" hidden="1" x14ac:dyDescent="0.35">
      <c r="B226" s="50">
        <v>7</v>
      </c>
      <c r="C226" s="51" t="s">
        <v>26</v>
      </c>
      <c r="D226" s="52">
        <v>7</v>
      </c>
      <c r="E226" s="52">
        <v>3</v>
      </c>
      <c r="F226" s="53" t="s">
        <v>2351</v>
      </c>
      <c r="G226" s="53" t="s">
        <v>2352</v>
      </c>
      <c r="H226" s="54" t="str">
        <f t="shared" si="13"/>
        <v>MM-GAR-007.03 - Manutenção MPP0 nos Transformadores a seco</v>
      </c>
      <c r="I226" s="55" t="s">
        <v>2251</v>
      </c>
      <c r="J226" s="55" t="str">
        <f>VLOOKUP(D226,GM!$D$4:$G$1637,4,3)&amp;" e "&amp;C226</f>
        <v>ENGENHARIA ELÉTRICA  e GAR</v>
      </c>
      <c r="K226" s="164">
        <v>45959</v>
      </c>
      <c r="L226" s="164">
        <f t="shared" si="14"/>
        <v>47055</v>
      </c>
      <c r="M226" s="10" t="s">
        <v>62</v>
      </c>
      <c r="N226" s="1" t="s">
        <v>61</v>
      </c>
      <c r="O226" s="67" t="str">
        <f t="shared" ca="1" si="15"/>
        <v>Em dia</v>
      </c>
      <c r="P226" s="67"/>
      <c r="Q226" s="67">
        <f t="shared" ca="1" si="16"/>
        <v>239</v>
      </c>
    </row>
    <row r="227" spans="2:17" ht="25" hidden="1" x14ac:dyDescent="0.35">
      <c r="B227" s="50">
        <v>7</v>
      </c>
      <c r="C227" s="51" t="s">
        <v>26</v>
      </c>
      <c r="D227" s="52">
        <v>8</v>
      </c>
      <c r="E227" s="52">
        <v>1</v>
      </c>
      <c r="F227" s="53" t="s">
        <v>2353</v>
      </c>
      <c r="G227" s="55" t="s">
        <v>2354</v>
      </c>
      <c r="H227" s="54" t="str">
        <f t="shared" si="13"/>
        <v>MM-GAR-008.01 - Ensaio de Termovisão</v>
      </c>
      <c r="I227" s="55" t="s">
        <v>2254</v>
      </c>
      <c r="J227" s="55" t="str">
        <f>VLOOKUP(D227,GM!$D$4:$G$1637,4,3)&amp;" e "&amp;C227</f>
        <v>ENGENHARIA ELÉTRICA  e GAR</v>
      </c>
      <c r="K227" s="164">
        <v>45755</v>
      </c>
      <c r="L227" s="164">
        <f t="shared" si="14"/>
        <v>46851</v>
      </c>
      <c r="M227" s="10" t="s">
        <v>62</v>
      </c>
      <c r="N227" s="1" t="s">
        <v>371</v>
      </c>
      <c r="O227" s="67" t="str">
        <f t="shared" ca="1" si="15"/>
        <v>Em dia</v>
      </c>
      <c r="P227" s="67"/>
      <c r="Q227" s="67">
        <f t="shared" ca="1" si="16"/>
        <v>443</v>
      </c>
    </row>
    <row r="228" spans="2:17" ht="25" hidden="1" x14ac:dyDescent="0.35">
      <c r="B228" s="50">
        <v>7</v>
      </c>
      <c r="C228" s="51" t="s">
        <v>26</v>
      </c>
      <c r="D228" s="52">
        <v>8</v>
      </c>
      <c r="E228" s="52">
        <v>2</v>
      </c>
      <c r="F228" s="53" t="s">
        <v>2355</v>
      </c>
      <c r="G228" s="55" t="s">
        <v>2356</v>
      </c>
      <c r="H228" s="54" t="str">
        <f t="shared" si="13"/>
        <v>MM-GAR-008.02 - Manutenção Preventiva nos DJ 230KV - MPP0</v>
      </c>
      <c r="I228" s="55" t="s">
        <v>2254</v>
      </c>
      <c r="J228" s="55" t="str">
        <f>VLOOKUP(D228,GM!$D$4:$G$1637,4,3)&amp;" e "&amp;C228</f>
        <v>ENGENHARIA ELÉTRICA  e GAR</v>
      </c>
      <c r="K228" s="164">
        <v>45755</v>
      </c>
      <c r="L228" s="164">
        <f t="shared" si="14"/>
        <v>46851</v>
      </c>
      <c r="M228" s="10" t="s">
        <v>62</v>
      </c>
      <c r="N228" s="1" t="s">
        <v>371</v>
      </c>
      <c r="O228" s="67" t="str">
        <f t="shared" ca="1" si="15"/>
        <v>Em dia</v>
      </c>
      <c r="P228" s="67"/>
      <c r="Q228" s="67">
        <f t="shared" ca="1" si="16"/>
        <v>443</v>
      </c>
    </row>
    <row r="229" spans="2:17" ht="25" hidden="1" x14ac:dyDescent="0.35">
      <c r="B229" s="50">
        <v>7</v>
      </c>
      <c r="C229" s="51" t="s">
        <v>26</v>
      </c>
      <c r="D229" s="52">
        <v>8</v>
      </c>
      <c r="E229" s="52">
        <v>3</v>
      </c>
      <c r="F229" s="53" t="s">
        <v>2357</v>
      </c>
      <c r="G229" s="55" t="s">
        <v>2358</v>
      </c>
      <c r="H229" s="54" t="str">
        <f t="shared" si="13"/>
        <v>MM-GAR-008.03 - Manutenção Preventiva nos DJ 230KV - MPP1</v>
      </c>
      <c r="I229" s="55" t="s">
        <v>2254</v>
      </c>
      <c r="J229" s="55" t="str">
        <f>VLOOKUP(D229,GM!$D$4:$G$1637,4,3)&amp;" e "&amp;C229</f>
        <v>ENGENHARIA ELÉTRICA  e GAR</v>
      </c>
      <c r="K229" s="164">
        <v>45819</v>
      </c>
      <c r="L229" s="164">
        <f t="shared" si="14"/>
        <v>46915</v>
      </c>
      <c r="M229" s="10" t="s">
        <v>62</v>
      </c>
      <c r="N229" s="1" t="s">
        <v>371</v>
      </c>
      <c r="O229" s="67" t="str">
        <f t="shared" ca="1" si="15"/>
        <v>Em dia</v>
      </c>
      <c r="P229" s="67"/>
      <c r="Q229" s="67">
        <f t="shared" ca="1" si="16"/>
        <v>379</v>
      </c>
    </row>
    <row r="230" spans="2:17" ht="26" hidden="1" x14ac:dyDescent="0.35">
      <c r="B230" s="50">
        <v>7</v>
      </c>
      <c r="C230" s="51" t="s">
        <v>26</v>
      </c>
      <c r="D230" s="52">
        <v>8</v>
      </c>
      <c r="E230" s="52">
        <v>4</v>
      </c>
      <c r="F230" s="53" t="s">
        <v>2359</v>
      </c>
      <c r="G230" s="55" t="s">
        <v>2360</v>
      </c>
      <c r="H230" s="54" t="str">
        <f t="shared" si="13"/>
        <v>MM-GAR-008.04 - Manutenção Preventiva nas seccionadoras de 230kV - MPP0</v>
      </c>
      <c r="I230" s="55" t="s">
        <v>2254</v>
      </c>
      <c r="J230" s="55" t="str">
        <f>VLOOKUP(D230,GM!$D$4:$G$1637,4,3)&amp;" e "&amp;C230</f>
        <v>ENGENHARIA ELÉTRICA  e GAR</v>
      </c>
      <c r="K230" s="164">
        <v>45819</v>
      </c>
      <c r="L230" s="164">
        <f t="shared" si="14"/>
        <v>46915</v>
      </c>
      <c r="M230" s="10" t="s">
        <v>62</v>
      </c>
      <c r="N230" s="1" t="s">
        <v>371</v>
      </c>
      <c r="O230" s="67" t="str">
        <f t="shared" ca="1" si="15"/>
        <v>Em dia</v>
      </c>
      <c r="P230" s="67"/>
      <c r="Q230" s="67">
        <f t="shared" ca="1" si="16"/>
        <v>379</v>
      </c>
    </row>
    <row r="231" spans="2:17" ht="26" hidden="1" x14ac:dyDescent="0.35">
      <c r="B231" s="50">
        <v>7</v>
      </c>
      <c r="C231" s="51" t="s">
        <v>26</v>
      </c>
      <c r="D231" s="52">
        <v>8</v>
      </c>
      <c r="E231" s="52">
        <v>5</v>
      </c>
      <c r="F231" s="53" t="s">
        <v>2361</v>
      </c>
      <c r="G231" s="55" t="s">
        <v>2362</v>
      </c>
      <c r="H231" s="54" t="str">
        <f t="shared" si="13"/>
        <v>MM-GAR-008.05 - Manutenção Preventiva nas seccionadoras de 230kV - MPP1</v>
      </c>
      <c r="I231" s="55" t="s">
        <v>2254</v>
      </c>
      <c r="J231" s="55" t="str">
        <f>VLOOKUP(D231,GM!$D$4:$G$1637,4,3)&amp;" e "&amp;C231</f>
        <v>ENGENHARIA ELÉTRICA  e GAR</v>
      </c>
      <c r="K231" s="164">
        <v>45819</v>
      </c>
      <c r="L231" s="164">
        <f t="shared" si="14"/>
        <v>46915</v>
      </c>
      <c r="M231" s="10" t="s">
        <v>62</v>
      </c>
      <c r="N231" s="1" t="s">
        <v>371</v>
      </c>
      <c r="O231" s="67" t="str">
        <f t="shared" ca="1" si="15"/>
        <v>Em dia</v>
      </c>
      <c r="P231" s="67"/>
      <c r="Q231" s="67">
        <f t="shared" ca="1" si="16"/>
        <v>379</v>
      </c>
    </row>
    <row r="232" spans="2:17" ht="25" x14ac:dyDescent="0.35">
      <c r="B232" s="50">
        <v>7</v>
      </c>
      <c r="C232" s="51" t="s">
        <v>26</v>
      </c>
      <c r="D232" s="52">
        <v>9</v>
      </c>
      <c r="E232" s="52">
        <v>0</v>
      </c>
      <c r="F232" s="53" t="s">
        <v>2363</v>
      </c>
      <c r="G232" s="67" t="s">
        <v>2364</v>
      </c>
      <c r="H232" s="54" t="str">
        <f t="shared" si="13"/>
        <v>MM-GAR-009.00 - Manutenção preventiva nos painéis de média tensão - MPP0</v>
      </c>
      <c r="I232" s="55" t="s">
        <v>2264</v>
      </c>
      <c r="J232" s="55" t="str">
        <f>VLOOKUP(D232,GM!$D$4:$G$1637,4,3)&amp;" e "&amp;C232</f>
        <v>ENGENHARIA ELÉTRICA  e GAR</v>
      </c>
      <c r="K232" s="164"/>
      <c r="L232" s="164"/>
      <c r="M232" s="11" t="s">
        <v>267</v>
      </c>
      <c r="O232" s="67" t="str">
        <f t="shared" ca="1" si="15"/>
        <v>Vencido</v>
      </c>
      <c r="P232" s="67"/>
      <c r="Q232" s="67">
        <f t="shared" ca="1" si="16"/>
        <v>46198</v>
      </c>
    </row>
    <row r="233" spans="2:17" ht="26" x14ac:dyDescent="0.35">
      <c r="B233" s="50">
        <v>7</v>
      </c>
      <c r="C233" s="51" t="s">
        <v>26</v>
      </c>
      <c r="D233" s="52">
        <v>10</v>
      </c>
      <c r="E233" s="52">
        <v>1</v>
      </c>
      <c r="F233" s="53" t="s">
        <v>2365</v>
      </c>
      <c r="G233" s="55" t="s">
        <v>2366</v>
      </c>
      <c r="H233" s="54" t="str">
        <f t="shared" si="13"/>
        <v>MM-GAR-010.01 - MCP0 no quadro de distribuição da unidade 01 (QCA-U1)</v>
      </c>
      <c r="I233" s="55" t="s">
        <v>2264</v>
      </c>
      <c r="J233" s="55" t="str">
        <f>VLOOKUP(D233,GM!$D$4:$G$1637,4,3)&amp;" e "&amp;C233</f>
        <v>ENGENHARIA ELÉTRICA  e GAR</v>
      </c>
      <c r="K233" s="164">
        <v>45274</v>
      </c>
      <c r="L233" s="164">
        <f t="shared" si="14"/>
        <v>46370</v>
      </c>
      <c r="M233" s="10" t="s">
        <v>62</v>
      </c>
      <c r="N233" s="1" t="s">
        <v>371</v>
      </c>
      <c r="O233" s="67" t="str">
        <f t="shared" ca="1" si="15"/>
        <v>Alerta</v>
      </c>
      <c r="P233" s="67"/>
      <c r="Q233" s="67">
        <f t="shared" ca="1" si="16"/>
        <v>924</v>
      </c>
    </row>
    <row r="234" spans="2:17" ht="26" x14ac:dyDescent="0.35">
      <c r="B234" s="50">
        <v>7</v>
      </c>
      <c r="C234" s="51" t="s">
        <v>26</v>
      </c>
      <c r="D234" s="52">
        <v>10</v>
      </c>
      <c r="E234" s="52">
        <v>2</v>
      </c>
      <c r="F234" s="53" t="s">
        <v>2367</v>
      </c>
      <c r="G234" s="55" t="s">
        <v>2368</v>
      </c>
      <c r="H234" s="54" t="str">
        <f t="shared" si="13"/>
        <v xml:space="preserve">MM-GAR-010.02 - MCP0 no quadro de distribuição CA Subestação Garibaldi (QCA-SE) </v>
      </c>
      <c r="I234" s="55" t="s">
        <v>2264</v>
      </c>
      <c r="J234" s="55" t="str">
        <f>VLOOKUP(D234,GM!$D$4:$G$1637,4,3)&amp;" e "&amp;C234</f>
        <v>ENGENHARIA ELÉTRICA  e GAR</v>
      </c>
      <c r="K234" s="164">
        <v>45274</v>
      </c>
      <c r="L234" s="164">
        <f t="shared" si="14"/>
        <v>46370</v>
      </c>
      <c r="M234" s="10" t="s">
        <v>62</v>
      </c>
      <c r="N234" s="1" t="s">
        <v>371</v>
      </c>
      <c r="O234" s="67" t="str">
        <f t="shared" ca="1" si="15"/>
        <v>Alerta</v>
      </c>
      <c r="P234" s="67"/>
      <c r="Q234" s="67">
        <f t="shared" ca="1" si="16"/>
        <v>924</v>
      </c>
    </row>
    <row r="235" spans="2:17" ht="26" x14ac:dyDescent="0.35">
      <c r="B235" s="50">
        <v>7</v>
      </c>
      <c r="C235" s="51" t="s">
        <v>26</v>
      </c>
      <c r="D235" s="52">
        <v>10</v>
      </c>
      <c r="E235" s="52">
        <v>3</v>
      </c>
      <c r="F235" s="53" t="s">
        <v>2369</v>
      </c>
      <c r="G235" s="55" t="s">
        <v>2370</v>
      </c>
      <c r="H235" s="54" t="str">
        <f t="shared" si="13"/>
        <v xml:space="preserve">MM-GAR-010.03 - MCP0 no quadro de distribuição CA tomada  D’água (QCA-TA) </v>
      </c>
      <c r="I235" s="55" t="s">
        <v>2264</v>
      </c>
      <c r="J235" s="55" t="str">
        <f>VLOOKUP(D235,GM!$D$4:$G$1637,4,3)&amp;" e "&amp;C235</f>
        <v>ENGENHARIA ELÉTRICA  e GAR</v>
      </c>
      <c r="K235" s="164">
        <v>45274</v>
      </c>
      <c r="L235" s="164">
        <f t="shared" si="14"/>
        <v>46370</v>
      </c>
      <c r="M235" s="10" t="s">
        <v>62</v>
      </c>
      <c r="N235" s="1" t="s">
        <v>371</v>
      </c>
      <c r="O235" s="67" t="str">
        <f t="shared" ca="1" si="15"/>
        <v>Alerta</v>
      </c>
      <c r="P235" s="67"/>
      <c r="Q235" s="67">
        <f t="shared" ca="1" si="16"/>
        <v>924</v>
      </c>
    </row>
    <row r="236" spans="2:17" ht="26" x14ac:dyDescent="0.35">
      <c r="B236" s="50">
        <v>7</v>
      </c>
      <c r="C236" s="51" t="s">
        <v>26</v>
      </c>
      <c r="D236" s="52">
        <v>10</v>
      </c>
      <c r="E236" s="52">
        <v>4</v>
      </c>
      <c r="F236" s="53" t="s">
        <v>2371</v>
      </c>
      <c r="G236" s="55" t="s">
        <v>2372</v>
      </c>
      <c r="H236" s="54" t="str">
        <f t="shared" si="13"/>
        <v>MM-GAR-010.04 - MCP0 no quadro de distribuição CA geral de cargas (QCA G1)</v>
      </c>
      <c r="I236" s="55" t="s">
        <v>2264</v>
      </c>
      <c r="J236" s="55" t="str">
        <f>VLOOKUP(D236,GM!$D$4:$G$1637,4,3)&amp;" e "&amp;C236</f>
        <v>ENGENHARIA ELÉTRICA  e GAR</v>
      </c>
      <c r="K236" s="164">
        <v>45274</v>
      </c>
      <c r="L236" s="164">
        <f t="shared" si="14"/>
        <v>46370</v>
      </c>
      <c r="M236" s="10" t="s">
        <v>62</v>
      </c>
      <c r="N236" s="1" t="s">
        <v>371</v>
      </c>
      <c r="O236" s="67" t="str">
        <f t="shared" ca="1" si="15"/>
        <v>Alerta</v>
      </c>
      <c r="P236" s="67"/>
      <c r="Q236" s="67">
        <f t="shared" ca="1" si="16"/>
        <v>924</v>
      </c>
    </row>
    <row r="237" spans="2:17" ht="26" x14ac:dyDescent="0.35">
      <c r="B237" s="50">
        <v>7</v>
      </c>
      <c r="C237" s="51" t="s">
        <v>26</v>
      </c>
      <c r="D237" s="52">
        <v>10</v>
      </c>
      <c r="E237" s="52">
        <v>5</v>
      </c>
      <c r="F237" s="53" t="s">
        <v>2373</v>
      </c>
      <c r="G237" s="55" t="s">
        <v>2374</v>
      </c>
      <c r="H237" s="54" t="str">
        <f t="shared" si="13"/>
        <v>MM-GAR-010.05 - MCP0 no quadro de distribuição CA geral de cargas (QCA G2)</v>
      </c>
      <c r="I237" s="55" t="s">
        <v>2264</v>
      </c>
      <c r="J237" s="55" t="str">
        <f>VLOOKUP(D237,GM!$D$4:$G$1637,4,3)&amp;" e "&amp;C237</f>
        <v>ENGENHARIA ELÉTRICA  e GAR</v>
      </c>
      <c r="K237" s="164">
        <v>45274</v>
      </c>
      <c r="L237" s="164">
        <f t="shared" si="14"/>
        <v>46370</v>
      </c>
      <c r="M237" s="10" t="s">
        <v>62</v>
      </c>
      <c r="N237" s="1" t="s">
        <v>371</v>
      </c>
      <c r="O237" s="67" t="str">
        <f t="shared" ca="1" si="15"/>
        <v>Alerta</v>
      </c>
      <c r="P237" s="67"/>
      <c r="Q237" s="67">
        <f t="shared" ca="1" si="16"/>
        <v>924</v>
      </c>
    </row>
    <row r="238" spans="2:17" ht="26" x14ac:dyDescent="0.35">
      <c r="B238" s="50">
        <v>7</v>
      </c>
      <c r="C238" s="51" t="s">
        <v>26</v>
      </c>
      <c r="D238" s="52">
        <v>10</v>
      </c>
      <c r="E238" s="52">
        <v>6</v>
      </c>
      <c r="F238" s="53" t="s">
        <v>2375</v>
      </c>
      <c r="G238" s="55" t="s">
        <v>2376</v>
      </c>
      <c r="H238" s="54" t="str">
        <f t="shared" si="13"/>
        <v>MM-GAR-010.06 - MCP0 no quadro de distribuição CA da unidade geradora 02 (QCA U2)</v>
      </c>
      <c r="I238" s="55" t="s">
        <v>2264</v>
      </c>
      <c r="J238" s="55" t="str">
        <f>VLOOKUP(D238,GM!$D$4:$G$1637,4,3)&amp;" e "&amp;C238</f>
        <v>ENGENHARIA ELÉTRICA  e GAR</v>
      </c>
      <c r="K238" s="164">
        <v>45274</v>
      </c>
      <c r="L238" s="164">
        <f t="shared" si="14"/>
        <v>46370</v>
      </c>
      <c r="M238" s="10" t="s">
        <v>62</v>
      </c>
      <c r="N238" s="1" t="s">
        <v>371</v>
      </c>
      <c r="O238" s="67" t="str">
        <f t="shared" ca="1" si="15"/>
        <v>Alerta</v>
      </c>
      <c r="P238" s="67"/>
      <c r="Q238" s="67">
        <f t="shared" ca="1" si="16"/>
        <v>924</v>
      </c>
    </row>
    <row r="239" spans="2:17" ht="26" x14ac:dyDescent="0.35">
      <c r="B239" s="50">
        <v>7</v>
      </c>
      <c r="C239" s="51" t="s">
        <v>26</v>
      </c>
      <c r="D239" s="52">
        <v>10</v>
      </c>
      <c r="E239" s="52">
        <v>7</v>
      </c>
      <c r="F239" s="53" t="s">
        <v>2377</v>
      </c>
      <c r="G239" s="55" t="s">
        <v>2378</v>
      </c>
      <c r="H239" s="54" t="str">
        <f t="shared" si="13"/>
        <v>MM-GAR-010.07 - MCP0 no quadro de distribuição CA da unidade geradora 03 (QCA U3)</v>
      </c>
      <c r="I239" s="55" t="s">
        <v>2264</v>
      </c>
      <c r="J239" s="55" t="str">
        <f>VLOOKUP(D239,GM!$D$4:$G$1637,4,3)&amp;" e "&amp;C239</f>
        <v>ENGENHARIA ELÉTRICA  e GAR</v>
      </c>
      <c r="K239" s="164">
        <v>45274</v>
      </c>
      <c r="L239" s="164">
        <f t="shared" si="14"/>
        <v>46370</v>
      </c>
      <c r="M239" s="10" t="s">
        <v>62</v>
      </c>
      <c r="N239" s="1" t="s">
        <v>371</v>
      </c>
      <c r="O239" s="67" t="str">
        <f t="shared" ca="1" si="15"/>
        <v>Alerta</v>
      </c>
      <c r="P239" s="67"/>
      <c r="Q239" s="67">
        <f t="shared" ca="1" si="16"/>
        <v>924</v>
      </c>
    </row>
    <row r="240" spans="2:17" ht="26" x14ac:dyDescent="0.35">
      <c r="B240" s="50">
        <v>7</v>
      </c>
      <c r="C240" s="51" t="s">
        <v>26</v>
      </c>
      <c r="D240" s="52">
        <v>13</v>
      </c>
      <c r="E240" s="52">
        <v>0</v>
      </c>
      <c r="F240" s="53" t="s">
        <v>2379</v>
      </c>
      <c r="G240" s="55" t="s">
        <v>2380</v>
      </c>
      <c r="H240" s="54" t="str">
        <f t="shared" si="13"/>
        <v>MM-GAR-013.00 - Recomposição do SDSC - Sistema de Supervisão e Controle</v>
      </c>
      <c r="I240" s="55" t="s">
        <v>2381</v>
      </c>
      <c r="J240" s="55" t="str">
        <f>VLOOKUP(D240,GM!$D$4:$G$1637,4,3)&amp;" e "&amp;C240</f>
        <v>ENGENHARIA ELÉTRICA  e GAR</v>
      </c>
      <c r="K240" s="164"/>
      <c r="L240" s="164"/>
      <c r="M240" s="11" t="s">
        <v>267</v>
      </c>
      <c r="O240" s="67" t="str">
        <f t="shared" ca="1" si="15"/>
        <v>Vencido</v>
      </c>
      <c r="P240" s="67"/>
      <c r="Q240" s="67">
        <f t="shared" ca="1" si="16"/>
        <v>46198</v>
      </c>
    </row>
    <row r="241" spans="2:17" ht="26" x14ac:dyDescent="0.35">
      <c r="B241" s="50">
        <v>7</v>
      </c>
      <c r="C241" s="51" t="s">
        <v>26</v>
      </c>
      <c r="D241" s="52">
        <v>13</v>
      </c>
      <c r="E241" s="52">
        <v>1</v>
      </c>
      <c r="F241" s="53" t="s">
        <v>2382</v>
      </c>
      <c r="G241" s="55" t="s">
        <v>2383</v>
      </c>
      <c r="H241" s="54" t="str">
        <f t="shared" si="13"/>
        <v>MM-GAR-013.01 - Manutenção preventiva na unidade de aquisição e controle da UG01 da UHE Garibaldi</v>
      </c>
      <c r="I241" s="55" t="s">
        <v>2381</v>
      </c>
      <c r="J241" s="55" t="str">
        <f>VLOOKUP(D241,GM!$D$4:$G$1637,4,3)&amp;" e "&amp;C241</f>
        <v>ENGENHARIA ELÉTRICA  e GAR</v>
      </c>
      <c r="K241" s="164">
        <v>45274</v>
      </c>
      <c r="L241" s="164">
        <f t="shared" si="14"/>
        <v>46370</v>
      </c>
      <c r="M241" s="10" t="s">
        <v>62</v>
      </c>
      <c r="N241" s="1" t="s">
        <v>371</v>
      </c>
      <c r="O241" s="67" t="str">
        <f t="shared" ca="1" si="15"/>
        <v>Alerta</v>
      </c>
      <c r="P241" s="67"/>
      <c r="Q241" s="67">
        <f t="shared" ca="1" si="16"/>
        <v>924</v>
      </c>
    </row>
    <row r="242" spans="2:17" ht="26" x14ac:dyDescent="0.35">
      <c r="B242" s="50">
        <v>7</v>
      </c>
      <c r="C242" s="51" t="s">
        <v>26</v>
      </c>
      <c r="D242" s="52">
        <v>13</v>
      </c>
      <c r="E242" s="52">
        <v>2</v>
      </c>
      <c r="F242" s="53" t="s">
        <v>2384</v>
      </c>
      <c r="G242" s="55" t="s">
        <v>2385</v>
      </c>
      <c r="H242" s="54" t="str">
        <f t="shared" si="13"/>
        <v>MM-GAR-013.02 - Manutenção preventiva na unidade de aquisição e controle da UG02 da UHE Garibaldi</v>
      </c>
      <c r="I242" s="55" t="s">
        <v>2381</v>
      </c>
      <c r="J242" s="55" t="str">
        <f>VLOOKUP(D242,GM!$D$4:$G$1637,4,3)&amp;" e "&amp;C242</f>
        <v>ENGENHARIA ELÉTRICA  e GAR</v>
      </c>
      <c r="K242" s="164">
        <v>45274</v>
      </c>
      <c r="L242" s="164">
        <f t="shared" si="14"/>
        <v>46370</v>
      </c>
      <c r="M242" s="10" t="s">
        <v>62</v>
      </c>
      <c r="N242" s="1" t="s">
        <v>371</v>
      </c>
      <c r="O242" s="67" t="str">
        <f t="shared" ca="1" si="15"/>
        <v>Alerta</v>
      </c>
      <c r="P242" s="67"/>
      <c r="Q242" s="67">
        <f t="shared" ca="1" si="16"/>
        <v>924</v>
      </c>
    </row>
    <row r="243" spans="2:17" ht="26" x14ac:dyDescent="0.35">
      <c r="B243" s="50">
        <v>7</v>
      </c>
      <c r="C243" s="51" t="s">
        <v>26</v>
      </c>
      <c r="D243" s="52">
        <v>13</v>
      </c>
      <c r="E243" s="52">
        <v>3</v>
      </c>
      <c r="F243" s="53" t="s">
        <v>2386</v>
      </c>
      <c r="G243" s="55" t="s">
        <v>2387</v>
      </c>
      <c r="H243" s="54" t="str">
        <f t="shared" si="13"/>
        <v>MM-GAR-013.03 - Manutenção preventiva na unidade de aquisição e controle da UG03 da UHE Garibaldi</v>
      </c>
      <c r="I243" s="55" t="s">
        <v>2381</v>
      </c>
      <c r="J243" s="55" t="str">
        <f>VLOOKUP(D243,GM!$D$4:$G$1637,4,3)&amp;" e "&amp;C243</f>
        <v>ENGENHARIA ELÉTRICA  e GAR</v>
      </c>
      <c r="K243" s="164">
        <v>45274</v>
      </c>
      <c r="L243" s="164">
        <f t="shared" si="14"/>
        <v>46370</v>
      </c>
      <c r="M243" s="10" t="s">
        <v>62</v>
      </c>
      <c r="N243" s="1" t="s">
        <v>371</v>
      </c>
      <c r="O243" s="67" t="str">
        <f t="shared" ca="1" si="15"/>
        <v>Alerta</v>
      </c>
      <c r="P243" s="67"/>
      <c r="Q243" s="67">
        <f t="shared" ca="1" si="16"/>
        <v>924</v>
      </c>
    </row>
    <row r="244" spans="2:17" ht="26" x14ac:dyDescent="0.35">
      <c r="B244" s="50">
        <v>7</v>
      </c>
      <c r="C244" s="51" t="s">
        <v>26</v>
      </c>
      <c r="D244" s="52">
        <v>13</v>
      </c>
      <c r="E244" s="52">
        <v>4</v>
      </c>
      <c r="F244" s="53" t="s">
        <v>2388</v>
      </c>
      <c r="G244" s="55" t="s">
        <v>2389</v>
      </c>
      <c r="H244" s="54" t="str">
        <f t="shared" si="13"/>
        <v>MM-GAR-013.04 - Manutenção preventiva na unidade de aquisição e controle da UG04 da UHE Garibaldi</v>
      </c>
      <c r="I244" s="55" t="s">
        <v>2381</v>
      </c>
      <c r="J244" s="55" t="str">
        <f>VLOOKUP(D244,GM!$D$4:$G$1637,4,3)&amp;" e "&amp;C244</f>
        <v>ENGENHARIA ELÉTRICA  e GAR</v>
      </c>
      <c r="K244" s="164">
        <v>45274</v>
      </c>
      <c r="L244" s="164">
        <f t="shared" si="14"/>
        <v>46370</v>
      </c>
      <c r="M244" s="10" t="s">
        <v>62</v>
      </c>
      <c r="N244" s="1" t="s">
        <v>371</v>
      </c>
      <c r="O244" s="67" t="str">
        <f t="shared" ca="1" si="15"/>
        <v>Alerta</v>
      </c>
      <c r="P244" s="67"/>
      <c r="Q244" s="67">
        <f t="shared" ca="1" si="16"/>
        <v>924</v>
      </c>
    </row>
    <row r="245" spans="2:17" ht="26" x14ac:dyDescent="0.35">
      <c r="B245" s="50">
        <v>7</v>
      </c>
      <c r="C245" s="51" t="s">
        <v>26</v>
      </c>
      <c r="D245" s="52">
        <v>13</v>
      </c>
      <c r="E245" s="52">
        <v>5</v>
      </c>
      <c r="F245" s="53" t="s">
        <v>2390</v>
      </c>
      <c r="G245" s="55" t="s">
        <v>2391</v>
      </c>
      <c r="H245" s="54" t="str">
        <f t="shared" si="13"/>
        <v>MM-GAR-013.05 - Manutenção preventiva na unidade de aquisição e controle da UAC-CF da UHE Garibaldi</v>
      </c>
      <c r="I245" s="55" t="s">
        <v>2381</v>
      </c>
      <c r="J245" s="55" t="str">
        <f>VLOOKUP(D245,GM!$D$4:$G$1637,4,3)&amp;" e "&amp;C245</f>
        <v>ENGENHARIA ELÉTRICA  e GAR</v>
      </c>
      <c r="K245" s="164">
        <v>45274</v>
      </c>
      <c r="L245" s="164">
        <f t="shared" si="14"/>
        <v>46370</v>
      </c>
      <c r="M245" s="10" t="s">
        <v>62</v>
      </c>
      <c r="N245" s="1" t="s">
        <v>371</v>
      </c>
      <c r="O245" s="67" t="str">
        <f t="shared" ca="1" si="15"/>
        <v>Alerta</v>
      </c>
      <c r="P245" s="67"/>
      <c r="Q245" s="67">
        <f t="shared" ca="1" si="16"/>
        <v>924</v>
      </c>
    </row>
    <row r="246" spans="2:17" ht="26" x14ac:dyDescent="0.35">
      <c r="B246" s="50">
        <v>7</v>
      </c>
      <c r="C246" s="51" t="s">
        <v>26</v>
      </c>
      <c r="D246" s="52">
        <v>13</v>
      </c>
      <c r="E246" s="52">
        <v>6</v>
      </c>
      <c r="F246" s="53" t="s">
        <v>2392</v>
      </c>
      <c r="G246" s="55" t="s">
        <v>2393</v>
      </c>
      <c r="H246" s="54" t="str">
        <f t="shared" si="13"/>
        <v>MM-GAR-013.06 - Manutenção preventiva na unidade de aquisição e controle da UAC-PC da UHE Garibaldi</v>
      </c>
      <c r="I246" s="55" t="s">
        <v>2381</v>
      </c>
      <c r="J246" s="55" t="str">
        <f>VLOOKUP(D246,GM!$D$4:$G$1637,4,3)&amp;" e "&amp;C246</f>
        <v>ENGENHARIA ELÉTRICA  e GAR</v>
      </c>
      <c r="K246" s="164">
        <v>45274</v>
      </c>
      <c r="L246" s="164">
        <f t="shared" si="14"/>
        <v>46370</v>
      </c>
      <c r="M246" s="10" t="s">
        <v>62</v>
      </c>
      <c r="N246" s="1" t="s">
        <v>371</v>
      </c>
      <c r="O246" s="67" t="str">
        <f t="shared" ca="1" si="15"/>
        <v>Alerta</v>
      </c>
      <c r="P246" s="67"/>
      <c r="Q246" s="67">
        <f t="shared" ca="1" si="16"/>
        <v>924</v>
      </c>
    </row>
    <row r="247" spans="2:17" ht="26" x14ac:dyDescent="0.35">
      <c r="B247" s="50">
        <v>7</v>
      </c>
      <c r="C247" s="51" t="s">
        <v>26</v>
      </c>
      <c r="D247" s="52">
        <v>13</v>
      </c>
      <c r="E247" s="52">
        <v>7</v>
      </c>
      <c r="F247" s="53" t="s">
        <v>2394</v>
      </c>
      <c r="G247" s="55" t="s">
        <v>2395</v>
      </c>
      <c r="H247" s="54" t="str">
        <f t="shared" si="13"/>
        <v>MM-GAR-013.07 - Manutenção preventiva na unidade de aquisição e controle da SE-230KV da UHE Garibaldi</v>
      </c>
      <c r="I247" s="55" t="s">
        <v>2381</v>
      </c>
      <c r="J247" s="55" t="str">
        <f>VLOOKUP(D247,GM!$D$4:$G$1637,4,3)&amp;" e "&amp;C247</f>
        <v>ENGENHARIA ELÉTRICA  e GAR</v>
      </c>
      <c r="K247" s="164">
        <v>45274</v>
      </c>
      <c r="L247" s="164">
        <f t="shared" si="14"/>
        <v>46370</v>
      </c>
      <c r="M247" s="10" t="s">
        <v>62</v>
      </c>
      <c r="N247" s="1" t="s">
        <v>371</v>
      </c>
      <c r="O247" s="67" t="str">
        <f t="shared" ca="1" si="15"/>
        <v>Alerta</v>
      </c>
      <c r="P247" s="67"/>
      <c r="Q247" s="67">
        <f t="shared" ca="1" si="16"/>
        <v>924</v>
      </c>
    </row>
    <row r="248" spans="2:17" ht="26" x14ac:dyDescent="0.35">
      <c r="B248" s="50">
        <v>7</v>
      </c>
      <c r="C248" s="51" t="s">
        <v>26</v>
      </c>
      <c r="D248" s="52">
        <v>15</v>
      </c>
      <c r="E248" s="52">
        <v>1</v>
      </c>
      <c r="F248" s="53" t="s">
        <v>2396</v>
      </c>
      <c r="G248" s="55" t="s">
        <v>2397</v>
      </c>
      <c r="H248" s="54" t="str">
        <f t="shared" si="13"/>
        <v>MM-GAR-015.01 - Coleta de oscilógrafia dos relés de proteção Schweitzer da UHE Garibaldi</v>
      </c>
      <c r="I248" s="55" t="s">
        <v>2077</v>
      </c>
      <c r="J248" s="55" t="str">
        <f>VLOOKUP(D248,GM!$D$4:$G$1637,4,3)&amp;" e "&amp;C248</f>
        <v>ENGENHARIA ELÉTRICA  e GAR</v>
      </c>
      <c r="K248" s="164">
        <v>45274</v>
      </c>
      <c r="L248" s="164">
        <f t="shared" si="14"/>
        <v>46370</v>
      </c>
      <c r="M248" s="10" t="s">
        <v>62</v>
      </c>
      <c r="N248" s="1" t="s">
        <v>371</v>
      </c>
      <c r="O248" s="67" t="str">
        <f t="shared" ca="1" si="15"/>
        <v>Alerta</v>
      </c>
      <c r="P248" s="67"/>
      <c r="Q248" s="67">
        <f t="shared" ca="1" si="16"/>
        <v>924</v>
      </c>
    </row>
    <row r="249" spans="2:17" ht="26" x14ac:dyDescent="0.35">
      <c r="B249" s="50">
        <v>7</v>
      </c>
      <c r="C249" s="51" t="s">
        <v>26</v>
      </c>
      <c r="D249" s="52">
        <v>15</v>
      </c>
      <c r="E249" s="52">
        <v>2</v>
      </c>
      <c r="F249" s="53" t="s">
        <v>2398</v>
      </c>
      <c r="G249" s="55" t="s">
        <v>2399</v>
      </c>
      <c r="H249" s="54" t="str">
        <f t="shared" si="13"/>
        <v>MM-GAR-015.02 - Manutenção Preventiva Proteção da unidade geradora - MPP0</v>
      </c>
      <c r="I249" s="55" t="s">
        <v>2077</v>
      </c>
      <c r="J249" s="55" t="str">
        <f>VLOOKUP(D249,GM!$D$4:$G$1637,4,3)&amp;" e "&amp;C249</f>
        <v>ENGENHARIA ELÉTRICA  e GAR</v>
      </c>
      <c r="K249" s="164"/>
      <c r="L249" s="164"/>
      <c r="M249" s="11" t="s">
        <v>267</v>
      </c>
      <c r="O249" s="67" t="str">
        <f t="shared" ca="1" si="15"/>
        <v>Vencido</v>
      </c>
      <c r="P249" s="67"/>
      <c r="Q249" s="67">
        <f t="shared" ca="1" si="16"/>
        <v>46198</v>
      </c>
    </row>
    <row r="250" spans="2:17" ht="26" x14ac:dyDescent="0.35">
      <c r="B250" s="50">
        <v>7</v>
      </c>
      <c r="C250" s="51" t="s">
        <v>26</v>
      </c>
      <c r="D250" s="52">
        <v>15</v>
      </c>
      <c r="E250" s="52">
        <v>3</v>
      </c>
      <c r="F250" s="53" t="s">
        <v>2400</v>
      </c>
      <c r="G250" s="55" t="s">
        <v>2401</v>
      </c>
      <c r="H250" s="54" t="str">
        <f t="shared" si="13"/>
        <v>MM-GAR-015.03 - Manutenção Preventiva Proteção da unidade geradora - MPP1</v>
      </c>
      <c r="I250" s="55" t="s">
        <v>2077</v>
      </c>
      <c r="J250" s="55" t="str">
        <f>VLOOKUP(D250,GM!$D$4:$G$1637,4,3)&amp;" e "&amp;C250</f>
        <v>ENGENHARIA ELÉTRICA  e GAR</v>
      </c>
      <c r="K250" s="164"/>
      <c r="L250" s="164"/>
      <c r="M250" s="11" t="s">
        <v>267</v>
      </c>
      <c r="O250" s="67" t="str">
        <f t="shared" ca="1" si="15"/>
        <v>Vencido</v>
      </c>
      <c r="P250" s="67"/>
      <c r="Q250" s="67">
        <f t="shared" ca="1" si="16"/>
        <v>46198</v>
      </c>
    </row>
    <row r="251" spans="2:17" ht="25" x14ac:dyDescent="0.35">
      <c r="B251" s="50">
        <v>7</v>
      </c>
      <c r="C251" s="51" t="s">
        <v>26</v>
      </c>
      <c r="D251" s="52">
        <v>18</v>
      </c>
      <c r="E251" s="52">
        <v>1</v>
      </c>
      <c r="F251" s="53" t="s">
        <v>2402</v>
      </c>
      <c r="G251" s="55" t="s">
        <v>2403</v>
      </c>
      <c r="H251" s="54" t="str">
        <f t="shared" si="13"/>
        <v>MM-GAR-018.01 - Sistema de Excitação UHE Garibaldi TEX-U1</v>
      </c>
      <c r="I251" s="55" t="s">
        <v>2404</v>
      </c>
      <c r="J251" s="55" t="str">
        <f>VLOOKUP(D251,GM!$D$4:$G$1637,4,3)&amp;" e "&amp;C251</f>
        <v>ENGENHARIA ELÉTRICA  e GAR</v>
      </c>
      <c r="K251" s="164"/>
      <c r="L251" s="164"/>
      <c r="M251" s="11" t="s">
        <v>267</v>
      </c>
      <c r="O251" s="67" t="str">
        <f t="shared" ca="1" si="15"/>
        <v>Vencido</v>
      </c>
      <c r="P251" s="67"/>
      <c r="Q251" s="67">
        <f t="shared" ca="1" si="16"/>
        <v>46198</v>
      </c>
    </row>
    <row r="252" spans="2:17" ht="25" x14ac:dyDescent="0.35">
      <c r="B252" s="50">
        <v>7</v>
      </c>
      <c r="C252" s="51" t="s">
        <v>26</v>
      </c>
      <c r="D252" s="52">
        <v>18</v>
      </c>
      <c r="E252" s="52">
        <v>2</v>
      </c>
      <c r="F252" s="53" t="s">
        <v>2405</v>
      </c>
      <c r="G252" s="55" t="s">
        <v>2406</v>
      </c>
      <c r="H252" s="54" t="str">
        <f t="shared" si="13"/>
        <v>MM-GAR-018.02 - Sistema de Excitação UHE Garibaldi TEX-U2</v>
      </c>
      <c r="I252" s="55" t="s">
        <v>2404</v>
      </c>
      <c r="J252" s="55" t="str">
        <f>VLOOKUP(D252,GM!$D$4:$G$1637,4,3)&amp;" e "&amp;C252</f>
        <v>ENGENHARIA ELÉTRICA  e GAR</v>
      </c>
      <c r="K252" s="164"/>
      <c r="L252" s="164"/>
      <c r="M252" s="11" t="s">
        <v>267</v>
      </c>
      <c r="O252" s="67" t="str">
        <f t="shared" ca="1" si="15"/>
        <v>Vencido</v>
      </c>
      <c r="P252" s="67"/>
      <c r="Q252" s="67">
        <f t="shared" ca="1" si="16"/>
        <v>46198</v>
      </c>
    </row>
    <row r="253" spans="2:17" ht="25" x14ac:dyDescent="0.35">
      <c r="B253" s="50">
        <v>7</v>
      </c>
      <c r="C253" s="51" t="s">
        <v>26</v>
      </c>
      <c r="D253" s="52">
        <v>18</v>
      </c>
      <c r="E253" s="52">
        <v>3</v>
      </c>
      <c r="F253" s="53" t="s">
        <v>2407</v>
      </c>
      <c r="G253" s="55" t="s">
        <v>2408</v>
      </c>
      <c r="H253" s="54" t="str">
        <f t="shared" si="13"/>
        <v>MM-GAR-018.03 - Sistema de Excitação UHE Garibaldi TEX-U3</v>
      </c>
      <c r="I253" s="55" t="s">
        <v>2404</v>
      </c>
      <c r="J253" s="55" t="str">
        <f>VLOOKUP(D253,GM!$D$4:$G$1637,4,3)&amp;" e "&amp;C253</f>
        <v>ENGENHARIA ELÉTRICA  e GAR</v>
      </c>
      <c r="K253" s="164"/>
      <c r="L253" s="164"/>
      <c r="M253" s="11" t="s">
        <v>267</v>
      </c>
      <c r="O253" s="67" t="str">
        <f t="shared" ca="1" si="15"/>
        <v>Vencido</v>
      </c>
      <c r="P253" s="67"/>
      <c r="Q253" s="67">
        <f t="shared" ca="1" si="16"/>
        <v>46198</v>
      </c>
    </row>
    <row r="254" spans="2:17" ht="25" x14ac:dyDescent="0.35">
      <c r="B254" s="50">
        <v>7</v>
      </c>
      <c r="C254" s="51" t="s">
        <v>26</v>
      </c>
      <c r="D254" s="52">
        <v>19</v>
      </c>
      <c r="E254" s="52">
        <v>1</v>
      </c>
      <c r="F254" s="53" t="s">
        <v>2409</v>
      </c>
      <c r="G254" s="55" t="s">
        <v>2410</v>
      </c>
      <c r="H254" s="54" t="str">
        <f t="shared" si="13"/>
        <v>MM-GAR-019.01 - Manutenção em Sistemas Medição de Fuga a Terra</v>
      </c>
      <c r="I254" s="55" t="s">
        <v>2404</v>
      </c>
      <c r="J254" s="55" t="str">
        <f>VLOOKUP(D254,GM!$D$4:$G$1637,4,3)&amp;" e "&amp;C254</f>
        <v>ENGENHARIA ELÉTRICA  e GAR</v>
      </c>
      <c r="K254" s="164">
        <v>45274</v>
      </c>
      <c r="L254" s="164">
        <f t="shared" si="14"/>
        <v>46370</v>
      </c>
      <c r="M254" s="10" t="s">
        <v>62</v>
      </c>
      <c r="N254" s="1" t="s">
        <v>371</v>
      </c>
      <c r="O254" s="67" t="str">
        <f t="shared" ca="1" si="15"/>
        <v>Alerta</v>
      </c>
      <c r="P254" s="67"/>
      <c r="Q254" s="67">
        <f t="shared" ca="1" si="16"/>
        <v>924</v>
      </c>
    </row>
    <row r="255" spans="2:17" ht="39" x14ac:dyDescent="0.35">
      <c r="B255" s="50">
        <v>7</v>
      </c>
      <c r="C255" s="51" t="s">
        <v>26</v>
      </c>
      <c r="D255" s="52">
        <v>20</v>
      </c>
      <c r="E255" s="52">
        <v>1</v>
      </c>
      <c r="F255" s="53" t="s">
        <v>2411</v>
      </c>
      <c r="G255" s="55" t="s">
        <v>2412</v>
      </c>
      <c r="H255" s="54" t="str">
        <f t="shared" si="13"/>
        <v xml:space="preserve">MM-GAR-020.01 - Abastecimento e Medição de Pressão de Pré-Carga de Nitrogênio no Regulador de Velocidade da UG01 
</v>
      </c>
      <c r="I255" s="55" t="s">
        <v>2413</v>
      </c>
      <c r="J255" s="55" t="str">
        <f>VLOOKUP(D255,GM!$D$4:$G$1637,4,3)&amp;" e "&amp;C255</f>
        <v>ENGENHARIA MECÂNICA  e GAR</v>
      </c>
      <c r="K255" s="164"/>
      <c r="L255" s="164"/>
      <c r="M255" s="11" t="s">
        <v>267</v>
      </c>
      <c r="O255" s="67" t="str">
        <f t="shared" ca="1" si="15"/>
        <v>Vencido</v>
      </c>
      <c r="P255" s="67"/>
      <c r="Q255" s="67">
        <f t="shared" ca="1" si="16"/>
        <v>46198</v>
      </c>
    </row>
    <row r="256" spans="2:17" ht="39" x14ac:dyDescent="0.35">
      <c r="B256" s="50">
        <v>7</v>
      </c>
      <c r="C256" s="51" t="s">
        <v>26</v>
      </c>
      <c r="D256" s="52">
        <v>20</v>
      </c>
      <c r="E256" s="52">
        <v>2</v>
      </c>
      <c r="F256" s="53" t="s">
        <v>2414</v>
      </c>
      <c r="G256" s="55" t="s">
        <v>2415</v>
      </c>
      <c r="H256" s="54" t="str">
        <f t="shared" si="13"/>
        <v xml:space="preserve">MM-GAR-020.02 - Abastecimento e Medição de Pressão de Pré-Carga de Nitrogênio no Regulador de Velocidade da UG02
</v>
      </c>
      <c r="I256" s="55" t="s">
        <v>2413</v>
      </c>
      <c r="J256" s="55" t="str">
        <f>VLOOKUP(D256,GM!$D$4:$G$1637,4,3)&amp;" e "&amp;C256</f>
        <v>ENGENHARIA MECÂNICA  e GAR</v>
      </c>
      <c r="K256" s="164"/>
      <c r="L256" s="164"/>
      <c r="M256" s="11" t="s">
        <v>267</v>
      </c>
      <c r="O256" s="67" t="str">
        <f t="shared" ca="1" si="15"/>
        <v>Vencido</v>
      </c>
      <c r="P256" s="67"/>
      <c r="Q256" s="67">
        <f t="shared" ca="1" si="16"/>
        <v>46198</v>
      </c>
    </row>
    <row r="257" spans="2:17" ht="39" x14ac:dyDescent="0.35">
      <c r="B257" s="50">
        <v>7</v>
      </c>
      <c r="C257" s="51" t="s">
        <v>26</v>
      </c>
      <c r="D257" s="52">
        <v>20</v>
      </c>
      <c r="E257" s="52">
        <v>3</v>
      </c>
      <c r="F257" s="53" t="s">
        <v>2416</v>
      </c>
      <c r="G257" s="55" t="s">
        <v>2417</v>
      </c>
      <c r="H257" s="54" t="str">
        <f t="shared" si="13"/>
        <v xml:space="preserve">MM-GAR-020.03 - Abastecimento e Medição de Pressão de Pré-Carga de Nitrogênio no Regulador de Velocidade da UG03
</v>
      </c>
      <c r="I257" s="55" t="s">
        <v>2413</v>
      </c>
      <c r="J257" s="55" t="str">
        <f>VLOOKUP(D257,GM!$D$4:$G$1637,4,3)&amp;" e "&amp;C257</f>
        <v>ENGENHARIA MECÂNICA  e GAR</v>
      </c>
      <c r="K257" s="164"/>
      <c r="L257" s="164"/>
      <c r="M257" s="11" t="s">
        <v>267</v>
      </c>
      <c r="O257" s="67" t="str">
        <f t="shared" ca="1" si="15"/>
        <v>Vencido</v>
      </c>
      <c r="P257" s="67"/>
      <c r="Q257" s="67">
        <f t="shared" ca="1" si="16"/>
        <v>46198</v>
      </c>
    </row>
    <row r="258" spans="2:17" ht="26" x14ac:dyDescent="0.35">
      <c r="B258" s="50">
        <v>7</v>
      </c>
      <c r="C258" s="51" t="s">
        <v>26</v>
      </c>
      <c r="D258" s="52">
        <v>20</v>
      </c>
      <c r="E258" s="52">
        <v>4</v>
      </c>
      <c r="F258" s="53" t="s">
        <v>2418</v>
      </c>
      <c r="G258" s="55" t="s">
        <v>2419</v>
      </c>
      <c r="H258" s="54" t="str">
        <f t="shared" si="13"/>
        <v>MM-GAR-020.04 - Manutenção preventiva no regulador de velocidade e sistema de regulação MPP0 (Parte mecânica) UG-01</v>
      </c>
      <c r="I258" s="55" t="s">
        <v>2413</v>
      </c>
      <c r="J258" s="55" t="str">
        <f>VLOOKUP(D258,GM!$D$4:$G$1637,4,3)&amp;" e "&amp;C258</f>
        <v>ENGENHARIA MECÂNICA  e GAR</v>
      </c>
      <c r="K258" s="164"/>
      <c r="L258" s="164"/>
      <c r="M258" s="11" t="s">
        <v>267</v>
      </c>
      <c r="O258" s="67" t="str">
        <f t="shared" ca="1" si="15"/>
        <v>Vencido</v>
      </c>
      <c r="P258" s="67"/>
      <c r="Q258" s="67">
        <f t="shared" ca="1" si="16"/>
        <v>46198</v>
      </c>
    </row>
    <row r="259" spans="2:17" ht="26" x14ac:dyDescent="0.35">
      <c r="B259" s="50">
        <v>7</v>
      </c>
      <c r="C259" s="51" t="s">
        <v>26</v>
      </c>
      <c r="D259" s="52">
        <v>20</v>
      </c>
      <c r="E259" s="52">
        <v>5</v>
      </c>
      <c r="F259" s="53" t="s">
        <v>2420</v>
      </c>
      <c r="G259" s="55" t="s">
        <v>2421</v>
      </c>
      <c r="H259" s="54" t="str">
        <f t="shared" si="13"/>
        <v>MM-GAR-020.05 - Manutenção preventiva no regulador de velocidade e sistema de regulação MPP0 (Parte mecânica) UG-02</v>
      </c>
      <c r="I259" s="55" t="s">
        <v>2413</v>
      </c>
      <c r="J259" s="55" t="str">
        <f>VLOOKUP(D259,GM!$D$4:$G$1637,4,3)&amp;" e "&amp;C259</f>
        <v>ENGENHARIA MECÂNICA  e GAR</v>
      </c>
      <c r="K259" s="164"/>
      <c r="L259" s="164"/>
      <c r="M259" s="11" t="s">
        <v>267</v>
      </c>
      <c r="O259" s="67" t="str">
        <f t="shared" ca="1" si="15"/>
        <v>Vencido</v>
      </c>
      <c r="P259" s="67"/>
      <c r="Q259" s="67">
        <f t="shared" ca="1" si="16"/>
        <v>46198</v>
      </c>
    </row>
    <row r="260" spans="2:17" ht="26" x14ac:dyDescent="0.35">
      <c r="B260" s="50">
        <v>7</v>
      </c>
      <c r="C260" s="51" t="s">
        <v>26</v>
      </c>
      <c r="D260" s="52">
        <v>20</v>
      </c>
      <c r="E260" s="52">
        <v>6</v>
      </c>
      <c r="F260" s="53" t="s">
        <v>2422</v>
      </c>
      <c r="G260" s="55" t="s">
        <v>2423</v>
      </c>
      <c r="H260" s="54" t="str">
        <f t="shared" si="13"/>
        <v>MM-GAR-020.06 - Manutenção preventiva no regulador de velocidade e sistema de regulação MPP0 (Parte mecânica) UG-03</v>
      </c>
      <c r="I260" s="55" t="s">
        <v>2413</v>
      </c>
      <c r="J260" s="55" t="str">
        <f>VLOOKUP(D260,GM!$D$4:$G$1637,4,3)&amp;" e "&amp;C260</f>
        <v>ENGENHARIA MECÂNICA  e GAR</v>
      </c>
      <c r="K260" s="164"/>
      <c r="L260" s="164"/>
      <c r="M260" s="11" t="s">
        <v>267</v>
      </c>
      <c r="O260" s="67" t="str">
        <f t="shared" ca="1" si="15"/>
        <v>Vencido</v>
      </c>
      <c r="P260" s="67"/>
      <c r="Q260" s="67">
        <f t="shared" ca="1" si="16"/>
        <v>46198</v>
      </c>
    </row>
    <row r="261" spans="2:17" ht="26" x14ac:dyDescent="0.35">
      <c r="B261" s="50">
        <v>7</v>
      </c>
      <c r="C261" s="51" t="s">
        <v>26</v>
      </c>
      <c r="D261" s="52">
        <v>21</v>
      </c>
      <c r="E261" s="52">
        <v>1</v>
      </c>
      <c r="F261" s="53" t="s">
        <v>2424</v>
      </c>
      <c r="G261" s="55" t="s">
        <v>2425</v>
      </c>
      <c r="H261" s="54" t="str">
        <f t="shared" si="13"/>
        <v>MM-GAR-021.01 - Acesso ao software e aplicação do regulador de velocidade Siemens Toolbox II da UHE Garibaldi</v>
      </c>
      <c r="I261" s="55" t="s">
        <v>2080</v>
      </c>
      <c r="J261" s="55" t="str">
        <f>VLOOKUP(D261,GM!$D$4:$G$1637,4,3)&amp;" e "&amp;C261</f>
        <v>ENGENHARIA ELÉTRICA  e GAR</v>
      </c>
      <c r="K261" s="164"/>
      <c r="L261" s="164"/>
      <c r="M261" s="11" t="s">
        <v>267</v>
      </c>
      <c r="O261" s="67" t="str">
        <f t="shared" ca="1" si="15"/>
        <v>Vencido</v>
      </c>
      <c r="P261" s="67"/>
      <c r="Q261" s="67">
        <f t="shared" ca="1" si="16"/>
        <v>46198</v>
      </c>
    </row>
    <row r="262" spans="2:17" ht="26" x14ac:dyDescent="0.35">
      <c r="B262" s="50">
        <v>7</v>
      </c>
      <c r="C262" s="51" t="s">
        <v>26</v>
      </c>
      <c r="D262" s="52">
        <v>22</v>
      </c>
      <c r="E262" s="52">
        <v>0</v>
      </c>
      <c r="F262" s="53" t="s">
        <v>2426</v>
      </c>
      <c r="G262" s="55" t="s">
        <v>2427</v>
      </c>
      <c r="H262" s="54" t="str">
        <f t="shared" si="13"/>
        <v>MM-GAR-022.00 - Manutenção Preventiva nos compressores de ar de serviço - MCP0</v>
      </c>
      <c r="I262" s="65" t="s">
        <v>2428</v>
      </c>
      <c r="J262" s="55" t="str">
        <f>VLOOKUP(D262,GM!$D$4:$G$1637,4,3)&amp;" e "&amp;C262</f>
        <v>ENGENHARIA MECÂNICA  e GAR</v>
      </c>
      <c r="K262" s="164"/>
      <c r="L262" s="164"/>
      <c r="M262" s="11" t="s">
        <v>267</v>
      </c>
      <c r="O262" s="67" t="str">
        <f t="shared" ca="1" si="15"/>
        <v>Vencido</v>
      </c>
      <c r="P262" s="67"/>
      <c r="Q262" s="67">
        <f t="shared" ca="1" si="16"/>
        <v>46198</v>
      </c>
    </row>
    <row r="263" spans="2:17" ht="26" x14ac:dyDescent="0.35">
      <c r="B263" s="50">
        <v>7</v>
      </c>
      <c r="C263" s="51" t="s">
        <v>26</v>
      </c>
      <c r="D263" s="52">
        <v>22</v>
      </c>
      <c r="E263" s="52">
        <v>1</v>
      </c>
      <c r="F263" s="53" t="s">
        <v>2429</v>
      </c>
      <c r="G263" s="55" t="s">
        <v>2430</v>
      </c>
      <c r="H263" s="54" t="str">
        <f t="shared" ref="H263:H326" si="17">(F263)&amp;" - "&amp;(G263)</f>
        <v>MM-GAR-022.01 - Manutenção Preventiva nos compressores de ar de serviço - MCP1</v>
      </c>
      <c r="I263" s="65" t="s">
        <v>2428</v>
      </c>
      <c r="J263" s="55" t="str">
        <f>VLOOKUP(D263,GM!$D$4:$G$1637,4,3)&amp;" e "&amp;C263</f>
        <v>ENGENHARIA MECÂNICA  e GAR</v>
      </c>
      <c r="K263" s="164"/>
      <c r="L263" s="164"/>
      <c r="M263" s="11" t="s">
        <v>267</v>
      </c>
      <c r="O263" s="67" t="str">
        <f t="shared" ca="1" si="15"/>
        <v>Vencido</v>
      </c>
      <c r="P263" s="67"/>
      <c r="Q263" s="67">
        <f t="shared" ca="1" si="16"/>
        <v>46198</v>
      </c>
    </row>
    <row r="264" spans="2:17" ht="26" x14ac:dyDescent="0.35">
      <c r="B264" s="50">
        <v>7</v>
      </c>
      <c r="C264" s="51" t="s">
        <v>26</v>
      </c>
      <c r="D264" s="52">
        <v>23</v>
      </c>
      <c r="E264" s="52">
        <v>1</v>
      </c>
      <c r="F264" s="53" t="s">
        <v>2431</v>
      </c>
      <c r="G264" s="55" t="s">
        <v>2432</v>
      </c>
      <c r="H264" s="54" t="str">
        <f t="shared" si="17"/>
        <v>MM-GAR-023.01 - Substituição de Válvula de Entrada de água do Sistema de Refriamento do FAAR UG01</v>
      </c>
      <c r="I264" s="55" t="s">
        <v>2433</v>
      </c>
      <c r="J264" s="55" t="str">
        <f>VLOOKUP(D264,GM!$D$4:$G$1637,4,3)&amp;" e "&amp;C264</f>
        <v>ENGENHARIA MECÂNICA  e GAR</v>
      </c>
      <c r="K264" s="164"/>
      <c r="L264" s="164"/>
      <c r="M264" s="11" t="s">
        <v>267</v>
      </c>
      <c r="O264" s="67" t="str">
        <f t="shared" ref="O264:O327" ca="1" si="18">IF(Q264="","",IF(Q264&gt;1095,"Vencido",IF(Q264&gt;910,"Alerta",IF(Q264&gt;820,"Alerta",IF(Q264&gt;730,"Alerta",IF(Q264&gt;=0,"Em dia","Vencido"))))))</f>
        <v>Vencido</v>
      </c>
      <c r="P264" s="67"/>
      <c r="Q264" s="67">
        <f t="shared" ca="1" si="16"/>
        <v>46198</v>
      </c>
    </row>
    <row r="265" spans="2:17" ht="26" x14ac:dyDescent="0.35">
      <c r="B265" s="50">
        <v>7</v>
      </c>
      <c r="C265" s="51" t="s">
        <v>26</v>
      </c>
      <c r="D265" s="52">
        <v>23</v>
      </c>
      <c r="E265" s="52">
        <v>2</v>
      </c>
      <c r="F265" s="53" t="s">
        <v>2434</v>
      </c>
      <c r="G265" s="55" t="s">
        <v>2435</v>
      </c>
      <c r="H265" s="54" t="str">
        <f t="shared" si="17"/>
        <v>MM-GAR-023.02 - Substituição de Válvula de Entrada de água do Sistema de Refriamento do FAAR UG02</v>
      </c>
      <c r="I265" s="55" t="s">
        <v>2433</v>
      </c>
      <c r="J265" s="55" t="str">
        <f>VLOOKUP(D265,GM!$D$4:$G$1637,4,3)&amp;" e "&amp;C265</f>
        <v>ENGENHARIA MECÂNICA  e GAR</v>
      </c>
      <c r="K265" s="164"/>
      <c r="L265" s="164"/>
      <c r="M265" s="11" t="s">
        <v>267</v>
      </c>
      <c r="O265" s="67" t="str">
        <f t="shared" ca="1" si="18"/>
        <v>Vencido</v>
      </c>
      <c r="P265" s="67"/>
      <c r="Q265" s="67">
        <f t="shared" ca="1" si="16"/>
        <v>46198</v>
      </c>
    </row>
    <row r="266" spans="2:17" ht="26" x14ac:dyDescent="0.35">
      <c r="B266" s="50">
        <v>7</v>
      </c>
      <c r="C266" s="51" t="s">
        <v>26</v>
      </c>
      <c r="D266" s="52">
        <v>23</v>
      </c>
      <c r="E266" s="52">
        <v>3</v>
      </c>
      <c r="F266" s="53" t="s">
        <v>2436</v>
      </c>
      <c r="G266" s="55" t="s">
        <v>2437</v>
      </c>
      <c r="H266" s="54" t="str">
        <f t="shared" si="17"/>
        <v>MM-GAR-023.03 - Substituição de Válvula de Entrada de água do Sistema de Refriamento do FAAR UG03</v>
      </c>
      <c r="I266" s="55" t="s">
        <v>2433</v>
      </c>
      <c r="J266" s="55" t="str">
        <f>VLOOKUP(D266,GM!$D$4:$G$1637,4,3)&amp;" e "&amp;C266</f>
        <v>ENGENHARIA MECÂNICA  e GAR</v>
      </c>
      <c r="K266" s="164"/>
      <c r="L266" s="164"/>
      <c r="M266" s="11" t="s">
        <v>267</v>
      </c>
      <c r="O266" s="67" t="str">
        <f t="shared" ca="1" si="18"/>
        <v>Vencido</v>
      </c>
      <c r="P266" s="67"/>
      <c r="Q266" s="67">
        <f t="shared" ref="Q266:Q329" ca="1" si="19">$P$4-K266</f>
        <v>46198</v>
      </c>
    </row>
    <row r="267" spans="2:17" ht="39" x14ac:dyDescent="0.35">
      <c r="B267" s="50">
        <v>7</v>
      </c>
      <c r="C267" s="51" t="s">
        <v>26</v>
      </c>
      <c r="D267" s="52">
        <v>23</v>
      </c>
      <c r="E267" s="52">
        <v>4</v>
      </c>
      <c r="F267" s="53" t="s">
        <v>2438</v>
      </c>
      <c r="G267" s="55" t="s">
        <v>2439</v>
      </c>
      <c r="H267" s="54" t="str">
        <f t="shared" si="17"/>
        <v>MM-GAR-023.04 - Manutenção preventiva no filtro autolimpante tipo cesto e filtros duplex do sistema de vedação deslizante do eixo da UG-01</v>
      </c>
      <c r="I267" s="55" t="s">
        <v>2433</v>
      </c>
      <c r="J267" s="55" t="str">
        <f>VLOOKUP(D267,GM!$D$4:$G$1637,4,3)&amp;" e "&amp;C267</f>
        <v>ENGENHARIA MECÂNICA  e GAR</v>
      </c>
      <c r="K267" s="164"/>
      <c r="L267" s="164"/>
      <c r="M267" s="11" t="s">
        <v>267</v>
      </c>
      <c r="O267" s="67" t="str">
        <f t="shared" ca="1" si="18"/>
        <v>Vencido</v>
      </c>
      <c r="P267" s="67"/>
      <c r="Q267" s="67">
        <f t="shared" ca="1" si="19"/>
        <v>46198</v>
      </c>
    </row>
    <row r="268" spans="2:17" ht="39" x14ac:dyDescent="0.35">
      <c r="B268" s="50">
        <v>7</v>
      </c>
      <c r="C268" s="51" t="s">
        <v>26</v>
      </c>
      <c r="D268" s="52">
        <v>23</v>
      </c>
      <c r="E268" s="52">
        <v>5</v>
      </c>
      <c r="F268" s="53" t="s">
        <v>2440</v>
      </c>
      <c r="G268" s="55" t="s">
        <v>2441</v>
      </c>
      <c r="H268" s="54" t="str">
        <f t="shared" si="17"/>
        <v>MM-GAR-023.05 - Manutenção preventiva no filtro autolimpante tipo cesto e filtros duplex do sistema de vedação deslizante do eixo da UG-02</v>
      </c>
      <c r="I268" s="55" t="s">
        <v>2433</v>
      </c>
      <c r="J268" s="55" t="str">
        <f>VLOOKUP(D268,GM!$D$4:$G$1637,4,3)&amp;" e "&amp;C268</f>
        <v>ENGENHARIA MECÂNICA  e GAR</v>
      </c>
      <c r="K268" s="164"/>
      <c r="L268" s="164"/>
      <c r="M268" s="11" t="s">
        <v>267</v>
      </c>
      <c r="O268" s="67" t="str">
        <f t="shared" ca="1" si="18"/>
        <v>Vencido</v>
      </c>
      <c r="P268" s="67"/>
      <c r="Q268" s="67">
        <f t="shared" ca="1" si="19"/>
        <v>46198</v>
      </c>
    </row>
    <row r="269" spans="2:17" ht="39" x14ac:dyDescent="0.35">
      <c r="B269" s="50">
        <v>7</v>
      </c>
      <c r="C269" s="51" t="s">
        <v>26</v>
      </c>
      <c r="D269" s="52">
        <v>23</v>
      </c>
      <c r="E269" s="52">
        <v>6</v>
      </c>
      <c r="F269" s="53" t="s">
        <v>2442</v>
      </c>
      <c r="G269" s="55" t="s">
        <v>2443</v>
      </c>
      <c r="H269" s="54" t="str">
        <f t="shared" si="17"/>
        <v>MM-GAR-023.06 - Manutenção preventiva no filtro autolimpante tipo cesto e filtros duplex do sistema de vedação deslizante do eixo da UG-03</v>
      </c>
      <c r="I269" s="55" t="s">
        <v>2433</v>
      </c>
      <c r="J269" s="55" t="str">
        <f>VLOOKUP(D269,GM!$D$4:$G$1637,4,3)&amp;" e "&amp;C269</f>
        <v>ENGENHARIA MECÂNICA  e GAR</v>
      </c>
      <c r="K269" s="164"/>
      <c r="L269" s="164"/>
      <c r="M269" s="11" t="s">
        <v>267</v>
      </c>
      <c r="O269" s="67" t="str">
        <f t="shared" ca="1" si="18"/>
        <v>Vencido</v>
      </c>
      <c r="P269" s="67"/>
      <c r="Q269" s="67">
        <f t="shared" ca="1" si="19"/>
        <v>46198</v>
      </c>
    </row>
    <row r="270" spans="2:17" ht="26" x14ac:dyDescent="0.35">
      <c r="B270" s="50">
        <v>7</v>
      </c>
      <c r="C270" s="51" t="s">
        <v>26</v>
      </c>
      <c r="D270" s="52">
        <v>23</v>
      </c>
      <c r="E270" s="52">
        <v>7</v>
      </c>
      <c r="F270" s="53" t="s">
        <v>2444</v>
      </c>
      <c r="G270" s="55" t="s">
        <v>2445</v>
      </c>
      <c r="H270" s="54" t="str">
        <f t="shared" si="17"/>
        <v>MM-GAR-023.07 - Manutenção preventiva no filtro autolimpante de água de resfriamento (FAAR) UG-01</v>
      </c>
      <c r="I270" s="55" t="s">
        <v>2433</v>
      </c>
      <c r="J270" s="55" t="str">
        <f>VLOOKUP(D270,GM!$D$4:$G$1637,4,3)&amp;" e "&amp;C270</f>
        <v>ENGENHARIA MECÂNICA  e GAR</v>
      </c>
      <c r="K270" s="164"/>
      <c r="L270" s="164"/>
      <c r="M270" s="11" t="s">
        <v>267</v>
      </c>
      <c r="O270" s="67" t="str">
        <f t="shared" ca="1" si="18"/>
        <v>Vencido</v>
      </c>
      <c r="P270" s="67"/>
      <c r="Q270" s="67">
        <f t="shared" ca="1" si="19"/>
        <v>46198</v>
      </c>
    </row>
    <row r="271" spans="2:17" ht="26" x14ac:dyDescent="0.35">
      <c r="B271" s="50">
        <v>7</v>
      </c>
      <c r="C271" s="51" t="s">
        <v>26</v>
      </c>
      <c r="D271" s="52">
        <v>23</v>
      </c>
      <c r="E271" s="52">
        <v>8</v>
      </c>
      <c r="F271" s="53" t="s">
        <v>2446</v>
      </c>
      <c r="G271" s="55" t="s">
        <v>2447</v>
      </c>
      <c r="H271" s="54" t="str">
        <f t="shared" si="17"/>
        <v>MM-GAR-023.08 - Manutenção preventiva no filtro autolimpante de água de resfriamento (FAAR) UG-02</v>
      </c>
      <c r="I271" s="55" t="s">
        <v>2433</v>
      </c>
      <c r="J271" s="55" t="str">
        <f>VLOOKUP(D271,GM!$D$4:$G$1637,4,3)&amp;" e "&amp;C271</f>
        <v>ENGENHARIA MECÂNICA  e GAR</v>
      </c>
      <c r="K271" s="164"/>
      <c r="L271" s="164"/>
      <c r="M271" s="11" t="s">
        <v>267</v>
      </c>
      <c r="O271" s="67" t="str">
        <f t="shared" ca="1" si="18"/>
        <v>Vencido</v>
      </c>
      <c r="P271" s="67"/>
      <c r="Q271" s="67">
        <f t="shared" ca="1" si="19"/>
        <v>46198</v>
      </c>
    </row>
    <row r="272" spans="2:17" ht="26" x14ac:dyDescent="0.35">
      <c r="B272" s="50">
        <v>7</v>
      </c>
      <c r="C272" s="51" t="s">
        <v>26</v>
      </c>
      <c r="D272" s="52">
        <v>23</v>
      </c>
      <c r="E272" s="52">
        <v>9</v>
      </c>
      <c r="F272" s="53" t="s">
        <v>2448</v>
      </c>
      <c r="G272" s="55" t="s">
        <v>2449</v>
      </c>
      <c r="H272" s="54" t="str">
        <f t="shared" si="17"/>
        <v>MM-GAR-023.09 - Manutenção preventiva no filtro autolimpante de água de resfriamento (FAAR) UG-03</v>
      </c>
      <c r="I272" s="55" t="s">
        <v>2433</v>
      </c>
      <c r="J272" s="55" t="str">
        <f>VLOOKUP(D272,GM!$D$4:$G$1637,4,3)&amp;" e "&amp;C272</f>
        <v>ENGENHARIA MECÂNICA  e GAR</v>
      </c>
      <c r="K272" s="164"/>
      <c r="L272" s="164"/>
      <c r="M272" s="11" t="s">
        <v>267</v>
      </c>
      <c r="O272" s="67" t="str">
        <f t="shared" ca="1" si="18"/>
        <v>Vencido</v>
      </c>
      <c r="P272" s="67"/>
      <c r="Q272" s="67">
        <f t="shared" ca="1" si="19"/>
        <v>46198</v>
      </c>
    </row>
    <row r="273" spans="2:17" ht="26" x14ac:dyDescent="0.35">
      <c r="B273" s="50">
        <v>7</v>
      </c>
      <c r="C273" s="51" t="s">
        <v>26</v>
      </c>
      <c r="D273" s="52">
        <v>23</v>
      </c>
      <c r="E273" s="52">
        <v>10</v>
      </c>
      <c r="F273" s="53" t="s">
        <v>2450</v>
      </c>
      <c r="G273" s="55" t="s">
        <v>2451</v>
      </c>
      <c r="H273" s="54" t="str">
        <f t="shared" si="17"/>
        <v>MM-GAR-023.10 - Manutenção Preventiva no sistema de água de resfriamento - MPP0</v>
      </c>
      <c r="I273" s="55" t="s">
        <v>2433</v>
      </c>
      <c r="J273" s="55" t="str">
        <f>VLOOKUP(D273,GM!$D$4:$G$1637,4,3)&amp;" e "&amp;C273</f>
        <v>ENGENHARIA MECÂNICA  e GAR</v>
      </c>
      <c r="K273" s="164"/>
      <c r="L273" s="164"/>
      <c r="M273" s="11" t="s">
        <v>267</v>
      </c>
      <c r="O273" s="67" t="str">
        <f t="shared" ca="1" si="18"/>
        <v>Vencido</v>
      </c>
      <c r="P273" s="67"/>
      <c r="Q273" s="67">
        <f t="shared" ca="1" si="19"/>
        <v>46198</v>
      </c>
    </row>
    <row r="274" spans="2:17" ht="29" hidden="1" x14ac:dyDescent="0.35">
      <c r="B274" s="50">
        <v>7</v>
      </c>
      <c r="C274" s="51" t="s">
        <v>26</v>
      </c>
      <c r="D274" s="52">
        <v>25</v>
      </c>
      <c r="E274" s="52">
        <v>0</v>
      </c>
      <c r="F274" s="53" t="s">
        <v>2452</v>
      </c>
      <c r="G274" s="67" t="s">
        <v>2453</v>
      </c>
      <c r="H274" s="54" t="str">
        <f t="shared" si="17"/>
        <v>MM-GAR-025.00 - Manutenção Sistema de medição de faturamento - MPP0</v>
      </c>
      <c r="I274" s="65" t="s">
        <v>2454</v>
      </c>
      <c r="J274" s="55" t="str">
        <f>VLOOKUP(D274,GM!$D$4:$G$1637,4,3)&amp;" e "&amp;C274</f>
        <v>ENGENHARIA ELÉTRICA  e GAR</v>
      </c>
      <c r="K274" s="164">
        <v>45791</v>
      </c>
      <c r="L274" s="164">
        <f t="shared" ref="L274:L326" si="20">K274+1096</f>
        <v>46887</v>
      </c>
      <c r="M274" s="10" t="s">
        <v>62</v>
      </c>
      <c r="N274" s="1" t="s">
        <v>371</v>
      </c>
      <c r="O274" s="67" t="str">
        <f t="shared" ca="1" si="18"/>
        <v>Em dia</v>
      </c>
      <c r="P274" s="67"/>
      <c r="Q274" s="67">
        <f t="shared" ca="1" si="19"/>
        <v>407</v>
      </c>
    </row>
    <row r="275" spans="2:17" ht="29" x14ac:dyDescent="0.35">
      <c r="B275" s="50">
        <v>7</v>
      </c>
      <c r="C275" s="51" t="s">
        <v>26</v>
      </c>
      <c r="D275" s="52">
        <v>25</v>
      </c>
      <c r="E275" s="52">
        <v>1</v>
      </c>
      <c r="F275" s="53" t="s">
        <v>2455</v>
      </c>
      <c r="G275" s="67" t="s">
        <v>2456</v>
      </c>
      <c r="H275" s="54" t="str">
        <f t="shared" si="17"/>
        <v>MM-GAR-025.01 - Manutenção Sistema de medição de faturamento - MPP1</v>
      </c>
      <c r="I275" s="65" t="s">
        <v>2454</v>
      </c>
      <c r="J275" s="55" t="str">
        <f>VLOOKUP(D275,GM!$D$4:$G$1637,4,3)&amp;" e "&amp;C275</f>
        <v>ENGENHARIA ELÉTRICA  e GAR</v>
      </c>
      <c r="K275" s="164"/>
      <c r="L275" s="164"/>
      <c r="M275" s="11" t="s">
        <v>267</v>
      </c>
      <c r="O275" s="67" t="str">
        <f t="shared" ca="1" si="18"/>
        <v>Vencido</v>
      </c>
      <c r="P275" s="67"/>
      <c r="Q275" s="67">
        <f t="shared" ca="1" si="19"/>
        <v>46198</v>
      </c>
    </row>
    <row r="276" spans="2:17" ht="25" x14ac:dyDescent="0.35">
      <c r="B276" s="50">
        <v>7</v>
      </c>
      <c r="C276" s="51" t="s">
        <v>26</v>
      </c>
      <c r="D276" s="52">
        <v>26</v>
      </c>
      <c r="E276" s="52">
        <v>0</v>
      </c>
      <c r="F276" s="53" t="s">
        <v>2457</v>
      </c>
      <c r="G276" s="55" t="s">
        <v>2458</v>
      </c>
      <c r="H276" s="54" t="str">
        <f t="shared" si="17"/>
        <v>MM-GAR-026.00 - Manutenção Preventiva do Poço de Drenagem MCP0</v>
      </c>
      <c r="I276" s="65" t="s">
        <v>2459</v>
      </c>
      <c r="J276" s="55" t="str">
        <f>VLOOKUP(D276,GM!$D$4:$G$1637,4,3)&amp;" e "&amp;C276</f>
        <v>ENGENHARIA MECÂNICA  e GAR</v>
      </c>
      <c r="K276" s="164"/>
      <c r="L276" s="164"/>
      <c r="M276" s="11" t="s">
        <v>267</v>
      </c>
      <c r="O276" s="67" t="str">
        <f t="shared" ca="1" si="18"/>
        <v>Vencido</v>
      </c>
      <c r="P276" s="67"/>
      <c r="Q276" s="67">
        <f t="shared" ca="1" si="19"/>
        <v>46198</v>
      </c>
    </row>
    <row r="277" spans="2:17" ht="25" x14ac:dyDescent="0.35">
      <c r="B277" s="50">
        <v>7</v>
      </c>
      <c r="C277" s="51" t="s">
        <v>26</v>
      </c>
      <c r="D277" s="52">
        <v>26</v>
      </c>
      <c r="E277" s="52">
        <v>1</v>
      </c>
      <c r="F277" s="53" t="s">
        <v>2460</v>
      </c>
      <c r="G277" s="55" t="s">
        <v>2461</v>
      </c>
      <c r="H277" s="54" t="str">
        <f t="shared" si="17"/>
        <v>MM-GAR-026.01 - Manutenção Preventiva do Poço de Drenagem MCP1</v>
      </c>
      <c r="I277" s="65" t="s">
        <v>2459</v>
      </c>
      <c r="J277" s="55" t="str">
        <f>VLOOKUP(D277,GM!$D$4:$G$1637,4,3)&amp;" e "&amp;C277</f>
        <v>ENGENHARIA MECÂNICA  e GAR</v>
      </c>
      <c r="K277" s="164"/>
      <c r="L277" s="164"/>
      <c r="M277" s="11" t="s">
        <v>267</v>
      </c>
      <c r="O277" s="67" t="str">
        <f t="shared" ca="1" si="18"/>
        <v>Vencido</v>
      </c>
      <c r="P277" s="67"/>
      <c r="Q277" s="67">
        <f t="shared" ca="1" si="19"/>
        <v>46198</v>
      </c>
    </row>
    <row r="278" spans="2:17" ht="26" x14ac:dyDescent="0.35">
      <c r="B278" s="50">
        <v>7</v>
      </c>
      <c r="C278" s="51" t="s">
        <v>26</v>
      </c>
      <c r="D278" s="52">
        <v>26</v>
      </c>
      <c r="E278" s="52">
        <v>2</v>
      </c>
      <c r="F278" s="53" t="s">
        <v>2462</v>
      </c>
      <c r="G278" s="55" t="s">
        <v>2463</v>
      </c>
      <c r="H278" s="54" t="str">
        <f t="shared" si="17"/>
        <v>MM-GAR-026.02 - Manutenção Preventiva do Poço de Esgotamento e Enchimento MCP0</v>
      </c>
      <c r="I278" s="65" t="s">
        <v>2459</v>
      </c>
      <c r="J278" s="55" t="str">
        <f>VLOOKUP(D278,GM!$D$4:$G$1637,4,3)&amp;" e "&amp;C278</f>
        <v>ENGENHARIA MECÂNICA  e GAR</v>
      </c>
      <c r="K278" s="164"/>
      <c r="L278" s="164"/>
      <c r="M278" s="11" t="s">
        <v>267</v>
      </c>
      <c r="O278" s="67" t="str">
        <f t="shared" ca="1" si="18"/>
        <v>Vencido</v>
      </c>
      <c r="P278" s="67"/>
      <c r="Q278" s="67">
        <f t="shared" ca="1" si="19"/>
        <v>46198</v>
      </c>
    </row>
    <row r="279" spans="2:17" ht="26" x14ac:dyDescent="0.35">
      <c r="B279" s="50">
        <v>7</v>
      </c>
      <c r="C279" s="51" t="s">
        <v>26</v>
      </c>
      <c r="D279" s="52">
        <v>26</v>
      </c>
      <c r="E279" s="52">
        <v>3</v>
      </c>
      <c r="F279" s="53" t="s">
        <v>2464</v>
      </c>
      <c r="G279" s="55" t="s">
        <v>2465</v>
      </c>
      <c r="H279" s="54" t="str">
        <f t="shared" si="17"/>
        <v>MM-GAR-026.03 - Manutenção Preventiva do Poço de Esgotamento e Enchimento MCP1</v>
      </c>
      <c r="I279" s="65" t="s">
        <v>2459</v>
      </c>
      <c r="J279" s="55" t="str">
        <f>VLOOKUP(D279,GM!$D$4:$G$1637,4,3)&amp;" e "&amp;C279</f>
        <v>ENGENHARIA MECÂNICA  e GAR</v>
      </c>
      <c r="K279" s="164"/>
      <c r="L279" s="164"/>
      <c r="M279" s="11" t="s">
        <v>267</v>
      </c>
      <c r="O279" s="67" t="str">
        <f t="shared" ca="1" si="18"/>
        <v>Vencido</v>
      </c>
      <c r="P279" s="67"/>
      <c r="Q279" s="67">
        <f t="shared" ca="1" si="19"/>
        <v>46198</v>
      </c>
    </row>
    <row r="280" spans="2:17" ht="26" x14ac:dyDescent="0.35">
      <c r="B280" s="50">
        <v>7</v>
      </c>
      <c r="C280" s="51" t="s">
        <v>26</v>
      </c>
      <c r="D280" s="52">
        <v>28</v>
      </c>
      <c r="E280" s="52">
        <v>0</v>
      </c>
      <c r="F280" s="53" t="s">
        <v>2466</v>
      </c>
      <c r="G280" s="55" t="s">
        <v>2467</v>
      </c>
      <c r="H280" s="54" t="str">
        <f t="shared" si="17"/>
        <v xml:space="preserve">MM-GAR-028.00 - Movimentação das comportas ensecadeiras montante </v>
      </c>
      <c r="I280" s="65" t="s">
        <v>2468</v>
      </c>
      <c r="J280" s="55" t="str">
        <f>VLOOKUP(D280,GM!$D$4:$G$1637,4,3)&amp;" e "&amp;C280</f>
        <v>ENGENHARIA MECÂNICA  e GAR</v>
      </c>
      <c r="K280" s="164"/>
      <c r="L280" s="164"/>
      <c r="M280" s="11" t="s">
        <v>267</v>
      </c>
      <c r="O280" s="67" t="str">
        <f t="shared" ca="1" si="18"/>
        <v>Vencido</v>
      </c>
      <c r="P280" s="67"/>
      <c r="Q280" s="67">
        <f t="shared" ca="1" si="19"/>
        <v>46198</v>
      </c>
    </row>
    <row r="281" spans="2:17" ht="25" x14ac:dyDescent="0.35">
      <c r="B281" s="50">
        <v>7</v>
      </c>
      <c r="C281" s="51" t="s">
        <v>26</v>
      </c>
      <c r="D281" s="52">
        <v>28</v>
      </c>
      <c r="E281" s="52">
        <v>1</v>
      </c>
      <c r="F281" s="53" t="s">
        <v>2469</v>
      </c>
      <c r="G281" s="55" t="s">
        <v>2470</v>
      </c>
      <c r="H281" s="54" t="str">
        <f t="shared" si="17"/>
        <v>MM-GAR-028.01 - Movimentação das comportas ensecadeiras jusante</v>
      </c>
      <c r="I281" s="65" t="s">
        <v>2468</v>
      </c>
      <c r="J281" s="55" t="str">
        <f>VLOOKUP(D281,GM!$D$4:$G$1637,4,3)&amp;" e "&amp;C281</f>
        <v>ENGENHARIA MECÂNICA  e GAR</v>
      </c>
      <c r="K281" s="164"/>
      <c r="L281" s="164"/>
      <c r="M281" s="11" t="s">
        <v>267</v>
      </c>
      <c r="O281" s="67" t="str">
        <f t="shared" ca="1" si="18"/>
        <v>Vencido</v>
      </c>
      <c r="P281" s="67"/>
      <c r="Q281" s="67">
        <f t="shared" ca="1" si="19"/>
        <v>46198</v>
      </c>
    </row>
    <row r="282" spans="2:17" ht="25" x14ac:dyDescent="0.35">
      <c r="B282" s="50">
        <v>7</v>
      </c>
      <c r="C282" s="51" t="s">
        <v>26</v>
      </c>
      <c r="D282" s="52">
        <v>30</v>
      </c>
      <c r="E282" s="52">
        <v>0</v>
      </c>
      <c r="F282" s="53" t="s">
        <v>2471</v>
      </c>
      <c r="G282" s="55" t="s">
        <v>2472</v>
      </c>
      <c r="H282" s="54" t="str">
        <f t="shared" si="17"/>
        <v xml:space="preserve">MM-GAR-030.00 - Remoção de detritos da câmara de carga </v>
      </c>
      <c r="I282" s="65" t="s">
        <v>2459</v>
      </c>
      <c r="J282" s="55" t="str">
        <f>VLOOKUP(D282,GM!$D$4:$G$1637,4,3)&amp;" e "&amp;C282</f>
        <v>ENGENHARIA MECÂNICA  e GAR</v>
      </c>
      <c r="K282" s="164"/>
      <c r="L282" s="164"/>
      <c r="M282" s="11" t="s">
        <v>267</v>
      </c>
      <c r="O282" s="67" t="str">
        <f t="shared" ca="1" si="18"/>
        <v>Vencido</v>
      </c>
      <c r="P282" s="67"/>
      <c r="Q282" s="67">
        <f t="shared" ca="1" si="19"/>
        <v>46198</v>
      </c>
    </row>
    <row r="283" spans="2:17" ht="25" x14ac:dyDescent="0.35">
      <c r="B283" s="50">
        <v>7</v>
      </c>
      <c r="C283" s="51" t="s">
        <v>26</v>
      </c>
      <c r="D283" s="52">
        <v>30</v>
      </c>
      <c r="E283" s="52">
        <v>1</v>
      </c>
      <c r="F283" s="53" t="s">
        <v>2473</v>
      </c>
      <c r="G283" s="55" t="s">
        <v>2474</v>
      </c>
      <c r="H283" s="54" t="str">
        <f t="shared" si="17"/>
        <v>MM-GAR-030.01 - Manutenção Preventiva Portico Montante MCP0</v>
      </c>
      <c r="I283" s="65" t="s">
        <v>2459</v>
      </c>
      <c r="J283" s="55" t="str">
        <f>VLOOKUP(D283,GM!$D$4:$G$1637,4,3)&amp;" e "&amp;C283</f>
        <v>ENGENHARIA MECÂNICA  e GAR</v>
      </c>
      <c r="K283" s="164"/>
      <c r="L283" s="164"/>
      <c r="M283" s="11" t="s">
        <v>267</v>
      </c>
      <c r="O283" s="67" t="str">
        <f t="shared" ca="1" si="18"/>
        <v>Vencido</v>
      </c>
      <c r="P283" s="67"/>
      <c r="Q283" s="67">
        <f t="shared" ca="1" si="19"/>
        <v>46198</v>
      </c>
    </row>
    <row r="284" spans="2:17" ht="25" x14ac:dyDescent="0.35">
      <c r="B284" s="50">
        <v>7</v>
      </c>
      <c r="C284" s="51" t="s">
        <v>26</v>
      </c>
      <c r="D284" s="52">
        <v>30</v>
      </c>
      <c r="E284" s="52">
        <v>2</v>
      </c>
      <c r="F284" s="53" t="s">
        <v>2475</v>
      </c>
      <c r="G284" s="55" t="s">
        <v>2476</v>
      </c>
      <c r="H284" s="54" t="str">
        <f t="shared" si="17"/>
        <v>MM-GAR-030.02 - Manutenção Preventiva Portico Montante MCP1</v>
      </c>
      <c r="I284" s="65" t="s">
        <v>2459</v>
      </c>
      <c r="J284" s="55" t="str">
        <f>VLOOKUP(D284,GM!$D$4:$G$1637,4,3)&amp;" e "&amp;C284</f>
        <v>ENGENHARIA MECÂNICA  e GAR</v>
      </c>
      <c r="K284" s="164"/>
      <c r="L284" s="164"/>
      <c r="M284" s="11" t="s">
        <v>267</v>
      </c>
      <c r="O284" s="67" t="str">
        <f t="shared" ca="1" si="18"/>
        <v>Vencido</v>
      </c>
      <c r="P284" s="67"/>
      <c r="Q284" s="67">
        <f t="shared" ca="1" si="19"/>
        <v>46198</v>
      </c>
    </row>
    <row r="285" spans="2:17" ht="26" x14ac:dyDescent="0.35">
      <c r="B285" s="50">
        <v>7</v>
      </c>
      <c r="C285" s="51" t="s">
        <v>26</v>
      </c>
      <c r="D285" s="52">
        <v>30</v>
      </c>
      <c r="E285" s="52">
        <v>3</v>
      </c>
      <c r="F285" s="53" t="s">
        <v>2477</v>
      </c>
      <c r="G285" s="55" t="s">
        <v>2478</v>
      </c>
      <c r="H285" s="54" t="str">
        <f t="shared" si="17"/>
        <v>MM-GAR-030.03 - Manutenção Preventiva Monovias MCP0 ( Portico Montante)</v>
      </c>
      <c r="I285" s="65" t="s">
        <v>2459</v>
      </c>
      <c r="J285" s="55" t="str">
        <f>VLOOKUP(D285,GM!$D$4:$G$1637,4,3)&amp;" e "&amp;C285</f>
        <v>ENGENHARIA MECÂNICA  e GAR</v>
      </c>
      <c r="K285" s="164"/>
      <c r="L285" s="164"/>
      <c r="M285" s="11" t="s">
        <v>267</v>
      </c>
      <c r="O285" s="67" t="str">
        <f t="shared" ca="1" si="18"/>
        <v>Vencido</v>
      </c>
      <c r="P285" s="67"/>
      <c r="Q285" s="67">
        <f t="shared" ca="1" si="19"/>
        <v>46198</v>
      </c>
    </row>
    <row r="286" spans="2:17" ht="26" x14ac:dyDescent="0.35">
      <c r="B286" s="50">
        <v>7</v>
      </c>
      <c r="C286" s="51" t="s">
        <v>26</v>
      </c>
      <c r="D286" s="52">
        <v>30</v>
      </c>
      <c r="E286" s="52">
        <v>4</v>
      </c>
      <c r="F286" s="53" t="s">
        <v>2479</v>
      </c>
      <c r="G286" s="55" t="s">
        <v>2480</v>
      </c>
      <c r="H286" s="54" t="str">
        <f t="shared" si="17"/>
        <v>MM-GAR-030.04 - Manutenção Preventiva Monovias MCP1 ( Portico Montante)</v>
      </c>
      <c r="I286" s="65" t="s">
        <v>2459</v>
      </c>
      <c r="J286" s="55" t="str">
        <f>VLOOKUP(D286,GM!$D$4:$G$1637,4,3)&amp;" e "&amp;C286</f>
        <v>ENGENHARIA MECÂNICA  e GAR</v>
      </c>
      <c r="K286" s="164"/>
      <c r="L286" s="164"/>
      <c r="M286" s="11" t="s">
        <v>267</v>
      </c>
      <c r="O286" s="67" t="str">
        <f t="shared" ca="1" si="18"/>
        <v>Vencido</v>
      </c>
      <c r="P286" s="67"/>
      <c r="Q286" s="67">
        <f t="shared" ca="1" si="19"/>
        <v>46198</v>
      </c>
    </row>
    <row r="287" spans="2:17" ht="26" x14ac:dyDescent="0.35">
      <c r="B287" s="50">
        <v>7</v>
      </c>
      <c r="C287" s="51" t="s">
        <v>26</v>
      </c>
      <c r="D287" s="52">
        <v>30</v>
      </c>
      <c r="E287" s="52">
        <v>5</v>
      </c>
      <c r="F287" s="53" t="s">
        <v>2481</v>
      </c>
      <c r="G287" s="55" t="s">
        <v>2482</v>
      </c>
      <c r="H287" s="54" t="str">
        <f t="shared" si="17"/>
        <v>MM-GAR-030.05 - Manutenção Preventiva Monovias MCP0 ( Portico Montante PCH)</v>
      </c>
      <c r="I287" s="65" t="s">
        <v>2459</v>
      </c>
      <c r="J287" s="55" t="str">
        <f>VLOOKUP(D287,GM!$D$4:$G$1637,4,3)&amp;" e "&amp;C287</f>
        <v>ENGENHARIA MECÂNICA  e GAR</v>
      </c>
      <c r="K287" s="164"/>
      <c r="L287" s="164"/>
      <c r="M287" s="11" t="s">
        <v>267</v>
      </c>
      <c r="O287" s="67" t="str">
        <f t="shared" ca="1" si="18"/>
        <v>Vencido</v>
      </c>
      <c r="P287" s="67"/>
      <c r="Q287" s="67">
        <f t="shared" ca="1" si="19"/>
        <v>46198</v>
      </c>
    </row>
    <row r="288" spans="2:17" ht="26" x14ac:dyDescent="0.35">
      <c r="B288" s="50">
        <v>7</v>
      </c>
      <c r="C288" s="51" t="s">
        <v>26</v>
      </c>
      <c r="D288" s="52">
        <v>30</v>
      </c>
      <c r="E288" s="52">
        <v>6</v>
      </c>
      <c r="F288" s="53" t="s">
        <v>2483</v>
      </c>
      <c r="G288" s="55" t="s">
        <v>2484</v>
      </c>
      <c r="H288" s="54" t="str">
        <f t="shared" si="17"/>
        <v>MM-GAR-030.06 - Manutenção Preventiva Monovias MCP1 ( Portico Montante PCH)</v>
      </c>
      <c r="I288" s="65" t="s">
        <v>2459</v>
      </c>
      <c r="J288" s="55" t="str">
        <f>VLOOKUP(D288,GM!$D$4:$G$1637,4,3)&amp;" e "&amp;C288</f>
        <v>ENGENHARIA MECÂNICA  e GAR</v>
      </c>
      <c r="K288" s="164"/>
      <c r="L288" s="164"/>
      <c r="M288" s="11" t="s">
        <v>267</v>
      </c>
      <c r="O288" s="67" t="str">
        <f t="shared" ca="1" si="18"/>
        <v>Vencido</v>
      </c>
      <c r="P288" s="67"/>
      <c r="Q288" s="67">
        <f t="shared" ca="1" si="19"/>
        <v>46198</v>
      </c>
    </row>
    <row r="289" spans="2:17" ht="26" x14ac:dyDescent="0.35">
      <c r="B289" s="50">
        <v>7</v>
      </c>
      <c r="C289" s="51" t="s">
        <v>26</v>
      </c>
      <c r="D289" s="52">
        <v>31</v>
      </c>
      <c r="E289" s="52">
        <v>0</v>
      </c>
      <c r="F289" s="53" t="s">
        <v>2485</v>
      </c>
      <c r="G289" s="55" t="s">
        <v>2486</v>
      </c>
      <c r="H289" s="54" t="str">
        <f t="shared" si="17"/>
        <v>MM-GAR-031.00 - Manutenção Preventiva Ponte Rolante 1900x250x20 Kn MCP1</v>
      </c>
      <c r="I289" s="65" t="s">
        <v>2459</v>
      </c>
      <c r="J289" s="55" t="str">
        <f>VLOOKUP(D289,GM!$D$4:$G$1637,4,3)&amp;" e "&amp;C289</f>
        <v>ENGENHARIA MECÂNICA  e GAR</v>
      </c>
      <c r="K289" s="164"/>
      <c r="L289" s="164"/>
      <c r="M289" s="11" t="s">
        <v>267</v>
      </c>
      <c r="O289" s="67" t="str">
        <f t="shared" ca="1" si="18"/>
        <v>Vencido</v>
      </c>
      <c r="P289" s="67"/>
      <c r="Q289" s="67">
        <f t="shared" ca="1" si="19"/>
        <v>46198</v>
      </c>
    </row>
    <row r="290" spans="2:17" ht="26" x14ac:dyDescent="0.35">
      <c r="B290" s="50">
        <v>7</v>
      </c>
      <c r="C290" s="51" t="s">
        <v>26</v>
      </c>
      <c r="D290" s="52">
        <v>31</v>
      </c>
      <c r="E290" s="52">
        <v>1</v>
      </c>
      <c r="F290" s="53" t="s">
        <v>2487</v>
      </c>
      <c r="G290" s="55" t="s">
        <v>2488</v>
      </c>
      <c r="H290" s="54" t="str">
        <f t="shared" si="17"/>
        <v>MM-GAR-031.01 - Manutenção Preventiva Ponte Rolante 1900x250x20 Kn MCP0</v>
      </c>
      <c r="I290" s="65" t="s">
        <v>2459</v>
      </c>
      <c r="J290" s="55" t="str">
        <f>VLOOKUP(D290,GM!$D$4:$G$1637,4,3)&amp;" e "&amp;C290</f>
        <v>ENGENHARIA MECÂNICA  e GAR</v>
      </c>
      <c r="K290" s="164"/>
      <c r="L290" s="164"/>
      <c r="M290" s="11" t="s">
        <v>267</v>
      </c>
      <c r="O290" s="67" t="str">
        <f t="shared" ca="1" si="18"/>
        <v>Vencido</v>
      </c>
      <c r="P290" s="67"/>
      <c r="Q290" s="67">
        <f t="shared" ca="1" si="19"/>
        <v>46198</v>
      </c>
    </row>
    <row r="291" spans="2:17" ht="25" x14ac:dyDescent="0.35">
      <c r="B291" s="50">
        <v>7</v>
      </c>
      <c r="C291" s="51" t="s">
        <v>26</v>
      </c>
      <c r="D291" s="52">
        <v>32</v>
      </c>
      <c r="E291" s="52">
        <v>0</v>
      </c>
      <c r="F291" s="53" t="s">
        <v>2489</v>
      </c>
      <c r="G291" s="55" t="s">
        <v>2490</v>
      </c>
      <c r="H291" s="54" t="str">
        <f t="shared" si="17"/>
        <v>MM-GAR-032.00 - Manutenção Preventiva Ponte Rolante PCH MCP0</v>
      </c>
      <c r="I291" s="65" t="s">
        <v>2108</v>
      </c>
      <c r="J291" s="55" t="str">
        <f>VLOOKUP(D291,GM!$D$4:$G$1637,4,3)&amp;" e "&amp;C291</f>
        <v>ENGENHARIA MECÂNICA  e GAR</v>
      </c>
      <c r="K291" s="164"/>
      <c r="L291" s="164"/>
      <c r="M291" s="11" t="s">
        <v>267</v>
      </c>
      <c r="O291" s="67" t="str">
        <f t="shared" ca="1" si="18"/>
        <v>Vencido</v>
      </c>
      <c r="P291" s="67"/>
      <c r="Q291" s="67">
        <f t="shared" ca="1" si="19"/>
        <v>46198</v>
      </c>
    </row>
    <row r="292" spans="2:17" ht="25" x14ac:dyDescent="0.35">
      <c r="B292" s="50">
        <v>7</v>
      </c>
      <c r="C292" s="51" t="s">
        <v>26</v>
      </c>
      <c r="D292" s="52">
        <v>32</v>
      </c>
      <c r="E292" s="52">
        <v>1</v>
      </c>
      <c r="F292" s="53" t="s">
        <v>2491</v>
      </c>
      <c r="G292" s="55" t="s">
        <v>2490</v>
      </c>
      <c r="H292" s="54" t="str">
        <f t="shared" si="17"/>
        <v>MM-GAR-032.01 - Manutenção Preventiva Ponte Rolante PCH MCP0</v>
      </c>
      <c r="I292" s="65" t="s">
        <v>2108</v>
      </c>
      <c r="J292" s="55" t="str">
        <f>VLOOKUP(D292,GM!$D$4:$G$1637,4,3)&amp;" e "&amp;C292</f>
        <v>ENGENHARIA MECÂNICA  e GAR</v>
      </c>
      <c r="K292" s="164"/>
      <c r="L292" s="164"/>
      <c r="M292" s="11" t="s">
        <v>267</v>
      </c>
      <c r="O292" s="67" t="str">
        <f t="shared" ca="1" si="18"/>
        <v>Vencido</v>
      </c>
      <c r="P292" s="67"/>
      <c r="Q292" s="67">
        <f t="shared" ca="1" si="19"/>
        <v>46198</v>
      </c>
    </row>
    <row r="293" spans="2:17" ht="26" x14ac:dyDescent="0.35">
      <c r="B293" s="50">
        <v>7</v>
      </c>
      <c r="C293" s="51" t="s">
        <v>26</v>
      </c>
      <c r="D293" s="52">
        <v>41</v>
      </c>
      <c r="E293" s="52">
        <v>0</v>
      </c>
      <c r="F293" s="53" t="s">
        <v>2492</v>
      </c>
      <c r="G293" s="67" t="s">
        <v>2493</v>
      </c>
      <c r="H293" s="54" t="str">
        <f t="shared" si="17"/>
        <v>MM-GAR-041.00 - Manutenção Preventiva no SPDA - MCP0</v>
      </c>
      <c r="I293" s="55" t="s">
        <v>2010</v>
      </c>
      <c r="J293" s="55" t="str">
        <f>VLOOKUP(D293,GM!$D$4:$G$1637,4,3)&amp;" e "&amp;C293</f>
        <v>ENGENHARIA ELÉTRICA  e GAR</v>
      </c>
      <c r="K293" s="164"/>
      <c r="L293" s="164"/>
      <c r="M293" s="11" t="s">
        <v>267</v>
      </c>
      <c r="O293" s="67" t="str">
        <f t="shared" ca="1" si="18"/>
        <v>Vencido</v>
      </c>
      <c r="P293" s="67"/>
      <c r="Q293" s="67">
        <f t="shared" ca="1" si="19"/>
        <v>46198</v>
      </c>
    </row>
    <row r="294" spans="2:17" ht="29" hidden="1" x14ac:dyDescent="0.35">
      <c r="B294" s="50">
        <v>7</v>
      </c>
      <c r="C294" s="51" t="s">
        <v>26</v>
      </c>
      <c r="D294" s="52">
        <v>51</v>
      </c>
      <c r="E294" s="52">
        <v>0</v>
      </c>
      <c r="F294" s="53" t="s">
        <v>2494</v>
      </c>
      <c r="G294" s="55" t="s">
        <v>2495</v>
      </c>
      <c r="H294" s="54" t="str">
        <f t="shared" si="17"/>
        <v xml:space="preserve">MM-GAR-051.00 - Coleta de Óleo Isolante nos Transformadores Auxiliares </v>
      </c>
      <c r="I294" s="65" t="s">
        <v>2046</v>
      </c>
      <c r="J294" s="55" t="str">
        <f>VLOOKUP(D294,GM!$D$4:$G$1637,4,3)&amp;" e "&amp;C294</f>
        <v>ENGENHARIA ELÉTRICA  e GAR</v>
      </c>
      <c r="K294" s="164">
        <v>45755</v>
      </c>
      <c r="L294" s="164">
        <f t="shared" si="20"/>
        <v>46851</v>
      </c>
      <c r="M294" s="10" t="s">
        <v>62</v>
      </c>
      <c r="N294" s="1" t="s">
        <v>371</v>
      </c>
      <c r="O294" s="67" t="str">
        <f t="shared" ca="1" si="18"/>
        <v>Em dia</v>
      </c>
      <c r="P294" s="67"/>
      <c r="Q294" s="67">
        <f t="shared" ca="1" si="19"/>
        <v>443</v>
      </c>
    </row>
    <row r="295" spans="2:17" ht="26" x14ac:dyDescent="0.35">
      <c r="B295" s="50">
        <v>7</v>
      </c>
      <c r="C295" s="51" t="s">
        <v>26</v>
      </c>
      <c r="D295" s="52">
        <v>55</v>
      </c>
      <c r="E295" s="52">
        <v>0</v>
      </c>
      <c r="F295" s="53" t="s">
        <v>2496</v>
      </c>
      <c r="G295" s="55" t="s">
        <v>2497</v>
      </c>
      <c r="H295" s="54" t="str">
        <f t="shared" si="17"/>
        <v>MM-GAR-055.00 - Manutenção Preventiva no registrador de perturbação - MPP0</v>
      </c>
      <c r="I295" s="55" t="s">
        <v>2498</v>
      </c>
      <c r="J295" s="55" t="str">
        <f>VLOOKUP(D295,GM!$D$4:$G$1637,4,3)&amp;" e "&amp;C295</f>
        <v>ENGENHARIA ELÉTRICA  e GAR</v>
      </c>
      <c r="K295" s="164"/>
      <c r="L295" s="164"/>
      <c r="M295" s="11" t="s">
        <v>267</v>
      </c>
      <c r="O295" s="67" t="str">
        <f t="shared" ca="1" si="18"/>
        <v>Vencido</v>
      </c>
      <c r="P295" s="67"/>
      <c r="Q295" s="67">
        <f t="shared" ca="1" si="19"/>
        <v>46198</v>
      </c>
    </row>
    <row r="296" spans="2:17" ht="26" x14ac:dyDescent="0.35">
      <c r="B296" s="50">
        <v>7</v>
      </c>
      <c r="C296" s="51" t="s">
        <v>26</v>
      </c>
      <c r="D296" s="52">
        <v>55</v>
      </c>
      <c r="E296" s="52">
        <v>1</v>
      </c>
      <c r="F296" s="53" t="s">
        <v>2499</v>
      </c>
      <c r="G296" s="55" t="s">
        <v>2500</v>
      </c>
      <c r="H296" s="54" t="str">
        <f t="shared" si="17"/>
        <v>MM-GAR-055.01 - Manutenção Preventiva no registrador de perturbação - MPP1</v>
      </c>
      <c r="I296" s="55" t="s">
        <v>2498</v>
      </c>
      <c r="J296" s="55" t="str">
        <f>VLOOKUP(D296,GM!$D$4:$G$1637,4,3)&amp;" e "&amp;C296</f>
        <v>ENGENHARIA ELÉTRICA  e GAR</v>
      </c>
      <c r="K296" s="164"/>
      <c r="L296" s="164"/>
      <c r="M296" s="11" t="s">
        <v>267</v>
      </c>
      <c r="O296" s="67" t="str">
        <f t="shared" ca="1" si="18"/>
        <v>Vencido</v>
      </c>
      <c r="P296" s="67"/>
      <c r="Q296" s="67">
        <f t="shared" ca="1" si="19"/>
        <v>46198</v>
      </c>
    </row>
    <row r="297" spans="2:17" ht="26" x14ac:dyDescent="0.35">
      <c r="B297" s="50">
        <v>7</v>
      </c>
      <c r="C297" s="51" t="s">
        <v>26</v>
      </c>
      <c r="D297" s="52">
        <v>58</v>
      </c>
      <c r="E297" s="52">
        <v>0</v>
      </c>
      <c r="F297" s="53" t="s">
        <v>2501</v>
      </c>
      <c r="G297" s="55" t="s">
        <v>2502</v>
      </c>
      <c r="H297" s="54" t="str">
        <f t="shared" si="17"/>
        <v>MM-GAR-058.00 - Manutenção no sistema de ventilação e exaustão - MCP0</v>
      </c>
      <c r="I297" s="55" t="s">
        <v>2301</v>
      </c>
      <c r="J297" s="55" t="str">
        <f>VLOOKUP(D297,GM!$D$4:$G$1637,4,3)&amp;" e "&amp;C297</f>
        <v>ENGENHARIA MECÂNICA  e GAR</v>
      </c>
      <c r="K297" s="164"/>
      <c r="L297" s="164"/>
      <c r="M297" s="11" t="s">
        <v>267</v>
      </c>
      <c r="O297" s="67" t="str">
        <f t="shared" ca="1" si="18"/>
        <v>Vencido</v>
      </c>
      <c r="P297" s="67"/>
      <c r="Q297" s="67">
        <f t="shared" ca="1" si="19"/>
        <v>46198</v>
      </c>
    </row>
    <row r="298" spans="2:17" ht="26" x14ac:dyDescent="0.35">
      <c r="B298" s="50">
        <v>7</v>
      </c>
      <c r="C298" s="51" t="s">
        <v>26</v>
      </c>
      <c r="D298" s="52">
        <v>60</v>
      </c>
      <c r="E298" s="52">
        <v>2</v>
      </c>
      <c r="F298" s="53" t="s">
        <v>2503</v>
      </c>
      <c r="G298" s="53" t="s">
        <v>2017</v>
      </c>
      <c r="H298" s="54" t="str">
        <f t="shared" si="17"/>
        <v>MM-GAR-060.02 - Manual de Manutenção sistema LGE</v>
      </c>
      <c r="I298" s="55" t="s">
        <v>2018</v>
      </c>
      <c r="J298" s="55" t="str">
        <f>VLOOKUP(D298,GM!$D$4:$G$1637,4,3)&amp;" e "&amp;C298</f>
        <v>ENGENHARIA MECÂNICA  e GAR</v>
      </c>
      <c r="K298" s="164">
        <v>44063</v>
      </c>
      <c r="L298" s="164">
        <f t="shared" si="20"/>
        <v>45159</v>
      </c>
      <c r="M298" s="10" t="s">
        <v>62</v>
      </c>
      <c r="N298" s="1" t="s">
        <v>371</v>
      </c>
      <c r="O298" s="67" t="str">
        <f t="shared" ca="1" si="18"/>
        <v>Vencido</v>
      </c>
      <c r="P298" s="67"/>
      <c r="Q298" s="67">
        <f t="shared" ca="1" si="19"/>
        <v>2135</v>
      </c>
    </row>
    <row r="299" spans="2:17" ht="25" x14ac:dyDescent="0.35">
      <c r="B299" s="50">
        <v>7</v>
      </c>
      <c r="C299" s="51" t="s">
        <v>26</v>
      </c>
      <c r="D299" s="52">
        <v>62</v>
      </c>
      <c r="E299" s="52">
        <v>0</v>
      </c>
      <c r="F299" s="53" t="s">
        <v>2504</v>
      </c>
      <c r="G299" s="55" t="s">
        <v>2505</v>
      </c>
      <c r="H299" s="54" t="str">
        <f t="shared" si="17"/>
        <v>MM-GAR-062.00 - Manutenção preventiva na comporta vagão - MPP0</v>
      </c>
      <c r="I299" s="55" t="s">
        <v>2506</v>
      </c>
      <c r="J299" s="55" t="str">
        <f>VLOOKUP(D299,GM!$D$4:$G$1637,4,3)&amp;" e "&amp;C299</f>
        <v>ENGENHARIA MECÂNICA  e GAR</v>
      </c>
      <c r="K299" s="164"/>
      <c r="L299" s="164"/>
      <c r="M299" s="11" t="s">
        <v>267</v>
      </c>
      <c r="O299" s="67" t="str">
        <f t="shared" ca="1" si="18"/>
        <v>Vencido</v>
      </c>
      <c r="P299" s="67"/>
      <c r="Q299" s="67">
        <f t="shared" ca="1" si="19"/>
        <v>46198</v>
      </c>
    </row>
    <row r="300" spans="2:17" ht="25" x14ac:dyDescent="0.35">
      <c r="B300" s="50">
        <v>7</v>
      </c>
      <c r="C300" s="51" t="s">
        <v>26</v>
      </c>
      <c r="D300" s="52">
        <v>62</v>
      </c>
      <c r="E300" s="52">
        <v>1</v>
      </c>
      <c r="F300" s="53" t="s">
        <v>2507</v>
      </c>
      <c r="G300" s="55" t="s">
        <v>2508</v>
      </c>
      <c r="H300" s="54" t="str">
        <f t="shared" si="17"/>
        <v>MM-GAR-062.01 - Manutenção preventiva na comporta vagão - MPP1</v>
      </c>
      <c r="I300" s="55" t="s">
        <v>2506</v>
      </c>
      <c r="J300" s="55" t="str">
        <f>VLOOKUP(D300,GM!$D$4:$G$1637,4,3)&amp;" e "&amp;C300</f>
        <v>ENGENHARIA MECÂNICA  e GAR</v>
      </c>
      <c r="K300" s="164"/>
      <c r="L300" s="164"/>
      <c r="M300" s="11" t="s">
        <v>267</v>
      </c>
      <c r="O300" s="67" t="str">
        <f t="shared" ca="1" si="18"/>
        <v>Vencido</v>
      </c>
      <c r="P300" s="67"/>
      <c r="Q300" s="67">
        <f t="shared" ca="1" si="19"/>
        <v>46198</v>
      </c>
    </row>
    <row r="301" spans="2:17" ht="25" x14ac:dyDescent="0.35">
      <c r="B301" s="50">
        <v>7</v>
      </c>
      <c r="C301" s="51" t="s">
        <v>26</v>
      </c>
      <c r="D301" s="52">
        <v>63</v>
      </c>
      <c r="E301" s="52">
        <v>0</v>
      </c>
      <c r="F301" s="53" t="s">
        <v>2509</v>
      </c>
      <c r="G301" s="55" t="s">
        <v>2510</v>
      </c>
      <c r="H301" s="54" t="str">
        <f t="shared" si="17"/>
        <v>MM-GAR-063.00 - Manutenção Preventiva Portico Jusante MCP0</v>
      </c>
      <c r="I301" s="65" t="s">
        <v>2459</v>
      </c>
      <c r="J301" s="55" t="str">
        <f>VLOOKUP(D301,GM!$D$4:$G$1637,4,3)&amp;" e "&amp;C301</f>
        <v>ENGENHARIA MECÂNICA  e GAR</v>
      </c>
      <c r="K301" s="164"/>
      <c r="L301" s="164"/>
      <c r="M301" s="11" t="s">
        <v>267</v>
      </c>
      <c r="O301" s="67" t="str">
        <f t="shared" ca="1" si="18"/>
        <v>Vencido</v>
      </c>
      <c r="P301" s="67"/>
      <c r="Q301" s="67">
        <f t="shared" ca="1" si="19"/>
        <v>46198</v>
      </c>
    </row>
    <row r="302" spans="2:17" ht="25" x14ac:dyDescent="0.35">
      <c r="B302" s="50">
        <v>7</v>
      </c>
      <c r="C302" s="51" t="s">
        <v>26</v>
      </c>
      <c r="D302" s="52">
        <v>63</v>
      </c>
      <c r="E302" s="52">
        <v>1</v>
      </c>
      <c r="F302" s="53" t="s">
        <v>2511</v>
      </c>
      <c r="G302" s="55" t="s">
        <v>2510</v>
      </c>
      <c r="H302" s="54" t="str">
        <f t="shared" si="17"/>
        <v>MM-GAR-063.01 - Manutenção Preventiva Portico Jusante MCP0</v>
      </c>
      <c r="I302" s="65" t="s">
        <v>2459</v>
      </c>
      <c r="J302" s="55" t="str">
        <f>VLOOKUP(D302,GM!$D$4:$G$1637,4,3)&amp;" e "&amp;C302</f>
        <v>ENGENHARIA MECÂNICA  e GAR</v>
      </c>
      <c r="K302" s="164"/>
      <c r="L302" s="164"/>
      <c r="M302" s="11" t="s">
        <v>267</v>
      </c>
      <c r="O302" s="67" t="str">
        <f t="shared" ca="1" si="18"/>
        <v>Vencido</v>
      </c>
      <c r="P302" s="67"/>
      <c r="Q302" s="67">
        <f t="shared" ca="1" si="19"/>
        <v>46198</v>
      </c>
    </row>
    <row r="303" spans="2:17" ht="26" x14ac:dyDescent="0.35">
      <c r="B303" s="50">
        <v>7</v>
      </c>
      <c r="C303" s="51" t="s">
        <v>26</v>
      </c>
      <c r="D303" s="52">
        <v>63</v>
      </c>
      <c r="E303" s="52">
        <v>2</v>
      </c>
      <c r="F303" s="53" t="s">
        <v>2512</v>
      </c>
      <c r="G303" s="55" t="s">
        <v>2513</v>
      </c>
      <c r="H303" s="54" t="str">
        <f t="shared" si="17"/>
        <v>MM-GAR-063.02 - Manutenção Preventiva Monovias MCPO (Portico Jusante)</v>
      </c>
      <c r="I303" s="65" t="s">
        <v>2459</v>
      </c>
      <c r="J303" s="55" t="str">
        <f>VLOOKUP(D303,GM!$D$4:$G$1637,4,3)&amp;" e "&amp;C303</f>
        <v>ENGENHARIA MECÂNICA  e GAR</v>
      </c>
      <c r="K303" s="164"/>
      <c r="L303" s="164"/>
      <c r="M303" s="11" t="s">
        <v>267</v>
      </c>
      <c r="O303" s="67" t="str">
        <f t="shared" ca="1" si="18"/>
        <v>Vencido</v>
      </c>
      <c r="P303" s="67"/>
      <c r="Q303" s="67">
        <f t="shared" ca="1" si="19"/>
        <v>46198</v>
      </c>
    </row>
    <row r="304" spans="2:17" ht="26" x14ac:dyDescent="0.35">
      <c r="B304" s="50">
        <v>7</v>
      </c>
      <c r="C304" s="51" t="s">
        <v>26</v>
      </c>
      <c r="D304" s="52">
        <v>63</v>
      </c>
      <c r="E304" s="52">
        <v>3</v>
      </c>
      <c r="F304" s="53" t="s">
        <v>2514</v>
      </c>
      <c r="G304" s="55" t="s">
        <v>2515</v>
      </c>
      <c r="H304" s="54" t="str">
        <f t="shared" si="17"/>
        <v>MM-GAR-063.03 - Manutenção Preventiva Monovias MCP1 (Portico Jusante)</v>
      </c>
      <c r="I304" s="65" t="s">
        <v>2459</v>
      </c>
      <c r="J304" s="55" t="str">
        <f>VLOOKUP(D304,GM!$D$4:$G$1637,4,3)&amp;" e "&amp;C304</f>
        <v>ENGENHARIA MECÂNICA  e GAR</v>
      </c>
      <c r="K304" s="164"/>
      <c r="L304" s="164"/>
      <c r="M304" s="11" t="s">
        <v>267</v>
      </c>
      <c r="O304" s="67" t="str">
        <f t="shared" ca="1" si="18"/>
        <v>Vencido</v>
      </c>
      <c r="P304" s="67"/>
      <c r="Q304" s="67">
        <f t="shared" ca="1" si="19"/>
        <v>46198</v>
      </c>
    </row>
    <row r="305" spans="2:17" ht="25" x14ac:dyDescent="0.35">
      <c r="B305" s="50">
        <v>7</v>
      </c>
      <c r="C305" s="51" t="s">
        <v>26</v>
      </c>
      <c r="D305" s="52">
        <v>86</v>
      </c>
      <c r="E305" s="52">
        <v>0</v>
      </c>
      <c r="F305" s="53" t="s">
        <v>2516</v>
      </c>
      <c r="G305" s="67" t="s">
        <v>2517</v>
      </c>
      <c r="H305" s="54" t="str">
        <f t="shared" si="17"/>
        <v xml:space="preserve">MM-GAR-086.00 - Manutenção preventiva no sistema de cloro da casa de força MCP0 </v>
      </c>
      <c r="I305" s="55" t="s">
        <v>2518</v>
      </c>
      <c r="J305" s="55" t="str">
        <f>VLOOKUP(D305,GM!$D$4:$G$1637,4,3)&amp;" e "&amp;C305</f>
        <v>ENGENHARIA MECÂNICA  e GAR</v>
      </c>
      <c r="K305" s="164"/>
      <c r="L305" s="164"/>
      <c r="M305" s="11" t="s">
        <v>267</v>
      </c>
      <c r="O305" s="67" t="str">
        <f t="shared" ca="1" si="18"/>
        <v>Vencido</v>
      </c>
      <c r="P305" s="67"/>
      <c r="Q305" s="67">
        <f t="shared" ca="1" si="19"/>
        <v>46198</v>
      </c>
    </row>
    <row r="306" spans="2:17" ht="25" x14ac:dyDescent="0.35">
      <c r="B306" s="50">
        <v>7</v>
      </c>
      <c r="C306" s="51" t="s">
        <v>26</v>
      </c>
      <c r="D306" s="52">
        <v>86</v>
      </c>
      <c r="E306" s="52">
        <v>1</v>
      </c>
      <c r="F306" s="53" t="s">
        <v>2519</v>
      </c>
      <c r="G306" s="67" t="s">
        <v>2520</v>
      </c>
      <c r="H306" s="54" t="str">
        <f t="shared" si="17"/>
        <v>MM-GAR-086.01 - Manutenção preventiva no sistema de cloro da casa de força MCP1</v>
      </c>
      <c r="I306" s="55" t="s">
        <v>2518</v>
      </c>
      <c r="J306" s="55" t="str">
        <f>VLOOKUP(D306,GM!$D$4:$G$1637,4,3)&amp;" e "&amp;C306</f>
        <v>ENGENHARIA MECÂNICA  e GAR</v>
      </c>
      <c r="K306" s="164"/>
      <c r="L306" s="164"/>
      <c r="M306" s="11" t="s">
        <v>267</v>
      </c>
      <c r="O306" s="67" t="str">
        <f t="shared" ca="1" si="18"/>
        <v>Vencido</v>
      </c>
      <c r="P306" s="67"/>
      <c r="Q306" s="67">
        <f t="shared" ca="1" si="19"/>
        <v>46198</v>
      </c>
    </row>
    <row r="307" spans="2:17" ht="26" x14ac:dyDescent="0.35">
      <c r="B307" s="50">
        <v>8</v>
      </c>
      <c r="C307" s="51" t="s">
        <v>23</v>
      </c>
      <c r="D307" s="52">
        <v>0</v>
      </c>
      <c r="E307" s="52">
        <v>3</v>
      </c>
      <c r="F307" s="53" t="s">
        <v>2521</v>
      </c>
      <c r="G307" s="53" t="s">
        <v>2522</v>
      </c>
      <c r="H307" s="54" t="str">
        <f t="shared" si="17"/>
        <v>MM-ILS-000.03 - Identificação e Calibrações Instrumentos de Medição e Ensaios</v>
      </c>
      <c r="I307" s="55" t="s">
        <v>1973</v>
      </c>
      <c r="J307" s="55" t="str">
        <f>VLOOKUP(D307,GM!$D$4:$G$1637,4,3)&amp;" e "&amp;C307</f>
        <v>ENGENHARIA  e ILS</v>
      </c>
      <c r="K307" s="164">
        <v>44076</v>
      </c>
      <c r="L307" s="164">
        <f t="shared" si="20"/>
        <v>45172</v>
      </c>
      <c r="M307" s="10" t="s">
        <v>62</v>
      </c>
      <c r="N307" s="1" t="s">
        <v>371</v>
      </c>
      <c r="O307" s="67" t="str">
        <f t="shared" ca="1" si="18"/>
        <v>Vencido</v>
      </c>
      <c r="P307" s="67"/>
      <c r="Q307" s="67">
        <f t="shared" ca="1" si="19"/>
        <v>2122</v>
      </c>
    </row>
    <row r="308" spans="2:17" ht="26" x14ac:dyDescent="0.35">
      <c r="B308" s="50">
        <v>8</v>
      </c>
      <c r="C308" s="51" t="s">
        <v>23</v>
      </c>
      <c r="D308" s="52">
        <v>0</v>
      </c>
      <c r="E308" s="52">
        <v>4</v>
      </c>
      <c r="F308" s="53" t="s">
        <v>2523</v>
      </c>
      <c r="G308" s="53" t="s">
        <v>2524</v>
      </c>
      <c r="H308" s="54" t="str">
        <f t="shared" si="17"/>
        <v>MM-ILS-000.04 - Manual de despacho e recepção de materiais, equipamentos e instrumentos.</v>
      </c>
      <c r="I308" s="55" t="s">
        <v>1973</v>
      </c>
      <c r="J308" s="55" t="str">
        <f>VLOOKUP(D308,GM!$D$4:$G$1637,4,3)&amp;" e "&amp;C308</f>
        <v>ENGENHARIA  e ILS</v>
      </c>
      <c r="K308" s="164">
        <v>43524</v>
      </c>
      <c r="L308" s="164">
        <f t="shared" si="20"/>
        <v>44620</v>
      </c>
      <c r="M308" s="10" t="s">
        <v>62</v>
      </c>
      <c r="N308" s="1" t="s">
        <v>371</v>
      </c>
      <c r="O308" s="67" t="str">
        <f t="shared" ca="1" si="18"/>
        <v>Vencido</v>
      </c>
      <c r="P308" s="67"/>
      <c r="Q308" s="67">
        <f t="shared" ca="1" si="19"/>
        <v>2674</v>
      </c>
    </row>
    <row r="309" spans="2:17" ht="26" x14ac:dyDescent="0.35">
      <c r="B309" s="50">
        <v>8</v>
      </c>
      <c r="C309" s="51" t="s">
        <v>23</v>
      </c>
      <c r="D309" s="52">
        <v>0</v>
      </c>
      <c r="E309" s="52">
        <v>7</v>
      </c>
      <c r="F309" s="53" t="s">
        <v>2525</v>
      </c>
      <c r="G309" s="53" t="s">
        <v>2526</v>
      </c>
      <c r="H309" s="54" t="str">
        <f t="shared" si="17"/>
        <v>MM-ILS-000.07 - Enchimento da UG</v>
      </c>
      <c r="I309" s="55" t="s">
        <v>1973</v>
      </c>
      <c r="J309" s="55" t="str">
        <f>VLOOKUP(D309,GM!$D$4:$G$1637,4,3)&amp;" e "&amp;C309</f>
        <v>ENGENHARIA  e ILS</v>
      </c>
      <c r="K309" s="164">
        <v>44397</v>
      </c>
      <c r="L309" s="164">
        <f t="shared" si="20"/>
        <v>45493</v>
      </c>
      <c r="M309" s="10" t="s">
        <v>62</v>
      </c>
      <c r="N309" s="1" t="s">
        <v>371</v>
      </c>
      <c r="O309" s="67" t="str">
        <f t="shared" ca="1" si="18"/>
        <v>Vencido</v>
      </c>
      <c r="P309" s="67"/>
      <c r="Q309" s="67">
        <f t="shared" ca="1" si="19"/>
        <v>1801</v>
      </c>
    </row>
    <row r="310" spans="2:17" ht="26" x14ac:dyDescent="0.35">
      <c r="B310" s="50">
        <v>8</v>
      </c>
      <c r="C310" s="51" t="s">
        <v>23</v>
      </c>
      <c r="D310" s="52">
        <v>0</v>
      </c>
      <c r="E310" s="52">
        <v>8</v>
      </c>
      <c r="F310" s="53" t="s">
        <v>2527</v>
      </c>
      <c r="G310" s="53" t="s">
        <v>2528</v>
      </c>
      <c r="H310" s="54" t="str">
        <f t="shared" si="17"/>
        <v>MM-ILS-000.08 - Procedimento Aterramento Elétrico Temporário</v>
      </c>
      <c r="I310" s="55" t="s">
        <v>1973</v>
      </c>
      <c r="J310" s="55" t="str">
        <f>VLOOKUP(D310,GM!$D$4:$G$1637,4,3)&amp;" e "&amp;C310</f>
        <v>ENGENHARIA  e ILS</v>
      </c>
      <c r="K310" s="164"/>
      <c r="L310" s="164"/>
      <c r="M310" s="11" t="s">
        <v>267</v>
      </c>
      <c r="O310" s="67" t="str">
        <f t="shared" ca="1" si="18"/>
        <v>Vencido</v>
      </c>
      <c r="P310" s="67"/>
      <c r="Q310" s="67">
        <f t="shared" ca="1" si="19"/>
        <v>46198</v>
      </c>
    </row>
    <row r="311" spans="2:17" ht="25" hidden="1" x14ac:dyDescent="0.35">
      <c r="B311" s="50">
        <v>8</v>
      </c>
      <c r="C311" s="51" t="s">
        <v>23</v>
      </c>
      <c r="D311" s="52">
        <v>1</v>
      </c>
      <c r="E311" s="52">
        <v>0</v>
      </c>
      <c r="F311" s="53" t="s">
        <v>2529</v>
      </c>
      <c r="G311" s="53" t="s">
        <v>2530</v>
      </c>
      <c r="H311" s="54" t="str">
        <f t="shared" si="17"/>
        <v>MM-ILS-001.00 - Manual de Manutenção da Vedação do Eixo das UGs 05 a 20 (Não Modernizadas)</v>
      </c>
      <c r="I311" s="55" t="s">
        <v>1976</v>
      </c>
      <c r="J311" s="55" t="str">
        <f>VLOOKUP(D311,GM!$D$4:$G$1637,4,3)&amp;" e "&amp;C311</f>
        <v>ENGENHARIA MECÂNICA  e ILS</v>
      </c>
      <c r="K311" s="164">
        <v>45895</v>
      </c>
      <c r="L311" s="164">
        <f t="shared" si="20"/>
        <v>46991</v>
      </c>
      <c r="M311" s="10" t="s">
        <v>62</v>
      </c>
      <c r="N311" s="1" t="s">
        <v>371</v>
      </c>
      <c r="O311" s="67" t="str">
        <f t="shared" ca="1" si="18"/>
        <v>Em dia</v>
      </c>
      <c r="P311" s="67"/>
      <c r="Q311" s="67">
        <f t="shared" ca="1" si="19"/>
        <v>303</v>
      </c>
    </row>
    <row r="312" spans="2:17" ht="25" x14ac:dyDescent="0.35">
      <c r="B312" s="50">
        <v>8</v>
      </c>
      <c r="C312" s="51" t="s">
        <v>23</v>
      </c>
      <c r="D312" s="52">
        <v>1</v>
      </c>
      <c r="E312" s="56" t="s">
        <v>2531</v>
      </c>
      <c r="F312" s="53" t="s">
        <v>2532</v>
      </c>
      <c r="G312" s="53" t="s">
        <v>2533</v>
      </c>
      <c r="H312" s="54" t="str">
        <f t="shared" si="17"/>
        <v>MM-ILS-001.02.1 - Procedimentos Ajuste Mancal Escora UG's 01 a 04</v>
      </c>
      <c r="I312" s="55" t="s">
        <v>1976</v>
      </c>
      <c r="J312" s="55" t="str">
        <f>VLOOKUP(D312,GM!$D$4:$G$1637,4,3)&amp;" e "&amp;C312</f>
        <v>ENGENHARIA MECÂNICA  e ILS</v>
      </c>
      <c r="K312" s="164">
        <v>44118</v>
      </c>
      <c r="L312" s="164">
        <f t="shared" si="20"/>
        <v>45214</v>
      </c>
      <c r="M312" s="10" t="s">
        <v>62</v>
      </c>
      <c r="N312" s="1" t="s">
        <v>371</v>
      </c>
      <c r="O312" s="67" t="str">
        <f t="shared" ca="1" si="18"/>
        <v>Vencido</v>
      </c>
      <c r="P312" s="67"/>
      <c r="Q312" s="67">
        <f t="shared" ca="1" si="19"/>
        <v>2080</v>
      </c>
    </row>
    <row r="313" spans="2:17" ht="25" x14ac:dyDescent="0.35">
      <c r="B313" s="50">
        <v>8</v>
      </c>
      <c r="C313" s="51" t="s">
        <v>23</v>
      </c>
      <c r="D313" s="52">
        <v>1</v>
      </c>
      <c r="E313" s="56" t="s">
        <v>2534</v>
      </c>
      <c r="F313" s="53" t="s">
        <v>2535</v>
      </c>
      <c r="G313" s="53" t="s">
        <v>2536</v>
      </c>
      <c r="H313" s="54" t="str">
        <f t="shared" si="17"/>
        <v>MM-ILS-001.02.2 - Procedimentos Ajuste Mancal Escora UG's 05 a 16</v>
      </c>
      <c r="I313" s="55" t="s">
        <v>1976</v>
      </c>
      <c r="J313" s="55" t="str">
        <f>VLOOKUP(D313,GM!$D$4:$G$1637,4,3)&amp;" e "&amp;C313</f>
        <v>ENGENHARIA MECÂNICA  e ILS</v>
      </c>
      <c r="K313" s="164">
        <v>44118</v>
      </c>
      <c r="L313" s="164">
        <f t="shared" si="20"/>
        <v>45214</v>
      </c>
      <c r="M313" s="10" t="s">
        <v>62</v>
      </c>
      <c r="N313" s="1" t="s">
        <v>371</v>
      </c>
      <c r="O313" s="67" t="str">
        <f t="shared" ca="1" si="18"/>
        <v>Vencido</v>
      </c>
      <c r="P313" s="67"/>
      <c r="Q313" s="67">
        <f t="shared" ca="1" si="19"/>
        <v>2080</v>
      </c>
    </row>
    <row r="314" spans="2:17" ht="25" x14ac:dyDescent="0.35">
      <c r="B314" s="50">
        <v>8</v>
      </c>
      <c r="C314" s="51" t="s">
        <v>23</v>
      </c>
      <c r="D314" s="52">
        <v>1</v>
      </c>
      <c r="E314" s="56" t="s">
        <v>2537</v>
      </c>
      <c r="F314" s="53" t="s">
        <v>2538</v>
      </c>
      <c r="G314" s="53" t="s">
        <v>2539</v>
      </c>
      <c r="H314" s="54" t="str">
        <f t="shared" si="17"/>
        <v>MM-ILS-001.02.3 - Procedimentos Ajuste Mancal Escora UG's 17 a 20</v>
      </c>
      <c r="I314" s="55" t="s">
        <v>1976</v>
      </c>
      <c r="J314" s="55" t="str">
        <f>VLOOKUP(D314,GM!$D$4:$G$1637,4,3)&amp;" e "&amp;C314</f>
        <v>ENGENHARIA MECÂNICA  e ILS</v>
      </c>
      <c r="K314" s="164">
        <v>44118</v>
      </c>
      <c r="L314" s="164">
        <f t="shared" si="20"/>
        <v>45214</v>
      </c>
      <c r="M314" s="10" t="s">
        <v>62</v>
      </c>
      <c r="N314" s="1" t="s">
        <v>371</v>
      </c>
      <c r="O314" s="67" t="str">
        <f t="shared" ca="1" si="18"/>
        <v>Vencido</v>
      </c>
      <c r="P314" s="67"/>
      <c r="Q314" s="67">
        <f t="shared" ca="1" si="19"/>
        <v>2080</v>
      </c>
    </row>
    <row r="315" spans="2:17" ht="25" x14ac:dyDescent="0.35">
      <c r="B315" s="50">
        <v>8</v>
      </c>
      <c r="C315" s="51" t="s">
        <v>23</v>
      </c>
      <c r="D315" s="52">
        <v>1</v>
      </c>
      <c r="E315" s="56" t="s">
        <v>2540</v>
      </c>
      <c r="F315" s="53" t="s">
        <v>2541</v>
      </c>
      <c r="G315" s="53" t="s">
        <v>2542</v>
      </c>
      <c r="H315" s="54" t="str">
        <f t="shared" si="17"/>
        <v>MM-ILS-001.02.4 - Procedimentos Ajuste Mancal Inferior UG's 17 a 20</v>
      </c>
      <c r="I315" s="55" t="s">
        <v>1976</v>
      </c>
      <c r="J315" s="55" t="str">
        <f>VLOOKUP(D315,GM!$D$4:$G$1637,4,3)&amp;" e "&amp;C315</f>
        <v>ENGENHARIA MECÂNICA  e ILS</v>
      </c>
      <c r="K315" s="164"/>
      <c r="L315" s="164"/>
      <c r="M315" s="11" t="s">
        <v>2543</v>
      </c>
      <c r="O315" s="67" t="str">
        <f t="shared" ca="1" si="18"/>
        <v>Vencido</v>
      </c>
      <c r="P315" s="67"/>
      <c r="Q315" s="67">
        <f t="shared" ca="1" si="19"/>
        <v>46198</v>
      </c>
    </row>
    <row r="316" spans="2:17" ht="25" x14ac:dyDescent="0.35">
      <c r="B316" s="50">
        <v>8</v>
      </c>
      <c r="C316" s="51" t="s">
        <v>23</v>
      </c>
      <c r="D316" s="52">
        <v>1</v>
      </c>
      <c r="E316" s="56" t="s">
        <v>2544</v>
      </c>
      <c r="F316" s="53" t="s">
        <v>2545</v>
      </c>
      <c r="G316" s="53" t="s">
        <v>2546</v>
      </c>
      <c r="H316" s="54" t="str">
        <f t="shared" si="17"/>
        <v>MM-ILS-001.02.5 - Procedimentos Ajuste Mancal Superior UG's 1 a 16</v>
      </c>
      <c r="I316" s="55" t="s">
        <v>1976</v>
      </c>
      <c r="J316" s="55" t="str">
        <f>VLOOKUP(D316,GM!$D$4:$G$1637,4,3)&amp;" e "&amp;C316</f>
        <v>ENGENHARIA MECÂNICA  e ILS</v>
      </c>
      <c r="K316" s="164">
        <v>44118</v>
      </c>
      <c r="L316" s="164">
        <f t="shared" si="20"/>
        <v>45214</v>
      </c>
      <c r="M316" s="10" t="s">
        <v>62</v>
      </c>
      <c r="N316" s="1" t="s">
        <v>371</v>
      </c>
      <c r="O316" s="67" t="str">
        <f t="shared" ca="1" si="18"/>
        <v>Vencido</v>
      </c>
      <c r="P316" s="67"/>
      <c r="Q316" s="67">
        <f t="shared" ca="1" si="19"/>
        <v>2080</v>
      </c>
    </row>
    <row r="317" spans="2:17" ht="25" x14ac:dyDescent="0.35">
      <c r="B317" s="50">
        <v>8</v>
      </c>
      <c r="C317" s="51" t="s">
        <v>23</v>
      </c>
      <c r="D317" s="52">
        <v>1</v>
      </c>
      <c r="E317" s="56" t="s">
        <v>2547</v>
      </c>
      <c r="F317" s="53" t="s">
        <v>2548</v>
      </c>
      <c r="G317" s="53" t="s">
        <v>2549</v>
      </c>
      <c r="H317" s="54" t="str">
        <f t="shared" si="17"/>
        <v>MM-ILS-001.02.6 - Procedimentos Ajuste Mancal Inferior UG's 17 a 20 e modernizadas</v>
      </c>
      <c r="I317" s="55" t="s">
        <v>1976</v>
      </c>
      <c r="J317" s="55" t="str">
        <f>VLOOKUP(D317,GM!$D$4:$G$1637,4,3)&amp;" e "&amp;C317</f>
        <v>ENGENHARIA MECÂNICA  e ILS</v>
      </c>
      <c r="K317" s="164">
        <v>44118</v>
      </c>
      <c r="L317" s="164">
        <f t="shared" si="20"/>
        <v>45214</v>
      </c>
      <c r="M317" s="10" t="s">
        <v>62</v>
      </c>
      <c r="N317" s="1" t="s">
        <v>371</v>
      </c>
      <c r="O317" s="67" t="str">
        <f t="shared" ca="1" si="18"/>
        <v>Vencido</v>
      </c>
      <c r="P317" s="67"/>
      <c r="Q317" s="67">
        <f t="shared" ca="1" si="19"/>
        <v>2080</v>
      </c>
    </row>
    <row r="318" spans="2:17" ht="25" x14ac:dyDescent="0.35">
      <c r="B318" s="50">
        <v>8</v>
      </c>
      <c r="C318" s="51" t="s">
        <v>23</v>
      </c>
      <c r="D318" s="52">
        <v>1</v>
      </c>
      <c r="E318" s="56" t="s">
        <v>2550</v>
      </c>
      <c r="F318" s="53" t="s">
        <v>2551</v>
      </c>
      <c r="G318" s="53" t="s">
        <v>2552</v>
      </c>
      <c r="H318" s="54" t="str">
        <f t="shared" si="17"/>
        <v>MM-ILS-001.02.9 - Procedimentos Ajuste Mancal Inferior UG 3</v>
      </c>
      <c r="I318" s="55" t="s">
        <v>1976</v>
      </c>
      <c r="J318" s="55" t="str">
        <f>VLOOKUP(D318,GM!$D$4:$G$1637,4,3)&amp;" e "&amp;C318</f>
        <v>ENGENHARIA MECÂNICA  e ILS</v>
      </c>
      <c r="K318" s="164"/>
      <c r="L318" s="164"/>
      <c r="M318" s="11" t="s">
        <v>2543</v>
      </c>
      <c r="O318" s="67" t="str">
        <f t="shared" ca="1" si="18"/>
        <v>Vencido</v>
      </c>
      <c r="P318" s="67"/>
      <c r="Q318" s="67">
        <f t="shared" ca="1" si="19"/>
        <v>46198</v>
      </c>
    </row>
    <row r="319" spans="2:17" ht="15.5" x14ac:dyDescent="0.35">
      <c r="B319" s="50">
        <v>8</v>
      </c>
      <c r="C319" s="51" t="s">
        <v>23</v>
      </c>
      <c r="D319" s="52">
        <v>1</v>
      </c>
      <c r="E319" s="52">
        <v>4</v>
      </c>
      <c r="F319" s="53" t="s">
        <v>2553</v>
      </c>
      <c r="G319" s="53" t="s">
        <v>2554</v>
      </c>
      <c r="H319" s="54" t="str">
        <f t="shared" si="17"/>
        <v>MM-ILS-001.04 - Ajuste do MGT da UG03</v>
      </c>
      <c r="I319" s="55" t="s">
        <v>1976</v>
      </c>
      <c r="J319" s="55" t="str">
        <f>VLOOKUP(D319,GM!$D$4:$G$1637,4,3)&amp;" e "&amp;C319</f>
        <v>ENGENHARIA MECÂNICA  e ILS</v>
      </c>
      <c r="K319" s="164"/>
      <c r="L319" s="164"/>
      <c r="M319" s="11" t="s">
        <v>2543</v>
      </c>
      <c r="O319" s="67" t="str">
        <f t="shared" ca="1" si="18"/>
        <v>Vencido</v>
      </c>
      <c r="P319" s="67"/>
      <c r="Q319" s="67">
        <f t="shared" ca="1" si="19"/>
        <v>46198</v>
      </c>
    </row>
    <row r="320" spans="2:17" ht="15.5" x14ac:dyDescent="0.35">
      <c r="B320" s="50">
        <v>8</v>
      </c>
      <c r="C320" s="51" t="s">
        <v>23</v>
      </c>
      <c r="D320" s="52">
        <v>1</v>
      </c>
      <c r="E320" s="52">
        <v>5</v>
      </c>
      <c r="F320" s="53" t="s">
        <v>2555</v>
      </c>
      <c r="G320" s="53" t="s">
        <v>2556</v>
      </c>
      <c r="H320" s="54" t="str">
        <f t="shared" si="17"/>
        <v>MM-ILS-001.05 - Inspeção Visual em Pré Distribuidor</v>
      </c>
      <c r="I320" s="55" t="s">
        <v>1976</v>
      </c>
      <c r="J320" s="55" t="str">
        <f>VLOOKUP(D320,GM!$D$4:$G$1637,4,3)&amp;" e "&amp;C320</f>
        <v>ENGENHARIA MECÂNICA  e ILS</v>
      </c>
      <c r="K320" s="164">
        <v>43532</v>
      </c>
      <c r="L320" s="164">
        <f t="shared" si="20"/>
        <v>44628</v>
      </c>
      <c r="M320" s="10" t="s">
        <v>62</v>
      </c>
      <c r="N320" s="1" t="s">
        <v>371</v>
      </c>
      <c r="O320" s="67" t="str">
        <f t="shared" ca="1" si="18"/>
        <v>Vencido</v>
      </c>
      <c r="P320" s="67"/>
      <c r="Q320" s="67">
        <f t="shared" ca="1" si="19"/>
        <v>2666</v>
      </c>
    </row>
    <row r="321" spans="2:17" ht="15.5" x14ac:dyDescent="0.35">
      <c r="B321" s="50">
        <v>8</v>
      </c>
      <c r="C321" s="51" t="s">
        <v>23</v>
      </c>
      <c r="D321" s="52">
        <v>1</v>
      </c>
      <c r="E321" s="52">
        <v>6</v>
      </c>
      <c r="F321" s="53" t="s">
        <v>2557</v>
      </c>
      <c r="G321" s="53" t="s">
        <v>2558</v>
      </c>
      <c r="H321" s="54" t="str">
        <f t="shared" si="17"/>
        <v>MM-ILS-001.06 - Inspeção Trincas Pré Distribuidor UG's</v>
      </c>
      <c r="I321" s="55" t="s">
        <v>1976</v>
      </c>
      <c r="J321" s="55" t="str">
        <f>VLOOKUP(D321,GM!$D$4:$G$1637,4,3)&amp;" e "&amp;C321</f>
        <v>ENGENHARIA MECÂNICA  e ILS</v>
      </c>
      <c r="K321" s="164">
        <v>44053</v>
      </c>
      <c r="L321" s="164">
        <f t="shared" si="20"/>
        <v>45149</v>
      </c>
      <c r="M321" s="10" t="s">
        <v>62</v>
      </c>
      <c r="N321" s="1" t="s">
        <v>371</v>
      </c>
      <c r="O321" s="67" t="str">
        <f t="shared" ca="1" si="18"/>
        <v>Vencido</v>
      </c>
      <c r="P321" s="67"/>
      <c r="Q321" s="67">
        <f t="shared" ca="1" si="19"/>
        <v>2145</v>
      </c>
    </row>
    <row r="322" spans="2:17" ht="25" x14ac:dyDescent="0.35">
      <c r="B322" s="50">
        <v>8</v>
      </c>
      <c r="C322" s="51" t="s">
        <v>23</v>
      </c>
      <c r="D322" s="52">
        <v>1</v>
      </c>
      <c r="E322" s="52">
        <v>9</v>
      </c>
      <c r="F322" s="53" t="s">
        <v>2559</v>
      </c>
      <c r="G322" s="53" t="s">
        <v>2560</v>
      </c>
      <c r="H322" s="54" t="str">
        <f t="shared" si="17"/>
        <v>MM-ILS-001.09 - Drenagem e Reposição de Óleo dos Equipamentos das UG's</v>
      </c>
      <c r="I322" s="55" t="s">
        <v>1976</v>
      </c>
      <c r="J322" s="55" t="str">
        <f>VLOOKUP(D322,GM!$D$4:$G$1637,4,3)&amp;" e "&amp;C322</f>
        <v>ENGENHARIA MECÂNICA  e ILS</v>
      </c>
      <c r="K322" s="164">
        <v>44053</v>
      </c>
      <c r="L322" s="164">
        <f t="shared" si="20"/>
        <v>45149</v>
      </c>
      <c r="M322" s="10" t="s">
        <v>62</v>
      </c>
      <c r="N322" s="1" t="s">
        <v>371</v>
      </c>
      <c r="O322" s="67" t="str">
        <f t="shared" ca="1" si="18"/>
        <v>Vencido</v>
      </c>
      <c r="P322" s="67"/>
      <c r="Q322" s="67">
        <f t="shared" ca="1" si="19"/>
        <v>2145</v>
      </c>
    </row>
    <row r="323" spans="2:17" ht="25" hidden="1" x14ac:dyDescent="0.35">
      <c r="B323" s="50">
        <v>8</v>
      </c>
      <c r="C323" s="51" t="s">
        <v>23</v>
      </c>
      <c r="D323" s="52">
        <v>1</v>
      </c>
      <c r="E323" s="52">
        <v>10</v>
      </c>
      <c r="F323" s="53" t="s">
        <v>2561</v>
      </c>
      <c r="G323" s="53" t="s">
        <v>2562</v>
      </c>
      <c r="H323" s="54" t="str">
        <f t="shared" si="17"/>
        <v xml:space="preserve">MM-ILS-001.10 - Manual de Ajuste dos MGIs das UGs modernizadas </v>
      </c>
      <c r="I323" s="55" t="s">
        <v>1976</v>
      </c>
      <c r="J323" s="55" t="str">
        <f>VLOOKUP(D323,GM!$D$4:$G$1637,4,3)&amp;" e "&amp;C323</f>
        <v>ENGENHARIA MECÂNICA  e ILS</v>
      </c>
      <c r="K323" s="164">
        <v>45895</v>
      </c>
      <c r="L323" s="164">
        <f t="shared" si="20"/>
        <v>46991</v>
      </c>
      <c r="M323" s="10" t="s">
        <v>62</v>
      </c>
      <c r="N323" s="1" t="s">
        <v>371</v>
      </c>
      <c r="O323" s="67" t="str">
        <f t="shared" ca="1" si="18"/>
        <v>Em dia</v>
      </c>
      <c r="P323" s="67"/>
      <c r="Q323" s="67">
        <f t="shared" ca="1" si="19"/>
        <v>303</v>
      </c>
    </row>
    <row r="324" spans="2:17" ht="25" hidden="1" x14ac:dyDescent="0.35">
      <c r="B324" s="50">
        <v>8</v>
      </c>
      <c r="C324" s="51" t="s">
        <v>23</v>
      </c>
      <c r="D324" s="52">
        <v>1</v>
      </c>
      <c r="E324" s="52">
        <v>11</v>
      </c>
      <c r="F324" s="53" t="s">
        <v>2563</v>
      </c>
      <c r="G324" s="53" t="s">
        <v>2564</v>
      </c>
      <c r="H324" s="54" t="str">
        <f t="shared" si="17"/>
        <v>MM-ILS-001.11 - Manual de Lubrificação, Inspeção e Manutenção nas Unidades Geradoras 01 a 04</v>
      </c>
      <c r="I324" s="55" t="s">
        <v>1976</v>
      </c>
      <c r="J324" s="55" t="str">
        <f>VLOOKUP(D324,GM!$D$4:$G$1637,4,3)&amp;" e "&amp;C324</f>
        <v>ENGENHARIA MECÂNICA  e ILS</v>
      </c>
      <c r="K324" s="164">
        <v>45895</v>
      </c>
      <c r="L324" s="164">
        <f t="shared" si="20"/>
        <v>46991</v>
      </c>
      <c r="M324" s="10" t="s">
        <v>62</v>
      </c>
      <c r="N324" s="1" t="s">
        <v>371</v>
      </c>
      <c r="O324" s="67" t="str">
        <f t="shared" ca="1" si="18"/>
        <v>Em dia</v>
      </c>
      <c r="P324" s="67"/>
      <c r="Q324" s="67">
        <f t="shared" ca="1" si="19"/>
        <v>303</v>
      </c>
    </row>
    <row r="325" spans="2:17" ht="25" hidden="1" x14ac:dyDescent="0.35">
      <c r="B325" s="50">
        <v>8</v>
      </c>
      <c r="C325" s="51" t="s">
        <v>23</v>
      </c>
      <c r="D325" s="52">
        <v>1</v>
      </c>
      <c r="E325" s="52">
        <v>12</v>
      </c>
      <c r="F325" s="53" t="s">
        <v>2565</v>
      </c>
      <c r="G325" s="53" t="s">
        <v>2566</v>
      </c>
      <c r="H325" s="54" t="str">
        <f t="shared" si="17"/>
        <v>MM-ILS-001.12 - Manual de Lubrificação, Inspeção e Manutenção nas Unidades Geradoras 05 a 16</v>
      </c>
      <c r="I325" s="55" t="s">
        <v>1976</v>
      </c>
      <c r="J325" s="55" t="str">
        <f>VLOOKUP(D325,GM!$D$4:$G$1637,4,3)&amp;" e "&amp;C325</f>
        <v>ENGENHARIA MECÂNICA  e ILS</v>
      </c>
      <c r="K325" s="164">
        <v>45895</v>
      </c>
      <c r="L325" s="164">
        <f t="shared" si="20"/>
        <v>46991</v>
      </c>
      <c r="M325" s="10" t="s">
        <v>62</v>
      </c>
      <c r="N325" s="1" t="s">
        <v>371</v>
      </c>
      <c r="O325" s="67" t="str">
        <f t="shared" ca="1" si="18"/>
        <v>Em dia</v>
      </c>
      <c r="P325" s="67"/>
      <c r="Q325" s="67">
        <f t="shared" ca="1" si="19"/>
        <v>303</v>
      </c>
    </row>
    <row r="326" spans="2:17" ht="25" hidden="1" x14ac:dyDescent="0.35">
      <c r="B326" s="50">
        <v>8</v>
      </c>
      <c r="C326" s="51" t="s">
        <v>23</v>
      </c>
      <c r="D326" s="52">
        <v>1</v>
      </c>
      <c r="E326" s="52">
        <v>66</v>
      </c>
      <c r="F326" s="53" t="s">
        <v>2567</v>
      </c>
      <c r="G326" s="53" t="s">
        <v>2568</v>
      </c>
      <c r="H326" s="54" t="str">
        <f t="shared" si="17"/>
        <v>MM-ILS-001.66 - Medição de Verticalidade dos Eixos nas Unidades Geradoras</v>
      </c>
      <c r="I326" s="55" t="s">
        <v>1976</v>
      </c>
      <c r="J326" s="55" t="str">
        <f>VLOOKUP(D326,GM!$D$4:$G$1637,4,3)&amp;" e "&amp;C326</f>
        <v>ENGENHARIA MECÂNICA  e ILS</v>
      </c>
      <c r="K326" s="164">
        <v>45895</v>
      </c>
      <c r="L326" s="164">
        <f t="shared" si="20"/>
        <v>46991</v>
      </c>
      <c r="M326" s="10" t="s">
        <v>62</v>
      </c>
      <c r="N326" s="1" t="s">
        <v>371</v>
      </c>
      <c r="O326" s="67" t="str">
        <f t="shared" ca="1" si="18"/>
        <v>Em dia</v>
      </c>
      <c r="P326" s="67"/>
      <c r="Q326" s="67">
        <f t="shared" ca="1" si="19"/>
        <v>303</v>
      </c>
    </row>
    <row r="327" spans="2:17" ht="25" x14ac:dyDescent="0.35">
      <c r="B327" s="50">
        <v>8</v>
      </c>
      <c r="C327" s="51" t="s">
        <v>23</v>
      </c>
      <c r="D327" s="52">
        <v>2</v>
      </c>
      <c r="E327" s="52">
        <v>26</v>
      </c>
      <c r="F327" s="53" t="s">
        <v>2569</v>
      </c>
      <c r="G327" s="53" t="s">
        <v>2570</v>
      </c>
      <c r="H327" s="54" t="str">
        <f t="shared" ref="H327:H390" si="21">(F327)&amp;" - "&amp;(G327)</f>
        <v>MM-ILS-002.26 - Nivelamento e ajuste do mancal de escora das unidades geradoras 01 a 04.</v>
      </c>
      <c r="I327" s="55" t="s">
        <v>2193</v>
      </c>
      <c r="J327" s="55" t="str">
        <f>VLOOKUP(D327,GM!$D$4:$G$1637,4,3)&amp;" e "&amp;C327</f>
        <v>ENGENHARIA MECÂNICA  e ILS</v>
      </c>
      <c r="K327" s="164">
        <v>45274</v>
      </c>
      <c r="L327" s="164">
        <f t="shared" ref="L327:L389" si="22">K327+1096</f>
        <v>46370</v>
      </c>
      <c r="M327" s="10" t="s">
        <v>62</v>
      </c>
      <c r="N327" s="1" t="s">
        <v>371</v>
      </c>
      <c r="O327" s="67" t="str">
        <f t="shared" ca="1" si="18"/>
        <v>Alerta</v>
      </c>
      <c r="P327" s="67"/>
      <c r="Q327" s="67">
        <f t="shared" ca="1" si="19"/>
        <v>924</v>
      </c>
    </row>
    <row r="328" spans="2:17" ht="15.5" hidden="1" x14ac:dyDescent="0.35">
      <c r="B328" s="50">
        <v>8</v>
      </c>
      <c r="C328" s="51" t="s">
        <v>23</v>
      </c>
      <c r="D328" s="52">
        <v>2</v>
      </c>
      <c r="E328" s="52">
        <v>27</v>
      </c>
      <c r="F328" s="53" t="s">
        <v>2571</v>
      </c>
      <c r="G328" s="53" t="s">
        <v>2324</v>
      </c>
      <c r="H328" s="54" t="str">
        <f t="shared" si="21"/>
        <v>MM-ILS-002.27 - Substituição do radiador do gerador UGs Francis</v>
      </c>
      <c r="I328" s="55" t="s">
        <v>2193</v>
      </c>
      <c r="J328" s="55" t="str">
        <f>VLOOKUP(D328,GM!$D$4:$G$1637,4,3)&amp;" e "&amp;C328</f>
        <v>ENGENHARIA MECÂNICA  e ILS</v>
      </c>
      <c r="K328" s="164">
        <v>45895</v>
      </c>
      <c r="L328" s="164">
        <f t="shared" si="22"/>
        <v>46991</v>
      </c>
      <c r="M328" s="10" t="s">
        <v>62</v>
      </c>
      <c r="N328" s="1" t="s">
        <v>371</v>
      </c>
      <c r="O328" s="67" t="str">
        <f t="shared" ref="O328:O391" ca="1" si="23">IF(Q328="","",IF(Q328&gt;1095,"Vencido",IF(Q328&gt;910,"Alerta",IF(Q328&gt;820,"Alerta",IF(Q328&gt;730,"Alerta",IF(Q328&gt;=0,"Em dia","Vencido"))))))</f>
        <v>Em dia</v>
      </c>
      <c r="P328" s="67"/>
      <c r="Q328" s="67">
        <f t="shared" ca="1" si="19"/>
        <v>303</v>
      </c>
    </row>
    <row r="329" spans="2:17" ht="25" x14ac:dyDescent="0.35">
      <c r="B329" s="50">
        <v>8</v>
      </c>
      <c r="C329" s="51" t="s">
        <v>23</v>
      </c>
      <c r="D329" s="52">
        <v>3</v>
      </c>
      <c r="E329" s="52">
        <v>0</v>
      </c>
      <c r="F329" s="53" t="s">
        <v>2572</v>
      </c>
      <c r="G329" s="53" t="s">
        <v>2573</v>
      </c>
      <c r="H329" s="54" t="str">
        <f t="shared" si="21"/>
        <v>MM-ILS-003.00 - MANUAL DE MONTAGEM E DESMONTAGEM DE POLOS GERADORES SIEMENS</v>
      </c>
      <c r="I329" s="55" t="s">
        <v>2242</v>
      </c>
      <c r="J329" s="55" t="str">
        <f>VLOOKUP(D329,GM!$D$4:$G$1637,4,3)&amp;" e "&amp;C329</f>
        <v>ENGENHARIA ELÉTRICA  e ILS</v>
      </c>
      <c r="K329" s="164"/>
      <c r="L329" s="164"/>
      <c r="M329" s="150" t="s">
        <v>267</v>
      </c>
      <c r="O329" s="67" t="str">
        <f t="shared" ca="1" si="23"/>
        <v>Vencido</v>
      </c>
      <c r="P329" s="67"/>
      <c r="Q329" s="67">
        <f t="shared" ca="1" si="19"/>
        <v>46198</v>
      </c>
    </row>
    <row r="330" spans="2:17" ht="25" hidden="1" x14ac:dyDescent="0.35">
      <c r="B330" s="50">
        <v>8</v>
      </c>
      <c r="C330" s="51" t="s">
        <v>23</v>
      </c>
      <c r="D330" s="52">
        <v>3</v>
      </c>
      <c r="E330" s="52">
        <v>3</v>
      </c>
      <c r="F330" s="53" t="s">
        <v>2574</v>
      </c>
      <c r="G330" s="53" t="s">
        <v>2575</v>
      </c>
      <c r="H330" s="54" t="str">
        <f t="shared" si="21"/>
        <v>MM-ILS-003.03 - Manutenção Preditiva - Inspeção de Termografia das Unidades Geradoras e Equipamentos do Bay</v>
      </c>
      <c r="I330" s="55" t="s">
        <v>2242</v>
      </c>
      <c r="J330" s="55" t="str">
        <f>VLOOKUP(D330,GM!$D$4:$G$1637,4,3)&amp;" e "&amp;C330</f>
        <v>ENGENHARIA ELÉTRICA  e ILS</v>
      </c>
      <c r="K330" s="164">
        <v>45791</v>
      </c>
      <c r="L330" s="164">
        <f t="shared" si="22"/>
        <v>46887</v>
      </c>
      <c r="M330" s="10" t="s">
        <v>62</v>
      </c>
      <c r="N330" s="1" t="s">
        <v>371</v>
      </c>
      <c r="O330" s="67" t="str">
        <f t="shared" ca="1" si="23"/>
        <v>Em dia</v>
      </c>
      <c r="P330" s="67"/>
      <c r="Q330" s="67">
        <f t="shared" ref="Q330:Q393" ca="1" si="24">$P$4-K330</f>
        <v>407</v>
      </c>
    </row>
    <row r="331" spans="2:17" ht="25" x14ac:dyDescent="0.35">
      <c r="B331" s="50">
        <v>8</v>
      </c>
      <c r="C331" s="51" t="s">
        <v>23</v>
      </c>
      <c r="D331" s="52">
        <v>3</v>
      </c>
      <c r="E331" s="56">
        <v>3.1</v>
      </c>
      <c r="F331" s="53" t="s">
        <v>2576</v>
      </c>
      <c r="G331" s="53" t="s">
        <v>2577</v>
      </c>
      <c r="H331" s="54" t="str">
        <f t="shared" si="21"/>
        <v>MM-ILS-003.03.1 - Manual Ensaios Geradores - Parte 1 (Estator e Rotor)</v>
      </c>
      <c r="I331" s="55" t="s">
        <v>2242</v>
      </c>
      <c r="J331" s="55" t="str">
        <f>VLOOKUP(D331,GM!$D$4:$G$1637,4,3)&amp;" e "&amp;C331</f>
        <v>ENGENHARIA ELÉTRICA  e ILS</v>
      </c>
      <c r="K331" s="164"/>
      <c r="L331" s="164"/>
      <c r="M331" s="11" t="s">
        <v>267</v>
      </c>
      <c r="O331" s="67" t="str">
        <f t="shared" ca="1" si="23"/>
        <v>Vencido</v>
      </c>
      <c r="P331" s="67"/>
      <c r="Q331" s="67">
        <f t="shared" ca="1" si="24"/>
        <v>46198</v>
      </c>
    </row>
    <row r="332" spans="2:17" ht="15.5" hidden="1" x14ac:dyDescent="0.35">
      <c r="B332" s="50">
        <v>8</v>
      </c>
      <c r="C332" s="51" t="s">
        <v>23</v>
      </c>
      <c r="D332" s="52">
        <v>3</v>
      </c>
      <c r="E332" s="52">
        <v>4</v>
      </c>
      <c r="F332" s="53" t="s">
        <v>2578</v>
      </c>
      <c r="G332" s="53" t="s">
        <v>2579</v>
      </c>
      <c r="H332" s="54" t="str">
        <f t="shared" si="21"/>
        <v>MM-ILS-003.04 - Anel Coletor Escovas Carvão</v>
      </c>
      <c r="I332" s="55" t="s">
        <v>2242</v>
      </c>
      <c r="J332" s="55" t="str">
        <f>VLOOKUP(D332,GM!$D$4:$G$1637,4,3)&amp;" e "&amp;C332</f>
        <v>ENGENHARIA ELÉTRICA  e ILS</v>
      </c>
      <c r="K332" s="164">
        <v>45743</v>
      </c>
      <c r="L332" s="164">
        <f t="shared" si="22"/>
        <v>46839</v>
      </c>
      <c r="M332" s="10" t="s">
        <v>62</v>
      </c>
      <c r="N332" s="1" t="s">
        <v>371</v>
      </c>
      <c r="O332" s="67" t="str">
        <f t="shared" ca="1" si="23"/>
        <v>Em dia</v>
      </c>
      <c r="P332" s="67"/>
      <c r="Q332" s="67">
        <f t="shared" ca="1" si="24"/>
        <v>455</v>
      </c>
    </row>
    <row r="333" spans="2:17" ht="15.5" hidden="1" x14ac:dyDescent="0.35">
      <c r="B333" s="50">
        <v>8</v>
      </c>
      <c r="C333" s="51" t="s">
        <v>23</v>
      </c>
      <c r="D333" s="52">
        <v>3</v>
      </c>
      <c r="E333" s="52">
        <v>5</v>
      </c>
      <c r="F333" s="53" t="s">
        <v>2580</v>
      </c>
      <c r="G333" s="53" t="s">
        <v>2581</v>
      </c>
      <c r="H333" s="54" t="str">
        <f t="shared" si="21"/>
        <v>MM-ILS-003.05 - Manual de Manutenção de MPP0 em Geradores</v>
      </c>
      <c r="I333" s="55" t="s">
        <v>2242</v>
      </c>
      <c r="J333" s="55" t="str">
        <f>VLOOKUP(D333,GM!$D$4:$G$1637,4,3)&amp;" e "&amp;C333</f>
        <v>ENGENHARIA ELÉTRICA  e ILS</v>
      </c>
      <c r="K333" s="164">
        <v>45791</v>
      </c>
      <c r="L333" s="164">
        <f t="shared" si="22"/>
        <v>46887</v>
      </c>
      <c r="M333" s="10" t="s">
        <v>62</v>
      </c>
      <c r="N333" s="1" t="s">
        <v>371</v>
      </c>
      <c r="O333" s="67" t="str">
        <f t="shared" ca="1" si="23"/>
        <v>Em dia</v>
      </c>
      <c r="P333" s="67"/>
      <c r="Q333" s="67">
        <f t="shared" ca="1" si="24"/>
        <v>407</v>
      </c>
    </row>
    <row r="334" spans="2:17" ht="25" x14ac:dyDescent="0.35">
      <c r="B334" s="50">
        <v>8</v>
      </c>
      <c r="C334" s="51" t="s">
        <v>23</v>
      </c>
      <c r="D334" s="52">
        <v>3</v>
      </c>
      <c r="E334" s="52">
        <v>6</v>
      </c>
      <c r="F334" s="53" t="s">
        <v>2582</v>
      </c>
      <c r="G334" s="53" t="s">
        <v>2583</v>
      </c>
      <c r="H334" s="54" t="str">
        <f t="shared" si="21"/>
        <v xml:space="preserve">MM-ILS-003.06 - Manual de manutenção anel coletor e escova de carvão </v>
      </c>
      <c r="I334" s="55" t="s">
        <v>2584</v>
      </c>
      <c r="J334" s="55" t="str">
        <f>VLOOKUP(D334,GM!$D$4:$G$1637,4,3)&amp;" e "&amp;C334</f>
        <v>ENGENHARIA ELÉTRICA  e ILS</v>
      </c>
      <c r="K334" s="164"/>
      <c r="L334" s="164"/>
      <c r="M334" s="11" t="s">
        <v>267</v>
      </c>
      <c r="O334" s="67" t="str">
        <f t="shared" ca="1" si="23"/>
        <v>Vencido</v>
      </c>
      <c r="P334" s="67"/>
      <c r="Q334" s="67">
        <f t="shared" ca="1" si="24"/>
        <v>46198</v>
      </c>
    </row>
    <row r="335" spans="2:17" ht="25" x14ac:dyDescent="0.35">
      <c r="B335" s="50">
        <v>8</v>
      </c>
      <c r="C335" s="51" t="s">
        <v>23</v>
      </c>
      <c r="D335" s="52">
        <v>3</v>
      </c>
      <c r="E335" s="52">
        <v>8</v>
      </c>
      <c r="F335" s="53" t="s">
        <v>2585</v>
      </c>
      <c r="G335" s="53" t="s">
        <v>2586</v>
      </c>
      <c r="H335" s="54" t="str">
        <f t="shared" si="21"/>
        <v>MM-ILS-003.08 - Manutenção de Manutenção de MPP1 em Geradores</v>
      </c>
      <c r="I335" s="55" t="s">
        <v>2242</v>
      </c>
      <c r="J335" s="55" t="str">
        <f>VLOOKUP(D335,GM!$D$4:$G$1637,4,3)&amp;" e "&amp;C335</f>
        <v>ENGENHARIA ELÉTRICA  e ILS</v>
      </c>
      <c r="K335" s="164"/>
      <c r="L335" s="164"/>
      <c r="M335" s="11" t="s">
        <v>267</v>
      </c>
      <c r="O335" s="67" t="str">
        <f t="shared" ca="1" si="23"/>
        <v>Vencido</v>
      </c>
      <c r="P335" s="67"/>
      <c r="Q335" s="67">
        <f t="shared" ca="1" si="24"/>
        <v>46198</v>
      </c>
    </row>
    <row r="336" spans="2:17" ht="25" x14ac:dyDescent="0.35">
      <c r="B336" s="50">
        <v>8</v>
      </c>
      <c r="C336" s="51" t="s">
        <v>23</v>
      </c>
      <c r="D336" s="52">
        <v>3</v>
      </c>
      <c r="E336" s="52">
        <v>9</v>
      </c>
      <c r="F336" s="53" t="s">
        <v>2587</v>
      </c>
      <c r="G336" s="53" t="s">
        <v>2588</v>
      </c>
      <c r="H336" s="54" t="str">
        <f t="shared" si="21"/>
        <v>MM-ILS-003.09 - Transmissor de pressão diferencial 3051CD Rosemount</v>
      </c>
      <c r="I336" s="55" t="s">
        <v>2242</v>
      </c>
      <c r="J336" s="55" t="str">
        <f>VLOOKUP(D336,GM!$D$4:$G$1637,4,3)&amp;" e "&amp;C336</f>
        <v>ENGENHARIA ELÉTRICA  e ILS</v>
      </c>
      <c r="K336" s="164"/>
      <c r="L336" s="164"/>
      <c r="M336" s="11" t="s">
        <v>267</v>
      </c>
      <c r="O336" s="67" t="str">
        <f t="shared" ca="1" si="23"/>
        <v>Vencido</v>
      </c>
      <c r="P336" s="67"/>
      <c r="Q336" s="67">
        <f t="shared" ca="1" si="24"/>
        <v>46198</v>
      </c>
    </row>
    <row r="337" spans="2:17" ht="25" x14ac:dyDescent="0.35">
      <c r="B337" s="50">
        <v>8</v>
      </c>
      <c r="C337" s="51" t="s">
        <v>23</v>
      </c>
      <c r="D337" s="52">
        <v>3</v>
      </c>
      <c r="E337" s="52">
        <v>10</v>
      </c>
      <c r="F337" s="53" t="s">
        <v>2589</v>
      </c>
      <c r="G337" s="53" t="s">
        <v>2588</v>
      </c>
      <c r="H337" s="54" t="str">
        <f t="shared" si="21"/>
        <v>MM-ILS-003.10 - Transmissor de pressão diferencial 3051CD Rosemount</v>
      </c>
      <c r="I337" s="55" t="s">
        <v>2242</v>
      </c>
      <c r="J337" s="55" t="str">
        <f>VLOOKUP(D337,GM!$D$4:$G$1637,4,3)&amp;" e "&amp;C337</f>
        <v>ENGENHARIA ELÉTRICA  e ILS</v>
      </c>
      <c r="K337" s="164"/>
      <c r="L337" s="164"/>
      <c r="M337" s="11" t="s">
        <v>267</v>
      </c>
      <c r="O337" s="67" t="str">
        <f t="shared" ca="1" si="23"/>
        <v>Vencido</v>
      </c>
      <c r="P337" s="67"/>
      <c r="Q337" s="67">
        <f t="shared" ca="1" si="24"/>
        <v>46198</v>
      </c>
    </row>
    <row r="338" spans="2:17" ht="15.5" x14ac:dyDescent="0.35">
      <c r="B338" s="50">
        <v>8</v>
      </c>
      <c r="C338" s="51" t="s">
        <v>23</v>
      </c>
      <c r="D338" s="52">
        <v>3</v>
      </c>
      <c r="E338" s="52">
        <v>11</v>
      </c>
      <c r="F338" s="53" t="s">
        <v>2590</v>
      </c>
      <c r="G338" s="53" t="s">
        <v>2591</v>
      </c>
      <c r="H338" s="54" t="str">
        <f t="shared" si="21"/>
        <v>MM-ILS-003.11 - Pressostato Eletrônico WIKA</v>
      </c>
      <c r="I338" s="55" t="s">
        <v>2242</v>
      </c>
      <c r="J338" s="55" t="str">
        <f>VLOOKUP(D338,GM!$D$4:$G$1637,4,3)&amp;" e "&amp;C338</f>
        <v>ENGENHARIA ELÉTRICA  e ILS</v>
      </c>
      <c r="K338" s="164"/>
      <c r="L338" s="164"/>
      <c r="M338" s="150" t="s">
        <v>267</v>
      </c>
      <c r="O338" s="67" t="str">
        <f t="shared" ca="1" si="23"/>
        <v>Vencido</v>
      </c>
      <c r="P338" s="67"/>
      <c r="Q338" s="67">
        <f t="shared" ca="1" si="24"/>
        <v>46198</v>
      </c>
    </row>
    <row r="339" spans="2:17" ht="15.5" x14ac:dyDescent="0.35">
      <c r="B339" s="50">
        <v>8</v>
      </c>
      <c r="C339" s="51" t="s">
        <v>23</v>
      </c>
      <c r="D339" s="52">
        <v>3</v>
      </c>
      <c r="E339" s="52">
        <v>12</v>
      </c>
      <c r="F339" s="53" t="s">
        <v>2592</v>
      </c>
      <c r="G339" s="53" t="s">
        <v>2593</v>
      </c>
      <c r="H339" s="54" t="str">
        <f t="shared" si="21"/>
        <v>MM-ILS-003.12 - Transmissores e sensores de temperatura WIKA</v>
      </c>
      <c r="I339" s="55" t="s">
        <v>2242</v>
      </c>
      <c r="J339" s="55" t="str">
        <f>VLOOKUP(D339,GM!$D$4:$G$1637,4,3)&amp;" e "&amp;C339</f>
        <v>ENGENHARIA ELÉTRICA  e ILS</v>
      </c>
      <c r="K339" s="164"/>
      <c r="L339" s="164"/>
      <c r="M339" s="150" t="s">
        <v>267</v>
      </c>
      <c r="O339" s="67" t="str">
        <f t="shared" ca="1" si="23"/>
        <v>Vencido</v>
      </c>
      <c r="P339" s="67"/>
      <c r="Q339" s="67">
        <f t="shared" ca="1" si="24"/>
        <v>46198</v>
      </c>
    </row>
    <row r="340" spans="2:17" ht="26" hidden="1" x14ac:dyDescent="0.35">
      <c r="B340" s="50">
        <v>8</v>
      </c>
      <c r="C340" s="51" t="s">
        <v>23</v>
      </c>
      <c r="D340" s="52">
        <v>4</v>
      </c>
      <c r="E340" s="52">
        <v>0</v>
      </c>
      <c r="F340" s="53" t="s">
        <v>2594</v>
      </c>
      <c r="G340" s="53" t="s">
        <v>2595</v>
      </c>
      <c r="H340" s="54" t="str">
        <f t="shared" si="21"/>
        <v>MM-ILS-004.00 - Testes dinâmicos de automatismos das unidades geradoras</v>
      </c>
      <c r="I340" s="55" t="s">
        <v>2067</v>
      </c>
      <c r="J340" s="55" t="str">
        <f>VLOOKUP(D340,GM!$D$4:$G$1637,4,3)&amp;" e "&amp;C340</f>
        <v>ENGENHARIA ELÉTRICA  e ILS</v>
      </c>
      <c r="K340" s="164">
        <v>45743</v>
      </c>
      <c r="L340" s="164">
        <f t="shared" si="22"/>
        <v>46839</v>
      </c>
      <c r="M340" s="10" t="s">
        <v>62</v>
      </c>
      <c r="N340" s="1" t="s">
        <v>371</v>
      </c>
      <c r="O340" s="67" t="str">
        <f t="shared" ca="1" si="23"/>
        <v>Em dia</v>
      </c>
      <c r="P340" s="67"/>
      <c r="Q340" s="67">
        <f t="shared" ca="1" si="24"/>
        <v>455</v>
      </c>
    </row>
    <row r="341" spans="2:17" ht="26" x14ac:dyDescent="0.35">
      <c r="B341" s="50">
        <v>8</v>
      </c>
      <c r="C341" s="51" t="s">
        <v>23</v>
      </c>
      <c r="D341" s="52">
        <v>4</v>
      </c>
      <c r="E341" s="52">
        <v>1</v>
      </c>
      <c r="F341" s="53" t="s">
        <v>2596</v>
      </c>
      <c r="G341" s="53" t="s">
        <v>2597</v>
      </c>
      <c r="H341" s="54" t="str">
        <f t="shared" si="21"/>
        <v>MM-ILS-004.01 - Alinhamento de Eixos de Conjuntos Rotativos Por Laser</v>
      </c>
      <c r="I341" s="55" t="s">
        <v>2598</v>
      </c>
      <c r="J341" s="55" t="str">
        <f>VLOOKUP(D341,GM!$D$4:$G$1637,4,3)&amp;" e "&amp;C341</f>
        <v>ENGENHARIA ELÉTRICA  e ILS</v>
      </c>
      <c r="K341" s="164">
        <v>44061</v>
      </c>
      <c r="L341" s="164">
        <f t="shared" si="22"/>
        <v>45157</v>
      </c>
      <c r="M341" s="10" t="s">
        <v>62</v>
      </c>
      <c r="N341" s="1" t="s">
        <v>371</v>
      </c>
      <c r="O341" s="67" t="str">
        <f t="shared" ca="1" si="23"/>
        <v>Vencido</v>
      </c>
      <c r="P341" s="67"/>
      <c r="Q341" s="67">
        <f t="shared" ca="1" si="24"/>
        <v>2137</v>
      </c>
    </row>
    <row r="342" spans="2:17" ht="26" hidden="1" x14ac:dyDescent="0.35">
      <c r="B342" s="50">
        <v>8</v>
      </c>
      <c r="C342" s="51" t="s">
        <v>23</v>
      </c>
      <c r="D342" s="52">
        <v>4</v>
      </c>
      <c r="E342" s="52">
        <v>2</v>
      </c>
      <c r="F342" s="53" t="s">
        <v>2599</v>
      </c>
      <c r="G342" s="67" t="s">
        <v>2591</v>
      </c>
      <c r="H342" s="54" t="str">
        <f t="shared" si="21"/>
        <v>MM-ILS-004.02 - Pressostato Eletrônico WIKA</v>
      </c>
      <c r="I342" s="55" t="s">
        <v>2067</v>
      </c>
      <c r="J342" s="55" t="str">
        <f>VLOOKUP(D342,GM!$D$4:$G$1637,4,3)&amp;" e "&amp;C342</f>
        <v>ENGENHARIA ELÉTRICA  e ILS</v>
      </c>
      <c r="K342" s="164">
        <v>45743</v>
      </c>
      <c r="L342" s="164">
        <f t="shared" si="22"/>
        <v>46839</v>
      </c>
      <c r="M342" s="10" t="s">
        <v>62</v>
      </c>
      <c r="N342" s="1" t="s">
        <v>371</v>
      </c>
      <c r="O342" s="67" t="str">
        <f t="shared" ca="1" si="23"/>
        <v>Em dia</v>
      </c>
      <c r="P342" s="67"/>
      <c r="Q342" s="67">
        <f t="shared" ca="1" si="24"/>
        <v>455</v>
      </c>
    </row>
    <row r="343" spans="2:17" ht="26" hidden="1" x14ac:dyDescent="0.35">
      <c r="B343" s="50">
        <v>8</v>
      </c>
      <c r="C343" s="51" t="s">
        <v>23</v>
      </c>
      <c r="D343" s="52">
        <v>4</v>
      </c>
      <c r="E343" s="52">
        <v>3</v>
      </c>
      <c r="F343" s="53" t="s">
        <v>2600</v>
      </c>
      <c r="G343" s="67" t="s">
        <v>2601</v>
      </c>
      <c r="H343" s="54" t="str">
        <f t="shared" si="21"/>
        <v>MM-ILS-004.03 -  Transmissores e sensores de temperatura WIKA</v>
      </c>
      <c r="I343" s="55" t="s">
        <v>2067</v>
      </c>
      <c r="J343" s="55" t="str">
        <f>VLOOKUP(D343,GM!$D$4:$G$1637,4,3)&amp;" e "&amp;C343</f>
        <v>ENGENHARIA ELÉTRICA  e ILS</v>
      </c>
      <c r="K343" s="164">
        <v>45743</v>
      </c>
      <c r="L343" s="164">
        <f t="shared" si="22"/>
        <v>46839</v>
      </c>
      <c r="M343" s="10" t="s">
        <v>62</v>
      </c>
      <c r="N343" s="1" t="s">
        <v>371</v>
      </c>
      <c r="O343" s="67" t="str">
        <f t="shared" ca="1" si="23"/>
        <v>Em dia</v>
      </c>
      <c r="P343" s="67"/>
      <c r="Q343" s="67">
        <f t="shared" ca="1" si="24"/>
        <v>455</v>
      </c>
    </row>
    <row r="344" spans="2:17" ht="26" x14ac:dyDescent="0.35">
      <c r="B344" s="50">
        <v>8</v>
      </c>
      <c r="C344" s="51" t="s">
        <v>23</v>
      </c>
      <c r="D344" s="52">
        <v>4</v>
      </c>
      <c r="E344" s="52">
        <v>5</v>
      </c>
      <c r="F344" s="53" t="s">
        <v>2602</v>
      </c>
      <c r="G344" s="67" t="s">
        <v>2603</v>
      </c>
      <c r="H344" s="54" t="str">
        <f t="shared" si="21"/>
        <v>MM-ILS-004.05 - MCP0_Painél CMCS</v>
      </c>
      <c r="I344" s="55" t="s">
        <v>2067</v>
      </c>
      <c r="J344" s="55" t="str">
        <f>VLOOKUP(D344,GM!$D$4:$G$1637,4,3)&amp;" e "&amp;C344</f>
        <v>ENGENHARIA ELÉTRICA  e ILS</v>
      </c>
      <c r="K344" s="164"/>
      <c r="L344" s="164"/>
      <c r="M344" s="158" t="s">
        <v>267</v>
      </c>
      <c r="O344" s="67" t="str">
        <f t="shared" ca="1" si="23"/>
        <v>Vencido</v>
      </c>
      <c r="P344" s="67"/>
      <c r="Q344" s="67">
        <f t="shared" ca="1" si="24"/>
        <v>46198</v>
      </c>
    </row>
    <row r="345" spans="2:17" ht="26" x14ac:dyDescent="0.35">
      <c r="B345" s="50">
        <v>8</v>
      </c>
      <c r="C345" s="51" t="s">
        <v>23</v>
      </c>
      <c r="D345" s="52">
        <v>4</v>
      </c>
      <c r="E345" s="52">
        <v>6</v>
      </c>
      <c r="F345" s="53" t="s">
        <v>2604</v>
      </c>
      <c r="G345" s="67" t="s">
        <v>2605</v>
      </c>
      <c r="H345" s="54" t="str">
        <f t="shared" si="21"/>
        <v>MM-ILS-004.06 - MCP1_Painél CMCS</v>
      </c>
      <c r="I345" s="55" t="s">
        <v>2067</v>
      </c>
      <c r="J345" s="55" t="str">
        <f>VLOOKUP(D345,GM!$D$4:$G$1637,4,3)&amp;" e "&amp;C345</f>
        <v>ENGENHARIA ELÉTRICA  e ILS</v>
      </c>
      <c r="K345" s="164"/>
      <c r="L345" s="164"/>
      <c r="M345" s="158" t="s">
        <v>267</v>
      </c>
      <c r="O345" s="67" t="str">
        <f t="shared" ca="1" si="23"/>
        <v>Vencido</v>
      </c>
      <c r="P345" s="67"/>
      <c r="Q345" s="67">
        <f t="shared" ca="1" si="24"/>
        <v>46198</v>
      </c>
    </row>
    <row r="346" spans="2:17" ht="29" x14ac:dyDescent="0.35">
      <c r="B346" s="50">
        <v>8</v>
      </c>
      <c r="C346" s="51" t="s">
        <v>23</v>
      </c>
      <c r="D346" s="52">
        <v>4</v>
      </c>
      <c r="E346" s="52">
        <v>8</v>
      </c>
      <c r="F346" s="53" t="s">
        <v>2606</v>
      </c>
      <c r="G346" s="65" t="s">
        <v>2607</v>
      </c>
      <c r="H346" s="54" t="str">
        <f t="shared" si="21"/>
        <v>MM-ILS-004.08 - MPP0, MPP1 e MPP2 nos quadros Centro de Motores  CCM</v>
      </c>
      <c r="I346" s="55" t="s">
        <v>2067</v>
      </c>
      <c r="J346" s="55" t="str">
        <f>VLOOKUP(D346,GM!$D$4:$G$1637,4,3)&amp;" e "&amp;C346</f>
        <v>ENGENHARIA ELÉTRICA  e ILS</v>
      </c>
      <c r="K346" s="164"/>
      <c r="L346" s="164"/>
      <c r="M346" s="158" t="s">
        <v>267</v>
      </c>
      <c r="O346" s="67" t="str">
        <f t="shared" ca="1" si="23"/>
        <v>Vencido</v>
      </c>
      <c r="P346" s="67"/>
      <c r="Q346" s="67">
        <f t="shared" ca="1" si="24"/>
        <v>46198</v>
      </c>
    </row>
    <row r="347" spans="2:17" ht="29" hidden="1" x14ac:dyDescent="0.35">
      <c r="B347" s="50">
        <v>8</v>
      </c>
      <c r="C347" s="51" t="s">
        <v>23</v>
      </c>
      <c r="D347" s="52">
        <v>4</v>
      </c>
      <c r="E347" s="52">
        <v>9</v>
      </c>
      <c r="F347" s="53" t="s">
        <v>2608</v>
      </c>
      <c r="G347" s="65" t="s">
        <v>2588</v>
      </c>
      <c r="H347" s="54" t="str">
        <f t="shared" si="21"/>
        <v>MM-ILS-004.09 - Transmissor de pressão diferencial 3051CD Rosemount</v>
      </c>
      <c r="I347" s="55" t="s">
        <v>2067</v>
      </c>
      <c r="J347" s="55" t="str">
        <f>VLOOKUP(D347,GM!$D$4:$G$1637,4,3)&amp;" e "&amp;C347</f>
        <v>ENGENHARIA ELÉTRICA  e ILS</v>
      </c>
      <c r="K347" s="164">
        <v>45743</v>
      </c>
      <c r="L347" s="164">
        <f t="shared" si="22"/>
        <v>46839</v>
      </c>
      <c r="M347" s="10" t="s">
        <v>62</v>
      </c>
      <c r="N347" s="1" t="s">
        <v>371</v>
      </c>
      <c r="O347" s="67" t="str">
        <f t="shared" ca="1" si="23"/>
        <v>Em dia</v>
      </c>
      <c r="P347" s="67"/>
      <c r="Q347" s="67">
        <f t="shared" ca="1" si="24"/>
        <v>455</v>
      </c>
    </row>
    <row r="348" spans="2:17" ht="26" hidden="1" x14ac:dyDescent="0.35">
      <c r="B348" s="50">
        <v>8</v>
      </c>
      <c r="C348" s="51" t="s">
        <v>23</v>
      </c>
      <c r="D348" s="52">
        <v>4</v>
      </c>
      <c r="E348" s="52">
        <v>10</v>
      </c>
      <c r="F348" s="53" t="s">
        <v>2609</v>
      </c>
      <c r="G348" s="67" t="s">
        <v>2610</v>
      </c>
      <c r="H348" s="54" t="str">
        <f t="shared" si="21"/>
        <v>MM-ILS-004.10 - MPP0 nos Quadros Centro de Motores - CM</v>
      </c>
      <c r="I348" s="55" t="s">
        <v>2067</v>
      </c>
      <c r="J348" s="55" t="str">
        <f>VLOOKUP(D348,GM!$D$4:$G$1637,4,3)&amp;" e "&amp;C348</f>
        <v>ENGENHARIA ELÉTRICA  e ILS</v>
      </c>
      <c r="K348" s="164">
        <v>45819</v>
      </c>
      <c r="L348" s="164">
        <f t="shared" si="22"/>
        <v>46915</v>
      </c>
      <c r="M348" s="10" t="s">
        <v>62</v>
      </c>
      <c r="N348" s="1" t="s">
        <v>371</v>
      </c>
      <c r="O348" s="67" t="str">
        <f t="shared" ca="1" si="23"/>
        <v>Em dia</v>
      </c>
      <c r="P348" s="67"/>
      <c r="Q348" s="67">
        <f t="shared" ca="1" si="24"/>
        <v>379</v>
      </c>
    </row>
    <row r="349" spans="2:17" ht="26" hidden="1" x14ac:dyDescent="0.35">
      <c r="B349" s="50">
        <v>8</v>
      </c>
      <c r="C349" s="51" t="s">
        <v>23</v>
      </c>
      <c r="D349" s="52">
        <v>4</v>
      </c>
      <c r="E349" s="52">
        <v>11</v>
      </c>
      <c r="F349" s="53" t="s">
        <v>2611</v>
      </c>
      <c r="G349" s="67" t="s">
        <v>2612</v>
      </c>
      <c r="H349" s="54" t="str">
        <f t="shared" si="21"/>
        <v>MM-ILS-004.11 - MPP1 nos Quadros Centro de Motores - CM</v>
      </c>
      <c r="I349" s="55" t="s">
        <v>2067</v>
      </c>
      <c r="J349" s="55" t="str">
        <f>VLOOKUP(D349,GM!$D$4:$G$1637,4,3)&amp;" e "&amp;C349</f>
        <v>ENGENHARIA ELÉTRICA  e ILS</v>
      </c>
      <c r="K349" s="164">
        <v>45819</v>
      </c>
      <c r="L349" s="164">
        <f t="shared" si="22"/>
        <v>46915</v>
      </c>
      <c r="M349" s="10" t="s">
        <v>62</v>
      </c>
      <c r="N349" s="1" t="s">
        <v>371</v>
      </c>
      <c r="O349" s="67" t="str">
        <f t="shared" ca="1" si="23"/>
        <v>Em dia</v>
      </c>
      <c r="P349" s="67"/>
      <c r="Q349" s="67">
        <f t="shared" ca="1" si="24"/>
        <v>379</v>
      </c>
    </row>
    <row r="350" spans="2:17" ht="26" hidden="1" x14ac:dyDescent="0.35">
      <c r="B350" s="50">
        <v>8</v>
      </c>
      <c r="C350" s="51" t="s">
        <v>23</v>
      </c>
      <c r="D350" s="52">
        <v>4</v>
      </c>
      <c r="E350" s="52">
        <v>12</v>
      </c>
      <c r="F350" s="53" t="s">
        <v>2613</v>
      </c>
      <c r="G350" s="67" t="s">
        <v>2614</v>
      </c>
      <c r="H350" s="54" t="str">
        <f t="shared" si="21"/>
        <v>MM-ILS-004.12 - MPP2 nos Quadros Centro de Motores - CM</v>
      </c>
      <c r="I350" s="55" t="s">
        <v>2067</v>
      </c>
      <c r="J350" s="55" t="str">
        <f>VLOOKUP(D350,GM!$D$4:$G$1637,4,3)&amp;" e "&amp;C350</f>
        <v>ENGENHARIA ELÉTRICA  e ILS</v>
      </c>
      <c r="K350" s="164">
        <v>45819</v>
      </c>
      <c r="L350" s="164">
        <f t="shared" si="22"/>
        <v>46915</v>
      </c>
      <c r="M350" s="10" t="s">
        <v>62</v>
      </c>
      <c r="N350" s="1" t="s">
        <v>371</v>
      </c>
      <c r="O350" s="67" t="str">
        <f t="shared" ca="1" si="23"/>
        <v>Em dia</v>
      </c>
      <c r="P350" s="67"/>
      <c r="Q350" s="67">
        <f t="shared" ca="1" si="24"/>
        <v>379</v>
      </c>
    </row>
    <row r="351" spans="2:17" ht="26" hidden="1" x14ac:dyDescent="0.35">
      <c r="B351" s="50">
        <v>8</v>
      </c>
      <c r="C351" s="51" t="s">
        <v>23</v>
      </c>
      <c r="D351" s="52">
        <v>4</v>
      </c>
      <c r="E351" s="52">
        <v>13</v>
      </c>
      <c r="F351" s="53" t="s">
        <v>2615</v>
      </c>
      <c r="G351" s="162" t="s">
        <v>2607</v>
      </c>
      <c r="H351" s="54" t="str">
        <f t="shared" si="21"/>
        <v>MM-ILS-004.13 - MPP0, MPP1 e MPP2 nos quadros Centro de Motores  CCM</v>
      </c>
      <c r="I351" s="55" t="s">
        <v>2067</v>
      </c>
      <c r="J351" s="55" t="str">
        <f>VLOOKUP(D351,GM!$D$4:$G$1637,4,3)&amp;" e "&amp;C351</f>
        <v>ENGENHARIA ELÉTRICA  e ILS</v>
      </c>
      <c r="K351" s="164">
        <v>45743</v>
      </c>
      <c r="L351" s="164">
        <f t="shared" si="22"/>
        <v>46839</v>
      </c>
      <c r="M351" s="10" t="s">
        <v>62</v>
      </c>
      <c r="N351" s="1" t="s">
        <v>371</v>
      </c>
      <c r="O351" s="67" t="str">
        <f t="shared" ca="1" si="23"/>
        <v>Em dia</v>
      </c>
      <c r="P351" s="67"/>
      <c r="Q351" s="67">
        <f t="shared" ca="1" si="24"/>
        <v>455</v>
      </c>
    </row>
    <row r="352" spans="2:17" ht="15.5" hidden="1" x14ac:dyDescent="0.35">
      <c r="B352" s="50">
        <v>8</v>
      </c>
      <c r="C352" s="51" t="s">
        <v>23</v>
      </c>
      <c r="D352" s="52">
        <v>4</v>
      </c>
      <c r="E352" s="52">
        <v>14</v>
      </c>
      <c r="F352" s="53" t="s">
        <v>2616</v>
      </c>
      <c r="G352" s="162" t="s">
        <v>2617</v>
      </c>
      <c r="H352" s="54" t="str">
        <f t="shared" si="21"/>
        <v>MM-ILS-004.14 - MR Centro de Motores</v>
      </c>
      <c r="I352" s="55" t="s">
        <v>2618</v>
      </c>
      <c r="J352" s="55" t="str">
        <f>VLOOKUP(D352,GM!$D$4:$G$1637,4,3)&amp;" e "&amp;C352</f>
        <v>ENGENHARIA ELÉTRICA  e ILS</v>
      </c>
      <c r="K352" s="164">
        <v>45743</v>
      </c>
      <c r="L352" s="164">
        <f t="shared" si="22"/>
        <v>46839</v>
      </c>
      <c r="M352" s="10" t="s">
        <v>62</v>
      </c>
      <c r="N352" s="1" t="s">
        <v>371</v>
      </c>
      <c r="O352" s="67" t="str">
        <f t="shared" ca="1" si="23"/>
        <v>Em dia</v>
      </c>
      <c r="P352" s="67"/>
      <c r="Q352" s="67">
        <f t="shared" ca="1" si="24"/>
        <v>455</v>
      </c>
    </row>
    <row r="353" spans="2:17" ht="26" x14ac:dyDescent="0.35">
      <c r="B353" s="50">
        <v>8</v>
      </c>
      <c r="C353" s="51" t="s">
        <v>23</v>
      </c>
      <c r="D353" s="52">
        <v>5</v>
      </c>
      <c r="E353" s="52">
        <v>1</v>
      </c>
      <c r="F353" s="53" t="s">
        <v>2619</v>
      </c>
      <c r="G353" s="53" t="s">
        <v>2245</v>
      </c>
      <c r="H353" s="54" t="str">
        <f t="shared" si="21"/>
        <v>MM-ILS-005.01 - Barramento de Saída do Gerador e Seus Acessórios</v>
      </c>
      <c r="I353" s="55" t="s">
        <v>2245</v>
      </c>
      <c r="J353" s="55" t="str">
        <f>VLOOKUP(D353,GM!$D$4:$G$1637,4,3)&amp;" e "&amp;C353</f>
        <v>ENGENHARIA ELÉTRICA  e ILS</v>
      </c>
      <c r="K353" s="164">
        <v>45274</v>
      </c>
      <c r="L353" s="164">
        <f t="shared" si="22"/>
        <v>46370</v>
      </c>
      <c r="M353" s="10" t="s">
        <v>62</v>
      </c>
      <c r="N353" s="1" t="s">
        <v>371</v>
      </c>
      <c r="O353" s="67" t="str">
        <f t="shared" ca="1" si="23"/>
        <v>Alerta</v>
      </c>
      <c r="P353" s="67"/>
      <c r="Q353" s="67">
        <f t="shared" ca="1" si="24"/>
        <v>924</v>
      </c>
    </row>
    <row r="354" spans="2:17" ht="25" x14ac:dyDescent="0.35">
      <c r="B354" s="50">
        <v>8</v>
      </c>
      <c r="C354" s="51" t="s">
        <v>23</v>
      </c>
      <c r="D354" s="52">
        <v>6</v>
      </c>
      <c r="E354" s="52">
        <v>9</v>
      </c>
      <c r="F354" s="53" t="s">
        <v>2620</v>
      </c>
      <c r="G354" s="57" t="s">
        <v>2621</v>
      </c>
      <c r="H354" s="54" t="str">
        <f t="shared" si="21"/>
        <v>MM-ILS-006.09 - Ensaios em transformadores com equipamento Omicron CPC-100 e CP-TD1</v>
      </c>
      <c r="I354" s="57" t="s">
        <v>1981</v>
      </c>
      <c r="J354" s="55" t="str">
        <f>VLOOKUP(D354,GM!$D$4:$G$1637,4,3)&amp;" e "&amp;C354</f>
        <v>ENGENHARIA ELÉTRICA  e ILS</v>
      </c>
      <c r="K354" s="164"/>
      <c r="L354" s="164"/>
      <c r="M354" s="158" t="s">
        <v>267</v>
      </c>
      <c r="O354" s="67" t="str">
        <f t="shared" ca="1" si="23"/>
        <v>Vencido</v>
      </c>
      <c r="P354" s="67"/>
      <c r="Q354" s="67">
        <f t="shared" ca="1" si="24"/>
        <v>46198</v>
      </c>
    </row>
    <row r="355" spans="2:17" ht="25" hidden="1" x14ac:dyDescent="0.35">
      <c r="B355" s="50">
        <v>8</v>
      </c>
      <c r="C355" s="51" t="s">
        <v>23</v>
      </c>
      <c r="D355" s="52">
        <v>6</v>
      </c>
      <c r="E355" s="52">
        <v>10</v>
      </c>
      <c r="F355" s="53" t="s">
        <v>2622</v>
      </c>
      <c r="G355" s="57" t="s">
        <v>2623</v>
      </c>
      <c r="H355" s="54" t="str">
        <f t="shared" si="21"/>
        <v>MM-ILS-006.10 - SITRAM TDCM -Sistema de monitoramento e diagnóstico dos transformadores</v>
      </c>
      <c r="I355" s="57" t="s">
        <v>1981</v>
      </c>
      <c r="J355" s="55" t="str">
        <f>VLOOKUP(D355,GM!$D$4:$G$1637,4,3)&amp;" e "&amp;C355</f>
        <v>ENGENHARIA ELÉTRICA  e ILS</v>
      </c>
      <c r="K355" s="164">
        <v>45743</v>
      </c>
      <c r="L355" s="164">
        <f t="shared" si="22"/>
        <v>46839</v>
      </c>
      <c r="M355" s="10" t="s">
        <v>62</v>
      </c>
      <c r="N355" s="1" t="s">
        <v>371</v>
      </c>
      <c r="O355" s="67" t="str">
        <f t="shared" ca="1" si="23"/>
        <v>Em dia</v>
      </c>
      <c r="P355" s="67"/>
      <c r="Q355" s="67">
        <f t="shared" ca="1" si="24"/>
        <v>455</v>
      </c>
    </row>
    <row r="356" spans="2:17" ht="15.5" hidden="1" x14ac:dyDescent="0.35">
      <c r="B356" s="50">
        <v>8</v>
      </c>
      <c r="C356" s="51" t="s">
        <v>23</v>
      </c>
      <c r="D356" s="52">
        <v>6</v>
      </c>
      <c r="E356" s="52">
        <v>11</v>
      </c>
      <c r="F356" s="53" t="s">
        <v>2624</v>
      </c>
      <c r="G356" s="57" t="s">
        <v>2625</v>
      </c>
      <c r="H356" s="54" t="str">
        <f t="shared" si="21"/>
        <v>MM-ILS-006.11 - Calibração e Update do sensor multisense 9</v>
      </c>
      <c r="I356" s="57" t="s">
        <v>1981</v>
      </c>
      <c r="J356" s="55" t="str">
        <f>VLOOKUP(D356,GM!$D$4:$G$1637,4,3)&amp;" e "&amp;C356</f>
        <v>ENGENHARIA ELÉTRICA  e ILS</v>
      </c>
      <c r="K356" s="164">
        <v>45743</v>
      </c>
      <c r="L356" s="164">
        <f t="shared" si="22"/>
        <v>46839</v>
      </c>
      <c r="M356" s="10" t="s">
        <v>62</v>
      </c>
      <c r="N356" s="1" t="s">
        <v>371</v>
      </c>
      <c r="O356" s="67" t="str">
        <f t="shared" ca="1" si="23"/>
        <v>Em dia</v>
      </c>
      <c r="P356" s="67"/>
      <c r="Q356" s="67">
        <f t="shared" ca="1" si="24"/>
        <v>455</v>
      </c>
    </row>
    <row r="357" spans="2:17" x14ac:dyDescent="0.35">
      <c r="B357" s="50">
        <v>8</v>
      </c>
      <c r="C357" s="51" t="s">
        <v>23</v>
      </c>
      <c r="D357" s="52">
        <v>6</v>
      </c>
      <c r="E357" s="52">
        <v>12</v>
      </c>
      <c r="F357" s="53" t="s">
        <v>2626</v>
      </c>
      <c r="G357" s="67" t="s">
        <v>2627</v>
      </c>
      <c r="H357" s="54" t="str">
        <f t="shared" si="21"/>
        <v>MM-ILS-006.12 - MPP1 Transformador Elevador 440kV</v>
      </c>
      <c r="I357" s="55" t="s">
        <v>2254</v>
      </c>
      <c r="J357" s="55" t="str">
        <f>VLOOKUP(D357,GM!$D$4:$G$1637,4,3)&amp;" e "&amp;C357</f>
        <v>ENGENHARIA ELÉTRICA  e ILS</v>
      </c>
      <c r="K357" s="164"/>
      <c r="L357" s="164"/>
      <c r="M357" s="158" t="s">
        <v>267</v>
      </c>
      <c r="O357" s="67" t="str">
        <f t="shared" ca="1" si="23"/>
        <v>Vencido</v>
      </c>
      <c r="P357" s="67"/>
      <c r="Q357" s="67">
        <f t="shared" ca="1" si="24"/>
        <v>46198</v>
      </c>
    </row>
    <row r="358" spans="2:17" x14ac:dyDescent="0.35">
      <c r="B358" s="50">
        <v>8</v>
      </c>
      <c r="C358" s="51" t="s">
        <v>23</v>
      </c>
      <c r="D358" s="52">
        <v>6</v>
      </c>
      <c r="E358" s="52">
        <v>13</v>
      </c>
      <c r="F358" s="53" t="s">
        <v>2628</v>
      </c>
      <c r="G358" s="67" t="s">
        <v>2629</v>
      </c>
      <c r="H358" s="54" t="str">
        <f t="shared" si="21"/>
        <v>MM-ILS-006.13 - MPP2 Transformador Elevador 440kV</v>
      </c>
      <c r="I358" s="55" t="s">
        <v>2254</v>
      </c>
      <c r="J358" s="55" t="str">
        <f>VLOOKUP(D358,GM!$D$4:$G$1637,4,3)&amp;" e "&amp;C358</f>
        <v>ENGENHARIA ELÉTRICA  e ILS</v>
      </c>
      <c r="K358" s="164"/>
      <c r="L358" s="164"/>
      <c r="M358" s="158" t="s">
        <v>267</v>
      </c>
      <c r="O358" s="67" t="str">
        <f t="shared" ca="1" si="23"/>
        <v>Vencido</v>
      </c>
      <c r="P358" s="67"/>
      <c r="Q358" s="67">
        <f t="shared" ca="1" si="24"/>
        <v>46198</v>
      </c>
    </row>
    <row r="359" spans="2:17" ht="15.5" x14ac:dyDescent="0.35">
      <c r="B359" s="50">
        <v>8</v>
      </c>
      <c r="C359" s="51" t="s">
        <v>23</v>
      </c>
      <c r="D359" s="52">
        <v>6</v>
      </c>
      <c r="E359" s="52">
        <v>14</v>
      </c>
      <c r="F359" s="53" t="s">
        <v>2630</v>
      </c>
      <c r="G359" s="67" t="s">
        <v>2631</v>
      </c>
      <c r="H359" s="54" t="str">
        <f t="shared" si="21"/>
        <v>MM-ILS-006.14 - MPP0 Transformador Elevador 440kV</v>
      </c>
      <c r="I359" s="55" t="s">
        <v>2254</v>
      </c>
      <c r="J359" s="55" t="str">
        <f>VLOOKUP(D359,GM!$D$4:$G$1637,4,3)&amp;" e "&amp;C359</f>
        <v>ENGENHARIA ELÉTRICA  e ILS</v>
      </c>
      <c r="K359" s="164"/>
      <c r="L359" s="164"/>
      <c r="M359" s="11" t="s">
        <v>267</v>
      </c>
      <c r="O359" s="67" t="str">
        <f t="shared" ca="1" si="23"/>
        <v>Vencido</v>
      </c>
      <c r="P359" s="67"/>
      <c r="Q359" s="67">
        <f t="shared" ca="1" si="24"/>
        <v>46198</v>
      </c>
    </row>
    <row r="360" spans="2:17" ht="15.5" x14ac:dyDescent="0.35">
      <c r="B360" s="50">
        <v>8</v>
      </c>
      <c r="C360" s="51" t="s">
        <v>23</v>
      </c>
      <c r="D360" s="52">
        <v>6</v>
      </c>
      <c r="E360" s="52">
        <v>15</v>
      </c>
      <c r="F360" s="53" t="s">
        <v>2632</v>
      </c>
      <c r="G360" s="67" t="s">
        <v>2633</v>
      </c>
      <c r="H360" s="54" t="str">
        <f t="shared" si="21"/>
        <v>MM-ILS-006.15 - Coleta de óleo TR</v>
      </c>
      <c r="I360" s="55" t="s">
        <v>2034</v>
      </c>
      <c r="J360" s="55" t="str">
        <f>VLOOKUP(D360,GM!$D$4:$G$1637,4,3)&amp;" e "&amp;C360</f>
        <v>ENGENHARIA ELÉTRICA  e ILS</v>
      </c>
      <c r="K360" s="164"/>
      <c r="L360" s="164"/>
      <c r="M360" s="11" t="s">
        <v>267</v>
      </c>
      <c r="O360" s="67" t="str">
        <f t="shared" ca="1" si="23"/>
        <v>Vencido</v>
      </c>
      <c r="P360" s="67"/>
      <c r="Q360" s="67">
        <f t="shared" ca="1" si="24"/>
        <v>46198</v>
      </c>
    </row>
    <row r="361" spans="2:17" ht="15.5" hidden="1" x14ac:dyDescent="0.35">
      <c r="B361" s="50">
        <v>8</v>
      </c>
      <c r="C361" s="51" t="s">
        <v>23</v>
      </c>
      <c r="D361" s="52">
        <v>7</v>
      </c>
      <c r="E361" s="52">
        <v>4</v>
      </c>
      <c r="F361" s="53" t="s">
        <v>2634</v>
      </c>
      <c r="G361" s="53" t="s">
        <v>2635</v>
      </c>
      <c r="H361" s="54" t="str">
        <f t="shared" si="21"/>
        <v>MM-ILS-007.04 - MCP-0 Transformadores a Seco</v>
      </c>
      <c r="I361" s="18" t="s">
        <v>2251</v>
      </c>
      <c r="J361" s="55" t="str">
        <f>VLOOKUP(D361,GM!$D$4:$G$1637,4,3)&amp;" e "&amp;C361</f>
        <v>ENGENHARIA ELÉTRICA  e ILS</v>
      </c>
      <c r="K361" s="164">
        <v>45743</v>
      </c>
      <c r="L361" s="164">
        <f t="shared" si="22"/>
        <v>46839</v>
      </c>
      <c r="M361" s="10" t="s">
        <v>62</v>
      </c>
      <c r="N361" s="1" t="s">
        <v>371</v>
      </c>
      <c r="O361" s="67" t="str">
        <f t="shared" ca="1" si="23"/>
        <v>Em dia</v>
      </c>
      <c r="P361" s="67"/>
      <c r="Q361" s="67">
        <f t="shared" ca="1" si="24"/>
        <v>455</v>
      </c>
    </row>
    <row r="362" spans="2:17" ht="15.5" hidden="1" x14ac:dyDescent="0.35">
      <c r="B362" s="50">
        <v>8</v>
      </c>
      <c r="C362" s="51" t="s">
        <v>23</v>
      </c>
      <c r="D362" s="52">
        <v>7</v>
      </c>
      <c r="E362" s="52">
        <v>5</v>
      </c>
      <c r="F362" s="53" t="s">
        <v>2636</v>
      </c>
      <c r="G362" s="53" t="s">
        <v>2637</v>
      </c>
      <c r="H362" s="54" t="str">
        <f t="shared" si="21"/>
        <v>MM-ILS-007.05 -  MCP-1 Transformadores a Seco</v>
      </c>
      <c r="I362" s="18" t="s">
        <v>2251</v>
      </c>
      <c r="J362" s="55" t="str">
        <f>VLOOKUP(D362,GM!$D$4:$G$1637,4,3)&amp;" e "&amp;C362</f>
        <v>ENGENHARIA ELÉTRICA  e ILS</v>
      </c>
      <c r="K362" s="164">
        <v>45743</v>
      </c>
      <c r="L362" s="164">
        <f t="shared" si="22"/>
        <v>46839</v>
      </c>
      <c r="M362" s="10" t="s">
        <v>62</v>
      </c>
      <c r="N362" s="1" t="s">
        <v>371</v>
      </c>
      <c r="O362" s="67" t="str">
        <f t="shared" ca="1" si="23"/>
        <v>Em dia</v>
      </c>
      <c r="P362" s="67"/>
      <c r="Q362" s="67">
        <f t="shared" ca="1" si="24"/>
        <v>455</v>
      </c>
    </row>
    <row r="363" spans="2:17" ht="26" x14ac:dyDescent="0.35">
      <c r="B363" s="50">
        <v>8</v>
      </c>
      <c r="C363" s="51" t="s">
        <v>23</v>
      </c>
      <c r="D363" s="52">
        <v>8</v>
      </c>
      <c r="E363" s="52">
        <v>1</v>
      </c>
      <c r="F363" s="53" t="s">
        <v>2638</v>
      </c>
      <c r="G363" s="53" t="s">
        <v>2639</v>
      </c>
      <c r="H363" s="54" t="str">
        <f t="shared" si="21"/>
        <v>MM-ILS-008.01 - Manual de Testes no Transformador de Corrente 440kV</v>
      </c>
      <c r="I363" s="55" t="s">
        <v>2640</v>
      </c>
      <c r="J363" s="55" t="str">
        <f>VLOOKUP(D363,GM!$D$4:$G$1637,4,3)&amp;" e "&amp;C363</f>
        <v>ENGENHARIA ELÉTRICA  e ILS</v>
      </c>
      <c r="K363" s="164">
        <v>45274</v>
      </c>
      <c r="L363" s="164">
        <f t="shared" si="22"/>
        <v>46370</v>
      </c>
      <c r="M363" s="10" t="s">
        <v>62</v>
      </c>
      <c r="N363" s="1" t="s">
        <v>371</v>
      </c>
      <c r="O363" s="67" t="str">
        <f t="shared" ca="1" si="23"/>
        <v>Alerta</v>
      </c>
      <c r="P363" s="67"/>
      <c r="Q363" s="67">
        <f t="shared" ca="1" si="24"/>
        <v>924</v>
      </c>
    </row>
    <row r="364" spans="2:17" ht="26" hidden="1" x14ac:dyDescent="0.35">
      <c r="B364" s="50">
        <v>8</v>
      </c>
      <c r="C364" s="51" t="s">
        <v>23</v>
      </c>
      <c r="D364" s="52">
        <v>8</v>
      </c>
      <c r="E364" s="52">
        <v>2</v>
      </c>
      <c r="F364" s="53" t="s">
        <v>2641</v>
      </c>
      <c r="G364" s="53" t="s">
        <v>2642</v>
      </c>
      <c r="H364" s="54" t="str">
        <f t="shared" si="21"/>
        <v>MM-ILS-008.02 - MPP0_Seccionadora_Aterramento</v>
      </c>
      <c r="I364" s="55" t="s">
        <v>2640</v>
      </c>
      <c r="J364" s="55" t="str">
        <f>VLOOKUP(D364,GM!$D$4:$G$1637,4,3)&amp;" e "&amp;C364</f>
        <v>ENGENHARIA ELÉTRICA  e ILS</v>
      </c>
      <c r="K364" s="164">
        <v>45791</v>
      </c>
      <c r="L364" s="164">
        <f t="shared" si="22"/>
        <v>46887</v>
      </c>
      <c r="M364" s="10" t="s">
        <v>62</v>
      </c>
      <c r="N364" s="1" t="s">
        <v>371</v>
      </c>
      <c r="O364" s="67" t="str">
        <f t="shared" ca="1" si="23"/>
        <v>Em dia</v>
      </c>
      <c r="P364" s="67"/>
      <c r="Q364" s="67">
        <f t="shared" ca="1" si="24"/>
        <v>407</v>
      </c>
    </row>
    <row r="365" spans="2:17" ht="26" hidden="1" x14ac:dyDescent="0.35">
      <c r="B365" s="50">
        <v>8</v>
      </c>
      <c r="C365" s="51" t="s">
        <v>23</v>
      </c>
      <c r="D365" s="52">
        <v>8</v>
      </c>
      <c r="E365" s="52">
        <v>3</v>
      </c>
      <c r="F365" s="53" t="s">
        <v>2643</v>
      </c>
      <c r="G365" s="53" t="s">
        <v>2644</v>
      </c>
      <c r="H365" s="54" t="str">
        <f t="shared" si="21"/>
        <v>MM-ILS-008.03 - MPP1_Seccionadora_Aterramento</v>
      </c>
      <c r="I365" s="55" t="s">
        <v>2640</v>
      </c>
      <c r="J365" s="55" t="str">
        <f>VLOOKUP(D365,GM!$D$4:$G$1637,4,3)&amp;" e "&amp;C365</f>
        <v>ENGENHARIA ELÉTRICA  e ILS</v>
      </c>
      <c r="K365" s="164">
        <v>45791</v>
      </c>
      <c r="L365" s="164">
        <f t="shared" si="22"/>
        <v>46887</v>
      </c>
      <c r="M365" s="10" t="s">
        <v>62</v>
      </c>
      <c r="N365" s="1" t="s">
        <v>371</v>
      </c>
      <c r="O365" s="67" t="str">
        <f t="shared" ca="1" si="23"/>
        <v>Em dia</v>
      </c>
      <c r="P365" s="67"/>
      <c r="Q365" s="67">
        <f t="shared" ca="1" si="24"/>
        <v>407</v>
      </c>
    </row>
    <row r="366" spans="2:17" ht="26" hidden="1" x14ac:dyDescent="0.35">
      <c r="B366" s="50">
        <v>8</v>
      </c>
      <c r="C366" s="51" t="s">
        <v>23</v>
      </c>
      <c r="D366" s="52">
        <v>8</v>
      </c>
      <c r="E366" s="52">
        <v>4</v>
      </c>
      <c r="F366" s="53" t="s">
        <v>2645</v>
      </c>
      <c r="G366" s="53" t="s">
        <v>2646</v>
      </c>
      <c r="H366" s="54" t="str">
        <f t="shared" si="21"/>
        <v>MM-ILS-008.04 - MPP2_Seccionadora_Aterramento</v>
      </c>
      <c r="I366" s="55" t="s">
        <v>2640</v>
      </c>
      <c r="J366" s="55" t="str">
        <f>VLOOKUP(D366,GM!$D$4:$G$1637,4,3)&amp;" e "&amp;C366</f>
        <v>ENGENHARIA ELÉTRICA  e ILS</v>
      </c>
      <c r="K366" s="164">
        <v>45791</v>
      </c>
      <c r="L366" s="164">
        <f t="shared" si="22"/>
        <v>46887</v>
      </c>
      <c r="M366" s="10" t="s">
        <v>62</v>
      </c>
      <c r="N366" s="1" t="s">
        <v>371</v>
      </c>
      <c r="O366" s="67" t="str">
        <f t="shared" ca="1" si="23"/>
        <v>Em dia</v>
      </c>
      <c r="P366" s="67"/>
      <c r="Q366" s="67">
        <f t="shared" ca="1" si="24"/>
        <v>407</v>
      </c>
    </row>
    <row r="367" spans="2:17" ht="26" x14ac:dyDescent="0.35">
      <c r="B367" s="50">
        <v>8</v>
      </c>
      <c r="C367" s="51" t="s">
        <v>23</v>
      </c>
      <c r="D367" s="52">
        <v>8</v>
      </c>
      <c r="E367" s="52">
        <v>5</v>
      </c>
      <c r="F367" s="53" t="s">
        <v>2647</v>
      </c>
      <c r="G367" s="53" t="s">
        <v>2648</v>
      </c>
      <c r="H367" s="54" t="str">
        <f t="shared" si="21"/>
        <v>MM-ILS-008.05 - MPPGeral_Seccionadora_Aterramento</v>
      </c>
      <c r="I367" s="55" t="s">
        <v>2640</v>
      </c>
      <c r="J367" s="55" t="str">
        <f>VLOOKUP(D367,GM!$D$4:$G$1637,4,3)&amp;" e "&amp;C367</f>
        <v>ENGENHARIA ELÉTRICA  e ILS</v>
      </c>
      <c r="K367" s="164">
        <v>45274</v>
      </c>
      <c r="L367" s="164">
        <f t="shared" si="22"/>
        <v>46370</v>
      </c>
      <c r="M367" s="10" t="s">
        <v>62</v>
      </c>
      <c r="N367" s="1" t="s">
        <v>371</v>
      </c>
      <c r="O367" s="67" t="str">
        <f t="shared" ca="1" si="23"/>
        <v>Alerta</v>
      </c>
      <c r="P367" s="67"/>
      <c r="Q367" s="67">
        <f t="shared" ca="1" si="24"/>
        <v>924</v>
      </c>
    </row>
    <row r="368" spans="2:17" ht="26" hidden="1" x14ac:dyDescent="0.35">
      <c r="B368" s="50">
        <v>8</v>
      </c>
      <c r="C368" s="51" t="s">
        <v>23</v>
      </c>
      <c r="D368" s="52">
        <v>8</v>
      </c>
      <c r="E368" s="52">
        <v>6</v>
      </c>
      <c r="F368" s="53" t="s">
        <v>2649</v>
      </c>
      <c r="G368" s="53" t="s">
        <v>2650</v>
      </c>
      <c r="H368" s="54" t="str">
        <f t="shared" si="21"/>
        <v>MM-ILS-008.06 - MPP0_Seccionadora_Barra_440KV</v>
      </c>
      <c r="I368" s="55" t="s">
        <v>2640</v>
      </c>
      <c r="J368" s="55" t="str">
        <f>VLOOKUP(D368,GM!$D$4:$G$1637,4,3)&amp;" e "&amp;C368</f>
        <v>ENGENHARIA ELÉTRICA  e ILS</v>
      </c>
      <c r="K368" s="164">
        <v>45791</v>
      </c>
      <c r="L368" s="164">
        <f t="shared" si="22"/>
        <v>46887</v>
      </c>
      <c r="M368" s="10" t="s">
        <v>62</v>
      </c>
      <c r="N368" s="1" t="s">
        <v>371</v>
      </c>
      <c r="O368" s="67" t="str">
        <f t="shared" ca="1" si="23"/>
        <v>Em dia</v>
      </c>
      <c r="P368" s="67"/>
      <c r="Q368" s="67">
        <f t="shared" ca="1" si="24"/>
        <v>407</v>
      </c>
    </row>
    <row r="369" spans="2:17" ht="26" hidden="1" x14ac:dyDescent="0.35">
      <c r="B369" s="50">
        <v>8</v>
      </c>
      <c r="C369" s="51" t="s">
        <v>23</v>
      </c>
      <c r="D369" s="52">
        <v>8</v>
      </c>
      <c r="E369" s="52">
        <v>7</v>
      </c>
      <c r="F369" s="53" t="s">
        <v>2651</v>
      </c>
      <c r="G369" s="53" t="s">
        <v>2652</v>
      </c>
      <c r="H369" s="54" t="str">
        <f t="shared" si="21"/>
        <v>MM-ILS-008.07 - MPP1_Seccionadora_Barra_440KV</v>
      </c>
      <c r="I369" s="55" t="s">
        <v>2640</v>
      </c>
      <c r="J369" s="55" t="str">
        <f>VLOOKUP(D369,GM!$D$4:$G$1637,4,3)&amp;" e "&amp;C369</f>
        <v>ENGENHARIA ELÉTRICA  e ILS</v>
      </c>
      <c r="K369" s="164">
        <v>45791</v>
      </c>
      <c r="L369" s="164">
        <f t="shared" si="22"/>
        <v>46887</v>
      </c>
      <c r="M369" s="10" t="s">
        <v>62</v>
      </c>
      <c r="N369" s="1" t="s">
        <v>371</v>
      </c>
      <c r="O369" s="67" t="str">
        <f t="shared" ca="1" si="23"/>
        <v>Em dia</v>
      </c>
      <c r="P369" s="67"/>
      <c r="Q369" s="67">
        <f t="shared" ca="1" si="24"/>
        <v>407</v>
      </c>
    </row>
    <row r="370" spans="2:17" ht="26" x14ac:dyDescent="0.35">
      <c r="B370" s="50">
        <v>8</v>
      </c>
      <c r="C370" s="51" t="s">
        <v>23</v>
      </c>
      <c r="D370" s="52">
        <v>8</v>
      </c>
      <c r="E370" s="52">
        <v>8</v>
      </c>
      <c r="F370" s="53" t="s">
        <v>2653</v>
      </c>
      <c r="G370" s="53" t="s">
        <v>2654</v>
      </c>
      <c r="H370" s="54" t="str">
        <f t="shared" si="21"/>
        <v>MM-ILS-008.08 - MPP2_Seccionadora_Barra_440KV</v>
      </c>
      <c r="I370" s="55" t="s">
        <v>2640</v>
      </c>
      <c r="J370" s="55" t="str">
        <f>VLOOKUP(D370,GM!$D$4:$G$1637,4,3)&amp;" e "&amp;C370</f>
        <v>ENGENHARIA ELÉTRICA  e ILS</v>
      </c>
      <c r="K370" s="164">
        <v>45274</v>
      </c>
      <c r="L370" s="164">
        <f t="shared" si="22"/>
        <v>46370</v>
      </c>
      <c r="M370" s="10" t="s">
        <v>62</v>
      </c>
      <c r="N370" s="1" t="s">
        <v>371</v>
      </c>
      <c r="O370" s="67" t="str">
        <f t="shared" ca="1" si="23"/>
        <v>Alerta</v>
      </c>
      <c r="P370" s="67"/>
      <c r="Q370" s="67">
        <f t="shared" ca="1" si="24"/>
        <v>924</v>
      </c>
    </row>
    <row r="371" spans="2:17" ht="26" x14ac:dyDescent="0.35">
      <c r="B371" s="50">
        <v>8</v>
      </c>
      <c r="C371" s="51" t="s">
        <v>23</v>
      </c>
      <c r="D371" s="52">
        <v>8</v>
      </c>
      <c r="E371" s="52">
        <v>9</v>
      </c>
      <c r="F371" s="53" t="s">
        <v>2655</v>
      </c>
      <c r="G371" s="53" t="s">
        <v>2656</v>
      </c>
      <c r="H371" s="54" t="str">
        <f t="shared" si="21"/>
        <v>MM-ILS-008.09 - Geral_Seccionadora_Barra_440KV</v>
      </c>
      <c r="I371" s="55" t="s">
        <v>2640</v>
      </c>
      <c r="J371" s="55" t="str">
        <f>VLOOKUP(D371,GM!$D$4:$G$1637,4,3)&amp;" e "&amp;C371</f>
        <v>ENGENHARIA ELÉTRICA  e ILS</v>
      </c>
      <c r="K371" s="164">
        <v>45274</v>
      </c>
      <c r="L371" s="164">
        <f t="shared" si="22"/>
        <v>46370</v>
      </c>
      <c r="M371" s="10" t="s">
        <v>62</v>
      </c>
      <c r="N371" s="1" t="s">
        <v>371</v>
      </c>
      <c r="O371" s="67" t="str">
        <f t="shared" ca="1" si="23"/>
        <v>Alerta</v>
      </c>
      <c r="P371" s="67"/>
      <c r="Q371" s="67">
        <f t="shared" ca="1" si="24"/>
        <v>924</v>
      </c>
    </row>
    <row r="372" spans="2:17" ht="15.5" x14ac:dyDescent="0.35">
      <c r="B372" s="50">
        <v>8</v>
      </c>
      <c r="C372" s="51" t="s">
        <v>23</v>
      </c>
      <c r="D372" s="52">
        <v>8</v>
      </c>
      <c r="E372" s="52">
        <v>10</v>
      </c>
      <c r="F372" s="53" t="s">
        <v>2657</v>
      </c>
      <c r="G372" s="53" t="s">
        <v>2658</v>
      </c>
      <c r="H372" s="54" t="str">
        <f t="shared" si="21"/>
        <v>MM-ILS-008.10 - Equipamentos de AT - MPP0 Para-raios</v>
      </c>
      <c r="I372" s="18" t="s">
        <v>2254</v>
      </c>
      <c r="J372" s="55" t="str">
        <f>VLOOKUP(D372,GM!$D$4:$G$1637,4,3)&amp;" e "&amp;C372</f>
        <v>ENGENHARIA ELÉTRICA  e ILS</v>
      </c>
      <c r="K372" s="164">
        <v>45274</v>
      </c>
      <c r="L372" s="164">
        <f t="shared" si="22"/>
        <v>46370</v>
      </c>
      <c r="M372" s="10" t="s">
        <v>62</v>
      </c>
      <c r="N372" s="1" t="s">
        <v>371</v>
      </c>
      <c r="O372" s="67" t="str">
        <f t="shared" ca="1" si="23"/>
        <v>Alerta</v>
      </c>
      <c r="P372" s="67"/>
      <c r="Q372" s="67">
        <f t="shared" ca="1" si="24"/>
        <v>924</v>
      </c>
    </row>
    <row r="373" spans="2:17" ht="15.5" x14ac:dyDescent="0.35">
      <c r="B373" s="50">
        <v>8</v>
      </c>
      <c r="C373" s="51" t="s">
        <v>23</v>
      </c>
      <c r="D373" s="52">
        <v>8</v>
      </c>
      <c r="E373" s="52">
        <v>11</v>
      </c>
      <c r="F373" s="53" t="s">
        <v>2659</v>
      </c>
      <c r="G373" s="53" t="s">
        <v>2660</v>
      </c>
      <c r="H373" s="54" t="str">
        <f t="shared" si="21"/>
        <v>MM-ILS-008.11 - Equipamentos de AT - MPP1 Para-raios</v>
      </c>
      <c r="I373" s="18" t="s">
        <v>2254</v>
      </c>
      <c r="J373" s="55" t="str">
        <f>VLOOKUP(D373,GM!$D$4:$G$1637,4,3)&amp;" e "&amp;C373</f>
        <v>ENGENHARIA ELÉTRICA  e ILS</v>
      </c>
      <c r="K373" s="164">
        <v>45274</v>
      </c>
      <c r="L373" s="164">
        <f t="shared" si="22"/>
        <v>46370</v>
      </c>
      <c r="M373" s="10" t="s">
        <v>62</v>
      </c>
      <c r="N373" s="1" t="s">
        <v>371</v>
      </c>
      <c r="O373" s="67" t="str">
        <f t="shared" ca="1" si="23"/>
        <v>Alerta</v>
      </c>
      <c r="P373" s="67"/>
      <c r="Q373" s="67">
        <f t="shared" ca="1" si="24"/>
        <v>924</v>
      </c>
    </row>
    <row r="374" spans="2:17" ht="15.5" x14ac:dyDescent="0.35">
      <c r="B374" s="50">
        <v>8</v>
      </c>
      <c r="C374" s="51" t="s">
        <v>23</v>
      </c>
      <c r="D374" s="52">
        <v>8</v>
      </c>
      <c r="E374" s="52">
        <v>12</v>
      </c>
      <c r="F374" s="53" t="s">
        <v>2661</v>
      </c>
      <c r="G374" s="53" t="s">
        <v>2662</v>
      </c>
      <c r="H374" s="54" t="str">
        <f t="shared" si="21"/>
        <v>MM-ILS-008.12 - Equipamentos de AT - MPP2 Para-raios</v>
      </c>
      <c r="I374" s="18" t="s">
        <v>2254</v>
      </c>
      <c r="J374" s="55" t="str">
        <f>VLOOKUP(D374,GM!$D$4:$G$1637,4,3)&amp;" e "&amp;C374</f>
        <v>ENGENHARIA ELÉTRICA  e ILS</v>
      </c>
      <c r="K374" s="164">
        <v>45274</v>
      </c>
      <c r="L374" s="164">
        <f t="shared" si="22"/>
        <v>46370</v>
      </c>
      <c r="M374" s="10" t="s">
        <v>62</v>
      </c>
      <c r="N374" s="1" t="s">
        <v>371</v>
      </c>
      <c r="O374" s="67" t="str">
        <f t="shared" ca="1" si="23"/>
        <v>Alerta</v>
      </c>
      <c r="P374" s="67"/>
      <c r="Q374" s="67">
        <f t="shared" ca="1" si="24"/>
        <v>924</v>
      </c>
    </row>
    <row r="375" spans="2:17" ht="25" x14ac:dyDescent="0.35">
      <c r="B375" s="50">
        <v>8</v>
      </c>
      <c r="C375" s="51" t="s">
        <v>23</v>
      </c>
      <c r="D375" s="52">
        <v>8</v>
      </c>
      <c r="E375" s="52">
        <v>13</v>
      </c>
      <c r="F375" s="53" t="s">
        <v>2663</v>
      </c>
      <c r="G375" s="53" t="s">
        <v>2664</v>
      </c>
      <c r="H375" s="54" t="str">
        <f t="shared" si="21"/>
        <v>MM-ILS-008.13 - Manual de MPP0 no Transformador de Corrente 440kV</v>
      </c>
      <c r="I375" s="18" t="s">
        <v>2254</v>
      </c>
      <c r="J375" s="55" t="str">
        <f>VLOOKUP(D375,GM!$D$4:$G$1637,4,3)&amp;" e "&amp;C375</f>
        <v>ENGENHARIA ELÉTRICA  e ILS</v>
      </c>
      <c r="K375" s="164">
        <v>45274</v>
      </c>
      <c r="L375" s="164">
        <f t="shared" si="22"/>
        <v>46370</v>
      </c>
      <c r="M375" s="10" t="s">
        <v>62</v>
      </c>
      <c r="N375" s="1" t="s">
        <v>371</v>
      </c>
      <c r="O375" s="67" t="str">
        <f t="shared" ca="1" si="23"/>
        <v>Alerta</v>
      </c>
      <c r="P375" s="67"/>
      <c r="Q375" s="67">
        <f t="shared" ca="1" si="24"/>
        <v>924</v>
      </c>
    </row>
    <row r="376" spans="2:17" ht="29" x14ac:dyDescent="0.35">
      <c r="B376" s="50">
        <v>8</v>
      </c>
      <c r="C376" s="51" t="s">
        <v>23</v>
      </c>
      <c r="D376" s="52">
        <v>8</v>
      </c>
      <c r="E376" s="52">
        <v>14</v>
      </c>
      <c r="F376" s="53" t="s">
        <v>2665</v>
      </c>
      <c r="G376" s="65" t="s">
        <v>2666</v>
      </c>
      <c r="H376" s="54" t="str">
        <f t="shared" si="21"/>
        <v>MM-ILS-008.14 - Manual de MPP1 no Transformador de Corrente 440kVV</v>
      </c>
      <c r="I376" s="55" t="s">
        <v>2254</v>
      </c>
      <c r="J376" s="55" t="str">
        <f>VLOOKUP(D376,GM!$D$4:$G$1637,4,3)&amp;" e "&amp;C376</f>
        <v>ENGENHARIA ELÉTRICA  e ILS</v>
      </c>
      <c r="K376" s="164">
        <v>45274</v>
      </c>
      <c r="L376" s="164">
        <f t="shared" si="22"/>
        <v>46370</v>
      </c>
      <c r="M376" s="10" t="s">
        <v>62</v>
      </c>
      <c r="N376" s="1" t="s">
        <v>371</v>
      </c>
      <c r="O376" s="67" t="str">
        <f t="shared" ca="1" si="23"/>
        <v>Alerta</v>
      </c>
      <c r="P376" s="67"/>
      <c r="Q376" s="67">
        <f t="shared" ca="1" si="24"/>
        <v>924</v>
      </c>
    </row>
    <row r="377" spans="2:17" ht="25" x14ac:dyDescent="0.35">
      <c r="B377" s="50">
        <v>8</v>
      </c>
      <c r="C377" s="51" t="s">
        <v>23</v>
      </c>
      <c r="D377" s="52">
        <v>8</v>
      </c>
      <c r="E377" s="52">
        <v>15</v>
      </c>
      <c r="F377" s="53" t="s">
        <v>2667</v>
      </c>
      <c r="G377" s="67" t="s">
        <v>2668</v>
      </c>
      <c r="H377" s="54" t="str">
        <f t="shared" si="21"/>
        <v>MM-ILS-008.15 - Manual de MPP2 no Transformador de Corrente 440kV</v>
      </c>
      <c r="I377" s="55" t="s">
        <v>2254</v>
      </c>
      <c r="J377" s="55" t="str">
        <f>VLOOKUP(D377,GM!$D$4:$G$1637,4,3)&amp;" e "&amp;C377</f>
        <v>ENGENHARIA ELÉTRICA  e ILS</v>
      </c>
      <c r="K377" s="164">
        <v>45274</v>
      </c>
      <c r="L377" s="164">
        <f t="shared" si="22"/>
        <v>46370</v>
      </c>
      <c r="M377" s="10" t="s">
        <v>62</v>
      </c>
      <c r="N377" s="1" t="s">
        <v>371</v>
      </c>
      <c r="O377" s="67" t="str">
        <f t="shared" ca="1" si="23"/>
        <v>Alerta</v>
      </c>
      <c r="P377" s="67"/>
      <c r="Q377" s="67">
        <f t="shared" ca="1" si="24"/>
        <v>924</v>
      </c>
    </row>
    <row r="378" spans="2:17" ht="25" hidden="1" x14ac:dyDescent="0.35">
      <c r="B378" s="50">
        <v>8</v>
      </c>
      <c r="C378" s="51" t="s">
        <v>23</v>
      </c>
      <c r="D378" s="52">
        <v>8</v>
      </c>
      <c r="E378" s="52">
        <v>16</v>
      </c>
      <c r="F378" s="53" t="s">
        <v>2669</v>
      </c>
      <c r="G378" s="67" t="s">
        <v>2670</v>
      </c>
      <c r="H378" s="54" t="str">
        <f t="shared" si="21"/>
        <v>MM-ILS-008.16 - Manutenção Preventiva Periódica 0 - Disjuntor 440kV</v>
      </c>
      <c r="I378" s="55" t="s">
        <v>2254</v>
      </c>
      <c r="J378" s="55" t="str">
        <f>VLOOKUP(D378,GM!$D$4:$G$1637,4,3)&amp;" e "&amp;C378</f>
        <v>ENGENHARIA ELÉTRICA  e ILS</v>
      </c>
      <c r="K378" s="164">
        <v>45791</v>
      </c>
      <c r="L378" s="164">
        <f t="shared" si="22"/>
        <v>46887</v>
      </c>
      <c r="M378" s="10" t="s">
        <v>62</v>
      </c>
      <c r="N378" s="1" t="s">
        <v>371</v>
      </c>
      <c r="O378" s="67" t="str">
        <f t="shared" ca="1" si="23"/>
        <v>Em dia</v>
      </c>
      <c r="P378" s="67"/>
      <c r="Q378" s="67">
        <f t="shared" ca="1" si="24"/>
        <v>407</v>
      </c>
    </row>
    <row r="379" spans="2:17" ht="25" hidden="1" x14ac:dyDescent="0.35">
      <c r="B379" s="50">
        <v>8</v>
      </c>
      <c r="C379" s="51" t="s">
        <v>23</v>
      </c>
      <c r="D379" s="52">
        <v>8</v>
      </c>
      <c r="E379" s="52">
        <v>17</v>
      </c>
      <c r="F379" s="53" t="s">
        <v>2671</v>
      </c>
      <c r="G379" s="67" t="s">
        <v>2672</v>
      </c>
      <c r="H379" s="54" t="str">
        <f t="shared" si="21"/>
        <v xml:space="preserve">MM-ILS-008.17 - Manutenção Preventiva Periódica 1 - Disjuntor 440kV </v>
      </c>
      <c r="I379" s="55" t="s">
        <v>2254</v>
      </c>
      <c r="J379" s="55" t="str">
        <f>VLOOKUP(D379,GM!$D$4:$G$1637,4,3)&amp;" e "&amp;C379</f>
        <v>ENGENHARIA ELÉTRICA  e ILS</v>
      </c>
      <c r="K379" s="164">
        <v>45791</v>
      </c>
      <c r="L379" s="164">
        <f t="shared" si="22"/>
        <v>46887</v>
      </c>
      <c r="M379" s="10" t="s">
        <v>62</v>
      </c>
      <c r="N379" s="1" t="s">
        <v>371</v>
      </c>
      <c r="O379" s="67" t="str">
        <f t="shared" ca="1" si="23"/>
        <v>Em dia</v>
      </c>
      <c r="P379" s="67"/>
      <c r="Q379" s="67">
        <f t="shared" ca="1" si="24"/>
        <v>407</v>
      </c>
    </row>
    <row r="380" spans="2:17" ht="25" hidden="1" x14ac:dyDescent="0.35">
      <c r="B380" s="50">
        <v>8</v>
      </c>
      <c r="C380" s="51" t="s">
        <v>23</v>
      </c>
      <c r="D380" s="52">
        <v>8</v>
      </c>
      <c r="E380" s="52">
        <v>18</v>
      </c>
      <c r="F380" s="53" t="s">
        <v>2673</v>
      </c>
      <c r="G380" s="67" t="s">
        <v>2674</v>
      </c>
      <c r="H380" s="54" t="str">
        <f t="shared" si="21"/>
        <v xml:space="preserve">MM-ILS-008.18 - Manutenção Preventiva Periódica 2 - Disjuntor 440kV </v>
      </c>
      <c r="I380" s="55" t="s">
        <v>2254</v>
      </c>
      <c r="J380" s="55" t="str">
        <f>VLOOKUP(D380,GM!$D$4:$G$1637,4,3)&amp;" e "&amp;C380</f>
        <v>ENGENHARIA ELÉTRICA  e ILS</v>
      </c>
      <c r="K380" s="164">
        <v>45791</v>
      </c>
      <c r="L380" s="164">
        <f t="shared" si="22"/>
        <v>46887</v>
      </c>
      <c r="M380" s="10" t="s">
        <v>62</v>
      </c>
      <c r="N380" s="1" t="s">
        <v>371</v>
      </c>
      <c r="O380" s="67" t="str">
        <f t="shared" ca="1" si="23"/>
        <v>Em dia</v>
      </c>
      <c r="P380" s="67"/>
      <c r="Q380" s="67">
        <f t="shared" ca="1" si="24"/>
        <v>407</v>
      </c>
    </row>
    <row r="381" spans="2:17" x14ac:dyDescent="0.35">
      <c r="B381" s="50">
        <v>8</v>
      </c>
      <c r="C381" s="51" t="s">
        <v>23</v>
      </c>
      <c r="D381" s="52">
        <v>8</v>
      </c>
      <c r="E381" s="52">
        <v>19</v>
      </c>
      <c r="F381" s="53" t="s">
        <v>2675</v>
      </c>
      <c r="G381" s="67" t="s">
        <v>2676</v>
      </c>
      <c r="H381" s="54" t="str">
        <f t="shared" si="21"/>
        <v>MM-ILS-008.19 - Manutenção e ensaios - Disjuntor 440kV</v>
      </c>
      <c r="I381" s="55" t="s">
        <v>2254</v>
      </c>
      <c r="J381" s="55" t="str">
        <f>VLOOKUP(D381,GM!$D$4:$G$1637,4,3)&amp;" e "&amp;C381</f>
        <v>ENGENHARIA ELÉTRICA  e ILS</v>
      </c>
      <c r="K381" s="164"/>
      <c r="L381" s="164"/>
      <c r="M381" s="158" t="s">
        <v>267</v>
      </c>
      <c r="O381" s="67" t="str">
        <f t="shared" ca="1" si="23"/>
        <v>Vencido</v>
      </c>
      <c r="P381" s="67"/>
      <c r="Q381" s="67">
        <f t="shared" ca="1" si="24"/>
        <v>46198</v>
      </c>
    </row>
    <row r="382" spans="2:17" ht="15.5" hidden="1" x14ac:dyDescent="0.35">
      <c r="B382" s="50">
        <v>8</v>
      </c>
      <c r="C382" s="51" t="s">
        <v>23</v>
      </c>
      <c r="D382" s="52">
        <v>9</v>
      </c>
      <c r="E382" s="52">
        <v>1</v>
      </c>
      <c r="F382" s="53" t="s">
        <v>2677</v>
      </c>
      <c r="G382" s="53" t="s">
        <v>2678</v>
      </c>
      <c r="H382" s="54" t="str">
        <f t="shared" si="21"/>
        <v>MM-ILS-009.01 - MCP0_Painéis de Média Tensão_14,4kV</v>
      </c>
      <c r="I382" s="55" t="s">
        <v>2679</v>
      </c>
      <c r="J382" s="55" t="str">
        <f>VLOOKUP(D382,GM!$D$4:$G$1637,4,3)&amp;" e "&amp;C382</f>
        <v>ENGENHARIA ELÉTRICA  e ILS</v>
      </c>
      <c r="K382" s="164">
        <v>45743</v>
      </c>
      <c r="L382" s="164">
        <f t="shared" si="22"/>
        <v>46839</v>
      </c>
      <c r="M382" s="10" t="s">
        <v>62</v>
      </c>
      <c r="N382" s="1" t="s">
        <v>371</v>
      </c>
      <c r="O382" s="67" t="str">
        <f t="shared" ca="1" si="23"/>
        <v>Em dia</v>
      </c>
      <c r="P382" s="67"/>
      <c r="Q382" s="67">
        <f t="shared" ca="1" si="24"/>
        <v>455</v>
      </c>
    </row>
    <row r="383" spans="2:17" ht="15.5" hidden="1" x14ac:dyDescent="0.35">
      <c r="B383" s="50">
        <v>8</v>
      </c>
      <c r="C383" s="51" t="s">
        <v>23</v>
      </c>
      <c r="D383" s="52">
        <v>9</v>
      </c>
      <c r="E383" s="52">
        <v>2</v>
      </c>
      <c r="F383" s="53" t="s">
        <v>2680</v>
      </c>
      <c r="G383" s="53" t="s">
        <v>2681</v>
      </c>
      <c r="H383" s="54" t="str">
        <f t="shared" si="21"/>
        <v>MM-ILS-009.02 - MCP1_Painéis_Média_Tensão_14,4kV</v>
      </c>
      <c r="I383" s="55" t="s">
        <v>2679</v>
      </c>
      <c r="J383" s="55" t="str">
        <f>VLOOKUP(D383,GM!$D$4:$G$1637,4,3)&amp;" e "&amp;C383</f>
        <v>ENGENHARIA ELÉTRICA  e ILS</v>
      </c>
      <c r="K383" s="164">
        <v>45743</v>
      </c>
      <c r="L383" s="164">
        <f t="shared" si="22"/>
        <v>46839</v>
      </c>
      <c r="M383" s="10" t="s">
        <v>62</v>
      </c>
      <c r="N383" s="1" t="s">
        <v>371</v>
      </c>
      <c r="O383" s="67" t="str">
        <f t="shared" ca="1" si="23"/>
        <v>Em dia</v>
      </c>
      <c r="P383" s="67"/>
      <c r="Q383" s="67">
        <f t="shared" ca="1" si="24"/>
        <v>455</v>
      </c>
    </row>
    <row r="384" spans="2:17" ht="25" hidden="1" x14ac:dyDescent="0.35">
      <c r="B384" s="50">
        <v>8</v>
      </c>
      <c r="C384" s="51" t="s">
        <v>23</v>
      </c>
      <c r="D384" s="52">
        <v>9</v>
      </c>
      <c r="E384" s="52">
        <v>3</v>
      </c>
      <c r="F384" s="53" t="s">
        <v>2682</v>
      </c>
      <c r="G384" s="53" t="s">
        <v>2683</v>
      </c>
      <c r="H384" s="54" t="str">
        <f t="shared" si="21"/>
        <v>MM-ILS-009.03 - Painéis_Média_Tensão_Ensaios_Disjuntores_14,4KV_R1</v>
      </c>
      <c r="I384" s="55" t="s">
        <v>2679</v>
      </c>
      <c r="J384" s="55" t="str">
        <f>VLOOKUP(D384,GM!$D$4:$G$1637,4,3)&amp;" e "&amp;C384</f>
        <v>ENGENHARIA ELÉTRICA  e ILS</v>
      </c>
      <c r="K384" s="164">
        <v>45743</v>
      </c>
      <c r="L384" s="164">
        <f t="shared" si="22"/>
        <v>46839</v>
      </c>
      <c r="M384" s="10" t="s">
        <v>62</v>
      </c>
      <c r="N384" s="1" t="s">
        <v>371</v>
      </c>
      <c r="O384" s="67" t="str">
        <f t="shared" ca="1" si="23"/>
        <v>Em dia</v>
      </c>
      <c r="P384" s="67"/>
      <c r="Q384" s="67">
        <f t="shared" ca="1" si="24"/>
        <v>455</v>
      </c>
    </row>
    <row r="385" spans="2:17" ht="15.5" x14ac:dyDescent="0.35">
      <c r="B385" s="50">
        <v>8</v>
      </c>
      <c r="C385" s="51" t="s">
        <v>23</v>
      </c>
      <c r="D385" s="52">
        <v>9</v>
      </c>
      <c r="E385" s="52">
        <v>4</v>
      </c>
      <c r="F385" s="53" t="s">
        <v>2684</v>
      </c>
      <c r="G385" s="53" t="s">
        <v>2685</v>
      </c>
      <c r="H385" s="54" t="str">
        <f t="shared" si="21"/>
        <v>MM-ILS-009.04 - MR_Quadros Serviço Auxiliar 14,4KV</v>
      </c>
      <c r="I385" s="55" t="s">
        <v>2686</v>
      </c>
      <c r="J385" s="55" t="str">
        <f>VLOOKUP(D385,GM!$D$4:$G$1637,4,3)&amp;" e "&amp;C385</f>
        <v>ENGENHARIA ELÉTRICA  e ILS</v>
      </c>
      <c r="K385" s="164"/>
      <c r="L385" s="164"/>
      <c r="M385" s="11" t="s">
        <v>267</v>
      </c>
      <c r="O385" s="67" t="str">
        <f t="shared" ca="1" si="23"/>
        <v>Vencido</v>
      </c>
      <c r="P385" s="67"/>
      <c r="Q385" s="67">
        <f t="shared" ca="1" si="24"/>
        <v>46198</v>
      </c>
    </row>
    <row r="386" spans="2:17" ht="15.5" hidden="1" x14ac:dyDescent="0.35">
      <c r="B386" s="50">
        <v>8</v>
      </c>
      <c r="C386" s="51" t="s">
        <v>23</v>
      </c>
      <c r="D386" s="52">
        <v>10</v>
      </c>
      <c r="E386" s="52">
        <v>1</v>
      </c>
      <c r="F386" s="53" t="s">
        <v>2687</v>
      </c>
      <c r="G386" s="53" t="s">
        <v>2688</v>
      </c>
      <c r="H386" s="54" t="str">
        <f t="shared" si="21"/>
        <v>MM-ILS-010.01 - MCP0_Painéis_Baixa_Tensão_440V</v>
      </c>
      <c r="I386" s="55" t="s">
        <v>2618</v>
      </c>
      <c r="J386" s="55" t="str">
        <f>VLOOKUP(D386,GM!$D$4:$G$1637,4,3)&amp;" e "&amp;C386</f>
        <v>ENGENHARIA ELÉTRICA  e ILS</v>
      </c>
      <c r="K386" s="164">
        <v>45743</v>
      </c>
      <c r="L386" s="164">
        <f t="shared" si="22"/>
        <v>46839</v>
      </c>
      <c r="M386" s="10" t="s">
        <v>62</v>
      </c>
      <c r="N386" s="1" t="s">
        <v>371</v>
      </c>
      <c r="O386" s="67" t="str">
        <f t="shared" ca="1" si="23"/>
        <v>Em dia</v>
      </c>
      <c r="P386" s="67"/>
      <c r="Q386" s="67">
        <f t="shared" ca="1" si="24"/>
        <v>455</v>
      </c>
    </row>
    <row r="387" spans="2:17" ht="15.5" hidden="1" x14ac:dyDescent="0.35">
      <c r="B387" s="50">
        <v>8</v>
      </c>
      <c r="C387" s="51" t="s">
        <v>23</v>
      </c>
      <c r="D387" s="52">
        <v>10</v>
      </c>
      <c r="E387" s="52">
        <v>2</v>
      </c>
      <c r="F387" s="53" t="s">
        <v>2689</v>
      </c>
      <c r="G387" s="53" t="s">
        <v>2690</v>
      </c>
      <c r="H387" s="54" t="str">
        <f t="shared" si="21"/>
        <v>MM-ILS-010.02 - MCP1_Painéis_Baixa_Tensão_440V</v>
      </c>
      <c r="I387" s="55" t="s">
        <v>2618</v>
      </c>
      <c r="J387" s="55" t="str">
        <f>VLOOKUP(D387,GM!$D$4:$G$1637,4,3)&amp;" e "&amp;C387</f>
        <v>ENGENHARIA ELÉTRICA  e ILS</v>
      </c>
      <c r="K387" s="164">
        <v>45743</v>
      </c>
      <c r="L387" s="164">
        <f t="shared" si="22"/>
        <v>46839</v>
      </c>
      <c r="M387" s="10" t="s">
        <v>62</v>
      </c>
      <c r="N387" s="1" t="s">
        <v>371</v>
      </c>
      <c r="O387" s="67" t="str">
        <f t="shared" ca="1" si="23"/>
        <v>Em dia</v>
      </c>
      <c r="P387" s="67"/>
      <c r="Q387" s="67">
        <f t="shared" ca="1" si="24"/>
        <v>455</v>
      </c>
    </row>
    <row r="388" spans="2:17" ht="15.5" hidden="1" x14ac:dyDescent="0.35">
      <c r="B388" s="50">
        <v>8</v>
      </c>
      <c r="C388" s="51" t="s">
        <v>23</v>
      </c>
      <c r="D388" s="52">
        <v>10</v>
      </c>
      <c r="E388" s="52">
        <v>3</v>
      </c>
      <c r="F388" s="53" t="s">
        <v>2691</v>
      </c>
      <c r="G388" s="53" t="s">
        <v>2692</v>
      </c>
      <c r="H388" s="54" t="str">
        <f t="shared" si="21"/>
        <v>MM-ILS-010.03 - Caixa de Ensaios Gavetas CCM's</v>
      </c>
      <c r="I388" s="55" t="s">
        <v>2618</v>
      </c>
      <c r="J388" s="55" t="str">
        <f>VLOOKUP(D388,GM!$D$4:$G$1637,4,3)&amp;" e "&amp;C388</f>
        <v>ENGENHARIA ELÉTRICA  e ILS</v>
      </c>
      <c r="K388" s="164">
        <v>45743</v>
      </c>
      <c r="L388" s="164">
        <f t="shared" si="22"/>
        <v>46839</v>
      </c>
      <c r="M388" s="10" t="s">
        <v>62</v>
      </c>
      <c r="N388" s="1" t="s">
        <v>371</v>
      </c>
      <c r="O388" s="67" t="str">
        <f t="shared" ca="1" si="23"/>
        <v>Em dia</v>
      </c>
      <c r="P388" s="67"/>
      <c r="Q388" s="67">
        <f t="shared" ca="1" si="24"/>
        <v>455</v>
      </c>
    </row>
    <row r="389" spans="2:17" ht="15.5" hidden="1" x14ac:dyDescent="0.35">
      <c r="B389" s="50">
        <v>8</v>
      </c>
      <c r="C389" s="51" t="s">
        <v>23</v>
      </c>
      <c r="D389" s="52">
        <v>10</v>
      </c>
      <c r="E389" s="52">
        <v>4</v>
      </c>
      <c r="F389" s="53" t="s">
        <v>2693</v>
      </c>
      <c r="G389" s="162" t="s">
        <v>2694</v>
      </c>
      <c r="H389" s="54" t="str">
        <f t="shared" si="21"/>
        <v>MM-ILS-010.04 - MR_Quadros Serviço Auxiliar 440V</v>
      </c>
      <c r="I389" s="55" t="s">
        <v>2618</v>
      </c>
      <c r="J389" s="55" t="str">
        <f>VLOOKUP(D389,GM!$D$4:$G$1637,4,3)&amp;" e "&amp;C389</f>
        <v>ENGENHARIA ELÉTRICA  e ILS</v>
      </c>
      <c r="K389" s="164">
        <v>45743</v>
      </c>
      <c r="L389" s="164">
        <f t="shared" si="22"/>
        <v>46839</v>
      </c>
      <c r="M389" s="10" t="s">
        <v>62</v>
      </c>
      <c r="N389" s="1" t="s">
        <v>371</v>
      </c>
      <c r="O389" s="67" t="str">
        <f t="shared" ca="1" si="23"/>
        <v>Em dia</v>
      </c>
      <c r="P389" s="67"/>
      <c r="Q389" s="67">
        <f t="shared" ca="1" si="24"/>
        <v>455</v>
      </c>
    </row>
    <row r="390" spans="2:17" ht="15.5" x14ac:dyDescent="0.35">
      <c r="B390" s="50">
        <v>8</v>
      </c>
      <c r="C390" s="51" t="s">
        <v>23</v>
      </c>
      <c r="D390" s="52">
        <v>12</v>
      </c>
      <c r="E390" s="52">
        <v>0</v>
      </c>
      <c r="F390" s="53" t="s">
        <v>2695</v>
      </c>
      <c r="G390" s="18" t="s">
        <v>2696</v>
      </c>
      <c r="H390" s="54" t="str">
        <f t="shared" si="21"/>
        <v>MM-ILS-012.00 - Backup/Restore SCADA Software</v>
      </c>
      <c r="I390" s="18" t="s">
        <v>2697</v>
      </c>
      <c r="J390" s="55" t="str">
        <f>VLOOKUP(D390,GM!$D$4:$G$1637,4,3)&amp;" e "&amp;C390</f>
        <v>ENGENHARIA ELÉTRICA  e ILS</v>
      </c>
      <c r="K390" s="164"/>
      <c r="L390" s="164"/>
      <c r="M390" s="11" t="s">
        <v>267</v>
      </c>
      <c r="O390" s="67" t="str">
        <f t="shared" ca="1" si="23"/>
        <v>Vencido</v>
      </c>
      <c r="P390" s="67"/>
      <c r="Q390" s="67">
        <f t="shared" ca="1" si="24"/>
        <v>46198</v>
      </c>
    </row>
    <row r="391" spans="2:17" ht="15.5" hidden="1" x14ac:dyDescent="0.35">
      <c r="B391" s="50">
        <v>8</v>
      </c>
      <c r="C391" s="51" t="s">
        <v>23</v>
      </c>
      <c r="D391" s="52">
        <v>12</v>
      </c>
      <c r="E391" s="52">
        <v>1</v>
      </c>
      <c r="F391" s="53" t="s">
        <v>2698</v>
      </c>
      <c r="G391" s="18" t="s">
        <v>2699</v>
      </c>
      <c r="H391" s="54" t="str">
        <f t="shared" ref="H391:H454" si="25">(F391)&amp;" - "&amp;(G391)</f>
        <v>MM-ILS-012.01 - Estação de Operação</v>
      </c>
      <c r="I391" s="18" t="s">
        <v>2697</v>
      </c>
      <c r="J391" s="55" t="str">
        <f>VLOOKUP(D391,GM!$D$4:$G$1637,4,3)&amp;" e "&amp;C391</f>
        <v>ENGENHARIA ELÉTRICA  e ILS</v>
      </c>
      <c r="K391" s="164">
        <v>45743</v>
      </c>
      <c r="L391" s="164">
        <f t="shared" ref="L391:L454" si="26">K391+1096</f>
        <v>46839</v>
      </c>
      <c r="M391" s="10" t="s">
        <v>62</v>
      </c>
      <c r="N391" s="1" t="s">
        <v>371</v>
      </c>
      <c r="O391" s="67" t="str">
        <f t="shared" ca="1" si="23"/>
        <v>Em dia</v>
      </c>
      <c r="P391" s="67"/>
      <c r="Q391" s="67">
        <f t="shared" ca="1" si="24"/>
        <v>455</v>
      </c>
    </row>
    <row r="392" spans="2:17" ht="26" hidden="1" x14ac:dyDescent="0.35">
      <c r="B392" s="50">
        <v>8</v>
      </c>
      <c r="C392" s="51" t="s">
        <v>23</v>
      </c>
      <c r="D392" s="52">
        <v>13</v>
      </c>
      <c r="E392" s="52">
        <v>1</v>
      </c>
      <c r="F392" s="53" t="s">
        <v>2700</v>
      </c>
      <c r="G392" s="53" t="s">
        <v>2701</v>
      </c>
      <c r="H392" s="54" t="str">
        <f t="shared" si="25"/>
        <v>MM-ILS-013.01 - Unidade de Aquisição e Contole (UAC)- MPP</v>
      </c>
      <c r="I392" s="55" t="s">
        <v>2018</v>
      </c>
      <c r="J392" s="55" t="str">
        <f>VLOOKUP(D392,GM!$D$4:$G$1637,4,3)&amp;" e "&amp;C392</f>
        <v>ENGENHARIA ELÉTRICA  e ILS</v>
      </c>
      <c r="K392" s="164">
        <v>45743</v>
      </c>
      <c r="L392" s="164">
        <f t="shared" si="26"/>
        <v>46839</v>
      </c>
      <c r="M392" s="10" t="s">
        <v>62</v>
      </c>
      <c r="N392" s="1" t="s">
        <v>371</v>
      </c>
      <c r="O392" s="67" t="str">
        <f t="shared" ref="O392:O455" ca="1" si="27">IF(Q392="","",IF(Q392&gt;1095,"Vencido",IF(Q392&gt;910,"Alerta",IF(Q392&gt;820,"Alerta",IF(Q392&gt;730,"Alerta",IF(Q392&gt;=0,"Em dia","Vencido"))))))</f>
        <v>Em dia</v>
      </c>
      <c r="P392" s="67"/>
      <c r="Q392" s="67">
        <f t="shared" ca="1" si="24"/>
        <v>455</v>
      </c>
    </row>
    <row r="393" spans="2:17" ht="26" hidden="1" x14ac:dyDescent="0.35">
      <c r="B393" s="50">
        <v>8</v>
      </c>
      <c r="C393" s="51" t="s">
        <v>23</v>
      </c>
      <c r="D393" s="52">
        <v>13</v>
      </c>
      <c r="E393" s="52">
        <v>2</v>
      </c>
      <c r="F393" s="53" t="s">
        <v>2702</v>
      </c>
      <c r="G393" s="53" t="s">
        <v>2703</v>
      </c>
      <c r="H393" s="54" t="str">
        <f t="shared" si="25"/>
        <v>MM-ILS-013.02 - Unidade de Aquisição e Contole (UAC)- Rede de Processo</v>
      </c>
      <c r="I393" s="55" t="s">
        <v>2018</v>
      </c>
      <c r="J393" s="55" t="str">
        <f>VLOOKUP(D393,GM!$D$4:$G$1637,4,3)&amp;" e "&amp;C393</f>
        <v>ENGENHARIA ELÉTRICA  e ILS</v>
      </c>
      <c r="K393" s="164">
        <v>45743</v>
      </c>
      <c r="L393" s="164">
        <f t="shared" si="26"/>
        <v>46839</v>
      </c>
      <c r="M393" s="10" t="s">
        <v>62</v>
      </c>
      <c r="N393" s="1" t="s">
        <v>371</v>
      </c>
      <c r="O393" s="67" t="str">
        <f t="shared" ca="1" si="27"/>
        <v>Em dia</v>
      </c>
      <c r="P393" s="67"/>
      <c r="Q393" s="67">
        <f t="shared" ca="1" si="24"/>
        <v>455</v>
      </c>
    </row>
    <row r="394" spans="2:17" ht="15.5" x14ac:dyDescent="0.35">
      <c r="B394" s="50">
        <v>8</v>
      </c>
      <c r="C394" s="51" t="s">
        <v>23</v>
      </c>
      <c r="D394" s="52">
        <v>15</v>
      </c>
      <c r="E394" s="52">
        <v>1</v>
      </c>
      <c r="F394" s="53" t="s">
        <v>2704</v>
      </c>
      <c r="G394" s="53" t="s">
        <v>2705</v>
      </c>
      <c r="H394" s="54" t="str">
        <f t="shared" si="25"/>
        <v>MM-ILS-015.01 - Manual Ensaios Bancada Proteções Relé REG670</v>
      </c>
      <c r="I394" s="55" t="s">
        <v>2077</v>
      </c>
      <c r="J394" s="55" t="str">
        <f>VLOOKUP(D394,GM!$D$4:$G$1637,4,3)&amp;" e "&amp;C394</f>
        <v>ENGENHARIA ELÉTRICA  e ILS</v>
      </c>
      <c r="K394" s="164">
        <v>44223</v>
      </c>
      <c r="L394" s="164">
        <f t="shared" si="26"/>
        <v>45319</v>
      </c>
      <c r="M394" s="10" t="s">
        <v>62</v>
      </c>
      <c r="N394" s="1" t="s">
        <v>371</v>
      </c>
      <c r="O394" s="67" t="str">
        <f t="shared" ca="1" si="27"/>
        <v>Vencido</v>
      </c>
      <c r="P394" s="67"/>
      <c r="Q394" s="67">
        <f t="shared" ref="Q394:Q457" ca="1" si="28">$P$4-K394</f>
        <v>1975</v>
      </c>
    </row>
    <row r="395" spans="2:17" ht="15.5" hidden="1" x14ac:dyDescent="0.35">
      <c r="B395" s="50">
        <v>8</v>
      </c>
      <c r="C395" s="51" t="s">
        <v>23</v>
      </c>
      <c r="D395" s="52">
        <v>15</v>
      </c>
      <c r="E395" s="52">
        <v>2</v>
      </c>
      <c r="F395" s="53" t="s">
        <v>2706</v>
      </c>
      <c r="G395" s="53" t="s">
        <v>2707</v>
      </c>
      <c r="H395" s="54" t="str">
        <f t="shared" si="25"/>
        <v>MM-ILS-015.02 - Manual de Manutenção da Proteção do Gerador</v>
      </c>
      <c r="I395" s="55" t="s">
        <v>2077</v>
      </c>
      <c r="J395" s="55" t="str">
        <f>VLOOKUP(D395,GM!$D$4:$G$1637,4,3)&amp;" e "&amp;C395</f>
        <v>ENGENHARIA ELÉTRICA  e ILS</v>
      </c>
      <c r="K395" s="164">
        <v>45743</v>
      </c>
      <c r="L395" s="164">
        <f t="shared" si="26"/>
        <v>46839</v>
      </c>
      <c r="M395" s="10" t="s">
        <v>62</v>
      </c>
      <c r="N395" s="1" t="s">
        <v>371</v>
      </c>
      <c r="O395" s="67" t="str">
        <f t="shared" ca="1" si="27"/>
        <v>Em dia</v>
      </c>
      <c r="P395" s="67"/>
      <c r="Q395" s="67">
        <f t="shared" ca="1" si="28"/>
        <v>455</v>
      </c>
    </row>
    <row r="396" spans="2:17" ht="15.5" hidden="1" x14ac:dyDescent="0.35">
      <c r="B396" s="50">
        <v>8</v>
      </c>
      <c r="C396" s="51" t="s">
        <v>23</v>
      </c>
      <c r="D396" s="52">
        <v>18</v>
      </c>
      <c r="E396" s="52">
        <v>1</v>
      </c>
      <c r="F396" s="53" t="s">
        <v>2708</v>
      </c>
      <c r="G396" s="53" t="s">
        <v>2404</v>
      </c>
      <c r="H396" s="54" t="str">
        <f t="shared" si="25"/>
        <v>MM-ILS-018.01 - Sistema de Excitação</v>
      </c>
      <c r="I396" s="18" t="s">
        <v>2404</v>
      </c>
      <c r="J396" s="55" t="str">
        <f>VLOOKUP(D396,GM!$D$4:$G$1637,4,3)&amp;" e "&amp;C396</f>
        <v>ENGENHARIA ELÉTRICA  e ILS</v>
      </c>
      <c r="K396" s="164">
        <v>45743</v>
      </c>
      <c r="L396" s="164">
        <f t="shared" si="26"/>
        <v>46839</v>
      </c>
      <c r="M396" s="10" t="s">
        <v>62</v>
      </c>
      <c r="N396" s="1" t="s">
        <v>371</v>
      </c>
      <c r="O396" s="67" t="str">
        <f t="shared" ca="1" si="27"/>
        <v>Em dia</v>
      </c>
      <c r="P396" s="67"/>
      <c r="Q396" s="67">
        <f t="shared" ca="1" si="28"/>
        <v>455</v>
      </c>
    </row>
    <row r="397" spans="2:17" ht="15.5" hidden="1" x14ac:dyDescent="0.35">
      <c r="B397" s="50">
        <v>8</v>
      </c>
      <c r="C397" s="51" t="s">
        <v>23</v>
      </c>
      <c r="D397" s="52">
        <v>19</v>
      </c>
      <c r="E397" s="52">
        <v>1</v>
      </c>
      <c r="F397" s="53" t="s">
        <v>2709</v>
      </c>
      <c r="G397" s="55" t="s">
        <v>2410</v>
      </c>
      <c r="H397" s="54" t="str">
        <f t="shared" si="25"/>
        <v>MM-ILS-019.01 - Manutenção em Sistemas Medição de Fuga a Terra</v>
      </c>
      <c r="I397" s="55" t="s">
        <v>2404</v>
      </c>
      <c r="J397" s="55" t="str">
        <f>VLOOKUP(D397,GM!$D$4:$G$1637,4,3)&amp;" e "&amp;C397</f>
        <v>ENGENHARIA ELÉTRICA  e ILS</v>
      </c>
      <c r="K397" s="164">
        <v>45645</v>
      </c>
      <c r="L397" s="164">
        <f t="shared" si="26"/>
        <v>46741</v>
      </c>
      <c r="M397" s="10" t="s">
        <v>62</v>
      </c>
      <c r="N397" s="1" t="s">
        <v>371</v>
      </c>
      <c r="O397" s="67" t="str">
        <f t="shared" ca="1" si="27"/>
        <v>Em dia</v>
      </c>
      <c r="P397" s="67"/>
      <c r="Q397" s="67">
        <f t="shared" ca="1" si="28"/>
        <v>553</v>
      </c>
    </row>
    <row r="398" spans="2:17" ht="15.5" hidden="1" x14ac:dyDescent="0.35">
      <c r="B398" s="50">
        <v>8</v>
      </c>
      <c r="C398" s="51" t="s">
        <v>23</v>
      </c>
      <c r="D398" s="52">
        <v>19</v>
      </c>
      <c r="E398" s="52">
        <v>2</v>
      </c>
      <c r="F398" s="53" t="s">
        <v>2710</v>
      </c>
      <c r="G398" s="67" t="s">
        <v>2711</v>
      </c>
      <c r="H398" s="54" t="str">
        <f t="shared" si="25"/>
        <v>MM-ILS-019.02 - Sistema de Corrente Continua</v>
      </c>
      <c r="I398" s="55" t="s">
        <v>2404</v>
      </c>
      <c r="J398" s="55" t="str">
        <f>VLOOKUP(D398,GM!$D$4:$G$1637,4,3)&amp;" e "&amp;C398</f>
        <v>ENGENHARIA ELÉTRICA  e ILS</v>
      </c>
      <c r="K398" s="164">
        <v>45743</v>
      </c>
      <c r="L398" s="164">
        <f t="shared" si="26"/>
        <v>46839</v>
      </c>
      <c r="M398" s="10" t="s">
        <v>62</v>
      </c>
      <c r="N398" s="1" t="s">
        <v>371</v>
      </c>
      <c r="O398" s="67" t="str">
        <f t="shared" ca="1" si="27"/>
        <v>Em dia</v>
      </c>
      <c r="P398" s="67"/>
      <c r="Q398" s="67">
        <f t="shared" ca="1" si="28"/>
        <v>455</v>
      </c>
    </row>
    <row r="399" spans="2:17" ht="25" x14ac:dyDescent="0.35">
      <c r="B399" s="50">
        <v>8</v>
      </c>
      <c r="C399" s="51" t="s">
        <v>23</v>
      </c>
      <c r="D399" s="52">
        <v>20</v>
      </c>
      <c r="E399" s="52">
        <v>1</v>
      </c>
      <c r="F399" s="53" t="s">
        <v>2712</v>
      </c>
      <c r="G399" s="53" t="s">
        <v>2713</v>
      </c>
      <c r="H399" s="54" t="str">
        <f t="shared" si="25"/>
        <v>MM-ILS-020.01 - Inspeção das Palhetas Móveis Acesso pelo Caracol</v>
      </c>
      <c r="I399" s="57" t="s">
        <v>1984</v>
      </c>
      <c r="J399" s="55" t="str">
        <f>VLOOKUP(D399,GM!$D$4:$G$1637,4,3)&amp;" e "&amp;C399</f>
        <v>ENGENHARIA MECÂNICA  e ILS</v>
      </c>
      <c r="K399" s="164">
        <v>44061</v>
      </c>
      <c r="L399" s="164">
        <f t="shared" si="26"/>
        <v>45157</v>
      </c>
      <c r="M399" s="10" t="s">
        <v>62</v>
      </c>
      <c r="N399" s="1" t="s">
        <v>371</v>
      </c>
      <c r="O399" s="67" t="str">
        <f t="shared" ca="1" si="27"/>
        <v>Vencido</v>
      </c>
      <c r="P399" s="67"/>
      <c r="Q399" s="67">
        <f t="shared" ca="1" si="28"/>
        <v>2137</v>
      </c>
    </row>
    <row r="400" spans="2:17" ht="26" hidden="1" x14ac:dyDescent="0.35">
      <c r="B400" s="50">
        <v>8</v>
      </c>
      <c r="C400" s="51" t="s">
        <v>23</v>
      </c>
      <c r="D400" s="52">
        <v>21</v>
      </c>
      <c r="E400" s="52">
        <v>1</v>
      </c>
      <c r="F400" s="53" t="s">
        <v>2714</v>
      </c>
      <c r="G400" s="55" t="s">
        <v>2715</v>
      </c>
      <c r="H400" s="54" t="str">
        <f t="shared" si="25"/>
        <v>MM-ILS-021.01 - Regulador de Velocidade - MPP</v>
      </c>
      <c r="I400" s="55" t="s">
        <v>2080</v>
      </c>
      <c r="J400" s="55" t="str">
        <f>VLOOKUP(D400,GM!$D$4:$G$1637,4,3)&amp;" e "&amp;C400</f>
        <v>ENGENHARIA ELÉTRICA  e ILS</v>
      </c>
      <c r="K400" s="164">
        <v>45743</v>
      </c>
      <c r="L400" s="164">
        <f t="shared" si="26"/>
        <v>46839</v>
      </c>
      <c r="M400" s="10" t="s">
        <v>62</v>
      </c>
      <c r="N400" s="1" t="s">
        <v>371</v>
      </c>
      <c r="O400" s="67" t="str">
        <f t="shared" ca="1" si="27"/>
        <v>Em dia</v>
      </c>
      <c r="P400" s="67"/>
      <c r="Q400" s="67">
        <f t="shared" ca="1" si="28"/>
        <v>455</v>
      </c>
    </row>
    <row r="401" spans="2:17" ht="15.5" x14ac:dyDescent="0.35">
      <c r="B401" s="50">
        <v>8</v>
      </c>
      <c r="C401" s="51" t="s">
        <v>23</v>
      </c>
      <c r="D401" s="52">
        <v>22</v>
      </c>
      <c r="E401" s="52">
        <v>1</v>
      </c>
      <c r="F401" s="53" t="s">
        <v>2716</v>
      </c>
      <c r="G401" s="53" t="s">
        <v>2717</v>
      </c>
      <c r="H401" s="54" t="str">
        <f t="shared" si="25"/>
        <v>MM-ILS-022.01 - Compressores Serviços Gerais</v>
      </c>
      <c r="I401" s="57" t="s">
        <v>1987</v>
      </c>
      <c r="J401" s="55" t="str">
        <f>VLOOKUP(D401,GM!$D$4:$G$1637,4,3)&amp;" e "&amp;C401</f>
        <v>ENGENHARIA MECÂNICA  e ILS</v>
      </c>
      <c r="K401" s="164">
        <v>44061</v>
      </c>
      <c r="L401" s="164">
        <f t="shared" si="26"/>
        <v>45157</v>
      </c>
      <c r="M401" s="10" t="s">
        <v>62</v>
      </c>
      <c r="N401" s="1" t="s">
        <v>371</v>
      </c>
      <c r="O401" s="67" t="str">
        <f t="shared" ca="1" si="27"/>
        <v>Vencido</v>
      </c>
      <c r="P401" s="67"/>
      <c r="Q401" s="67">
        <f t="shared" ca="1" si="28"/>
        <v>2137</v>
      </c>
    </row>
    <row r="402" spans="2:17" ht="25" x14ac:dyDescent="0.35">
      <c r="B402" s="50">
        <v>8</v>
      </c>
      <c r="C402" s="51" t="s">
        <v>23</v>
      </c>
      <c r="D402" s="52">
        <v>22</v>
      </c>
      <c r="E402" s="52">
        <v>2</v>
      </c>
      <c r="F402" s="53" t="s">
        <v>2718</v>
      </c>
      <c r="G402" s="53" t="s">
        <v>2719</v>
      </c>
      <c r="H402" s="54" t="str">
        <f t="shared" si="25"/>
        <v>MM-ILS-022.02 - Manutenções Preventivas Compressores Sistema Síncrono</v>
      </c>
      <c r="I402" s="57" t="s">
        <v>1987</v>
      </c>
      <c r="J402" s="55" t="str">
        <f>VLOOKUP(D402,GM!$D$4:$G$1637,4,3)&amp;" e "&amp;C402</f>
        <v>ENGENHARIA MECÂNICA  e ILS</v>
      </c>
      <c r="K402" s="164">
        <v>44193</v>
      </c>
      <c r="L402" s="164">
        <f t="shared" si="26"/>
        <v>45289</v>
      </c>
      <c r="M402" s="10" t="s">
        <v>62</v>
      </c>
      <c r="N402" s="1" t="s">
        <v>371</v>
      </c>
      <c r="O402" s="67" t="str">
        <f t="shared" ca="1" si="27"/>
        <v>Vencido</v>
      </c>
      <c r="P402" s="67"/>
      <c r="Q402" s="67">
        <f t="shared" ca="1" si="28"/>
        <v>2005</v>
      </c>
    </row>
    <row r="403" spans="2:17" ht="25" x14ac:dyDescent="0.35">
      <c r="B403" s="50">
        <v>8</v>
      </c>
      <c r="C403" s="51" t="s">
        <v>23</v>
      </c>
      <c r="D403" s="52">
        <v>23</v>
      </c>
      <c r="E403" s="52">
        <v>1</v>
      </c>
      <c r="F403" s="53" t="s">
        <v>2720</v>
      </c>
      <c r="G403" s="53" t="s">
        <v>2721</v>
      </c>
      <c r="H403" s="54" t="str">
        <f t="shared" si="25"/>
        <v>MM-ILS-023.01 - Manutenção Preventiva Filtros  Água Bruta Anual</v>
      </c>
      <c r="I403" s="57" t="s">
        <v>1990</v>
      </c>
      <c r="J403" s="55" t="str">
        <f>VLOOKUP(D403,GM!$D$4:$G$1637,4,3)&amp;" e "&amp;C403</f>
        <v>ENGENHARIA MECÂNICA  e ILS</v>
      </c>
      <c r="K403" s="164">
        <v>44061</v>
      </c>
      <c r="L403" s="164">
        <f t="shared" si="26"/>
        <v>45157</v>
      </c>
      <c r="M403" s="10" t="s">
        <v>62</v>
      </c>
      <c r="N403" s="1" t="s">
        <v>371</v>
      </c>
      <c r="O403" s="67" t="str">
        <f t="shared" ca="1" si="27"/>
        <v>Vencido</v>
      </c>
      <c r="P403" s="67"/>
      <c r="Q403" s="67">
        <f t="shared" ca="1" si="28"/>
        <v>2137</v>
      </c>
    </row>
    <row r="404" spans="2:17" ht="25" x14ac:dyDescent="0.35">
      <c r="B404" s="50">
        <v>8</v>
      </c>
      <c r="C404" s="51" t="s">
        <v>23</v>
      </c>
      <c r="D404" s="52">
        <v>23</v>
      </c>
      <c r="E404" s="52">
        <v>1</v>
      </c>
      <c r="F404" s="53" t="s">
        <v>2720</v>
      </c>
      <c r="G404" s="53" t="s">
        <v>2722</v>
      </c>
      <c r="H404" s="54" t="str">
        <f t="shared" si="25"/>
        <v>MM-ILS-023.01 - Substituição Válvula tubo de Interligação UG18</v>
      </c>
      <c r="I404" s="57" t="s">
        <v>1990</v>
      </c>
      <c r="J404" s="55" t="str">
        <f>VLOOKUP(D404,GM!$D$4:$G$1637,4,3)&amp;" e "&amp;C404</f>
        <v>ENGENHARIA MECÂNICA  e ILS</v>
      </c>
      <c r="K404" s="164">
        <v>44061</v>
      </c>
      <c r="L404" s="164">
        <f t="shared" si="26"/>
        <v>45157</v>
      </c>
      <c r="M404" s="10" t="s">
        <v>62</v>
      </c>
      <c r="N404" s="1" t="s">
        <v>371</v>
      </c>
      <c r="O404" s="67" t="str">
        <f t="shared" ca="1" si="27"/>
        <v>Vencido</v>
      </c>
      <c r="P404" s="67"/>
      <c r="Q404" s="67">
        <f t="shared" ca="1" si="28"/>
        <v>2137</v>
      </c>
    </row>
    <row r="405" spans="2:17" ht="25" x14ac:dyDescent="0.35">
      <c r="B405" s="50">
        <v>8</v>
      </c>
      <c r="C405" s="51" t="s">
        <v>23</v>
      </c>
      <c r="D405" s="52">
        <v>23</v>
      </c>
      <c r="E405" s="52">
        <v>2</v>
      </c>
      <c r="F405" s="53" t="s">
        <v>2723</v>
      </c>
      <c r="G405" s="53" t="s">
        <v>2724</v>
      </c>
      <c r="H405" s="54" t="str">
        <f t="shared" si="25"/>
        <v>MM-ILS-023.02 - Manual de manutenção de sistema de injeção de Cloro</v>
      </c>
      <c r="I405" s="57" t="s">
        <v>1990</v>
      </c>
      <c r="J405" s="55" t="str">
        <f>VLOOKUP(D405,GM!$D$4:$G$1637,4,3)&amp;" e "&amp;C405</f>
        <v>ENGENHARIA MECÂNICA  e ILS</v>
      </c>
      <c r="K405" s="164">
        <v>44193</v>
      </c>
      <c r="L405" s="164">
        <f t="shared" si="26"/>
        <v>45289</v>
      </c>
      <c r="M405" s="10" t="s">
        <v>62</v>
      </c>
      <c r="N405" s="1" t="s">
        <v>371</v>
      </c>
      <c r="O405" s="67" t="str">
        <f t="shared" ca="1" si="27"/>
        <v>Vencido</v>
      </c>
      <c r="P405" s="67"/>
      <c r="Q405" s="67">
        <f t="shared" ca="1" si="28"/>
        <v>2005</v>
      </c>
    </row>
    <row r="406" spans="2:17" ht="25" x14ac:dyDescent="0.35">
      <c r="B406" s="50">
        <v>8</v>
      </c>
      <c r="C406" s="51" t="s">
        <v>23</v>
      </c>
      <c r="D406" s="52">
        <v>23</v>
      </c>
      <c r="E406" s="52">
        <v>5</v>
      </c>
      <c r="F406" s="53" t="s">
        <v>2725</v>
      </c>
      <c r="G406" s="115" t="s">
        <v>2726</v>
      </c>
      <c r="H406" s="54" t="str">
        <f t="shared" si="25"/>
        <v>MM-ILS-023.05 - Filtro de água Bruta, modelo MKG UGs 03, 07, 09 e 20</v>
      </c>
      <c r="I406" s="57" t="s">
        <v>1990</v>
      </c>
      <c r="J406" s="55" t="str">
        <f>VLOOKUP(D406,GM!$D$4:$G$1637,4,3)&amp;" e "&amp;C406</f>
        <v>ENGENHARIA MECÂNICA  e ILS</v>
      </c>
      <c r="K406" s="164">
        <v>45274</v>
      </c>
      <c r="L406" s="164">
        <f t="shared" si="26"/>
        <v>46370</v>
      </c>
      <c r="M406" s="10" t="s">
        <v>62</v>
      </c>
      <c r="N406" s="1" t="s">
        <v>371</v>
      </c>
      <c r="O406" s="67" t="str">
        <f t="shared" ca="1" si="27"/>
        <v>Alerta</v>
      </c>
      <c r="P406" s="67"/>
      <c r="Q406" s="67">
        <f t="shared" ca="1" si="28"/>
        <v>924</v>
      </c>
    </row>
    <row r="407" spans="2:17" ht="15.5" x14ac:dyDescent="0.35">
      <c r="B407" s="50">
        <v>8</v>
      </c>
      <c r="C407" s="51" t="s">
        <v>23</v>
      </c>
      <c r="D407" s="52">
        <v>24</v>
      </c>
      <c r="E407" s="52">
        <v>1</v>
      </c>
      <c r="F407" s="53" t="s">
        <v>2727</v>
      </c>
      <c r="G407" s="53" t="s">
        <v>1992</v>
      </c>
      <c r="H407" s="54" t="str">
        <f t="shared" si="25"/>
        <v>MM-ILS-024.01 - Procedimento Para Reabastecimento dos GAE</v>
      </c>
      <c r="I407" s="57" t="s">
        <v>1993</v>
      </c>
      <c r="J407" s="55" t="str">
        <f>VLOOKUP(D407,GM!$D$4:$G$1637,4,3)&amp;" e "&amp;C407</f>
        <v>ENGENHARIA MECÂNICA  e ILS</v>
      </c>
      <c r="K407" s="164">
        <v>44062</v>
      </c>
      <c r="L407" s="164">
        <f t="shared" si="26"/>
        <v>45158</v>
      </c>
      <c r="M407" s="10" t="s">
        <v>62</v>
      </c>
      <c r="N407" s="1" t="s">
        <v>371</v>
      </c>
      <c r="O407" s="67" t="str">
        <f t="shared" ca="1" si="27"/>
        <v>Vencido</v>
      </c>
      <c r="P407" s="67"/>
      <c r="Q407" s="67">
        <f t="shared" ca="1" si="28"/>
        <v>2136</v>
      </c>
    </row>
    <row r="408" spans="2:17" ht="15.5" x14ac:dyDescent="0.35">
      <c r="B408" s="50">
        <v>8</v>
      </c>
      <c r="C408" s="51" t="s">
        <v>23</v>
      </c>
      <c r="D408" s="52">
        <v>24</v>
      </c>
      <c r="E408" s="52">
        <v>2</v>
      </c>
      <c r="F408" s="53" t="s">
        <v>2728</v>
      </c>
      <c r="G408" s="53" t="s">
        <v>13157</v>
      </c>
      <c r="H408" s="54" t="str">
        <f t="shared" si="25"/>
        <v>MM-ILS-024.02 - Grupos Geradores Diesel Mensal</v>
      </c>
      <c r="I408" s="57" t="s">
        <v>1993</v>
      </c>
      <c r="J408" s="55" t="str">
        <f>VLOOKUP(D408,GM!$D$4:$G$1637,4,3)&amp;" e "&amp;C408</f>
        <v>ENGENHARIA MECÂNICA  e ILS</v>
      </c>
      <c r="K408" s="164">
        <v>44062</v>
      </c>
      <c r="L408" s="164">
        <f t="shared" si="26"/>
        <v>45158</v>
      </c>
      <c r="M408" s="10" t="s">
        <v>62</v>
      </c>
      <c r="N408" s="1" t="s">
        <v>371</v>
      </c>
      <c r="O408" s="67" t="str">
        <f t="shared" ca="1" si="27"/>
        <v>Vencido</v>
      </c>
      <c r="P408" s="67"/>
      <c r="Q408" s="67">
        <f t="shared" ca="1" si="28"/>
        <v>2136</v>
      </c>
    </row>
    <row r="409" spans="2:17" ht="15.5" x14ac:dyDescent="0.35">
      <c r="B409" s="50">
        <v>8</v>
      </c>
      <c r="C409" s="51" t="s">
        <v>23</v>
      </c>
      <c r="D409" s="52">
        <v>24</v>
      </c>
      <c r="E409" s="52">
        <v>3</v>
      </c>
      <c r="F409" s="53" t="s">
        <v>2729</v>
      </c>
      <c r="G409" s="53" t="s">
        <v>13156</v>
      </c>
      <c r="H409" s="54" t="str">
        <f t="shared" si="25"/>
        <v>MM-ILS-024.03 - Grupo Geradores Diesel Semestral</v>
      </c>
      <c r="I409" s="57" t="s">
        <v>1993</v>
      </c>
      <c r="J409" s="55" t="str">
        <f>VLOOKUP(D409,GM!$D$4:$G$1637,4,3)&amp;" e "&amp;C409</f>
        <v>ENGENHARIA MECÂNICA  e ILS</v>
      </c>
      <c r="K409" s="164">
        <v>44062</v>
      </c>
      <c r="L409" s="164">
        <f t="shared" si="26"/>
        <v>45158</v>
      </c>
      <c r="M409" s="10" t="s">
        <v>62</v>
      </c>
      <c r="N409" s="1" t="s">
        <v>371</v>
      </c>
      <c r="O409" s="67" t="str">
        <f t="shared" ca="1" si="27"/>
        <v>Vencido</v>
      </c>
      <c r="P409" s="67"/>
      <c r="Q409" s="67">
        <f t="shared" ca="1" si="28"/>
        <v>2136</v>
      </c>
    </row>
    <row r="410" spans="2:17" ht="29" hidden="1" x14ac:dyDescent="0.35">
      <c r="B410" s="50">
        <v>8</v>
      </c>
      <c r="C410" s="51" t="s">
        <v>23</v>
      </c>
      <c r="D410" s="52">
        <v>25</v>
      </c>
      <c r="E410" s="52">
        <v>0</v>
      </c>
      <c r="F410" s="53" t="s">
        <v>2730</v>
      </c>
      <c r="G410" s="65" t="s">
        <v>2731</v>
      </c>
      <c r="H410" s="54" t="str">
        <f t="shared" si="25"/>
        <v>MM-ILS-025.00 - Manutenção, substituição, configuração e calibração Medidores Faturamento</v>
      </c>
      <c r="I410" s="18" t="s">
        <v>2454</v>
      </c>
      <c r="J410" s="55" t="str">
        <f>VLOOKUP(D410,GM!$D$4:$G$1637,4,3)&amp;" e "&amp;C410</f>
        <v>ENGENHARIA ELÉTRICA  e ILS</v>
      </c>
      <c r="K410" s="164">
        <v>45743</v>
      </c>
      <c r="L410" s="164">
        <f t="shared" si="26"/>
        <v>46839</v>
      </c>
      <c r="M410" s="10" t="s">
        <v>62</v>
      </c>
      <c r="N410" s="1" t="s">
        <v>371</v>
      </c>
      <c r="O410" s="67" t="str">
        <f t="shared" ca="1" si="27"/>
        <v>Em dia</v>
      </c>
      <c r="P410" s="67"/>
      <c r="Q410" s="67">
        <f t="shared" ca="1" si="28"/>
        <v>455</v>
      </c>
    </row>
    <row r="411" spans="2:17" ht="26" hidden="1" x14ac:dyDescent="0.35">
      <c r="B411" s="50">
        <v>8</v>
      </c>
      <c r="C411" s="51" t="s">
        <v>23</v>
      </c>
      <c r="D411" s="52">
        <v>26</v>
      </c>
      <c r="E411" s="52">
        <v>1</v>
      </c>
      <c r="F411" s="53" t="s">
        <v>2732</v>
      </c>
      <c r="G411" s="53" t="s">
        <v>2733</v>
      </c>
      <c r="H411" s="54" t="str">
        <f t="shared" si="25"/>
        <v>MM-ILS-026.01 - Poço Drenagem e Esgotamento 01 a 05 - Mensal</v>
      </c>
      <c r="I411" s="55" t="s">
        <v>1998</v>
      </c>
      <c r="J411" s="55" t="str">
        <f>VLOOKUP(D411,GM!$D$4:$G$1637,4,3)&amp;" e "&amp;C411</f>
        <v>ENGENHARIA MECÂNICA  e ILS</v>
      </c>
      <c r="K411" s="164">
        <v>45895</v>
      </c>
      <c r="L411" s="164">
        <f t="shared" si="26"/>
        <v>46991</v>
      </c>
      <c r="M411" s="10" t="s">
        <v>62</v>
      </c>
      <c r="N411" s="1" t="s">
        <v>371</v>
      </c>
      <c r="O411" s="67" t="str">
        <f t="shared" ca="1" si="27"/>
        <v>Em dia</v>
      </c>
      <c r="P411" s="67"/>
      <c r="Q411" s="67">
        <f t="shared" ca="1" si="28"/>
        <v>303</v>
      </c>
    </row>
    <row r="412" spans="2:17" ht="26" x14ac:dyDescent="0.35">
      <c r="B412" s="50">
        <v>8</v>
      </c>
      <c r="C412" s="51" t="s">
        <v>23</v>
      </c>
      <c r="D412" s="52">
        <v>26</v>
      </c>
      <c r="E412" s="52">
        <v>2</v>
      </c>
      <c r="F412" s="53" t="s">
        <v>2734</v>
      </c>
      <c r="G412" s="53" t="s">
        <v>2735</v>
      </c>
      <c r="H412" s="54" t="str">
        <f t="shared" si="25"/>
        <v>MM-ILS-026.02 - Poços de Drenagem  A Semestral</v>
      </c>
      <c r="I412" s="55" t="s">
        <v>1998</v>
      </c>
      <c r="J412" s="55" t="str">
        <f>VLOOKUP(D412,GM!$D$4:$G$1637,4,3)&amp;" e "&amp;C412</f>
        <v>ENGENHARIA MECÂNICA  e ILS</v>
      </c>
      <c r="K412" s="164">
        <v>44062</v>
      </c>
      <c r="L412" s="164">
        <f t="shared" si="26"/>
        <v>45158</v>
      </c>
      <c r="M412" s="10" t="s">
        <v>62</v>
      </c>
      <c r="N412" s="1" t="s">
        <v>371</v>
      </c>
      <c r="O412" s="67" t="str">
        <f t="shared" ca="1" si="27"/>
        <v>Vencido</v>
      </c>
      <c r="P412" s="67"/>
      <c r="Q412" s="67">
        <f t="shared" ca="1" si="28"/>
        <v>2136</v>
      </c>
    </row>
    <row r="413" spans="2:17" ht="26" x14ac:dyDescent="0.35">
      <c r="B413" s="50">
        <v>8</v>
      </c>
      <c r="C413" s="51" t="s">
        <v>23</v>
      </c>
      <c r="D413" s="52">
        <v>26</v>
      </c>
      <c r="E413" s="52">
        <v>3</v>
      </c>
      <c r="F413" s="53" t="s">
        <v>2736</v>
      </c>
      <c r="G413" s="53" t="s">
        <v>2737</v>
      </c>
      <c r="H413" s="54" t="str">
        <f t="shared" si="25"/>
        <v>MM-ILS-026.03 - Poço de Drenagem  A  Anual</v>
      </c>
      <c r="I413" s="55" t="s">
        <v>1998</v>
      </c>
      <c r="J413" s="55" t="str">
        <f>VLOOKUP(D413,GM!$D$4:$G$1637,4,3)&amp;" e "&amp;C413</f>
        <v>ENGENHARIA MECÂNICA  e ILS</v>
      </c>
      <c r="K413" s="164">
        <v>44062</v>
      </c>
      <c r="L413" s="164">
        <f t="shared" si="26"/>
        <v>45158</v>
      </c>
      <c r="M413" s="10" t="s">
        <v>62</v>
      </c>
      <c r="N413" s="1" t="s">
        <v>371</v>
      </c>
      <c r="O413" s="67" t="str">
        <f t="shared" ca="1" si="27"/>
        <v>Vencido</v>
      </c>
      <c r="P413" s="67"/>
      <c r="Q413" s="67">
        <f t="shared" ca="1" si="28"/>
        <v>2136</v>
      </c>
    </row>
    <row r="414" spans="2:17" ht="26" x14ac:dyDescent="0.35">
      <c r="B414" s="50">
        <v>8</v>
      </c>
      <c r="C414" s="51" t="s">
        <v>23</v>
      </c>
      <c r="D414" s="52">
        <v>26</v>
      </c>
      <c r="E414" s="52">
        <v>4</v>
      </c>
      <c r="F414" s="53" t="s">
        <v>2738</v>
      </c>
      <c r="G414" s="53" t="s">
        <v>2739</v>
      </c>
      <c r="H414" s="54" t="str">
        <f t="shared" si="25"/>
        <v>MM-ILS-026.04 - Poço de drenagem  B Anual</v>
      </c>
      <c r="I414" s="55" t="s">
        <v>1998</v>
      </c>
      <c r="J414" s="55" t="str">
        <f>VLOOKUP(D414,GM!$D$4:$G$1637,4,3)&amp;" e "&amp;C414</f>
        <v>ENGENHARIA MECÂNICA  e ILS</v>
      </c>
      <c r="K414" s="164">
        <v>44062</v>
      </c>
      <c r="L414" s="164">
        <f t="shared" si="26"/>
        <v>45158</v>
      </c>
      <c r="M414" s="10" t="s">
        <v>62</v>
      </c>
      <c r="N414" s="1" t="s">
        <v>371</v>
      </c>
      <c r="O414" s="67" t="str">
        <f t="shared" ca="1" si="27"/>
        <v>Vencido</v>
      </c>
      <c r="P414" s="67"/>
      <c r="Q414" s="67">
        <f t="shared" ca="1" si="28"/>
        <v>2136</v>
      </c>
    </row>
    <row r="415" spans="2:17" ht="26" x14ac:dyDescent="0.35">
      <c r="B415" s="50">
        <v>8</v>
      </c>
      <c r="C415" s="51" t="s">
        <v>23</v>
      </c>
      <c r="D415" s="52">
        <v>26</v>
      </c>
      <c r="E415" s="52">
        <v>5</v>
      </c>
      <c r="F415" s="53" t="s">
        <v>2740</v>
      </c>
      <c r="G415" s="53" t="s">
        <v>2741</v>
      </c>
      <c r="H415" s="54" t="str">
        <f t="shared" si="25"/>
        <v>MM-ILS-026.05 - Poço de Drenagem e Esgotamento de 1a 5 Anual</v>
      </c>
      <c r="I415" s="55" t="s">
        <v>1998</v>
      </c>
      <c r="J415" s="55" t="str">
        <f>VLOOKUP(D415,GM!$D$4:$G$1637,4,3)&amp;" e "&amp;C415</f>
        <v>ENGENHARIA MECÂNICA  e ILS</v>
      </c>
      <c r="K415" s="164">
        <v>44062</v>
      </c>
      <c r="L415" s="164">
        <f t="shared" si="26"/>
        <v>45158</v>
      </c>
      <c r="M415" s="10" t="s">
        <v>62</v>
      </c>
      <c r="N415" s="1" t="s">
        <v>371</v>
      </c>
      <c r="O415" s="67" t="str">
        <f t="shared" ca="1" si="27"/>
        <v>Vencido</v>
      </c>
      <c r="P415" s="67"/>
      <c r="Q415" s="67">
        <f t="shared" ca="1" si="28"/>
        <v>2136</v>
      </c>
    </row>
    <row r="416" spans="2:17" ht="26" hidden="1" x14ac:dyDescent="0.35">
      <c r="B416" s="50">
        <v>8</v>
      </c>
      <c r="C416" s="51" t="s">
        <v>23</v>
      </c>
      <c r="D416" s="52">
        <v>26</v>
      </c>
      <c r="E416" s="52">
        <v>6</v>
      </c>
      <c r="F416" s="53" t="s">
        <v>2742</v>
      </c>
      <c r="G416" s="53" t="s">
        <v>2743</v>
      </c>
      <c r="H416" s="54" t="str">
        <f t="shared" si="25"/>
        <v>MM-ILS-026.06 - Desmontagem Montagem Bombas Drenagem</v>
      </c>
      <c r="I416" s="55" t="s">
        <v>1998</v>
      </c>
      <c r="J416" s="55" t="str">
        <f>VLOOKUP(D416,GM!$D$4:$G$1637,4,3)&amp;" e "&amp;C416</f>
        <v>ENGENHARIA MECÂNICA  e ILS</v>
      </c>
      <c r="K416" s="164">
        <v>45895</v>
      </c>
      <c r="L416" s="164">
        <f t="shared" si="26"/>
        <v>46991</v>
      </c>
      <c r="M416" s="10" t="s">
        <v>62</v>
      </c>
      <c r="N416" s="1" t="s">
        <v>371</v>
      </c>
      <c r="O416" s="67" t="str">
        <f t="shared" ca="1" si="27"/>
        <v>Em dia</v>
      </c>
      <c r="P416" s="67"/>
      <c r="Q416" s="67">
        <f t="shared" ca="1" si="28"/>
        <v>303</v>
      </c>
    </row>
    <row r="417" spans="2:17" ht="26" hidden="1" x14ac:dyDescent="0.35">
      <c r="B417" s="50">
        <v>8</v>
      </c>
      <c r="C417" s="51" t="s">
        <v>23</v>
      </c>
      <c r="D417" s="52">
        <v>26</v>
      </c>
      <c r="E417" s="52">
        <v>7</v>
      </c>
      <c r="F417" s="53" t="s">
        <v>2744</v>
      </c>
      <c r="G417" s="53" t="s">
        <v>2745</v>
      </c>
      <c r="H417" s="54" t="str">
        <f t="shared" si="25"/>
        <v>MM-ILS-026.07 - Desmontagem Montagem Bombas Esgotamento</v>
      </c>
      <c r="I417" s="55" t="s">
        <v>1998</v>
      </c>
      <c r="J417" s="55" t="str">
        <f>VLOOKUP(D417,GM!$D$4:$G$1637,4,3)&amp;" e "&amp;C417</f>
        <v>ENGENHARIA MECÂNICA  e ILS</v>
      </c>
      <c r="K417" s="164">
        <v>45895</v>
      </c>
      <c r="L417" s="164">
        <f t="shared" si="26"/>
        <v>46991</v>
      </c>
      <c r="M417" s="10" t="s">
        <v>62</v>
      </c>
      <c r="N417" s="1" t="s">
        <v>371</v>
      </c>
      <c r="O417" s="67" t="str">
        <f t="shared" ca="1" si="27"/>
        <v>Em dia</v>
      </c>
      <c r="P417" s="67"/>
      <c r="Q417" s="67">
        <f t="shared" ca="1" si="28"/>
        <v>303</v>
      </c>
    </row>
    <row r="418" spans="2:17" ht="26" hidden="1" x14ac:dyDescent="0.35">
      <c r="B418" s="50">
        <v>8</v>
      </c>
      <c r="C418" s="51" t="s">
        <v>23</v>
      </c>
      <c r="D418" s="52">
        <v>26</v>
      </c>
      <c r="E418" s="52">
        <v>8</v>
      </c>
      <c r="F418" s="53" t="s">
        <v>2746</v>
      </c>
      <c r="G418" s="53" t="s">
        <v>2747</v>
      </c>
      <c r="H418" s="54" t="str">
        <f t="shared" si="25"/>
        <v>MM-ILS-026.08 - Desmontagem Montagem Bombas Drenagem do poço A</v>
      </c>
      <c r="I418" s="55" t="s">
        <v>1998</v>
      </c>
      <c r="J418" s="55" t="str">
        <f>VLOOKUP(D418,GM!$D$4:$G$1637,4,3)&amp;" e "&amp;C418</f>
        <v>ENGENHARIA MECÂNICA  e ILS</v>
      </c>
      <c r="K418" s="164">
        <v>45895</v>
      </c>
      <c r="L418" s="164">
        <f t="shared" si="26"/>
        <v>46991</v>
      </c>
      <c r="M418" s="10" t="s">
        <v>62</v>
      </c>
      <c r="N418" s="1" t="s">
        <v>371</v>
      </c>
      <c r="O418" s="67" t="str">
        <f t="shared" ca="1" si="27"/>
        <v>Em dia</v>
      </c>
      <c r="P418" s="67"/>
      <c r="Q418" s="67">
        <f t="shared" ca="1" si="28"/>
        <v>303</v>
      </c>
    </row>
    <row r="419" spans="2:17" ht="15.5" hidden="1" x14ac:dyDescent="0.35">
      <c r="B419" s="50">
        <v>8</v>
      </c>
      <c r="C419" s="51" t="s">
        <v>23</v>
      </c>
      <c r="D419" s="52">
        <v>30</v>
      </c>
      <c r="E419" s="52">
        <v>2</v>
      </c>
      <c r="F419" s="53" t="s">
        <v>2748</v>
      </c>
      <c r="G419" s="53" t="s">
        <v>2749</v>
      </c>
      <c r="H419" s="54" t="str">
        <f t="shared" si="25"/>
        <v>MM-ILS-030.02 - Manutenção Preventiva Pórtico 45T Semestral</v>
      </c>
      <c r="I419" s="55" t="s">
        <v>2113</v>
      </c>
      <c r="J419" s="55" t="str">
        <f>VLOOKUP(D419,GM!$D$4:$G$1637,4,3)&amp;" e "&amp;C419</f>
        <v>ENGENHARIA MECÂNICA  e ILS</v>
      </c>
      <c r="K419" s="164">
        <v>45895</v>
      </c>
      <c r="L419" s="164">
        <f t="shared" si="26"/>
        <v>46991</v>
      </c>
      <c r="M419" s="10" t="s">
        <v>62</v>
      </c>
      <c r="N419" s="1" t="s">
        <v>371</v>
      </c>
      <c r="O419" s="67" t="str">
        <f t="shared" ca="1" si="27"/>
        <v>Em dia</v>
      </c>
      <c r="P419" s="67"/>
      <c r="Q419" s="67">
        <f t="shared" ca="1" si="28"/>
        <v>303</v>
      </c>
    </row>
    <row r="420" spans="2:17" ht="15.5" x14ac:dyDescent="0.35">
      <c r="B420" s="50">
        <v>8</v>
      </c>
      <c r="C420" s="51" t="s">
        <v>23</v>
      </c>
      <c r="D420" s="52">
        <v>31</v>
      </c>
      <c r="E420" s="52">
        <v>1</v>
      </c>
      <c r="F420" s="53" t="s">
        <v>2750</v>
      </c>
      <c r="G420" s="53" t="s">
        <v>2751</v>
      </c>
      <c r="H420" s="54" t="str">
        <f t="shared" si="25"/>
        <v>MM-ILS-031.01 - Manutenção Preventiva Ponte Rolante 20T Anual</v>
      </c>
      <c r="I420" s="55" t="s">
        <v>2113</v>
      </c>
      <c r="J420" s="55" t="str">
        <f>VLOOKUP(D420,GM!$D$4:$G$1637,4,3)&amp;" e "&amp;C420</f>
        <v>ENGENHARIA MECÂNICA  e ILS</v>
      </c>
      <c r="K420" s="164">
        <v>44062</v>
      </c>
      <c r="L420" s="164">
        <f t="shared" si="26"/>
        <v>45158</v>
      </c>
      <c r="M420" s="10" t="s">
        <v>62</v>
      </c>
      <c r="N420" s="1" t="s">
        <v>371</v>
      </c>
      <c r="O420" s="67" t="str">
        <f t="shared" ca="1" si="27"/>
        <v>Vencido</v>
      </c>
      <c r="P420" s="67"/>
      <c r="Q420" s="67">
        <f t="shared" ca="1" si="28"/>
        <v>2136</v>
      </c>
    </row>
    <row r="421" spans="2:17" ht="25" x14ac:dyDescent="0.35">
      <c r="B421" s="50">
        <v>8</v>
      </c>
      <c r="C421" s="51" t="s">
        <v>23</v>
      </c>
      <c r="D421" s="52">
        <v>31</v>
      </c>
      <c r="E421" s="52">
        <v>2</v>
      </c>
      <c r="F421" s="53" t="s">
        <v>2752</v>
      </c>
      <c r="G421" s="53" t="s">
        <v>2753</v>
      </c>
      <c r="H421" s="54" t="str">
        <f t="shared" si="25"/>
        <v>MM-ILS-031.02 - Manutenção Preventiva Ponte Rolante 20T Semestral</v>
      </c>
      <c r="I421" s="55" t="s">
        <v>2113</v>
      </c>
      <c r="J421" s="55" t="str">
        <f>VLOOKUP(D421,GM!$D$4:$G$1637,4,3)&amp;" e "&amp;C421</f>
        <v>ENGENHARIA MECÂNICA  e ILS</v>
      </c>
      <c r="K421" s="164">
        <v>44062</v>
      </c>
      <c r="L421" s="164">
        <f t="shared" si="26"/>
        <v>45158</v>
      </c>
      <c r="M421" s="10" t="s">
        <v>62</v>
      </c>
      <c r="N421" s="1" t="s">
        <v>371</v>
      </c>
      <c r="O421" s="67" t="str">
        <f t="shared" ca="1" si="27"/>
        <v>Vencido</v>
      </c>
      <c r="P421" s="67"/>
      <c r="Q421" s="67">
        <f t="shared" ca="1" si="28"/>
        <v>2136</v>
      </c>
    </row>
    <row r="422" spans="2:17" ht="15.5" x14ac:dyDescent="0.35">
      <c r="B422" s="50">
        <v>8</v>
      </c>
      <c r="C422" s="51" t="s">
        <v>23</v>
      </c>
      <c r="D422" s="52">
        <v>31</v>
      </c>
      <c r="E422" s="52">
        <v>3</v>
      </c>
      <c r="F422" s="53" t="s">
        <v>2754</v>
      </c>
      <c r="G422" s="80" t="s">
        <v>2755</v>
      </c>
      <c r="H422" s="54" t="str">
        <f t="shared" si="25"/>
        <v>MM-ILS-031.03 - Manutenção Preventiva Ponte Rolante 10T Anual</v>
      </c>
      <c r="I422" s="55" t="s">
        <v>2113</v>
      </c>
      <c r="J422" s="55" t="str">
        <f>VLOOKUP(D422,GM!$D$4:$G$1637,4,3)&amp;" e "&amp;C422</f>
        <v>ENGENHARIA MECÂNICA  e ILS</v>
      </c>
      <c r="K422" s="164">
        <v>44062</v>
      </c>
      <c r="L422" s="164">
        <f t="shared" si="26"/>
        <v>45158</v>
      </c>
      <c r="M422" s="10" t="s">
        <v>62</v>
      </c>
      <c r="N422" s="1" t="s">
        <v>371</v>
      </c>
      <c r="O422" s="67" t="str">
        <f t="shared" ca="1" si="27"/>
        <v>Vencido</v>
      </c>
      <c r="P422" s="67"/>
      <c r="Q422" s="67">
        <f t="shared" ca="1" si="28"/>
        <v>2136</v>
      </c>
    </row>
    <row r="423" spans="2:17" ht="25" hidden="1" x14ac:dyDescent="0.35">
      <c r="B423" s="50">
        <v>8</v>
      </c>
      <c r="C423" s="51" t="s">
        <v>23</v>
      </c>
      <c r="D423" s="52">
        <v>31</v>
      </c>
      <c r="E423" s="52">
        <v>4</v>
      </c>
      <c r="F423" s="53" t="s">
        <v>2756</v>
      </c>
      <c r="G423" s="53" t="s">
        <v>2757</v>
      </c>
      <c r="H423" s="54" t="str">
        <f t="shared" si="25"/>
        <v>MM-ILS-031.04 - Manutenção Preventiva Ponte Rolante 10T Semestral</v>
      </c>
      <c r="I423" s="55" t="s">
        <v>2113</v>
      </c>
      <c r="J423" s="55" t="str">
        <f>VLOOKUP(D423,GM!$D$4:$G$1637,4,3)&amp;" e "&amp;C423</f>
        <v>ENGENHARIA MECÂNICA  e ILS</v>
      </c>
      <c r="K423" s="164">
        <v>45895</v>
      </c>
      <c r="L423" s="164">
        <f t="shared" si="26"/>
        <v>46991</v>
      </c>
      <c r="M423" s="10" t="s">
        <v>62</v>
      </c>
      <c r="N423" s="1" t="s">
        <v>371</v>
      </c>
      <c r="O423" s="67" t="str">
        <f t="shared" ca="1" si="27"/>
        <v>Em dia</v>
      </c>
      <c r="P423" s="67"/>
      <c r="Q423" s="67">
        <f t="shared" ca="1" si="28"/>
        <v>303</v>
      </c>
    </row>
    <row r="424" spans="2:17" ht="15.5" x14ac:dyDescent="0.35">
      <c r="B424" s="50">
        <v>8</v>
      </c>
      <c r="C424" s="51" t="s">
        <v>23</v>
      </c>
      <c r="D424" s="52">
        <v>31</v>
      </c>
      <c r="E424" s="52">
        <v>5</v>
      </c>
      <c r="F424" s="53" t="s">
        <v>2758</v>
      </c>
      <c r="G424" s="53" t="s">
        <v>2759</v>
      </c>
      <c r="H424" s="54" t="str">
        <f t="shared" si="25"/>
        <v>MM-ILS-031.05 - Manutenção Preventiva Ponte Rolante 35T Anual</v>
      </c>
      <c r="I424" s="55" t="s">
        <v>2113</v>
      </c>
      <c r="J424" s="55" t="str">
        <f>VLOOKUP(D424,GM!$D$4:$G$1637,4,3)&amp;" e "&amp;C424</f>
        <v>ENGENHARIA MECÂNICA  e ILS</v>
      </c>
      <c r="K424" s="164">
        <v>44062</v>
      </c>
      <c r="L424" s="164">
        <f t="shared" si="26"/>
        <v>45158</v>
      </c>
      <c r="M424" s="10" t="s">
        <v>62</v>
      </c>
      <c r="N424" s="1" t="s">
        <v>371</v>
      </c>
      <c r="O424" s="67" t="str">
        <f t="shared" ca="1" si="27"/>
        <v>Vencido</v>
      </c>
      <c r="P424" s="67"/>
      <c r="Q424" s="67">
        <f t="shared" ca="1" si="28"/>
        <v>2136</v>
      </c>
    </row>
    <row r="425" spans="2:17" ht="25" hidden="1" x14ac:dyDescent="0.35">
      <c r="B425" s="50">
        <v>8</v>
      </c>
      <c r="C425" s="51" t="s">
        <v>23</v>
      </c>
      <c r="D425" s="52">
        <v>31</v>
      </c>
      <c r="E425" s="52">
        <v>6</v>
      </c>
      <c r="F425" s="53" t="s">
        <v>2760</v>
      </c>
      <c r="G425" s="53" t="s">
        <v>2761</v>
      </c>
      <c r="H425" s="54" t="str">
        <f t="shared" si="25"/>
        <v xml:space="preserve">MM-ILS-031.06 - Manutenção Preventiva Ponte Rolante 35T Trimestral </v>
      </c>
      <c r="I425" s="55" t="s">
        <v>2113</v>
      </c>
      <c r="J425" s="55" t="str">
        <f>VLOOKUP(D425,GM!$D$4:$G$1637,4,3)&amp;" e "&amp;C425</f>
        <v>ENGENHARIA MECÂNICA  e ILS</v>
      </c>
      <c r="K425" s="164">
        <v>45895</v>
      </c>
      <c r="L425" s="164">
        <f t="shared" si="26"/>
        <v>46991</v>
      </c>
      <c r="M425" s="10" t="s">
        <v>62</v>
      </c>
      <c r="N425" s="1" t="s">
        <v>371</v>
      </c>
      <c r="O425" s="67" t="str">
        <f t="shared" ca="1" si="27"/>
        <v>Em dia</v>
      </c>
      <c r="P425" s="67"/>
      <c r="Q425" s="67">
        <f t="shared" ca="1" si="28"/>
        <v>303</v>
      </c>
    </row>
    <row r="426" spans="2:17" ht="15.5" x14ac:dyDescent="0.35">
      <c r="B426" s="50">
        <v>8</v>
      </c>
      <c r="C426" s="51" t="s">
        <v>23</v>
      </c>
      <c r="D426" s="52">
        <v>31</v>
      </c>
      <c r="E426" s="52">
        <v>7</v>
      </c>
      <c r="F426" s="53" t="s">
        <v>2762</v>
      </c>
      <c r="G426" s="53" t="s">
        <v>2763</v>
      </c>
      <c r="H426" s="54" t="str">
        <f t="shared" si="25"/>
        <v>MM-ILS-031.07 - Manutenção Preventiva Ponte Rolante 40T Anual</v>
      </c>
      <c r="I426" s="55" t="s">
        <v>2113</v>
      </c>
      <c r="J426" s="55" t="str">
        <f>VLOOKUP(D426,GM!$D$4:$G$1637,4,3)&amp;" e "&amp;C426</f>
        <v>ENGENHARIA MECÂNICA  e ILS</v>
      </c>
      <c r="K426" s="164">
        <v>44062</v>
      </c>
      <c r="L426" s="164">
        <f t="shared" si="26"/>
        <v>45158</v>
      </c>
      <c r="M426" s="10" t="s">
        <v>62</v>
      </c>
      <c r="N426" s="1" t="s">
        <v>371</v>
      </c>
      <c r="O426" s="67" t="str">
        <f t="shared" ca="1" si="27"/>
        <v>Vencido</v>
      </c>
      <c r="P426" s="67"/>
      <c r="Q426" s="67">
        <f t="shared" ca="1" si="28"/>
        <v>2136</v>
      </c>
    </row>
    <row r="427" spans="2:17" ht="25" x14ac:dyDescent="0.35">
      <c r="B427" s="50">
        <v>8</v>
      </c>
      <c r="C427" s="51" t="s">
        <v>23</v>
      </c>
      <c r="D427" s="52">
        <v>31</v>
      </c>
      <c r="E427" s="52">
        <v>8</v>
      </c>
      <c r="F427" s="53" t="s">
        <v>2764</v>
      </c>
      <c r="G427" s="53" t="s">
        <v>2765</v>
      </c>
      <c r="H427" s="54" t="str">
        <f t="shared" si="25"/>
        <v>MM-ILS-031.08 - Manutenção Preventiva Ponte Rolante 40T Semestral</v>
      </c>
      <c r="I427" s="55" t="s">
        <v>2113</v>
      </c>
      <c r="J427" s="55" t="str">
        <f>VLOOKUP(D427,GM!$D$4:$G$1637,4,3)&amp;" e "&amp;C427</f>
        <v>ENGENHARIA MECÂNICA  e ILS</v>
      </c>
      <c r="K427" s="164">
        <v>44062</v>
      </c>
      <c r="L427" s="164">
        <f t="shared" si="26"/>
        <v>45158</v>
      </c>
      <c r="M427" s="10" t="s">
        <v>62</v>
      </c>
      <c r="N427" s="1" t="s">
        <v>371</v>
      </c>
      <c r="O427" s="67" t="str">
        <f t="shared" ca="1" si="27"/>
        <v>Vencido</v>
      </c>
      <c r="P427" s="67"/>
      <c r="Q427" s="67">
        <f t="shared" ca="1" si="28"/>
        <v>2136</v>
      </c>
    </row>
    <row r="428" spans="2:17" ht="15.5" x14ac:dyDescent="0.35">
      <c r="B428" s="50">
        <v>8</v>
      </c>
      <c r="C428" s="51" t="s">
        <v>23</v>
      </c>
      <c r="D428" s="52">
        <v>31</v>
      </c>
      <c r="E428" s="52">
        <v>9</v>
      </c>
      <c r="F428" s="53" t="s">
        <v>2766</v>
      </c>
      <c r="G428" s="53" t="s">
        <v>2767</v>
      </c>
      <c r="H428" s="54" t="str">
        <f t="shared" si="25"/>
        <v>MM-ILS-031.09 - Manutenção Preventiva Ponte Rolante 70T Anual</v>
      </c>
      <c r="I428" s="55" t="s">
        <v>2113</v>
      </c>
      <c r="J428" s="55" t="str">
        <f>VLOOKUP(D428,GM!$D$4:$G$1637,4,3)&amp;" e "&amp;C428</f>
        <v>ENGENHARIA MECÂNICA  e ILS</v>
      </c>
      <c r="K428" s="164">
        <v>44062</v>
      </c>
      <c r="L428" s="164">
        <f t="shared" si="26"/>
        <v>45158</v>
      </c>
      <c r="M428" s="10" t="s">
        <v>62</v>
      </c>
      <c r="N428" s="1" t="s">
        <v>371</v>
      </c>
      <c r="O428" s="67" t="str">
        <f t="shared" ca="1" si="27"/>
        <v>Vencido</v>
      </c>
      <c r="P428" s="67"/>
      <c r="Q428" s="67">
        <f t="shared" ca="1" si="28"/>
        <v>2136</v>
      </c>
    </row>
    <row r="429" spans="2:17" ht="25" x14ac:dyDescent="0.35">
      <c r="B429" s="50">
        <v>8</v>
      </c>
      <c r="C429" s="51" t="s">
        <v>23</v>
      </c>
      <c r="D429" s="52">
        <v>31</v>
      </c>
      <c r="E429" s="52">
        <v>10</v>
      </c>
      <c r="F429" s="53" t="s">
        <v>2768</v>
      </c>
      <c r="G429" s="53" t="s">
        <v>2769</v>
      </c>
      <c r="H429" s="54" t="str">
        <f t="shared" si="25"/>
        <v>MM-ILS-031.10 - Manutenção Preventiva Ponte Rolante 70T Semestral</v>
      </c>
      <c r="I429" s="55" t="s">
        <v>2113</v>
      </c>
      <c r="J429" s="55" t="str">
        <f>VLOOKUP(D429,GM!$D$4:$G$1637,4,3)&amp;" e "&amp;C429</f>
        <v>ENGENHARIA MECÂNICA  e ILS</v>
      </c>
      <c r="K429" s="164">
        <v>44062</v>
      </c>
      <c r="L429" s="164">
        <f t="shared" si="26"/>
        <v>45158</v>
      </c>
      <c r="M429" s="10" t="s">
        <v>62</v>
      </c>
      <c r="N429" s="1" t="s">
        <v>371</v>
      </c>
      <c r="O429" s="67" t="str">
        <f t="shared" ca="1" si="27"/>
        <v>Vencido</v>
      </c>
      <c r="P429" s="67"/>
      <c r="Q429" s="67">
        <f t="shared" ca="1" si="28"/>
        <v>2136</v>
      </c>
    </row>
    <row r="430" spans="2:17" ht="25" hidden="1" x14ac:dyDescent="0.35">
      <c r="B430" s="50">
        <v>8</v>
      </c>
      <c r="C430" s="51" t="s">
        <v>23</v>
      </c>
      <c r="D430" s="52">
        <v>31</v>
      </c>
      <c r="E430" s="52">
        <v>11</v>
      </c>
      <c r="F430" s="53" t="s">
        <v>2770</v>
      </c>
      <c r="G430" s="53" t="s">
        <v>2771</v>
      </c>
      <c r="H430" s="54" t="str">
        <f t="shared" si="25"/>
        <v>MM-ILS-031.11 - Manutenção Preventiva Pórtico Rolante 280_50 t Trimestral</v>
      </c>
      <c r="I430" s="55" t="s">
        <v>2113</v>
      </c>
      <c r="J430" s="55" t="str">
        <f>VLOOKUP(D430,GM!$D$4:$G$1637,4,3)&amp;" e "&amp;C430</f>
        <v>ENGENHARIA MECÂNICA  e ILS</v>
      </c>
      <c r="K430" s="164">
        <v>45895</v>
      </c>
      <c r="L430" s="164">
        <f t="shared" si="26"/>
        <v>46991</v>
      </c>
      <c r="M430" s="10" t="s">
        <v>62</v>
      </c>
      <c r="N430" s="1" t="s">
        <v>371</v>
      </c>
      <c r="O430" s="67" t="str">
        <f t="shared" ca="1" si="27"/>
        <v>Em dia</v>
      </c>
      <c r="P430" s="67"/>
      <c r="Q430" s="67">
        <f t="shared" ca="1" si="28"/>
        <v>303</v>
      </c>
    </row>
    <row r="431" spans="2:17" ht="15.5" x14ac:dyDescent="0.35">
      <c r="B431" s="50">
        <v>8</v>
      </c>
      <c r="C431" s="51" t="s">
        <v>23</v>
      </c>
      <c r="D431" s="52">
        <v>31</v>
      </c>
      <c r="E431" s="52">
        <v>12</v>
      </c>
      <c r="F431" s="53" t="s">
        <v>2772</v>
      </c>
      <c r="G431" s="53" t="s">
        <v>2773</v>
      </c>
      <c r="H431" s="54" t="str">
        <f t="shared" si="25"/>
        <v>MM-ILS-031.12 - Manutenção Preventiva  Pórtico 45T Anual</v>
      </c>
      <c r="I431" s="55" t="s">
        <v>2113</v>
      </c>
      <c r="J431" s="55" t="str">
        <f>VLOOKUP(D431,GM!$D$4:$G$1637,4,3)&amp;" e "&amp;C431</f>
        <v>ENGENHARIA MECÂNICA  e ILS</v>
      </c>
      <c r="K431" s="164"/>
      <c r="L431" s="164"/>
      <c r="M431" s="11" t="s">
        <v>2543</v>
      </c>
      <c r="O431" s="67" t="str">
        <f t="shared" ca="1" si="27"/>
        <v>Vencido</v>
      </c>
      <c r="P431" s="67"/>
      <c r="Q431" s="67">
        <f t="shared" ca="1" si="28"/>
        <v>46198</v>
      </c>
    </row>
    <row r="432" spans="2:17" ht="15.5" x14ac:dyDescent="0.35">
      <c r="B432" s="50">
        <v>8</v>
      </c>
      <c r="C432" s="51" t="s">
        <v>23</v>
      </c>
      <c r="D432" s="52">
        <v>31</v>
      </c>
      <c r="E432" s="52">
        <v>13</v>
      </c>
      <c r="F432" s="53" t="s">
        <v>2774</v>
      </c>
      <c r="G432" s="53" t="s">
        <v>2749</v>
      </c>
      <c r="H432" s="54" t="str">
        <f t="shared" si="25"/>
        <v>MM-ILS-031.13 - Manutenção Preventiva Pórtico 45T Semestral</v>
      </c>
      <c r="I432" s="55" t="s">
        <v>2113</v>
      </c>
      <c r="J432" s="55" t="str">
        <f>VLOOKUP(D432,GM!$D$4:$G$1637,4,3)&amp;" e "&amp;C432</f>
        <v>ENGENHARIA MECÂNICA  e ILS</v>
      </c>
      <c r="K432" s="164"/>
      <c r="L432" s="164"/>
      <c r="M432" s="11" t="s">
        <v>2543</v>
      </c>
      <c r="O432" s="67" t="str">
        <f t="shared" ca="1" si="27"/>
        <v>Vencido</v>
      </c>
      <c r="P432" s="67"/>
      <c r="Q432" s="67">
        <f t="shared" ca="1" si="28"/>
        <v>46198</v>
      </c>
    </row>
    <row r="433" spans="2:17" ht="15.5" x14ac:dyDescent="0.35">
      <c r="B433" s="50">
        <v>8</v>
      </c>
      <c r="C433" s="51" t="s">
        <v>23</v>
      </c>
      <c r="D433" s="52">
        <v>31</v>
      </c>
      <c r="E433" s="52">
        <v>14</v>
      </c>
      <c r="F433" s="53" t="s">
        <v>2775</v>
      </c>
      <c r="G433" s="53" t="s">
        <v>2776</v>
      </c>
      <c r="H433" s="54" t="str">
        <f t="shared" si="25"/>
        <v>MM-ILS-031.14 - Manutenção  Preventiva Pórtico 160T Anual</v>
      </c>
      <c r="I433" s="55" t="s">
        <v>2113</v>
      </c>
      <c r="J433" s="55" t="str">
        <f>VLOOKUP(D433,GM!$D$4:$G$1637,4,3)&amp;" e "&amp;C433</f>
        <v>ENGENHARIA MECÂNICA  e ILS</v>
      </c>
      <c r="K433" s="164">
        <v>44062</v>
      </c>
      <c r="L433" s="164">
        <f t="shared" si="26"/>
        <v>45158</v>
      </c>
      <c r="M433" s="10" t="s">
        <v>62</v>
      </c>
      <c r="N433" s="1" t="s">
        <v>371</v>
      </c>
      <c r="O433" s="67" t="str">
        <f t="shared" ca="1" si="27"/>
        <v>Vencido</v>
      </c>
      <c r="P433" s="67"/>
      <c r="Q433" s="67">
        <f t="shared" ca="1" si="28"/>
        <v>2136</v>
      </c>
    </row>
    <row r="434" spans="2:17" ht="25" hidden="1" x14ac:dyDescent="0.35">
      <c r="B434" s="50">
        <v>8</v>
      </c>
      <c r="C434" s="51" t="s">
        <v>23</v>
      </c>
      <c r="D434" s="52">
        <v>31</v>
      </c>
      <c r="E434" s="52">
        <v>15</v>
      </c>
      <c r="F434" s="53" t="s">
        <v>2777</v>
      </c>
      <c r="G434" s="53" t="s">
        <v>2778</v>
      </c>
      <c r="H434" s="54" t="str">
        <f t="shared" si="25"/>
        <v>MM-ILS-031.15 - Manutenção Preventiva Pórtico Rolante 160_20 t Trimestral</v>
      </c>
      <c r="I434" s="55" t="s">
        <v>2113</v>
      </c>
      <c r="J434" s="55" t="str">
        <f>VLOOKUP(D434,GM!$D$4:$G$1637,4,3)&amp;" e "&amp;C434</f>
        <v>ENGENHARIA MECÂNICA  e ILS</v>
      </c>
      <c r="K434" s="164">
        <v>45895</v>
      </c>
      <c r="L434" s="164">
        <f t="shared" si="26"/>
        <v>46991</v>
      </c>
      <c r="M434" s="10" t="s">
        <v>62</v>
      </c>
      <c r="N434" s="1" t="s">
        <v>371</v>
      </c>
      <c r="O434" s="67" t="str">
        <f t="shared" ca="1" si="27"/>
        <v>Em dia</v>
      </c>
      <c r="P434" s="67"/>
      <c r="Q434" s="67">
        <f t="shared" ca="1" si="28"/>
        <v>303</v>
      </c>
    </row>
    <row r="435" spans="2:17" ht="15.5" x14ac:dyDescent="0.35">
      <c r="B435" s="50">
        <v>8</v>
      </c>
      <c r="C435" s="51" t="s">
        <v>23</v>
      </c>
      <c r="D435" s="52">
        <v>31</v>
      </c>
      <c r="E435" s="52">
        <v>16</v>
      </c>
      <c r="F435" s="53" t="s">
        <v>2779</v>
      </c>
      <c r="G435" s="53" t="s">
        <v>2780</v>
      </c>
      <c r="H435" s="54" t="str">
        <f t="shared" si="25"/>
        <v>MM-ILS-031.16 - Manutenção Preventiva Pórtico 280T Anual</v>
      </c>
      <c r="I435" s="55" t="s">
        <v>2113</v>
      </c>
      <c r="J435" s="55" t="str">
        <f>VLOOKUP(D435,GM!$D$4:$G$1637,4,3)&amp;" e "&amp;C435</f>
        <v>ENGENHARIA MECÂNICA  e ILS</v>
      </c>
      <c r="K435" s="164">
        <v>44062</v>
      </c>
      <c r="L435" s="164">
        <f t="shared" si="26"/>
        <v>45158</v>
      </c>
      <c r="M435" s="10" t="s">
        <v>62</v>
      </c>
      <c r="N435" s="1" t="s">
        <v>371</v>
      </c>
      <c r="O435" s="67" t="str">
        <f t="shared" ca="1" si="27"/>
        <v>Vencido</v>
      </c>
      <c r="P435" s="67"/>
      <c r="Q435" s="67">
        <f t="shared" ca="1" si="28"/>
        <v>2136</v>
      </c>
    </row>
    <row r="436" spans="2:17" ht="15.5" x14ac:dyDescent="0.35">
      <c r="B436" s="50">
        <v>8</v>
      </c>
      <c r="C436" s="51" t="s">
        <v>23</v>
      </c>
      <c r="D436" s="52">
        <v>31</v>
      </c>
      <c r="E436" s="52">
        <v>17</v>
      </c>
      <c r="F436" s="53" t="s">
        <v>2781</v>
      </c>
      <c r="G436" s="53" t="s">
        <v>2782</v>
      </c>
      <c r="H436" s="54" t="str">
        <f t="shared" si="25"/>
        <v>MM-ILS-031.17 - Manutenção Preventiva Pórtico 280T Trimestral</v>
      </c>
      <c r="I436" s="55" t="s">
        <v>2113</v>
      </c>
      <c r="J436" s="55" t="str">
        <f>VLOOKUP(D436,GM!$D$4:$G$1637,4,3)&amp;" e "&amp;C436</f>
        <v>ENGENHARIA MECÂNICA  e ILS</v>
      </c>
      <c r="K436" s="164">
        <v>44062</v>
      </c>
      <c r="L436" s="164">
        <f t="shared" si="26"/>
        <v>45158</v>
      </c>
      <c r="M436" s="10" t="s">
        <v>62</v>
      </c>
      <c r="N436" s="1" t="s">
        <v>371</v>
      </c>
      <c r="O436" s="67" t="str">
        <f t="shared" ca="1" si="27"/>
        <v>Vencido</v>
      </c>
      <c r="P436" s="67"/>
      <c r="Q436" s="67">
        <f t="shared" ca="1" si="28"/>
        <v>2136</v>
      </c>
    </row>
    <row r="437" spans="2:17" ht="15.5" x14ac:dyDescent="0.35">
      <c r="B437" s="50">
        <v>8</v>
      </c>
      <c r="C437" s="51" t="s">
        <v>23</v>
      </c>
      <c r="D437" s="52">
        <v>31</v>
      </c>
      <c r="E437" s="52">
        <v>18</v>
      </c>
      <c r="F437" s="53" t="s">
        <v>2783</v>
      </c>
      <c r="G437" s="53" t="s">
        <v>2784</v>
      </c>
      <c r="H437" s="54" t="str">
        <f t="shared" si="25"/>
        <v>MM-ILS-031.18 - Monta Preventiva Monta Carga 30T Anual</v>
      </c>
      <c r="I437" s="55" t="s">
        <v>2113</v>
      </c>
      <c r="J437" s="55" t="str">
        <f>VLOOKUP(D437,GM!$D$4:$G$1637,4,3)&amp;" e "&amp;C437</f>
        <v>ENGENHARIA MECÂNICA  e ILS</v>
      </c>
      <c r="K437" s="164">
        <v>44062</v>
      </c>
      <c r="L437" s="164">
        <f t="shared" si="26"/>
        <v>45158</v>
      </c>
      <c r="M437" s="10" t="s">
        <v>62</v>
      </c>
      <c r="N437" s="1" t="s">
        <v>371</v>
      </c>
      <c r="O437" s="67" t="str">
        <f t="shared" ca="1" si="27"/>
        <v>Vencido</v>
      </c>
      <c r="P437" s="67"/>
      <c r="Q437" s="67">
        <f t="shared" ca="1" si="28"/>
        <v>2136</v>
      </c>
    </row>
    <row r="438" spans="2:17" ht="25" hidden="1" x14ac:dyDescent="0.35">
      <c r="B438" s="50">
        <v>8</v>
      </c>
      <c r="C438" s="51" t="s">
        <v>23</v>
      </c>
      <c r="D438" s="52">
        <v>31</v>
      </c>
      <c r="E438" s="52">
        <v>19</v>
      </c>
      <c r="F438" s="53" t="s">
        <v>2785</v>
      </c>
      <c r="G438" s="53" t="s">
        <v>2786</v>
      </c>
      <c r="H438" s="54" t="str">
        <f t="shared" si="25"/>
        <v xml:space="preserve">MM-ILS-031.19 - Manutenção Preventiva Monta Carga 30t Trimestral </v>
      </c>
      <c r="I438" s="55" t="s">
        <v>2113</v>
      </c>
      <c r="J438" s="55" t="str">
        <f>VLOOKUP(D438,GM!$D$4:$G$1637,4,3)&amp;" e "&amp;C438</f>
        <v>ENGENHARIA MECÂNICA  e ILS</v>
      </c>
      <c r="K438" s="164">
        <v>45895</v>
      </c>
      <c r="L438" s="164">
        <f t="shared" si="26"/>
        <v>46991</v>
      </c>
      <c r="M438" s="10" t="s">
        <v>62</v>
      </c>
      <c r="N438" s="1" t="s">
        <v>371</v>
      </c>
      <c r="O438" s="67" t="str">
        <f t="shared" ca="1" si="27"/>
        <v>Em dia</v>
      </c>
      <c r="P438" s="67"/>
      <c r="Q438" s="67">
        <f t="shared" ca="1" si="28"/>
        <v>303</v>
      </c>
    </row>
    <row r="439" spans="2:17" ht="25" x14ac:dyDescent="0.35">
      <c r="B439" s="50">
        <v>8</v>
      </c>
      <c r="C439" s="51" t="s">
        <v>23</v>
      </c>
      <c r="D439" s="52">
        <v>31</v>
      </c>
      <c r="E439" s="52">
        <v>20</v>
      </c>
      <c r="F439" s="53" t="s">
        <v>2787</v>
      </c>
      <c r="G439" s="53" t="s">
        <v>2788</v>
      </c>
      <c r="H439" s="54" t="str">
        <f t="shared" si="25"/>
        <v>MM-ILS-031.20 - Soquetagem Cabo de Aço Pontes e Pórticos Rolantes</v>
      </c>
      <c r="I439" s="55" t="s">
        <v>2113</v>
      </c>
      <c r="J439" s="55" t="str">
        <f>VLOOKUP(D439,GM!$D$4:$G$1637,4,3)&amp;" e "&amp;C439</f>
        <v>ENGENHARIA MECÂNICA  e ILS</v>
      </c>
      <c r="K439" s="164">
        <v>44062</v>
      </c>
      <c r="L439" s="164">
        <f t="shared" si="26"/>
        <v>45158</v>
      </c>
      <c r="M439" s="10" t="s">
        <v>62</v>
      </c>
      <c r="N439" s="1" t="s">
        <v>371</v>
      </c>
      <c r="O439" s="67" t="str">
        <f t="shared" ca="1" si="27"/>
        <v>Vencido</v>
      </c>
      <c r="P439" s="67"/>
      <c r="Q439" s="67">
        <f t="shared" ca="1" si="28"/>
        <v>2136</v>
      </c>
    </row>
    <row r="440" spans="2:17" ht="25" x14ac:dyDescent="0.35">
      <c r="B440" s="50">
        <v>8</v>
      </c>
      <c r="C440" s="51" t="s">
        <v>23</v>
      </c>
      <c r="D440" s="52">
        <v>31</v>
      </c>
      <c r="E440" s="52">
        <v>21</v>
      </c>
      <c r="F440" s="53" t="s">
        <v>2789</v>
      </c>
      <c r="G440" s="53" t="s">
        <v>2790</v>
      </c>
      <c r="H440" s="54" t="str">
        <f t="shared" si="25"/>
        <v>MM-ILS-031.21 - Manutenção Preventiva Ponte Rolante 35T Man. Eletrica Bianual</v>
      </c>
      <c r="I440" s="55" t="s">
        <v>2113</v>
      </c>
      <c r="J440" s="55" t="str">
        <f>VLOOKUP(D440,GM!$D$4:$G$1637,4,3)&amp;" e "&amp;C440</f>
        <v>ENGENHARIA MECÂNICA  e ILS</v>
      </c>
      <c r="K440" s="164"/>
      <c r="L440" s="164"/>
      <c r="M440" s="11" t="s">
        <v>267</v>
      </c>
      <c r="O440" s="67" t="str">
        <f t="shared" ca="1" si="27"/>
        <v>Vencido</v>
      </c>
      <c r="P440" s="67"/>
      <c r="Q440" s="67">
        <f t="shared" ca="1" si="28"/>
        <v>46198</v>
      </c>
    </row>
    <row r="441" spans="2:17" ht="25" x14ac:dyDescent="0.35">
      <c r="B441" s="50">
        <v>8</v>
      </c>
      <c r="C441" s="51" t="s">
        <v>23</v>
      </c>
      <c r="D441" s="52">
        <v>31</v>
      </c>
      <c r="E441" s="52">
        <v>22</v>
      </c>
      <c r="F441" s="53" t="s">
        <v>2791</v>
      </c>
      <c r="G441" s="53" t="s">
        <v>2792</v>
      </c>
      <c r="H441" s="54" t="str">
        <f t="shared" si="25"/>
        <v xml:space="preserve">MM-ILS-031.22 - Manutenção Preventiva Ponte Rolante 35T Man. Eletrica Semestral </v>
      </c>
      <c r="I441" s="55" t="s">
        <v>2113</v>
      </c>
      <c r="J441" s="55" t="str">
        <f>VLOOKUP(D441,GM!$D$4:$G$1637,4,3)&amp;" e "&amp;C441</f>
        <v>ENGENHARIA MECÂNICA  e ILS</v>
      </c>
      <c r="K441" s="164"/>
      <c r="L441" s="164"/>
      <c r="M441" s="11" t="s">
        <v>267</v>
      </c>
      <c r="O441" s="67" t="str">
        <f t="shared" ca="1" si="27"/>
        <v>Vencido</v>
      </c>
      <c r="P441" s="67"/>
      <c r="Q441" s="67">
        <f t="shared" ca="1" si="28"/>
        <v>46198</v>
      </c>
    </row>
    <row r="442" spans="2:17" ht="25" hidden="1" x14ac:dyDescent="0.35">
      <c r="B442" s="50">
        <v>8</v>
      </c>
      <c r="C442" s="51" t="s">
        <v>23</v>
      </c>
      <c r="D442" s="52">
        <v>31</v>
      </c>
      <c r="E442" s="52">
        <v>23</v>
      </c>
      <c r="F442" s="53" t="s">
        <v>2793</v>
      </c>
      <c r="G442" s="53" t="s">
        <v>2794</v>
      </c>
      <c r="H442" s="54" t="str">
        <f t="shared" si="25"/>
        <v>MM-ILS-031.23 - Manutenção Preventiva Trimestral Ponte Rolante 280_50 t</v>
      </c>
      <c r="I442" s="55" t="s">
        <v>2113</v>
      </c>
      <c r="J442" s="55" t="str">
        <f>VLOOKUP(D442,GM!$D$4:$G$1637,4,3)&amp;" e "&amp;C442</f>
        <v>ENGENHARIA MECÂNICA  e ILS</v>
      </c>
      <c r="K442" s="164">
        <v>45895</v>
      </c>
      <c r="L442" s="164">
        <f t="shared" si="26"/>
        <v>46991</v>
      </c>
      <c r="M442" s="10" t="s">
        <v>62</v>
      </c>
      <c r="N442" s="1" t="s">
        <v>371</v>
      </c>
      <c r="O442" s="67" t="str">
        <f t="shared" ca="1" si="27"/>
        <v>Em dia</v>
      </c>
      <c r="P442" s="67"/>
      <c r="Q442" s="67">
        <f t="shared" ca="1" si="28"/>
        <v>303</v>
      </c>
    </row>
    <row r="443" spans="2:17" ht="25" hidden="1" x14ac:dyDescent="0.35">
      <c r="B443" s="50">
        <v>8</v>
      </c>
      <c r="C443" s="51" t="s">
        <v>23</v>
      </c>
      <c r="D443" s="52">
        <v>32</v>
      </c>
      <c r="E443" s="52">
        <v>0</v>
      </c>
      <c r="F443" s="53" t="s">
        <v>2795</v>
      </c>
      <c r="G443" s="53" t="s">
        <v>2796</v>
      </c>
      <c r="H443" s="54" t="str">
        <f t="shared" si="25"/>
        <v>MM-ILS-032.00 - Manutenção Preventiva Trimestral Ponte Rolante 20t</v>
      </c>
      <c r="I443" s="55" t="s">
        <v>2108</v>
      </c>
      <c r="J443" s="55" t="str">
        <f>VLOOKUP(D443,GM!$D$4:$G$1637,4,3)&amp;" e "&amp;C443</f>
        <v>ENGENHARIA MECÂNICA  e ILS</v>
      </c>
      <c r="K443" s="164">
        <v>45895</v>
      </c>
      <c r="L443" s="164">
        <f t="shared" si="26"/>
        <v>46991</v>
      </c>
      <c r="M443" s="184" t="s">
        <v>62</v>
      </c>
      <c r="N443" s="1" t="s">
        <v>371</v>
      </c>
      <c r="O443" s="67" t="str">
        <f t="shared" ca="1" si="27"/>
        <v>Em dia</v>
      </c>
      <c r="P443" s="67"/>
      <c r="Q443" s="67">
        <f t="shared" ca="1" si="28"/>
        <v>303</v>
      </c>
    </row>
    <row r="444" spans="2:17" ht="25" hidden="1" x14ac:dyDescent="0.35">
      <c r="B444" s="50">
        <v>8</v>
      </c>
      <c r="C444" s="51" t="s">
        <v>23</v>
      </c>
      <c r="D444" s="52">
        <v>40</v>
      </c>
      <c r="E444" s="52">
        <v>0</v>
      </c>
      <c r="F444" s="53" t="s">
        <v>2797</v>
      </c>
      <c r="G444" s="53" t="s">
        <v>2798</v>
      </c>
      <c r="H444" s="54" t="str">
        <f t="shared" si="25"/>
        <v>MM-ILS-040.00 - Manutenção Complementar Preventiva-MCP1
Quadros de Iluminação e Tomadas. (QL’s)</v>
      </c>
      <c r="I444" s="55" t="s">
        <v>2294</v>
      </c>
      <c r="J444" s="55" t="str">
        <f>VLOOKUP(D444,GM!$D$4:$G$1637,4,3)&amp;" e "&amp;C444</f>
        <v>ENGENHARIA ELÉTRICA  e ILS</v>
      </c>
      <c r="K444" s="164">
        <v>45743</v>
      </c>
      <c r="L444" s="164">
        <f t="shared" si="26"/>
        <v>46839</v>
      </c>
      <c r="M444" s="10" t="s">
        <v>62</v>
      </c>
      <c r="N444" s="1" t="s">
        <v>371</v>
      </c>
      <c r="O444" s="67" t="str">
        <f t="shared" ca="1" si="27"/>
        <v>Em dia</v>
      </c>
      <c r="P444" s="67"/>
      <c r="Q444" s="67">
        <f t="shared" ca="1" si="28"/>
        <v>455</v>
      </c>
    </row>
    <row r="445" spans="2:17" ht="26" x14ac:dyDescent="0.35">
      <c r="B445" s="50">
        <v>8</v>
      </c>
      <c r="C445" s="51" t="s">
        <v>23</v>
      </c>
      <c r="D445" s="52">
        <v>51</v>
      </c>
      <c r="E445" s="52">
        <v>0</v>
      </c>
      <c r="F445" s="53" t="s">
        <v>2799</v>
      </c>
      <c r="G445" s="67" t="s">
        <v>2800</v>
      </c>
      <c r="H445" s="54" t="str">
        <f t="shared" si="25"/>
        <v>MM-ILS-051.00 - Manual de MCP0 - TRSA</v>
      </c>
      <c r="I445" s="55" t="s">
        <v>2046</v>
      </c>
      <c r="J445" s="55" t="str">
        <f>VLOOKUP(D445,GM!$D$4:$G$1637,4,3)&amp;" e "&amp;C445</f>
        <v>ENGENHARIA ELÉTRICA  e ILS</v>
      </c>
      <c r="K445" s="164"/>
      <c r="L445" s="164"/>
      <c r="M445" s="158" t="s">
        <v>267</v>
      </c>
      <c r="O445" s="67" t="str">
        <f t="shared" ca="1" si="27"/>
        <v>Vencido</v>
      </c>
      <c r="P445" s="67"/>
      <c r="Q445" s="67">
        <f t="shared" ca="1" si="28"/>
        <v>46198</v>
      </c>
    </row>
    <row r="446" spans="2:17" ht="26" x14ac:dyDescent="0.35">
      <c r="B446" s="50">
        <v>8</v>
      </c>
      <c r="C446" s="51" t="s">
        <v>23</v>
      </c>
      <c r="D446" s="52">
        <v>51</v>
      </c>
      <c r="E446" s="52">
        <v>1</v>
      </c>
      <c r="F446" s="53" t="s">
        <v>2801</v>
      </c>
      <c r="G446" s="67" t="s">
        <v>2800</v>
      </c>
      <c r="H446" s="54" t="str">
        <f t="shared" si="25"/>
        <v>MM-ILS-051.01 - Manual de MCP0 - TRSA</v>
      </c>
      <c r="I446" s="55" t="s">
        <v>2046</v>
      </c>
      <c r="J446" s="55" t="str">
        <f>VLOOKUP(D446,GM!$D$4:$G$1637,4,3)&amp;" e "&amp;C446</f>
        <v>ENGENHARIA ELÉTRICA  e ILS</v>
      </c>
      <c r="K446" s="164"/>
      <c r="L446" s="164"/>
      <c r="M446" s="158" t="s">
        <v>267</v>
      </c>
      <c r="O446" s="67" t="str">
        <f t="shared" ca="1" si="27"/>
        <v>Vencido</v>
      </c>
      <c r="P446" s="67"/>
      <c r="Q446" s="67">
        <f t="shared" ca="1" si="28"/>
        <v>46198</v>
      </c>
    </row>
    <row r="447" spans="2:17" ht="26" x14ac:dyDescent="0.35">
      <c r="B447" s="50">
        <v>8</v>
      </c>
      <c r="C447" s="51" t="s">
        <v>23</v>
      </c>
      <c r="D447" s="52">
        <v>51</v>
      </c>
      <c r="E447" s="52">
        <v>2</v>
      </c>
      <c r="F447" s="53" t="s">
        <v>2802</v>
      </c>
      <c r="G447" s="67" t="s">
        <v>2800</v>
      </c>
      <c r="H447" s="54" t="str">
        <f t="shared" si="25"/>
        <v>MM-ILS-051.02 - Manual de MCP0 - TRSA</v>
      </c>
      <c r="I447" s="55" t="s">
        <v>2046</v>
      </c>
      <c r="J447" s="55" t="str">
        <f>VLOOKUP(D447,GM!$D$4:$G$1637,4,3)&amp;" e "&amp;C447</f>
        <v>ENGENHARIA ELÉTRICA  e ILS</v>
      </c>
      <c r="K447" s="164"/>
      <c r="L447" s="164"/>
      <c r="M447" s="158" t="s">
        <v>267</v>
      </c>
      <c r="O447" s="67" t="str">
        <f t="shared" ca="1" si="27"/>
        <v>Vencido</v>
      </c>
      <c r="P447" s="67"/>
      <c r="Q447" s="67">
        <f t="shared" ca="1" si="28"/>
        <v>46198</v>
      </c>
    </row>
    <row r="448" spans="2:17" ht="28" hidden="1" x14ac:dyDescent="0.35">
      <c r="B448" s="50">
        <v>8</v>
      </c>
      <c r="C448" s="51" t="s">
        <v>23</v>
      </c>
      <c r="D448" s="52">
        <v>55</v>
      </c>
      <c r="E448" s="52">
        <v>0</v>
      </c>
      <c r="F448" s="53" t="s">
        <v>2803</v>
      </c>
      <c r="G448" s="67" t="s">
        <v>2804</v>
      </c>
      <c r="H448" s="54" t="str">
        <f t="shared" si="25"/>
        <v>MM-ILS-055.00 - Registrador de Perturbação</v>
      </c>
      <c r="I448" s="18" t="s">
        <v>2454</v>
      </c>
      <c r="J448" s="55" t="str">
        <f>VLOOKUP(D448,GM!$D$4:$G$1637,4,3)&amp;" e "&amp;C448</f>
        <v>ENGENHARIA ELÉTRICA  e ILS</v>
      </c>
      <c r="K448" s="164">
        <v>45743</v>
      </c>
      <c r="L448" s="164">
        <f t="shared" si="26"/>
        <v>46839</v>
      </c>
      <c r="M448" s="10" t="s">
        <v>62</v>
      </c>
      <c r="N448" s="1" t="s">
        <v>371</v>
      </c>
      <c r="O448" s="67" t="str">
        <f t="shared" ca="1" si="27"/>
        <v>Em dia</v>
      </c>
      <c r="P448" s="67"/>
      <c r="Q448" s="67">
        <f t="shared" ca="1" si="28"/>
        <v>455</v>
      </c>
    </row>
    <row r="449" spans="2:17" ht="28" hidden="1" x14ac:dyDescent="0.35">
      <c r="B449" s="50">
        <v>8</v>
      </c>
      <c r="C449" s="51" t="s">
        <v>23</v>
      </c>
      <c r="D449" s="52">
        <v>56</v>
      </c>
      <c r="E449" s="52">
        <v>1</v>
      </c>
      <c r="F449" s="53" t="s">
        <v>2805</v>
      </c>
      <c r="G449" s="18" t="s">
        <v>2806</v>
      </c>
      <c r="H449" s="54" t="str">
        <f t="shared" si="25"/>
        <v>MM-ILS-056.01 - Proteção de barras e falha disjuntor</v>
      </c>
      <c r="I449" s="18" t="s">
        <v>2807</v>
      </c>
      <c r="J449" s="55" t="str">
        <f>VLOOKUP(D449,GM!$D$4:$G$1637,4,3)&amp;" e "&amp;C449</f>
        <v>ENGENHARIA ELÉTRICA  e ILS</v>
      </c>
      <c r="K449" s="164">
        <v>45743</v>
      </c>
      <c r="L449" s="164">
        <f t="shared" si="26"/>
        <v>46839</v>
      </c>
      <c r="M449" s="10" t="s">
        <v>62</v>
      </c>
      <c r="N449" s="1" t="s">
        <v>371</v>
      </c>
      <c r="O449" s="67" t="str">
        <f t="shared" ca="1" si="27"/>
        <v>Em dia</v>
      </c>
      <c r="P449" s="67"/>
      <c r="Q449" s="67">
        <f t="shared" ca="1" si="28"/>
        <v>455</v>
      </c>
    </row>
    <row r="450" spans="2:17" ht="25" x14ac:dyDescent="0.35">
      <c r="B450" s="50">
        <v>8</v>
      </c>
      <c r="C450" s="51" t="s">
        <v>23</v>
      </c>
      <c r="D450" s="52">
        <v>58</v>
      </c>
      <c r="E450" s="52">
        <v>1</v>
      </c>
      <c r="F450" s="53" t="s">
        <v>2808</v>
      </c>
      <c r="G450" s="53" t="s">
        <v>2809</v>
      </c>
      <c r="H450" s="54" t="str">
        <f t="shared" si="25"/>
        <v>MM-ILS-058.01 - Manut Preventiva Sist Ventiladores e Exaustores CF Semestral</v>
      </c>
      <c r="I450" s="57" t="s">
        <v>2015</v>
      </c>
      <c r="J450" s="55" t="str">
        <f>VLOOKUP(D450,GM!$D$4:$G$1637,4,3)&amp;" e "&amp;C450</f>
        <v>ENGENHARIA MECÂNICA  e ILS</v>
      </c>
      <c r="K450" s="164">
        <v>44062</v>
      </c>
      <c r="L450" s="164">
        <f t="shared" si="26"/>
        <v>45158</v>
      </c>
      <c r="M450" s="10" t="s">
        <v>62</v>
      </c>
      <c r="N450" s="1" t="s">
        <v>371</v>
      </c>
      <c r="O450" s="67" t="str">
        <f t="shared" ca="1" si="27"/>
        <v>Vencido</v>
      </c>
      <c r="P450" s="67"/>
      <c r="Q450" s="67">
        <f t="shared" ca="1" si="28"/>
        <v>2136</v>
      </c>
    </row>
    <row r="451" spans="2:17" ht="26" hidden="1" x14ac:dyDescent="0.35">
      <c r="B451" s="50">
        <v>8</v>
      </c>
      <c r="C451" s="51" t="s">
        <v>23</v>
      </c>
      <c r="D451" s="52">
        <v>60</v>
      </c>
      <c r="E451" s="52">
        <v>1</v>
      </c>
      <c r="F451" s="53" t="s">
        <v>2810</v>
      </c>
      <c r="G451" s="53" t="s">
        <v>2811</v>
      </c>
      <c r="H451" s="54" t="str">
        <f t="shared" si="25"/>
        <v>MM-ILS-060.01 - Manual de Montagem e Desmontagem dos bancos de bateria de CO2</v>
      </c>
      <c r="I451" s="55" t="s">
        <v>2018</v>
      </c>
      <c r="J451" s="55" t="str">
        <f>VLOOKUP(D451,GM!$D$4:$G$1637,4,3)&amp;" e "&amp;C451</f>
        <v>ENGENHARIA MECÂNICA  e ILS</v>
      </c>
      <c r="K451" s="164">
        <v>45895</v>
      </c>
      <c r="L451" s="164">
        <f t="shared" si="26"/>
        <v>46991</v>
      </c>
      <c r="M451" s="184" t="s">
        <v>62</v>
      </c>
      <c r="N451" s="1" t="s">
        <v>371</v>
      </c>
      <c r="O451" s="67" t="str">
        <f t="shared" ca="1" si="27"/>
        <v>Em dia</v>
      </c>
      <c r="P451" s="67"/>
      <c r="Q451" s="67">
        <f t="shared" ca="1" si="28"/>
        <v>303</v>
      </c>
    </row>
    <row r="452" spans="2:17" ht="26" x14ac:dyDescent="0.35">
      <c r="B452" s="50">
        <v>8</v>
      </c>
      <c r="C452" s="51" t="s">
        <v>23</v>
      </c>
      <c r="D452" s="52">
        <v>60</v>
      </c>
      <c r="E452" s="52">
        <v>2</v>
      </c>
      <c r="F452" s="53" t="s">
        <v>2812</v>
      </c>
      <c r="G452" s="53" t="s">
        <v>2017</v>
      </c>
      <c r="H452" s="54" t="str">
        <f t="shared" si="25"/>
        <v>MM-ILS-060.02 - Manual de Manutenção sistema LGE</v>
      </c>
      <c r="I452" s="55" t="s">
        <v>2018</v>
      </c>
      <c r="J452" s="55" t="str">
        <f>VLOOKUP(D452,GM!$D$4:$G$1637,4,3)&amp;" e "&amp;C452</f>
        <v>ENGENHARIA MECÂNICA  e ILS</v>
      </c>
      <c r="K452" s="164">
        <v>44063</v>
      </c>
      <c r="L452" s="164">
        <f t="shared" si="26"/>
        <v>45159</v>
      </c>
      <c r="M452" s="10" t="s">
        <v>62</v>
      </c>
      <c r="N452" s="1" t="s">
        <v>371</v>
      </c>
      <c r="O452" s="67" t="str">
        <f t="shared" ca="1" si="27"/>
        <v>Vencido</v>
      </c>
      <c r="P452" s="67"/>
      <c r="Q452" s="67">
        <f t="shared" ca="1" si="28"/>
        <v>2135</v>
      </c>
    </row>
    <row r="453" spans="2:17" ht="26" x14ac:dyDescent="0.35">
      <c r="B453" s="50">
        <v>8</v>
      </c>
      <c r="C453" s="51" t="s">
        <v>23</v>
      </c>
      <c r="D453" s="52">
        <v>60</v>
      </c>
      <c r="E453" s="52">
        <v>3</v>
      </c>
      <c r="F453" s="53" t="s">
        <v>2813</v>
      </c>
      <c r="G453" s="53" t="s">
        <v>2017</v>
      </c>
      <c r="H453" s="54" t="str">
        <f t="shared" si="25"/>
        <v>MM-ILS-060.03 - Manual de Manutenção sistema LGE</v>
      </c>
      <c r="I453" s="55" t="s">
        <v>2018</v>
      </c>
      <c r="J453" s="55" t="str">
        <f>VLOOKUP(D453,GM!$D$4:$G$1637,4,3)&amp;" e "&amp;C453</f>
        <v>ENGENHARIA MECÂNICA  e ILS</v>
      </c>
      <c r="K453" s="164"/>
      <c r="L453" s="164"/>
      <c r="M453" s="11" t="s">
        <v>267</v>
      </c>
      <c r="O453" s="67" t="str">
        <f t="shared" ca="1" si="27"/>
        <v>Vencido</v>
      </c>
      <c r="P453" s="67"/>
      <c r="Q453" s="67">
        <f t="shared" ca="1" si="28"/>
        <v>46198</v>
      </c>
    </row>
    <row r="454" spans="2:17" ht="25" hidden="1" x14ac:dyDescent="0.35">
      <c r="B454" s="50">
        <v>8</v>
      </c>
      <c r="C454" s="51" t="s">
        <v>23</v>
      </c>
      <c r="D454" s="52">
        <v>61</v>
      </c>
      <c r="E454" s="52">
        <v>1</v>
      </c>
      <c r="F454" s="53" t="s">
        <v>2814</v>
      </c>
      <c r="G454" s="53" t="s">
        <v>2815</v>
      </c>
      <c r="H454" s="54" t="str">
        <f t="shared" si="25"/>
        <v>MM-ILS-061.01 - Manutenção Preventiva do Rebocador Urubupunga Trimestral</v>
      </c>
      <c r="I454" s="55" t="s">
        <v>2816</v>
      </c>
      <c r="J454" s="55" t="str">
        <f>VLOOKUP(D454,GM!$D$4:$G$1637,4,3)&amp;" e "&amp;C454</f>
        <v>ENGENHARIA MECÂNICA  e ILS</v>
      </c>
      <c r="K454" s="164">
        <v>45895</v>
      </c>
      <c r="L454" s="164">
        <f t="shared" si="26"/>
        <v>46991</v>
      </c>
      <c r="M454" s="10" t="s">
        <v>62</v>
      </c>
      <c r="N454" s="1" t="s">
        <v>371</v>
      </c>
      <c r="O454" s="67" t="str">
        <f t="shared" ca="1" si="27"/>
        <v>Em dia</v>
      </c>
      <c r="P454" s="67"/>
      <c r="Q454" s="67">
        <f t="shared" ca="1" si="28"/>
        <v>303</v>
      </c>
    </row>
    <row r="455" spans="2:17" ht="15.5" x14ac:dyDescent="0.35">
      <c r="B455" s="50">
        <v>8</v>
      </c>
      <c r="C455" s="51" t="s">
        <v>23</v>
      </c>
      <c r="D455" s="52">
        <v>62</v>
      </c>
      <c r="E455" s="52">
        <v>0</v>
      </c>
      <c r="F455" s="53" t="s">
        <v>2817</v>
      </c>
      <c r="G455" s="18" t="s">
        <v>2818</v>
      </c>
      <c r="H455" s="54" t="str">
        <f t="shared" ref="H455:H517" si="29">(F455)&amp;" - "&amp;(G455)</f>
        <v>MM-ILS-062.00 - Comporta das unidades geradoras</v>
      </c>
      <c r="I455" s="18"/>
      <c r="J455" s="55" t="str">
        <f>VLOOKUP(D455,GM!$D$4:$G$1637,4,3)&amp;" e "&amp;C455</f>
        <v>ENGENHARIA MECÂNICA  e ILS</v>
      </c>
      <c r="K455" s="164"/>
      <c r="L455" s="164"/>
      <c r="M455" s="11" t="s">
        <v>267</v>
      </c>
      <c r="O455" s="67" t="str">
        <f t="shared" ca="1" si="27"/>
        <v>Vencido</v>
      </c>
      <c r="P455" s="67"/>
      <c r="Q455" s="67">
        <f t="shared" ca="1" si="28"/>
        <v>46198</v>
      </c>
    </row>
    <row r="456" spans="2:17" ht="15.5" x14ac:dyDescent="0.35">
      <c r="B456" s="50">
        <v>8</v>
      </c>
      <c r="C456" s="51" t="s">
        <v>23</v>
      </c>
      <c r="D456" s="52">
        <v>68</v>
      </c>
      <c r="E456" s="52">
        <v>1</v>
      </c>
      <c r="F456" s="53" t="s">
        <v>2819</v>
      </c>
      <c r="G456" s="53" t="s">
        <v>2820</v>
      </c>
      <c r="H456" s="54" t="str">
        <f t="shared" si="29"/>
        <v>MM-ILS-068.01 - Manutenção Pórtico Limpa Grades Anual</v>
      </c>
      <c r="I456" s="57" t="s">
        <v>2133</v>
      </c>
      <c r="J456" s="55" t="str">
        <f>VLOOKUP(D456,GM!$D$4:$G$1637,4,3)&amp;" e "&amp;C456</f>
        <v>ENGENHARIA MECÂNICA  e ILS</v>
      </c>
      <c r="K456" s="164">
        <v>44062</v>
      </c>
      <c r="L456" s="164">
        <f t="shared" ref="L456:L518" si="30">K456+1096</f>
        <v>45158</v>
      </c>
      <c r="M456" s="10" t="s">
        <v>62</v>
      </c>
      <c r="N456" s="1" t="s">
        <v>371</v>
      </c>
      <c r="O456" s="67" t="str">
        <f t="shared" ref="O456:O519" ca="1" si="31">IF(Q456="","",IF(Q456&gt;1095,"Vencido",IF(Q456&gt;910,"Alerta",IF(Q456&gt;820,"Alerta",IF(Q456&gt;730,"Alerta",IF(Q456&gt;=0,"Em dia","Vencido"))))))</f>
        <v>Vencido</v>
      </c>
      <c r="P456" s="67"/>
      <c r="Q456" s="67">
        <f t="shared" ca="1" si="28"/>
        <v>2136</v>
      </c>
    </row>
    <row r="457" spans="2:17" ht="25" hidden="1" x14ac:dyDescent="0.35">
      <c r="B457" s="50">
        <v>8</v>
      </c>
      <c r="C457" s="51" t="s">
        <v>23</v>
      </c>
      <c r="D457" s="52">
        <v>83</v>
      </c>
      <c r="E457" s="52">
        <v>1</v>
      </c>
      <c r="F457" s="53" t="s">
        <v>2821</v>
      </c>
      <c r="G457" s="162" t="s">
        <v>2822</v>
      </c>
      <c r="H457" s="54" t="str">
        <f t="shared" si="29"/>
        <v>MM-ILS-083.01 - Manual de Manutenção na Estação de Tratamento de Água (ETA)</v>
      </c>
      <c r="I457" s="55" t="s">
        <v>2823</v>
      </c>
      <c r="J457" s="55" t="str">
        <f>VLOOKUP(D457,GM!$D$4:$G$1637,4,3)&amp;" e "&amp;C457</f>
        <v>ENGENHARIA MECÂNICA  e ILS</v>
      </c>
      <c r="K457" s="164">
        <v>45895</v>
      </c>
      <c r="L457" s="164">
        <f t="shared" si="30"/>
        <v>46991</v>
      </c>
      <c r="M457" s="10" t="s">
        <v>62</v>
      </c>
      <c r="N457" s="1" t="s">
        <v>61</v>
      </c>
      <c r="O457" s="67" t="str">
        <f t="shared" ca="1" si="31"/>
        <v>Em dia</v>
      </c>
      <c r="P457" s="67"/>
      <c r="Q457" s="67">
        <f t="shared" ca="1" si="28"/>
        <v>303</v>
      </c>
    </row>
    <row r="458" spans="2:17" ht="25" x14ac:dyDescent="0.35">
      <c r="B458" s="50">
        <v>9</v>
      </c>
      <c r="C458" s="51" t="s">
        <v>24</v>
      </c>
      <c r="D458" s="52">
        <v>1</v>
      </c>
      <c r="E458" s="52">
        <v>8</v>
      </c>
      <c r="F458" s="53" t="s">
        <v>2824</v>
      </c>
      <c r="G458" s="53" t="s">
        <v>2825</v>
      </c>
      <c r="H458" s="54" t="str">
        <f t="shared" si="29"/>
        <v>MM-JUP-001.08 - Procedimento da Reforma do Aro Câmara</v>
      </c>
      <c r="I458" s="55" t="s">
        <v>1976</v>
      </c>
      <c r="J458" s="55" t="str">
        <f>VLOOKUP(D458,GM!$D$4:$G$1637,4,3)&amp;" e "&amp;C458</f>
        <v>ENGENHARIA MECÂNICA  e JUP</v>
      </c>
      <c r="K458" s="164">
        <v>44053</v>
      </c>
      <c r="L458" s="164">
        <f t="shared" si="30"/>
        <v>45149</v>
      </c>
      <c r="M458" s="10" t="s">
        <v>62</v>
      </c>
      <c r="N458" s="1" t="s">
        <v>371</v>
      </c>
      <c r="O458" s="67" t="str">
        <f t="shared" ca="1" si="31"/>
        <v>Vencido</v>
      </c>
      <c r="P458" s="67"/>
      <c r="Q458" s="67">
        <f t="shared" ref="Q458:Q521" ca="1" si="32">$P$4-K458</f>
        <v>2145</v>
      </c>
    </row>
    <row r="459" spans="2:17" ht="28" hidden="1" x14ac:dyDescent="0.35">
      <c r="B459" s="50">
        <v>9</v>
      </c>
      <c r="C459" s="51" t="s">
        <v>24</v>
      </c>
      <c r="D459" s="52">
        <v>1</v>
      </c>
      <c r="E459" s="52">
        <v>10</v>
      </c>
      <c r="F459" s="53" t="s">
        <v>2826</v>
      </c>
      <c r="G459" s="18" t="s">
        <v>2827</v>
      </c>
      <c r="H459" s="54" t="str">
        <f t="shared" si="29"/>
        <v>MM-JUP-001.10 - Turbina e seus equipamentos auxiliares - UG's Não Modernizada</v>
      </c>
      <c r="I459" s="18" t="s">
        <v>2318</v>
      </c>
      <c r="J459" s="55" t="str">
        <f>VLOOKUP(D459,GM!$D$4:$G$1637,4,3)&amp;" e "&amp;C459</f>
        <v>ENGENHARIA MECÂNICA  e JUP</v>
      </c>
      <c r="K459" s="164">
        <v>46100</v>
      </c>
      <c r="L459" s="164">
        <f t="shared" si="30"/>
        <v>47196</v>
      </c>
      <c r="M459" s="10" t="s">
        <v>62</v>
      </c>
      <c r="N459" s="1" t="s">
        <v>371</v>
      </c>
      <c r="O459" s="67" t="str">
        <f t="shared" ca="1" si="31"/>
        <v>Em dia</v>
      </c>
      <c r="P459" s="67"/>
      <c r="Q459" s="67">
        <f t="shared" ca="1" si="32"/>
        <v>98</v>
      </c>
    </row>
    <row r="460" spans="2:17" ht="25" hidden="1" x14ac:dyDescent="0.35">
      <c r="B460" s="50">
        <v>9</v>
      </c>
      <c r="C460" s="51" t="s">
        <v>24</v>
      </c>
      <c r="D460" s="52">
        <v>2</v>
      </c>
      <c r="E460" s="52">
        <v>0</v>
      </c>
      <c r="F460" s="53" t="s">
        <v>2828</v>
      </c>
      <c r="G460" s="18" t="s">
        <v>2829</v>
      </c>
      <c r="H460" s="54" t="str">
        <f t="shared" si="29"/>
        <v xml:space="preserve">MM-JUP-002.00 - Isolamento do radiador do gerador </v>
      </c>
      <c r="I460" s="18" t="s">
        <v>2140</v>
      </c>
      <c r="J460" s="55" t="str">
        <f>VLOOKUP(D460,GM!$D$4:$G$1637,4,3)&amp;" e "&amp;C460</f>
        <v>ENGENHARIA MECÂNICA  e JUP</v>
      </c>
      <c r="K460" s="164">
        <v>45895</v>
      </c>
      <c r="L460" s="164">
        <f t="shared" si="30"/>
        <v>46991</v>
      </c>
      <c r="M460" s="184" t="s">
        <v>62</v>
      </c>
      <c r="N460" s="1" t="s">
        <v>371</v>
      </c>
      <c r="O460" s="67" t="str">
        <f t="shared" ca="1" si="31"/>
        <v>Em dia</v>
      </c>
      <c r="P460" s="67"/>
      <c r="Q460" s="67">
        <f t="shared" ca="1" si="32"/>
        <v>303</v>
      </c>
    </row>
    <row r="461" spans="2:17" ht="25" hidden="1" x14ac:dyDescent="0.35">
      <c r="B461" s="50">
        <v>9</v>
      </c>
      <c r="C461" s="51" t="s">
        <v>24</v>
      </c>
      <c r="D461" s="52">
        <v>2</v>
      </c>
      <c r="E461" s="52">
        <v>1</v>
      </c>
      <c r="F461" s="53" t="s">
        <v>2830</v>
      </c>
      <c r="G461" s="18" t="s">
        <v>2831</v>
      </c>
      <c r="H461" s="54" t="str">
        <f t="shared" si="29"/>
        <v xml:space="preserve">MM-JUP-002.01 - Substituição do radiador do gerador   </v>
      </c>
      <c r="I461" s="18" t="s">
        <v>2140</v>
      </c>
      <c r="J461" s="55" t="str">
        <f>VLOOKUP(D461,GM!$D$4:$G$1637,4,3)&amp;" e "&amp;C461</f>
        <v>ENGENHARIA MECÂNICA  e JUP</v>
      </c>
      <c r="K461" s="164">
        <v>45895</v>
      </c>
      <c r="L461" s="164">
        <f t="shared" si="30"/>
        <v>46991</v>
      </c>
      <c r="M461" s="184" t="s">
        <v>62</v>
      </c>
      <c r="N461" s="1" t="s">
        <v>371</v>
      </c>
      <c r="O461" s="67" t="str">
        <f t="shared" ca="1" si="31"/>
        <v>Em dia</v>
      </c>
      <c r="P461" s="67"/>
      <c r="Q461" s="67">
        <f t="shared" ca="1" si="32"/>
        <v>303</v>
      </c>
    </row>
    <row r="462" spans="2:17" ht="25" hidden="1" x14ac:dyDescent="0.35">
      <c r="B462" s="50">
        <v>9</v>
      </c>
      <c r="C462" s="51" t="s">
        <v>24</v>
      </c>
      <c r="D462" s="52">
        <v>3</v>
      </c>
      <c r="E462" s="52">
        <v>1</v>
      </c>
      <c r="F462" s="53" t="s">
        <v>2832</v>
      </c>
      <c r="G462" s="53" t="s">
        <v>2833</v>
      </c>
      <c r="H462" s="54" t="str">
        <f t="shared" si="29"/>
        <v>MM-JUP-003.01 - Barramento Blindado de Saída das UG's</v>
      </c>
      <c r="I462" s="18" t="s">
        <v>2060</v>
      </c>
      <c r="J462" s="55" t="str">
        <f>VLOOKUP(D462,GM!$D$4:$G$1637,4,3)&amp;" e "&amp;C462</f>
        <v>ENGENHARIA ELÉTRICA  e JUP</v>
      </c>
      <c r="K462" s="164">
        <v>45791</v>
      </c>
      <c r="L462" s="164">
        <f t="shared" si="30"/>
        <v>46887</v>
      </c>
      <c r="M462" s="10" t="s">
        <v>62</v>
      </c>
      <c r="N462" s="1" t="s">
        <v>371</v>
      </c>
      <c r="O462" s="67" t="str">
        <f t="shared" ca="1" si="31"/>
        <v>Em dia</v>
      </c>
      <c r="P462" s="67"/>
      <c r="Q462" s="67">
        <f t="shared" ca="1" si="32"/>
        <v>407</v>
      </c>
    </row>
    <row r="463" spans="2:17" ht="25" x14ac:dyDescent="0.35">
      <c r="B463" s="50">
        <v>9</v>
      </c>
      <c r="C463" s="51" t="s">
        <v>24</v>
      </c>
      <c r="D463" s="52">
        <v>3</v>
      </c>
      <c r="E463" s="52">
        <v>2</v>
      </c>
      <c r="F463" s="53" t="s">
        <v>2834</v>
      </c>
      <c r="G463" s="53" t="s">
        <v>2835</v>
      </c>
      <c r="H463" s="54" t="str">
        <f t="shared" si="29"/>
        <v xml:space="preserve">MM-JUP-003.02 - MPP0  Geradores Auxiliares </v>
      </c>
      <c r="I463" s="18" t="s">
        <v>2060</v>
      </c>
      <c r="J463" s="55" t="str">
        <f>VLOOKUP(D463,GM!$D$4:$G$1637,4,3)&amp;" e "&amp;C463</f>
        <v>ENGENHARIA ELÉTRICA  e JUP</v>
      </c>
      <c r="K463" s="164">
        <v>45274</v>
      </c>
      <c r="L463" s="164">
        <f t="shared" si="30"/>
        <v>46370</v>
      </c>
      <c r="M463" s="10" t="s">
        <v>62</v>
      </c>
      <c r="N463" s="1" t="s">
        <v>371</v>
      </c>
      <c r="O463" s="67" t="str">
        <f t="shared" ca="1" si="31"/>
        <v>Alerta</v>
      </c>
      <c r="P463" s="67"/>
      <c r="Q463" s="67">
        <f t="shared" ca="1" si="32"/>
        <v>924</v>
      </c>
    </row>
    <row r="464" spans="2:17" ht="25" hidden="1" x14ac:dyDescent="0.35">
      <c r="B464" s="50">
        <v>9</v>
      </c>
      <c r="C464" s="51" t="s">
        <v>24</v>
      </c>
      <c r="D464" s="52">
        <v>3</v>
      </c>
      <c r="E464" s="52">
        <v>3</v>
      </c>
      <c r="F464" s="53" t="s">
        <v>2836</v>
      </c>
      <c r="G464" s="53" t="s">
        <v>2837</v>
      </c>
      <c r="H464" s="54" t="str">
        <f t="shared" si="29"/>
        <v>MM-JUP-003.03 - MPP0 Geradores Principais</v>
      </c>
      <c r="I464" s="18" t="s">
        <v>2060</v>
      </c>
      <c r="J464" s="55" t="str">
        <f>VLOOKUP(D464,GM!$D$4:$G$1637,4,3)&amp;" e "&amp;C464</f>
        <v>ENGENHARIA ELÉTRICA  e JUP</v>
      </c>
      <c r="K464" s="164">
        <v>45791</v>
      </c>
      <c r="L464" s="164">
        <f t="shared" si="30"/>
        <v>46887</v>
      </c>
      <c r="M464" s="10" t="s">
        <v>62</v>
      </c>
      <c r="N464" s="1" t="s">
        <v>371</v>
      </c>
      <c r="O464" s="67" t="str">
        <f t="shared" ca="1" si="31"/>
        <v>Em dia</v>
      </c>
      <c r="P464" s="67"/>
      <c r="Q464" s="67">
        <f t="shared" ca="1" si="32"/>
        <v>407</v>
      </c>
    </row>
    <row r="465" spans="2:17" ht="25" x14ac:dyDescent="0.35">
      <c r="B465" s="50">
        <v>9</v>
      </c>
      <c r="C465" s="51" t="s">
        <v>24</v>
      </c>
      <c r="D465" s="52">
        <v>3</v>
      </c>
      <c r="E465" s="52">
        <v>4</v>
      </c>
      <c r="F465" s="53" t="s">
        <v>2838</v>
      </c>
      <c r="G465" s="53" t="s">
        <v>2839</v>
      </c>
      <c r="H465" s="54" t="str">
        <f t="shared" si="29"/>
        <v xml:space="preserve">MM-JUP-003.04 - Atividade durante MPP0/MPP1 Regulador de Velocidade </v>
      </c>
      <c r="I465" s="18" t="s">
        <v>2060</v>
      </c>
      <c r="J465" s="55" t="str">
        <f>VLOOKUP(D465,GM!$D$4:$G$1637,4,3)&amp;" e "&amp;C465</f>
        <v>ENGENHARIA ELÉTRICA  e JUP</v>
      </c>
      <c r="K465" s="164"/>
      <c r="L465" s="164"/>
      <c r="M465" s="11" t="s">
        <v>267</v>
      </c>
      <c r="O465" s="67" t="str">
        <f t="shared" ca="1" si="31"/>
        <v>Vencido</v>
      </c>
      <c r="P465" s="67"/>
      <c r="Q465" s="67">
        <f t="shared" ca="1" si="32"/>
        <v>46198</v>
      </c>
    </row>
    <row r="466" spans="2:17" ht="28" x14ac:dyDescent="0.35">
      <c r="B466" s="50">
        <v>9</v>
      </c>
      <c r="C466" s="51" t="s">
        <v>24</v>
      </c>
      <c r="D466" s="52">
        <v>3</v>
      </c>
      <c r="E466" s="52">
        <v>6</v>
      </c>
      <c r="F466" s="53" t="s">
        <v>2840</v>
      </c>
      <c r="G466" s="18" t="s">
        <v>2841</v>
      </c>
      <c r="H466" s="54" t="str">
        <f t="shared" si="29"/>
        <v>MM-JUP-003.06 - MPP0_Gerador e Equipamentos Auxiliares - UG's Não Modernizada</v>
      </c>
      <c r="I466" s="18" t="s">
        <v>2060</v>
      </c>
      <c r="J466" s="55" t="str">
        <f>VLOOKUP(D466,GM!$D$4:$G$1637,4,3)&amp;" e "&amp;C466</f>
        <v>ENGENHARIA ELÉTRICA  e JUP</v>
      </c>
      <c r="K466" s="164"/>
      <c r="L466" s="164"/>
      <c r="M466" s="11" t="s">
        <v>267</v>
      </c>
      <c r="O466" s="67" t="str">
        <f t="shared" ca="1" si="31"/>
        <v>Vencido</v>
      </c>
      <c r="P466" s="67"/>
      <c r="Q466" s="67">
        <f t="shared" ca="1" si="32"/>
        <v>46198</v>
      </c>
    </row>
    <row r="467" spans="2:17" ht="28" hidden="1" x14ac:dyDescent="0.35">
      <c r="B467" s="50">
        <v>9</v>
      </c>
      <c r="C467" s="51" t="s">
        <v>24</v>
      </c>
      <c r="D467" s="52">
        <v>3</v>
      </c>
      <c r="E467" s="52">
        <v>7</v>
      </c>
      <c r="F467" s="53" t="s">
        <v>2842</v>
      </c>
      <c r="G467" s="18" t="s">
        <v>2843</v>
      </c>
      <c r="H467" s="54" t="str">
        <f t="shared" si="29"/>
        <v>MM-JUP-003.07 - MPP1 Estator e Rotor Unidades Geradoras Auxiliares</v>
      </c>
      <c r="I467" s="18" t="s">
        <v>2060</v>
      </c>
      <c r="J467" s="55" t="str">
        <f>VLOOKUP(D467,GM!$D$4:$G$1637,4,3)&amp;" e "&amp;C467</f>
        <v>ENGENHARIA ELÉTRICA  e JUP</v>
      </c>
      <c r="K467" s="164">
        <v>45645</v>
      </c>
      <c r="L467" s="164">
        <f t="shared" si="30"/>
        <v>46741</v>
      </c>
      <c r="M467" s="10" t="s">
        <v>62</v>
      </c>
      <c r="N467" s="1" t="s">
        <v>371</v>
      </c>
      <c r="O467" s="67" t="str">
        <f t="shared" ca="1" si="31"/>
        <v>Em dia</v>
      </c>
      <c r="P467" s="67"/>
      <c r="Q467" s="67">
        <f t="shared" ca="1" si="32"/>
        <v>553</v>
      </c>
    </row>
    <row r="468" spans="2:17" ht="28" x14ac:dyDescent="0.35">
      <c r="B468" s="50">
        <v>9</v>
      </c>
      <c r="C468" s="51" t="s">
        <v>24</v>
      </c>
      <c r="D468" s="52">
        <v>3</v>
      </c>
      <c r="E468" s="52">
        <v>8</v>
      </c>
      <c r="F468" s="53" t="s">
        <v>2844</v>
      </c>
      <c r="G468" s="18" t="s">
        <v>2845</v>
      </c>
      <c r="H468" s="54" t="str">
        <f t="shared" si="29"/>
        <v>MM-JUP-003.08 - Estator e Rotor Unidades Geradoras Principais</v>
      </c>
      <c r="I468" s="18" t="s">
        <v>2060</v>
      </c>
      <c r="J468" s="55" t="str">
        <f>VLOOKUP(D468,GM!$D$4:$G$1637,4,3)&amp;" e "&amp;C468</f>
        <v>ENGENHARIA ELÉTRICA  e JUP</v>
      </c>
      <c r="K468" s="164">
        <v>45274</v>
      </c>
      <c r="L468" s="164">
        <f t="shared" si="30"/>
        <v>46370</v>
      </c>
      <c r="M468" s="10" t="s">
        <v>62</v>
      </c>
      <c r="N468" s="1" t="s">
        <v>371</v>
      </c>
      <c r="O468" s="67" t="str">
        <f t="shared" ca="1" si="31"/>
        <v>Alerta</v>
      </c>
      <c r="P468" s="67"/>
      <c r="Q468" s="67">
        <f t="shared" ca="1" si="32"/>
        <v>924</v>
      </c>
    </row>
    <row r="469" spans="2:17" ht="28" hidden="1" x14ac:dyDescent="0.35">
      <c r="B469" s="50">
        <v>9</v>
      </c>
      <c r="C469" s="51" t="s">
        <v>24</v>
      </c>
      <c r="D469" s="52">
        <v>4</v>
      </c>
      <c r="E469" s="52">
        <v>0</v>
      </c>
      <c r="F469" s="53" t="s">
        <v>2846</v>
      </c>
      <c r="G469" s="53" t="s">
        <v>2847</v>
      </c>
      <c r="H469" s="54" t="str">
        <f t="shared" si="29"/>
        <v>MM-JUP-004.00 - MPPs_Sistemas Auxiliares da Unidade Geradora</v>
      </c>
      <c r="I469" s="18" t="s">
        <v>2067</v>
      </c>
      <c r="J469" s="55" t="str">
        <f>VLOOKUP(D469,GM!$D$4:$G$1637,4,3)&amp;" e "&amp;C469</f>
        <v>ENGENHARIA ELÉTRICA  e JUP</v>
      </c>
      <c r="K469" s="164">
        <v>46100</v>
      </c>
      <c r="L469" s="164">
        <f t="shared" si="30"/>
        <v>47196</v>
      </c>
      <c r="M469" s="10" t="s">
        <v>62</v>
      </c>
      <c r="N469" s="1" t="s">
        <v>371</v>
      </c>
      <c r="O469" s="67" t="str">
        <f t="shared" ca="1" si="31"/>
        <v>Em dia</v>
      </c>
      <c r="P469" s="67"/>
      <c r="Q469" s="67">
        <f t="shared" ca="1" si="32"/>
        <v>98</v>
      </c>
    </row>
    <row r="470" spans="2:17" ht="26" x14ac:dyDescent="0.35">
      <c r="B470" s="50">
        <v>9</v>
      </c>
      <c r="C470" s="51" t="s">
        <v>24</v>
      </c>
      <c r="D470" s="52">
        <v>5</v>
      </c>
      <c r="E470" s="52">
        <v>1</v>
      </c>
      <c r="F470" s="53" t="s">
        <v>2848</v>
      </c>
      <c r="G470" s="53" t="s">
        <v>2849</v>
      </c>
      <c r="H470" s="54" t="str">
        <f t="shared" si="29"/>
        <v xml:space="preserve">MM-JUP-005.01 - MPP0/MPP1 Barramento de Sáida do Garador e Seus Acessórios </v>
      </c>
      <c r="I470" s="55" t="s">
        <v>2245</v>
      </c>
      <c r="J470" s="55" t="str">
        <f>VLOOKUP(D470,GM!$D$4:$G$1637,4,3)&amp;" e "&amp;C470</f>
        <v>ENGENHARIA ELÉTRICA  e JUP</v>
      </c>
      <c r="K470" s="164"/>
      <c r="L470" s="164"/>
      <c r="M470" s="11" t="s">
        <v>267</v>
      </c>
      <c r="O470" s="67" t="str">
        <f t="shared" ca="1" si="31"/>
        <v>Vencido</v>
      </c>
      <c r="P470" s="67"/>
      <c r="Q470" s="67">
        <f t="shared" ca="1" si="32"/>
        <v>46198</v>
      </c>
    </row>
    <row r="471" spans="2:17" ht="26" hidden="1" x14ac:dyDescent="0.35">
      <c r="B471" s="50">
        <v>9</v>
      </c>
      <c r="C471" s="51" t="s">
        <v>24</v>
      </c>
      <c r="D471" s="52">
        <v>5</v>
      </c>
      <c r="E471" s="52">
        <v>2</v>
      </c>
      <c r="F471" s="53" t="s">
        <v>2850</v>
      </c>
      <c r="G471" s="148" t="s">
        <v>2851</v>
      </c>
      <c r="H471" s="54" t="str">
        <f t="shared" si="29"/>
        <v xml:space="preserve">MM-JUP-005.02 - Termovisão em subestações e equipamentos de alta tensão </v>
      </c>
      <c r="I471" s="55" t="s">
        <v>2245</v>
      </c>
      <c r="J471" s="55" t="str">
        <f>VLOOKUP(D471,GM!$D$4:$G$1637,4,3)&amp;" e "&amp;C471</f>
        <v>ENGENHARIA ELÉTRICA  e JUP</v>
      </c>
      <c r="K471" s="164">
        <v>45645</v>
      </c>
      <c r="L471" s="164">
        <f t="shared" si="30"/>
        <v>46741</v>
      </c>
      <c r="M471" s="10" t="s">
        <v>62</v>
      </c>
      <c r="N471" s="1" t="s">
        <v>371</v>
      </c>
      <c r="O471" s="67" t="str">
        <f t="shared" ca="1" si="31"/>
        <v>Em dia</v>
      </c>
      <c r="P471" s="67"/>
      <c r="Q471" s="67">
        <f t="shared" ca="1" si="32"/>
        <v>553</v>
      </c>
    </row>
    <row r="472" spans="2:17" ht="26" x14ac:dyDescent="0.35">
      <c r="B472" s="50">
        <v>9</v>
      </c>
      <c r="C472" s="51" t="s">
        <v>24</v>
      </c>
      <c r="D472" s="52">
        <v>5</v>
      </c>
      <c r="E472" s="52">
        <v>3</v>
      </c>
      <c r="F472" s="53" t="s">
        <v>2852</v>
      </c>
      <c r="G472" s="67" t="s">
        <v>2853</v>
      </c>
      <c r="H472" s="54" t="str">
        <f t="shared" si="29"/>
        <v>MM-JUP-005.03 - Termovisão em Barramentos de saída da unidade geradora</v>
      </c>
      <c r="I472" s="55" t="s">
        <v>2245</v>
      </c>
      <c r="J472" s="55" t="str">
        <f>VLOOKUP(D472,GM!$D$4:$G$1637,4,3)&amp;" e "&amp;C472</f>
        <v>ENGENHARIA ELÉTRICA  e JUP</v>
      </c>
      <c r="K472" s="164"/>
      <c r="L472" s="164"/>
      <c r="M472" s="11" t="s">
        <v>267</v>
      </c>
      <c r="O472" s="67" t="str">
        <f t="shared" ca="1" si="31"/>
        <v>Vencido</v>
      </c>
      <c r="P472" s="67"/>
      <c r="Q472" s="67">
        <f t="shared" ca="1" si="32"/>
        <v>46198</v>
      </c>
    </row>
    <row r="473" spans="2:17" ht="26" x14ac:dyDescent="0.35">
      <c r="B473" s="50">
        <v>9</v>
      </c>
      <c r="C473" s="51" t="s">
        <v>24</v>
      </c>
      <c r="D473" s="52">
        <v>5</v>
      </c>
      <c r="E473" s="52">
        <v>4</v>
      </c>
      <c r="F473" s="53" t="s">
        <v>2854</v>
      </c>
      <c r="G473" s="67" t="s">
        <v>2855</v>
      </c>
      <c r="H473" s="54" t="str">
        <f t="shared" si="29"/>
        <v>MM-JUP-005.04 - Termovisão em quadros de equipamentos e serviços auxiliares.</v>
      </c>
      <c r="I473" s="55" t="s">
        <v>2245</v>
      </c>
      <c r="J473" s="55" t="str">
        <f>VLOOKUP(D473,GM!$D$4:$G$1637,4,3)&amp;" e "&amp;C473</f>
        <v>ENGENHARIA ELÉTRICA  e JUP</v>
      </c>
      <c r="K473" s="164"/>
      <c r="L473" s="164"/>
      <c r="M473" s="11" t="s">
        <v>267</v>
      </c>
      <c r="O473" s="67" t="str">
        <f t="shared" ca="1" si="31"/>
        <v>Vencido</v>
      </c>
      <c r="P473" s="67"/>
      <c r="Q473" s="67">
        <f t="shared" ca="1" si="32"/>
        <v>46198</v>
      </c>
    </row>
    <row r="474" spans="2:17" ht="26" hidden="1" x14ac:dyDescent="0.35">
      <c r="B474" s="50">
        <v>9</v>
      </c>
      <c r="C474" s="51" t="s">
        <v>24</v>
      </c>
      <c r="D474" s="52">
        <v>5</v>
      </c>
      <c r="E474" s="144">
        <v>5</v>
      </c>
      <c r="F474" s="157" t="s">
        <v>2856</v>
      </c>
      <c r="G474" s="145" t="s">
        <v>2857</v>
      </c>
      <c r="H474" s="54" t="str">
        <f t="shared" si="29"/>
        <v>MM-JUP-005.05 - MPPs Barramento de Saída do Gerador e Seus Acessórios Novo</v>
      </c>
      <c r="I474" s="55" t="s">
        <v>2245</v>
      </c>
      <c r="J474" s="55" t="str">
        <f>VLOOKUP(D474,GM!$D$4:$G$1637,4,3)&amp;" e "&amp;C474</f>
        <v>ENGENHARIA ELÉTRICA  e JUP</v>
      </c>
      <c r="K474" s="164">
        <v>45791</v>
      </c>
      <c r="L474" s="164">
        <f t="shared" si="30"/>
        <v>46887</v>
      </c>
      <c r="M474" s="10" t="s">
        <v>62</v>
      </c>
      <c r="N474" s="1" t="s">
        <v>371</v>
      </c>
      <c r="O474" s="67" t="str">
        <f t="shared" ca="1" si="31"/>
        <v>Em dia</v>
      </c>
      <c r="P474" s="67"/>
      <c r="Q474" s="67">
        <f t="shared" ca="1" si="32"/>
        <v>407</v>
      </c>
    </row>
    <row r="475" spans="2:17" ht="25" hidden="1" x14ac:dyDescent="0.35">
      <c r="B475" s="50">
        <v>9</v>
      </c>
      <c r="C475" s="51" t="s">
        <v>24</v>
      </c>
      <c r="D475" s="52">
        <v>6</v>
      </c>
      <c r="E475" s="52">
        <v>1</v>
      </c>
      <c r="F475" s="53" t="s">
        <v>2858</v>
      </c>
      <c r="G475" s="53" t="s">
        <v>2859</v>
      </c>
      <c r="H475" s="54" t="str">
        <f t="shared" si="29"/>
        <v>MM-JUP-006.01 - MPP0 Transformador Elevador 138KV e 440KV</v>
      </c>
      <c r="I475" s="18" t="s">
        <v>2034</v>
      </c>
      <c r="J475" s="55" t="str">
        <f>VLOOKUP(D475,GM!$D$4:$G$1637,4,3)&amp;" e "&amp;C475</f>
        <v>ENGENHARIA ELÉTRICA  e JUP</v>
      </c>
      <c r="K475" s="164">
        <v>45743</v>
      </c>
      <c r="L475" s="164">
        <f t="shared" si="30"/>
        <v>46839</v>
      </c>
      <c r="M475" s="10" t="s">
        <v>62</v>
      </c>
      <c r="N475" s="1" t="s">
        <v>371</v>
      </c>
      <c r="O475" s="67" t="str">
        <f t="shared" ca="1" si="31"/>
        <v>Em dia</v>
      </c>
      <c r="P475" s="67"/>
      <c r="Q475" s="67">
        <f t="shared" ca="1" si="32"/>
        <v>455</v>
      </c>
    </row>
    <row r="476" spans="2:17" ht="25" hidden="1" x14ac:dyDescent="0.35">
      <c r="B476" s="50">
        <v>9</v>
      </c>
      <c r="C476" s="51" t="s">
        <v>24</v>
      </c>
      <c r="D476" s="52">
        <v>6</v>
      </c>
      <c r="E476" s="52">
        <v>2</v>
      </c>
      <c r="F476" s="53" t="s">
        <v>2860</v>
      </c>
      <c r="G476" s="53" t="s">
        <v>2861</v>
      </c>
      <c r="H476" s="54" t="str">
        <f t="shared" si="29"/>
        <v>MM-JUP-006.02 - MPP1_Transformador Elevador  138KV e 440KV</v>
      </c>
      <c r="I476" s="18" t="s">
        <v>2034</v>
      </c>
      <c r="J476" s="55" t="str">
        <f>VLOOKUP(D476,GM!$D$4:$G$1637,4,3)&amp;" e "&amp;C476</f>
        <v>ENGENHARIA ELÉTRICA  e JUP</v>
      </c>
      <c r="K476" s="164">
        <v>45645</v>
      </c>
      <c r="L476" s="164">
        <f t="shared" si="30"/>
        <v>46741</v>
      </c>
      <c r="M476" s="10" t="s">
        <v>62</v>
      </c>
      <c r="N476" s="1" t="s">
        <v>371</v>
      </c>
      <c r="O476" s="67" t="str">
        <f t="shared" ca="1" si="31"/>
        <v>Em dia</v>
      </c>
      <c r="P476" s="67"/>
      <c r="Q476" s="67">
        <f t="shared" ca="1" si="32"/>
        <v>553</v>
      </c>
    </row>
    <row r="477" spans="2:17" ht="25" hidden="1" x14ac:dyDescent="0.35">
      <c r="B477" s="50">
        <v>9</v>
      </c>
      <c r="C477" s="51" t="s">
        <v>24</v>
      </c>
      <c r="D477" s="52">
        <v>6</v>
      </c>
      <c r="E477" s="52">
        <v>3</v>
      </c>
      <c r="F477" s="53" t="s">
        <v>2862</v>
      </c>
      <c r="G477" s="53" t="s">
        <v>2863</v>
      </c>
      <c r="H477" s="54" t="str">
        <f t="shared" si="29"/>
        <v>MM-JUP-006.03 - Coleta de Óleo Isolante nos Transformadores a Óleo</v>
      </c>
      <c r="I477" s="18" t="s">
        <v>2034</v>
      </c>
      <c r="J477" s="55" t="str">
        <f>VLOOKUP(D477,GM!$D$4:$G$1637,4,3)&amp;" e "&amp;C477</f>
        <v>ENGENHARIA ELÉTRICA  e JUP</v>
      </c>
      <c r="K477" s="164">
        <v>45791</v>
      </c>
      <c r="L477" s="164">
        <f t="shared" si="30"/>
        <v>46887</v>
      </c>
      <c r="M477" s="10" t="s">
        <v>62</v>
      </c>
      <c r="N477" s="1" t="s">
        <v>371</v>
      </c>
      <c r="O477" s="67" t="str">
        <f t="shared" ca="1" si="31"/>
        <v>Em dia</v>
      </c>
      <c r="P477" s="67"/>
      <c r="Q477" s="67">
        <f t="shared" ca="1" si="32"/>
        <v>407</v>
      </c>
    </row>
    <row r="478" spans="2:17" ht="25" hidden="1" x14ac:dyDescent="0.35">
      <c r="B478" s="50">
        <v>9</v>
      </c>
      <c r="C478" s="51" t="s">
        <v>24</v>
      </c>
      <c r="D478" s="52">
        <v>6</v>
      </c>
      <c r="E478" s="52">
        <v>4</v>
      </c>
      <c r="F478" s="53" t="s">
        <v>2864</v>
      </c>
      <c r="G478" s="53" t="s">
        <v>2865</v>
      </c>
      <c r="H478" s="54" t="str">
        <f t="shared" si="29"/>
        <v>MM-JUP-006.04 - Inspeção Preditiva Visual nos Transformdaores Elevadores e Cabos Isolados 138kv</v>
      </c>
      <c r="I478" s="18" t="s">
        <v>2034</v>
      </c>
      <c r="J478" s="55" t="str">
        <f>VLOOKUP(D478,GM!$D$4:$G$1637,4,3)&amp;" e "&amp;C478</f>
        <v>ENGENHARIA ELÉTRICA  e JUP</v>
      </c>
      <c r="K478" s="164">
        <v>45645</v>
      </c>
      <c r="L478" s="164">
        <f t="shared" si="30"/>
        <v>46741</v>
      </c>
      <c r="M478" s="10" t="s">
        <v>62</v>
      </c>
      <c r="N478" s="1" t="s">
        <v>371</v>
      </c>
      <c r="O478" s="67" t="str">
        <f t="shared" ca="1" si="31"/>
        <v>Em dia</v>
      </c>
      <c r="P478" s="67"/>
      <c r="Q478" s="67">
        <f t="shared" ca="1" si="32"/>
        <v>553</v>
      </c>
    </row>
    <row r="479" spans="2:17" ht="25" x14ac:dyDescent="0.35">
      <c r="B479" s="50">
        <v>9</v>
      </c>
      <c r="C479" s="51" t="s">
        <v>24</v>
      </c>
      <c r="D479" s="52">
        <v>7</v>
      </c>
      <c r="E479" s="52">
        <v>1</v>
      </c>
      <c r="F479" s="53" t="s">
        <v>2866</v>
      </c>
      <c r="G479" s="53" t="s">
        <v>2867</v>
      </c>
      <c r="H479" s="54" t="str">
        <f t="shared" si="29"/>
        <v>MM-JUP-007.01 - MPP0 Trafos à Seco - Excitação das UG's, UGA's e Serviço Auxiliar</v>
      </c>
      <c r="I479" s="18" t="s">
        <v>2251</v>
      </c>
      <c r="J479" s="55" t="str">
        <f>VLOOKUP(D479,GM!$D$4:$G$1637,4,3)&amp;" e "&amp;C479</f>
        <v>ENGENHARIA ELÉTRICA  e JUP</v>
      </c>
      <c r="K479" s="164">
        <v>45274</v>
      </c>
      <c r="L479" s="164">
        <f t="shared" si="30"/>
        <v>46370</v>
      </c>
      <c r="M479" s="10" t="s">
        <v>62</v>
      </c>
      <c r="N479" s="1" t="s">
        <v>371</v>
      </c>
      <c r="O479" s="67" t="str">
        <f t="shared" ca="1" si="31"/>
        <v>Alerta</v>
      </c>
      <c r="P479" s="67"/>
      <c r="Q479" s="67">
        <f t="shared" ca="1" si="32"/>
        <v>924</v>
      </c>
    </row>
    <row r="480" spans="2:17" ht="25" hidden="1" x14ac:dyDescent="0.35">
      <c r="B480" s="50">
        <v>9</v>
      </c>
      <c r="C480" s="51" t="s">
        <v>24</v>
      </c>
      <c r="D480" s="52">
        <v>7</v>
      </c>
      <c r="E480" s="52">
        <v>1</v>
      </c>
      <c r="F480" s="53" t="s">
        <v>2868</v>
      </c>
      <c r="G480" s="53" t="s">
        <v>2869</v>
      </c>
      <c r="H480" s="54" t="str">
        <f t="shared" si="29"/>
        <v>MM-JUP-007.02 - MPP1 Trafos à Seco - Excitação das UG's, UGA's e Serviço Auxiliar</v>
      </c>
      <c r="I480" s="18" t="s">
        <v>2251</v>
      </c>
      <c r="J480" s="55" t="str">
        <f>VLOOKUP(D480,GM!$D$4:$G$1637,4,3)&amp;" e "&amp;C480</f>
        <v>ENGENHARIA ELÉTRICA  e JUP</v>
      </c>
      <c r="K480" s="164">
        <v>45645</v>
      </c>
      <c r="L480" s="164">
        <f t="shared" si="30"/>
        <v>46741</v>
      </c>
      <c r="M480" s="10" t="s">
        <v>62</v>
      </c>
      <c r="N480" s="1" t="s">
        <v>371</v>
      </c>
      <c r="O480" s="67" t="str">
        <f t="shared" ca="1" si="31"/>
        <v>Em dia</v>
      </c>
      <c r="P480" s="67"/>
      <c r="Q480" s="67">
        <f t="shared" ca="1" si="32"/>
        <v>553</v>
      </c>
    </row>
    <row r="481" spans="2:17" ht="25" hidden="1" x14ac:dyDescent="0.35">
      <c r="B481" s="50">
        <v>9</v>
      </c>
      <c r="C481" s="51" t="s">
        <v>24</v>
      </c>
      <c r="D481" s="52">
        <v>8</v>
      </c>
      <c r="E481" s="52">
        <v>1</v>
      </c>
      <c r="F481" s="53" t="s">
        <v>2870</v>
      </c>
      <c r="G481" s="53" t="s">
        <v>2871</v>
      </c>
      <c r="H481" s="54" t="str">
        <f t="shared" si="29"/>
        <v>MM-JUP-008.01 - MPP0 em Transformadores de corrente 440kV</v>
      </c>
      <c r="I481" s="18" t="s">
        <v>2254</v>
      </c>
      <c r="J481" s="55" t="str">
        <f>VLOOKUP(D481,GM!$D$4:$G$1637,4,3)&amp;" e "&amp;C481</f>
        <v>ENGENHARIA ELÉTRICA  e JUP</v>
      </c>
      <c r="K481" s="164">
        <v>45791</v>
      </c>
      <c r="L481" s="164">
        <f t="shared" si="30"/>
        <v>46887</v>
      </c>
      <c r="M481" s="10" t="s">
        <v>62</v>
      </c>
      <c r="N481" s="1" t="s">
        <v>371</v>
      </c>
      <c r="O481" s="67" t="str">
        <f t="shared" ca="1" si="31"/>
        <v>Em dia</v>
      </c>
      <c r="P481" s="67"/>
      <c r="Q481" s="67">
        <f t="shared" ca="1" si="32"/>
        <v>407</v>
      </c>
    </row>
    <row r="482" spans="2:17" ht="25" hidden="1" x14ac:dyDescent="0.35">
      <c r="B482" s="50">
        <v>9</v>
      </c>
      <c r="C482" s="51" t="s">
        <v>24</v>
      </c>
      <c r="D482" s="52">
        <v>8</v>
      </c>
      <c r="E482" s="52">
        <v>2</v>
      </c>
      <c r="F482" s="53" t="s">
        <v>2872</v>
      </c>
      <c r="G482" s="53" t="s">
        <v>2873</v>
      </c>
      <c r="H482" s="54" t="str">
        <f t="shared" si="29"/>
        <v>MM-JUP-008.02 - MPP0 em Transformadores de corrente e Transformador de Potencial 138kV</v>
      </c>
      <c r="I482" s="18" t="s">
        <v>2254</v>
      </c>
      <c r="J482" s="55" t="str">
        <f>VLOOKUP(D482,GM!$D$4:$G$1637,4,3)&amp;" e "&amp;C482</f>
        <v>ENGENHARIA ELÉTRICA  e JUP</v>
      </c>
      <c r="K482" s="164">
        <v>45819</v>
      </c>
      <c r="L482" s="164">
        <f t="shared" si="30"/>
        <v>46915</v>
      </c>
      <c r="M482" s="10" t="s">
        <v>62</v>
      </c>
      <c r="N482" s="1" t="s">
        <v>371</v>
      </c>
      <c r="O482" s="67" t="str">
        <f t="shared" ca="1" si="31"/>
        <v>Em dia</v>
      </c>
      <c r="P482" s="67"/>
      <c r="Q482" s="67">
        <f t="shared" ca="1" si="32"/>
        <v>379</v>
      </c>
    </row>
    <row r="483" spans="2:17" ht="25" hidden="1" x14ac:dyDescent="0.35">
      <c r="B483" s="50">
        <v>9</v>
      </c>
      <c r="C483" s="51" t="s">
        <v>24</v>
      </c>
      <c r="D483" s="52">
        <v>8</v>
      </c>
      <c r="E483" s="52">
        <v>3</v>
      </c>
      <c r="F483" s="53" t="s">
        <v>2874</v>
      </c>
      <c r="G483" s="53" t="s">
        <v>2875</v>
      </c>
      <c r="H483" s="54" t="str">
        <f t="shared" si="29"/>
        <v>MM-JUP-008.03 - MPP0 nos disjuntores 138KV 3AP1 FG</v>
      </c>
      <c r="I483" s="18" t="s">
        <v>2254</v>
      </c>
      <c r="J483" s="55" t="str">
        <f>VLOOKUP(D483,GM!$D$4:$G$1637,4,3)&amp;" e "&amp;C483</f>
        <v>ENGENHARIA ELÉTRICA  e JUP</v>
      </c>
      <c r="K483" s="164">
        <v>45819</v>
      </c>
      <c r="L483" s="164">
        <f t="shared" si="30"/>
        <v>46915</v>
      </c>
      <c r="M483" s="10" t="s">
        <v>62</v>
      </c>
      <c r="N483" s="1" t="s">
        <v>371</v>
      </c>
      <c r="O483" s="67" t="str">
        <f t="shared" ca="1" si="31"/>
        <v>Em dia</v>
      </c>
      <c r="P483" s="67"/>
      <c r="Q483" s="67">
        <f t="shared" ca="1" si="32"/>
        <v>379</v>
      </c>
    </row>
    <row r="484" spans="2:17" ht="25" hidden="1" x14ac:dyDescent="0.35">
      <c r="B484" s="50">
        <v>9</v>
      </c>
      <c r="C484" s="51" t="s">
        <v>24</v>
      </c>
      <c r="D484" s="52">
        <v>8</v>
      </c>
      <c r="E484" s="52">
        <v>4</v>
      </c>
      <c r="F484" s="53" t="s">
        <v>2876</v>
      </c>
      <c r="G484" s="53" t="s">
        <v>2877</v>
      </c>
      <c r="H484" s="54" t="str">
        <f t="shared" si="29"/>
        <v>MM-JUP-008.04 - MPP0 nos seccionadores AT 400 E 138KV</v>
      </c>
      <c r="I484" s="18" t="s">
        <v>2254</v>
      </c>
      <c r="J484" s="55" t="str">
        <f>VLOOKUP(D484,GM!$D$4:$G$1637,4,3)&amp;" e "&amp;C484</f>
        <v>ENGENHARIA ELÉTRICA  e JUP</v>
      </c>
      <c r="K484" s="164">
        <v>45791</v>
      </c>
      <c r="L484" s="164">
        <f t="shared" si="30"/>
        <v>46887</v>
      </c>
      <c r="M484" s="10" t="s">
        <v>62</v>
      </c>
      <c r="N484" s="1" t="s">
        <v>371</v>
      </c>
      <c r="O484" s="67" t="str">
        <f t="shared" ca="1" si="31"/>
        <v>Em dia</v>
      </c>
      <c r="P484" s="67"/>
      <c r="Q484" s="67">
        <f t="shared" ca="1" si="32"/>
        <v>407</v>
      </c>
    </row>
    <row r="485" spans="2:17" ht="25" hidden="1" x14ac:dyDescent="0.35">
      <c r="B485" s="50">
        <v>9</v>
      </c>
      <c r="C485" s="51" t="s">
        <v>24</v>
      </c>
      <c r="D485" s="52">
        <v>8</v>
      </c>
      <c r="E485" s="52">
        <v>5</v>
      </c>
      <c r="F485" s="53" t="s">
        <v>2878</v>
      </c>
      <c r="G485" s="53" t="s">
        <v>2879</v>
      </c>
      <c r="H485" s="54" t="str">
        <f t="shared" si="29"/>
        <v>MM-JUP-008.05 - MPP0 nos disjuntores 440KV 3AT2</v>
      </c>
      <c r="I485" s="18" t="s">
        <v>2254</v>
      </c>
      <c r="J485" s="55" t="str">
        <f>VLOOKUP(D485,GM!$D$4:$G$1637,4,3)&amp;" e "&amp;C485</f>
        <v>ENGENHARIA ELÉTRICA  e JUP</v>
      </c>
      <c r="K485" s="164">
        <v>45791</v>
      </c>
      <c r="L485" s="164">
        <f t="shared" si="30"/>
        <v>46887</v>
      </c>
      <c r="M485" s="10" t="s">
        <v>62</v>
      </c>
      <c r="N485" s="1" t="s">
        <v>371</v>
      </c>
      <c r="O485" s="67" t="str">
        <f t="shared" ca="1" si="31"/>
        <v>Em dia</v>
      </c>
      <c r="P485" s="67"/>
      <c r="Q485" s="67">
        <f t="shared" ca="1" si="32"/>
        <v>407</v>
      </c>
    </row>
    <row r="486" spans="2:17" ht="25" x14ac:dyDescent="0.35">
      <c r="B486" s="50">
        <v>9</v>
      </c>
      <c r="C486" s="51" t="s">
        <v>24</v>
      </c>
      <c r="D486" s="52">
        <v>8</v>
      </c>
      <c r="E486" s="52">
        <v>6</v>
      </c>
      <c r="F486" s="53" t="s">
        <v>2880</v>
      </c>
      <c r="G486" s="53" t="s">
        <v>2881</v>
      </c>
      <c r="H486" s="54" t="str">
        <f t="shared" si="29"/>
        <v>MM-JUP-008.06 - MPP1_TC 440kV.</v>
      </c>
      <c r="I486" s="18" t="s">
        <v>2254</v>
      </c>
      <c r="J486" s="55" t="str">
        <f>VLOOKUP(D486,GM!$D$4:$G$1637,4,3)&amp;" e "&amp;C486</f>
        <v>ENGENHARIA ELÉTRICA  e JUP</v>
      </c>
      <c r="K486" s="164">
        <v>45274</v>
      </c>
      <c r="L486" s="164">
        <f t="shared" si="30"/>
        <v>46370</v>
      </c>
      <c r="M486" s="10" t="s">
        <v>62</v>
      </c>
      <c r="N486" s="1" t="s">
        <v>371</v>
      </c>
      <c r="O486" s="67" t="str">
        <f t="shared" ca="1" si="31"/>
        <v>Alerta</v>
      </c>
      <c r="P486" s="67"/>
      <c r="Q486" s="67">
        <f t="shared" ca="1" si="32"/>
        <v>924</v>
      </c>
    </row>
    <row r="487" spans="2:17" ht="25" hidden="1" x14ac:dyDescent="0.35">
      <c r="B487" s="50">
        <v>9</v>
      </c>
      <c r="C487" s="51" t="s">
        <v>24</v>
      </c>
      <c r="D487" s="52">
        <v>8</v>
      </c>
      <c r="E487" s="52">
        <v>7</v>
      </c>
      <c r="F487" s="53" t="s">
        <v>2882</v>
      </c>
      <c r="G487" s="67" t="s">
        <v>2883</v>
      </c>
      <c r="H487" s="54" t="str">
        <f t="shared" si="29"/>
        <v>MM-JUP-008.07 - MPP1_TC e TP 138kV.</v>
      </c>
      <c r="I487" s="18" t="s">
        <v>2254</v>
      </c>
      <c r="J487" s="55" t="str">
        <f>VLOOKUP(D487,GM!$D$4:$G$1637,4,3)&amp;" e "&amp;C487</f>
        <v>ENGENHARIA ELÉTRICA  e JUP</v>
      </c>
      <c r="K487" s="164">
        <v>45645</v>
      </c>
      <c r="L487" s="164">
        <f t="shared" si="30"/>
        <v>46741</v>
      </c>
      <c r="M487" s="10" t="s">
        <v>62</v>
      </c>
      <c r="N487" s="1" t="s">
        <v>371</v>
      </c>
      <c r="O487" s="67" t="str">
        <f t="shared" ca="1" si="31"/>
        <v>Em dia</v>
      </c>
      <c r="P487" s="67"/>
      <c r="Q487" s="67">
        <f t="shared" ca="1" si="32"/>
        <v>553</v>
      </c>
    </row>
    <row r="488" spans="2:17" ht="25" x14ac:dyDescent="0.35">
      <c r="B488" s="50">
        <v>9</v>
      </c>
      <c r="C488" s="51" t="s">
        <v>24</v>
      </c>
      <c r="D488" s="52">
        <v>8</v>
      </c>
      <c r="E488" s="52">
        <v>8</v>
      </c>
      <c r="F488" s="53" t="s">
        <v>2884</v>
      </c>
      <c r="G488" s="67" t="s">
        <v>2885</v>
      </c>
      <c r="H488" s="54" t="str">
        <f t="shared" si="29"/>
        <v>MM-JUP-008.08 - MPP1_Disjuntores 138KV 3AP1 FG</v>
      </c>
      <c r="I488" s="18" t="s">
        <v>2254</v>
      </c>
      <c r="J488" s="55" t="str">
        <f>VLOOKUP(D488,GM!$D$4:$G$1637,4,3)&amp;" e "&amp;C488</f>
        <v>ENGENHARIA ELÉTRICA  e JUP</v>
      </c>
      <c r="K488" s="164"/>
      <c r="L488" s="164"/>
      <c r="M488" s="11" t="s">
        <v>267</v>
      </c>
      <c r="O488" s="67" t="str">
        <f t="shared" ca="1" si="31"/>
        <v>Vencido</v>
      </c>
      <c r="P488" s="67"/>
      <c r="Q488" s="67">
        <f t="shared" ca="1" si="32"/>
        <v>46198</v>
      </c>
    </row>
    <row r="489" spans="2:17" ht="25" x14ac:dyDescent="0.35">
      <c r="B489" s="50">
        <v>9</v>
      </c>
      <c r="C489" s="51" t="s">
        <v>24</v>
      </c>
      <c r="D489" s="52">
        <v>8</v>
      </c>
      <c r="E489" s="52">
        <v>9</v>
      </c>
      <c r="F489" s="53" t="s">
        <v>2886</v>
      </c>
      <c r="G489" s="67" t="s">
        <v>2887</v>
      </c>
      <c r="H489" s="54" t="str">
        <f t="shared" si="29"/>
        <v>MM-JUP-008.09 - MPP1_Seccionadores 440 e 138kV</v>
      </c>
      <c r="I489" s="18" t="s">
        <v>2254</v>
      </c>
      <c r="J489" s="55" t="str">
        <f>VLOOKUP(D489,GM!$D$4:$G$1637,4,3)&amp;" e "&amp;C489</f>
        <v>ENGENHARIA ELÉTRICA  e JUP</v>
      </c>
      <c r="K489" s="164">
        <v>45274</v>
      </c>
      <c r="L489" s="164">
        <f t="shared" si="30"/>
        <v>46370</v>
      </c>
      <c r="M489" s="10" t="s">
        <v>62</v>
      </c>
      <c r="N489" s="1" t="s">
        <v>371</v>
      </c>
      <c r="O489" s="67" t="str">
        <f t="shared" ca="1" si="31"/>
        <v>Alerta</v>
      </c>
      <c r="P489" s="67"/>
      <c r="Q489" s="67">
        <f t="shared" ca="1" si="32"/>
        <v>924</v>
      </c>
    </row>
    <row r="490" spans="2:17" ht="25" x14ac:dyDescent="0.35">
      <c r="B490" s="50">
        <v>9</v>
      </c>
      <c r="C490" s="51" t="s">
        <v>24</v>
      </c>
      <c r="D490" s="52">
        <v>8</v>
      </c>
      <c r="E490" s="52">
        <v>10</v>
      </c>
      <c r="F490" s="53" t="s">
        <v>2888</v>
      </c>
      <c r="G490" t="s">
        <v>2889</v>
      </c>
      <c r="H490" s="54" t="str">
        <f t="shared" si="29"/>
        <v>MM-JUP-008.10 - MPP1_Disjuntores 440KV 3AT2.</v>
      </c>
      <c r="I490" s="18" t="s">
        <v>2254</v>
      </c>
      <c r="J490" s="55" t="str">
        <f>VLOOKUP(D490,GM!$D$4:$G$1637,4,3)&amp;" e "&amp;C490</f>
        <v>ENGENHARIA ELÉTRICA  e JUP</v>
      </c>
      <c r="K490" s="164">
        <v>45274</v>
      </c>
      <c r="L490" s="164">
        <f t="shared" si="30"/>
        <v>46370</v>
      </c>
      <c r="M490" s="10" t="s">
        <v>62</v>
      </c>
      <c r="N490" s="1" t="s">
        <v>371</v>
      </c>
      <c r="O490" s="67" t="str">
        <f t="shared" ca="1" si="31"/>
        <v>Alerta</v>
      </c>
      <c r="P490" s="67"/>
      <c r="Q490" s="67">
        <f t="shared" ca="1" si="32"/>
        <v>924</v>
      </c>
    </row>
    <row r="491" spans="2:17" ht="25" x14ac:dyDescent="0.35">
      <c r="B491" s="50">
        <v>9</v>
      </c>
      <c r="C491" s="51" t="s">
        <v>24</v>
      </c>
      <c r="D491" s="52">
        <v>8</v>
      </c>
      <c r="E491" s="52">
        <v>11</v>
      </c>
      <c r="F491" s="53" t="s">
        <v>2890</v>
      </c>
      <c r="G491" s="67" t="s">
        <v>2891</v>
      </c>
      <c r="H491" s="54" t="str">
        <f t="shared" si="29"/>
        <v>MM-JUP-008.11 - MPP1_PARA-RAIO 138 e 440KV</v>
      </c>
      <c r="I491" s="18" t="s">
        <v>2254</v>
      </c>
      <c r="J491" s="55" t="str">
        <f>VLOOKUP(D491,GM!$D$4:$G$1637,4,3)&amp;" e "&amp;C491</f>
        <v>ENGENHARIA ELÉTRICA  e JUP</v>
      </c>
      <c r="K491" s="164">
        <v>45274</v>
      </c>
      <c r="L491" s="164">
        <f t="shared" si="30"/>
        <v>46370</v>
      </c>
      <c r="M491" s="10" t="s">
        <v>62</v>
      </c>
      <c r="N491" s="1" t="s">
        <v>371</v>
      </c>
      <c r="O491" s="67" t="str">
        <f t="shared" ca="1" si="31"/>
        <v>Alerta</v>
      </c>
      <c r="P491" s="67"/>
      <c r="Q491" s="67">
        <f t="shared" ca="1" si="32"/>
        <v>924</v>
      </c>
    </row>
    <row r="492" spans="2:17" ht="25" x14ac:dyDescent="0.35">
      <c r="B492" s="50">
        <v>9</v>
      </c>
      <c r="C492" s="51" t="s">
        <v>24</v>
      </c>
      <c r="D492" s="52">
        <v>8</v>
      </c>
      <c r="E492" s="52">
        <v>12</v>
      </c>
      <c r="F492" s="53" t="s">
        <v>2892</v>
      </c>
      <c r="G492" s="67" t="s">
        <v>2887</v>
      </c>
      <c r="H492" s="54" t="str">
        <f t="shared" si="29"/>
        <v>MM-JUP-008.12 - MPP1_Seccionadores 440 e 138kV</v>
      </c>
      <c r="I492" s="18" t="s">
        <v>2254</v>
      </c>
      <c r="J492" s="55" t="str">
        <f>VLOOKUP(D492,GM!$D$4:$G$1637,4,3)&amp;" e "&amp;C492</f>
        <v>ENGENHARIA ELÉTRICA  e JUP</v>
      </c>
      <c r="K492" s="164">
        <v>45274</v>
      </c>
      <c r="L492" s="164">
        <f t="shared" si="30"/>
        <v>46370</v>
      </c>
      <c r="M492" s="10" t="s">
        <v>62</v>
      </c>
      <c r="N492" s="1" t="s">
        <v>371</v>
      </c>
      <c r="O492" s="67" t="str">
        <f t="shared" ca="1" si="31"/>
        <v>Alerta</v>
      </c>
      <c r="P492" s="67"/>
      <c r="Q492" s="67">
        <f t="shared" ca="1" si="32"/>
        <v>924</v>
      </c>
    </row>
    <row r="493" spans="2:17" ht="29" x14ac:dyDescent="0.35">
      <c r="B493" s="50">
        <v>9</v>
      </c>
      <c r="C493" s="51" t="s">
        <v>24</v>
      </c>
      <c r="D493" s="52">
        <v>8</v>
      </c>
      <c r="E493" s="52">
        <v>13</v>
      </c>
      <c r="F493" s="53" t="s">
        <v>2893</v>
      </c>
      <c r="G493" s="65" t="s">
        <v>2894</v>
      </c>
      <c r="H493" s="54" t="str">
        <f t="shared" si="29"/>
        <v xml:space="preserve">MM-JUP-008.13 - Manutenção Preventiva, Inspeção e testes em equipamentos de alta tensão das subestações </v>
      </c>
      <c r="I493" s="18" t="s">
        <v>2254</v>
      </c>
      <c r="J493" s="55" t="str">
        <f>VLOOKUP(D493,GM!$D$4:$G$1637,4,3)&amp;" e "&amp;C493</f>
        <v>ENGENHARIA ELÉTRICA  e JUP</v>
      </c>
      <c r="K493" s="164"/>
      <c r="L493" s="164"/>
      <c r="M493" s="11" t="s">
        <v>267</v>
      </c>
      <c r="O493" s="67" t="str">
        <f t="shared" ca="1" si="31"/>
        <v>Vencido</v>
      </c>
      <c r="P493" s="67"/>
      <c r="Q493" s="67">
        <f t="shared" ca="1" si="32"/>
        <v>46198</v>
      </c>
    </row>
    <row r="494" spans="2:17" ht="25" x14ac:dyDescent="0.35">
      <c r="B494" s="50">
        <v>9</v>
      </c>
      <c r="C494" s="51" t="s">
        <v>24</v>
      </c>
      <c r="D494" s="52">
        <v>10</v>
      </c>
      <c r="E494" s="52">
        <v>1</v>
      </c>
      <c r="F494" s="53" t="s">
        <v>2895</v>
      </c>
      <c r="G494" s="53" t="s">
        <v>2896</v>
      </c>
      <c r="H494" s="54" t="str">
        <f t="shared" si="29"/>
        <v>MM-JUP-010.01 - MPC0 dos paineis de controle CCM das UG's e qDCA das UGA's</v>
      </c>
      <c r="I494" s="18" t="s">
        <v>2264</v>
      </c>
      <c r="J494" s="55" t="str">
        <f>VLOOKUP(D494,GM!$D$4:$G$1637,4,3)&amp;" e "&amp;C494</f>
        <v>ENGENHARIA ELÉTRICA  e JUP</v>
      </c>
      <c r="K494" s="164">
        <v>45274</v>
      </c>
      <c r="L494" s="164">
        <f t="shared" si="30"/>
        <v>46370</v>
      </c>
      <c r="M494" s="10" t="s">
        <v>62</v>
      </c>
      <c r="N494" s="1" t="s">
        <v>371</v>
      </c>
      <c r="O494" s="67" t="str">
        <f t="shared" ca="1" si="31"/>
        <v>Alerta</v>
      </c>
      <c r="P494" s="67"/>
      <c r="Q494" s="67">
        <f t="shared" ca="1" si="32"/>
        <v>924</v>
      </c>
    </row>
    <row r="495" spans="2:17" ht="25" x14ac:dyDescent="0.35">
      <c r="B495" s="50">
        <v>9</v>
      </c>
      <c r="C495" s="51" t="s">
        <v>24</v>
      </c>
      <c r="D495" s="52">
        <v>10</v>
      </c>
      <c r="E495" s="52">
        <v>2</v>
      </c>
      <c r="F495" s="53" t="s">
        <v>2897</v>
      </c>
      <c r="G495" s="53" t="s">
        <v>2898</v>
      </c>
      <c r="H495" s="54" t="str">
        <f t="shared" si="29"/>
        <v>MM-JUP-010.02 - MPC0 nos quadros Q1V, Q2V, q1V e q2V dos Vertedouros</v>
      </c>
      <c r="I495" s="18" t="s">
        <v>2264</v>
      </c>
      <c r="J495" s="55" t="str">
        <f>VLOOKUP(D495,GM!$D$4:$G$1637,4,3)&amp;" e "&amp;C495</f>
        <v>ENGENHARIA ELÉTRICA  e JUP</v>
      </c>
      <c r="K495" s="164">
        <v>45274</v>
      </c>
      <c r="L495" s="164">
        <f t="shared" si="30"/>
        <v>46370</v>
      </c>
      <c r="M495" s="10" t="s">
        <v>62</v>
      </c>
      <c r="N495" s="1" t="s">
        <v>371</v>
      </c>
      <c r="O495" s="67" t="str">
        <f t="shared" ca="1" si="31"/>
        <v>Alerta</v>
      </c>
      <c r="P495" s="67"/>
      <c r="Q495" s="67">
        <f t="shared" ca="1" si="32"/>
        <v>924</v>
      </c>
    </row>
    <row r="496" spans="2:17" ht="26" x14ac:dyDescent="0.35">
      <c r="B496" s="50">
        <v>9</v>
      </c>
      <c r="C496" s="51" t="s">
        <v>24</v>
      </c>
      <c r="D496" s="52">
        <v>13</v>
      </c>
      <c r="E496" s="52">
        <v>1</v>
      </c>
      <c r="F496" s="53" t="s">
        <v>2899</v>
      </c>
      <c r="G496" s="53" t="s">
        <v>2900</v>
      </c>
      <c r="H496" s="54" t="str">
        <f t="shared" si="29"/>
        <v>MM-JUP-013.01 - Manual de Manutenção H9000 
Procedimento Operacional do Sistema Hidrantes</v>
      </c>
      <c r="I496" s="55" t="s">
        <v>2381</v>
      </c>
      <c r="J496" s="55" t="str">
        <f>VLOOKUP(D496,GM!$D$4:$G$1637,4,3)&amp;" e "&amp;C496</f>
        <v>ENGENHARIA ELÉTRICA  e JUP</v>
      </c>
      <c r="K496" s="164"/>
      <c r="L496" s="164"/>
      <c r="M496" s="11" t="s">
        <v>267</v>
      </c>
      <c r="O496" s="67" t="str">
        <f t="shared" ca="1" si="31"/>
        <v>Vencido</v>
      </c>
      <c r="P496" s="67"/>
      <c r="Q496" s="67">
        <f t="shared" ca="1" si="32"/>
        <v>46198</v>
      </c>
    </row>
    <row r="497" spans="2:17" ht="26" x14ac:dyDescent="0.35">
      <c r="B497" s="50">
        <v>9</v>
      </c>
      <c r="C497" s="51" t="s">
        <v>24</v>
      </c>
      <c r="D497" s="52">
        <v>13</v>
      </c>
      <c r="E497" s="52">
        <v>2</v>
      </c>
      <c r="F497" s="53" t="s">
        <v>2901</v>
      </c>
      <c r="G497" s="53" t="s">
        <v>2902</v>
      </c>
      <c r="H497" s="54" t="str">
        <f t="shared" si="29"/>
        <v>MM-JUP-013.02 - Manual de Manutenção Hycon
Procedimento Operacional do Sistema Hidrantes</v>
      </c>
      <c r="I497" s="55" t="s">
        <v>2381</v>
      </c>
      <c r="J497" s="55" t="str">
        <f>VLOOKUP(D497,GM!$D$4:$G$1637,4,3)&amp;" e "&amp;C497</f>
        <v>ENGENHARIA ELÉTRICA  e JUP</v>
      </c>
      <c r="K497" s="164"/>
      <c r="L497" s="164"/>
      <c r="M497" s="11" t="s">
        <v>267</v>
      </c>
      <c r="O497" s="67" t="str">
        <f t="shared" ca="1" si="31"/>
        <v>Vencido</v>
      </c>
      <c r="P497" s="67"/>
      <c r="Q497" s="67">
        <f t="shared" ca="1" si="32"/>
        <v>46198</v>
      </c>
    </row>
    <row r="498" spans="2:17" ht="26" hidden="1" x14ac:dyDescent="0.35">
      <c r="B498" s="50">
        <v>9</v>
      </c>
      <c r="C498" s="51" t="s">
        <v>24</v>
      </c>
      <c r="D498" s="52">
        <v>13</v>
      </c>
      <c r="E498" s="52">
        <v>3</v>
      </c>
      <c r="F498" s="53" t="s">
        <v>2903</v>
      </c>
      <c r="G498" s="53" t="s">
        <v>2904</v>
      </c>
      <c r="H498" s="54" t="str">
        <f t="shared" si="29"/>
        <v>MM-JUP-013.03 - MPP0_Unidade de Aquisição e Controle (UAC)</v>
      </c>
      <c r="I498" s="55" t="s">
        <v>2381</v>
      </c>
      <c r="J498" s="55" t="str">
        <f>VLOOKUP(D498,GM!$D$4:$G$1637,4,3)&amp;" e "&amp;C498</f>
        <v>ENGENHARIA ELÉTRICA  e JUP</v>
      </c>
      <c r="K498" s="164">
        <v>45791</v>
      </c>
      <c r="L498" s="164">
        <f t="shared" si="30"/>
        <v>46887</v>
      </c>
      <c r="M498" s="10" t="s">
        <v>62</v>
      </c>
      <c r="N498" s="1" t="s">
        <v>371</v>
      </c>
      <c r="O498" s="67" t="str">
        <f t="shared" ca="1" si="31"/>
        <v>Em dia</v>
      </c>
      <c r="P498" s="67"/>
      <c r="Q498" s="67">
        <f t="shared" ca="1" si="32"/>
        <v>407</v>
      </c>
    </row>
    <row r="499" spans="2:17" ht="25" x14ac:dyDescent="0.35">
      <c r="B499" s="50">
        <v>9</v>
      </c>
      <c r="C499" s="51" t="s">
        <v>24</v>
      </c>
      <c r="D499" s="52">
        <v>15</v>
      </c>
      <c r="E499" s="52">
        <v>1</v>
      </c>
      <c r="F499" s="53" t="s">
        <v>2905</v>
      </c>
      <c r="G499" s="53" t="s">
        <v>2705</v>
      </c>
      <c r="H499" s="54" t="str">
        <f t="shared" si="29"/>
        <v>MM-JUP-015.01 - Manual Ensaios Bancada Proteções Relé REG670</v>
      </c>
      <c r="I499" s="55" t="s">
        <v>2077</v>
      </c>
      <c r="J499" s="55" t="str">
        <f>VLOOKUP(D499,GM!$D$4:$G$1637,4,3)&amp;" e "&amp;C499</f>
        <v>ENGENHARIA ELÉTRICA  e JUP</v>
      </c>
      <c r="K499" s="164">
        <v>44223</v>
      </c>
      <c r="L499" s="164">
        <f t="shared" si="30"/>
        <v>45319</v>
      </c>
      <c r="M499" s="10" t="s">
        <v>62</v>
      </c>
      <c r="N499" s="1" t="s">
        <v>371</v>
      </c>
      <c r="O499" s="67" t="str">
        <f t="shared" ca="1" si="31"/>
        <v>Vencido</v>
      </c>
      <c r="P499" s="67"/>
      <c r="Q499" s="67">
        <f t="shared" ca="1" si="32"/>
        <v>1975</v>
      </c>
    </row>
    <row r="500" spans="2:17" ht="25" hidden="1" x14ac:dyDescent="0.35">
      <c r="B500" s="50">
        <v>9</v>
      </c>
      <c r="C500" s="51" t="s">
        <v>24</v>
      </c>
      <c r="D500" s="52">
        <v>15</v>
      </c>
      <c r="E500" s="52">
        <v>2</v>
      </c>
      <c r="F500" s="53" t="s">
        <v>2906</v>
      </c>
      <c r="G500" s="53" t="s">
        <v>2907</v>
      </c>
      <c r="H500" s="54" t="str">
        <f t="shared" si="29"/>
        <v>MM-JUP-015.02 - MPP0_Proteção da Unidade Geradora</v>
      </c>
      <c r="I500" s="55" t="s">
        <v>2077</v>
      </c>
      <c r="J500" s="55" t="str">
        <f>VLOOKUP(D500,GM!$D$4:$G$1637,4,3)&amp;" e "&amp;C500</f>
        <v>ENGENHARIA ELÉTRICA  e JUP</v>
      </c>
      <c r="K500" s="164">
        <v>45791</v>
      </c>
      <c r="L500" s="164">
        <f t="shared" si="30"/>
        <v>46887</v>
      </c>
      <c r="M500" s="10" t="s">
        <v>62</v>
      </c>
      <c r="N500" s="1" t="s">
        <v>371</v>
      </c>
      <c r="O500" s="67" t="str">
        <f t="shared" ca="1" si="31"/>
        <v>Em dia</v>
      </c>
      <c r="P500" s="67"/>
      <c r="Q500" s="67">
        <f t="shared" ca="1" si="32"/>
        <v>407</v>
      </c>
    </row>
    <row r="501" spans="2:17" ht="28" x14ac:dyDescent="0.35">
      <c r="B501" s="50">
        <v>9</v>
      </c>
      <c r="C501" s="51" t="s">
        <v>24</v>
      </c>
      <c r="D501" s="52">
        <v>17</v>
      </c>
      <c r="E501" s="52">
        <v>1</v>
      </c>
      <c r="F501" s="53" t="s">
        <v>2908</v>
      </c>
      <c r="G501" s="18" t="s">
        <v>2909</v>
      </c>
      <c r="H501" s="54" t="str">
        <f t="shared" si="29"/>
        <v>MM-JUP-017.01 - Equipamentos do Sistema de Proteção Digital do Serviço Auxiliar AC – 13, 8kV</v>
      </c>
      <c r="I501" s="18" t="s">
        <v>2910</v>
      </c>
      <c r="J501" s="55" t="str">
        <f>VLOOKUP(D501,GM!$D$4:$G$1637,4,3)&amp;" e "&amp;C501</f>
        <v>ENGENHARIA ELÉTRICA  e JUP</v>
      </c>
      <c r="K501" s="164"/>
      <c r="L501" s="164"/>
      <c r="M501" s="11" t="s">
        <v>267</v>
      </c>
      <c r="O501" s="67" t="str">
        <f t="shared" ca="1" si="31"/>
        <v>Vencido</v>
      </c>
      <c r="P501" s="67"/>
      <c r="Q501" s="67">
        <f t="shared" ca="1" si="32"/>
        <v>46198</v>
      </c>
    </row>
    <row r="502" spans="2:17" ht="25" x14ac:dyDescent="0.35">
      <c r="B502" s="50">
        <v>9</v>
      </c>
      <c r="C502" s="51" t="s">
        <v>24</v>
      </c>
      <c r="D502" s="52">
        <v>18</v>
      </c>
      <c r="E502" s="52">
        <v>1</v>
      </c>
      <c r="F502" s="53" t="s">
        <v>2911</v>
      </c>
      <c r="G502" s="53" t="s">
        <v>2912</v>
      </c>
      <c r="H502" s="54" t="str">
        <f t="shared" si="29"/>
        <v>MM-JUP-018.01 - Sistema de Excitação das UG's</v>
      </c>
      <c r="I502" s="18" t="s">
        <v>2404</v>
      </c>
      <c r="J502" s="55" t="str">
        <f>VLOOKUP(D502,GM!$D$4:$G$1637,4,3)&amp;" e "&amp;C502</f>
        <v>ENGENHARIA ELÉTRICA  e JUP</v>
      </c>
      <c r="K502" s="164"/>
      <c r="L502" s="164"/>
      <c r="M502" s="11" t="s">
        <v>267</v>
      </c>
      <c r="O502" s="67" t="str">
        <f t="shared" ca="1" si="31"/>
        <v>Vencido</v>
      </c>
      <c r="P502" s="67"/>
      <c r="Q502" s="67">
        <f t="shared" ca="1" si="32"/>
        <v>46198</v>
      </c>
    </row>
    <row r="503" spans="2:17" ht="25" hidden="1" x14ac:dyDescent="0.35">
      <c r="B503" s="50">
        <v>9</v>
      </c>
      <c r="C503" s="51" t="s">
        <v>24</v>
      </c>
      <c r="D503" s="52">
        <v>18</v>
      </c>
      <c r="E503" s="52">
        <v>2</v>
      </c>
      <c r="F503" s="53" t="s">
        <v>2913</v>
      </c>
      <c r="G503" s="53" t="s">
        <v>2914</v>
      </c>
      <c r="H503" s="54" t="str">
        <f t="shared" si="29"/>
        <v>MM-JUP-018.02 - MPP0_Sistema de Excitação</v>
      </c>
      <c r="I503" s="18" t="s">
        <v>2404</v>
      </c>
      <c r="J503" s="55" t="str">
        <f>VLOOKUP(D503,GM!$D$4:$G$1637,4,3)&amp;" e "&amp;C503</f>
        <v>ENGENHARIA ELÉTRICA  e JUP</v>
      </c>
      <c r="K503" s="164">
        <v>45791</v>
      </c>
      <c r="L503" s="164">
        <f t="shared" si="30"/>
        <v>46887</v>
      </c>
      <c r="M503" s="10" t="s">
        <v>62</v>
      </c>
      <c r="N503" s="1" t="s">
        <v>371</v>
      </c>
      <c r="O503" s="67" t="str">
        <f t="shared" ca="1" si="31"/>
        <v>Em dia</v>
      </c>
      <c r="P503" s="67"/>
      <c r="Q503" s="67">
        <f t="shared" ca="1" si="32"/>
        <v>407</v>
      </c>
    </row>
    <row r="504" spans="2:17" ht="25" hidden="1" x14ac:dyDescent="0.35">
      <c r="B504" s="50">
        <v>9</v>
      </c>
      <c r="C504" s="51" t="s">
        <v>24</v>
      </c>
      <c r="D504" s="52">
        <v>21</v>
      </c>
      <c r="E504" s="52">
        <v>0</v>
      </c>
      <c r="F504" s="53" t="s">
        <v>2915</v>
      </c>
      <c r="G504" s="53" t="s">
        <v>2916</v>
      </c>
      <c r="H504" s="54" t="str">
        <f t="shared" si="29"/>
        <v>MM-JUP-021.00 - MPP0_Regulador de Velocidade - Parte Elétrica</v>
      </c>
      <c r="I504" s="18" t="s">
        <v>2060</v>
      </c>
      <c r="J504" s="55" t="str">
        <f>VLOOKUP(D504,GM!$D$4:$G$1637,4,3)&amp;" e "&amp;C504</f>
        <v>ENGENHARIA ELÉTRICA  e JUP</v>
      </c>
      <c r="K504" s="164">
        <v>45791</v>
      </c>
      <c r="L504" s="164">
        <f t="shared" si="30"/>
        <v>46887</v>
      </c>
      <c r="M504" s="10" t="s">
        <v>62</v>
      </c>
      <c r="N504" s="1" t="s">
        <v>371</v>
      </c>
      <c r="O504" s="67" t="str">
        <f t="shared" ca="1" si="31"/>
        <v>Em dia</v>
      </c>
      <c r="P504" s="67"/>
      <c r="Q504" s="67">
        <f t="shared" ca="1" si="32"/>
        <v>407</v>
      </c>
    </row>
    <row r="505" spans="2:17" ht="28" x14ac:dyDescent="0.35">
      <c r="B505" s="50">
        <v>9</v>
      </c>
      <c r="C505" s="51" t="s">
        <v>24</v>
      </c>
      <c r="D505" s="52">
        <v>26</v>
      </c>
      <c r="E505" s="52">
        <v>1</v>
      </c>
      <c r="F505" s="53" t="s">
        <v>2917</v>
      </c>
      <c r="G505" s="67" t="s">
        <v>2918</v>
      </c>
      <c r="H505" s="54" t="str">
        <f t="shared" si="29"/>
        <v>MM-JUP-026.01 - Manutenção Preventiva no Poço de Esgotamento e Enchimento da UHE Jupiá</v>
      </c>
      <c r="I505" s="18" t="s">
        <v>2919</v>
      </c>
      <c r="J505" s="55" t="str">
        <f>VLOOKUP(D505,GM!$D$4:$G$1637,4,3)&amp;" e "&amp;C505</f>
        <v>ENGENHARIA MECÂNICA  e JUP</v>
      </c>
      <c r="K505" s="164"/>
      <c r="L505" s="164"/>
      <c r="M505" s="11" t="s">
        <v>267</v>
      </c>
      <c r="O505" s="67" t="str">
        <f t="shared" ca="1" si="31"/>
        <v>Vencido</v>
      </c>
      <c r="P505" s="67"/>
      <c r="Q505" s="67">
        <f t="shared" ca="1" si="32"/>
        <v>46198</v>
      </c>
    </row>
    <row r="506" spans="2:17" ht="28" x14ac:dyDescent="0.35">
      <c r="B506" s="50">
        <v>9</v>
      </c>
      <c r="C506" s="51" t="s">
        <v>24</v>
      </c>
      <c r="D506" s="52">
        <v>26</v>
      </c>
      <c r="E506" s="52">
        <v>2</v>
      </c>
      <c r="F506" s="53" t="s">
        <v>2920</v>
      </c>
      <c r="G506" s="67" t="s">
        <v>2921</v>
      </c>
      <c r="H506" s="54" t="str">
        <f t="shared" si="29"/>
        <v>MM-JUP-026.02 - Manutenção Preventiva no Poço de Drenagem da UHE Jupiá</v>
      </c>
      <c r="I506" s="18" t="s">
        <v>2919</v>
      </c>
      <c r="J506" s="55" t="str">
        <f>VLOOKUP(D506,GM!$D$4:$G$1637,4,3)&amp;" e "&amp;C506</f>
        <v>ENGENHARIA MECÂNICA  e JUP</v>
      </c>
      <c r="K506" s="164"/>
      <c r="L506" s="164"/>
      <c r="M506" s="11" t="s">
        <v>267</v>
      </c>
      <c r="O506" s="67" t="str">
        <f t="shared" ca="1" si="31"/>
        <v>Vencido</v>
      </c>
      <c r="P506" s="67"/>
      <c r="Q506" s="67">
        <f t="shared" ca="1" si="32"/>
        <v>46198</v>
      </c>
    </row>
    <row r="507" spans="2:17" ht="28" x14ac:dyDescent="0.35">
      <c r="B507" s="50">
        <v>9</v>
      </c>
      <c r="C507" s="51" t="s">
        <v>24</v>
      </c>
      <c r="D507" s="178">
        <v>29</v>
      </c>
      <c r="E507" s="178">
        <v>0</v>
      </c>
      <c r="F507" s="179" t="s">
        <v>2922</v>
      </c>
      <c r="G507" s="180" t="s">
        <v>2923</v>
      </c>
      <c r="H507" s="54" t="str">
        <f t="shared" si="29"/>
        <v xml:space="preserve">MM-JUP-029.00 - Manual de Limpeza de Grades UGs Modernizadas </v>
      </c>
      <c r="I507" s="180" t="s">
        <v>2924</v>
      </c>
      <c r="J507" s="55" t="str">
        <f>VLOOKUP(D507,GM!$D$4:$G$1637,4,3)&amp;" e "&amp;C507</f>
        <v>ENGENHARIA MECÂNICA  e JUP</v>
      </c>
      <c r="K507" s="164"/>
      <c r="L507" s="164"/>
      <c r="M507" s="181" t="s">
        <v>267</v>
      </c>
      <c r="O507" s="67" t="str">
        <f t="shared" ca="1" si="31"/>
        <v>Vencido</v>
      </c>
      <c r="P507" s="67"/>
      <c r="Q507" s="67">
        <f t="shared" ca="1" si="32"/>
        <v>46198</v>
      </c>
    </row>
    <row r="508" spans="2:17" ht="25" x14ac:dyDescent="0.35">
      <c r="B508" s="50">
        <v>9</v>
      </c>
      <c r="C508" s="51" t="s">
        <v>24</v>
      </c>
      <c r="D508" s="52">
        <v>30</v>
      </c>
      <c r="E508" s="52">
        <v>0</v>
      </c>
      <c r="F508" s="53" t="s">
        <v>2925</v>
      </c>
      <c r="G508" s="53" t="s">
        <v>2926</v>
      </c>
      <c r="H508" s="54" t="str">
        <f t="shared" si="29"/>
        <v>MM-JUP-030.00 - Manutenção Preventiva Trimestral e Anual Portico Montante</v>
      </c>
      <c r="I508" s="18"/>
      <c r="J508" s="55" t="str">
        <f>VLOOKUP(D508,GM!$D$4:$G$1637,4,3)&amp;" e "&amp;C508</f>
        <v>ENGENHARIA MECÂNICA  e JUP</v>
      </c>
      <c r="K508" s="164"/>
      <c r="L508" s="164"/>
      <c r="M508" s="11" t="s">
        <v>267</v>
      </c>
      <c r="O508" s="67" t="str">
        <f t="shared" ca="1" si="31"/>
        <v>Vencido</v>
      </c>
      <c r="P508" s="67"/>
      <c r="Q508" s="67">
        <f t="shared" ca="1" si="32"/>
        <v>46198</v>
      </c>
    </row>
    <row r="509" spans="2:17" ht="25" x14ac:dyDescent="0.35">
      <c r="B509" s="50">
        <v>9</v>
      </c>
      <c r="C509" s="51" t="s">
        <v>24</v>
      </c>
      <c r="D509" s="52">
        <v>31</v>
      </c>
      <c r="E509" s="52">
        <v>0</v>
      </c>
      <c r="F509" s="53" t="s">
        <v>2927</v>
      </c>
      <c r="G509" s="67" t="s">
        <v>2928</v>
      </c>
      <c r="H509" s="54" t="str">
        <f t="shared" si="29"/>
        <v>MM-JUP-031.00 - Manutenção Preventiva Trimestral e Anual Ponte Rolante Principal</v>
      </c>
      <c r="I509" s="18"/>
      <c r="J509" s="55" t="str">
        <f>VLOOKUP(D509,GM!$D$4:$G$1637,4,3)&amp;" e "&amp;C509</f>
        <v>ENGENHARIA MECÂNICA  e JUP</v>
      </c>
      <c r="K509" s="164"/>
      <c r="L509" s="164"/>
      <c r="M509" s="11" t="s">
        <v>267</v>
      </c>
      <c r="O509" s="67" t="str">
        <f t="shared" ca="1" si="31"/>
        <v>Vencido</v>
      </c>
      <c r="P509" s="67"/>
      <c r="Q509" s="67">
        <f t="shared" ca="1" si="32"/>
        <v>46198</v>
      </c>
    </row>
    <row r="510" spans="2:17" ht="25" x14ac:dyDescent="0.35">
      <c r="B510" s="50">
        <v>9</v>
      </c>
      <c r="C510" s="51" t="s">
        <v>24</v>
      </c>
      <c r="D510" s="52">
        <v>32</v>
      </c>
      <c r="E510" s="52">
        <v>0</v>
      </c>
      <c r="F510" s="53" t="s">
        <v>2929</v>
      </c>
      <c r="G510" s="67" t="s">
        <v>2930</v>
      </c>
      <c r="H510" s="54" t="str">
        <f t="shared" si="29"/>
        <v>MM-JUP-032.00 - Manutenção Preventiva Trimestral e Anual Ponte Rolante Auxiliar</v>
      </c>
      <c r="I510" s="18"/>
      <c r="J510" s="55" t="str">
        <f>VLOOKUP(D510,GM!$D$4:$G$1637,4,3)&amp;" e "&amp;C510</f>
        <v>ENGENHARIA MECÂNICA  e JUP</v>
      </c>
      <c r="K510" s="164"/>
      <c r="L510" s="164"/>
      <c r="M510" s="11" t="s">
        <v>267</v>
      </c>
      <c r="O510" s="67" t="str">
        <f t="shared" ca="1" si="31"/>
        <v>Vencido</v>
      </c>
      <c r="P510" s="67"/>
      <c r="Q510" s="67">
        <f t="shared" ca="1" si="32"/>
        <v>46198</v>
      </c>
    </row>
    <row r="511" spans="2:17" ht="25" hidden="1" x14ac:dyDescent="0.35">
      <c r="B511" s="50">
        <v>9</v>
      </c>
      <c r="C511" s="51" t="s">
        <v>24</v>
      </c>
      <c r="D511" s="52">
        <v>33</v>
      </c>
      <c r="E511" s="52">
        <v>1</v>
      </c>
      <c r="F511" s="53" t="s">
        <v>2931</v>
      </c>
      <c r="G511" s="67" t="s">
        <v>2932</v>
      </c>
      <c r="H511" s="54" t="str">
        <f t="shared" si="29"/>
        <v>MM-JUP-033.01 - MCP0 em Elevadores</v>
      </c>
      <c r="I511" s="57" t="s">
        <v>2004</v>
      </c>
      <c r="J511" s="55" t="str">
        <f>VLOOKUP(D511,GM!$D$4:$G$1637,4,3)&amp;" e "&amp;C511</f>
        <v>ENGENHARIA MECÂNICA  e JUP</v>
      </c>
      <c r="K511" s="164">
        <v>45645</v>
      </c>
      <c r="L511" s="164">
        <f t="shared" si="30"/>
        <v>46741</v>
      </c>
      <c r="M511" s="10" t="s">
        <v>62</v>
      </c>
      <c r="N511" s="1" t="s">
        <v>371</v>
      </c>
      <c r="O511" s="67" t="str">
        <f t="shared" ca="1" si="31"/>
        <v>Em dia</v>
      </c>
      <c r="P511" s="67"/>
      <c r="Q511" s="67">
        <f t="shared" ca="1" si="32"/>
        <v>553</v>
      </c>
    </row>
    <row r="512" spans="2:17" ht="26" hidden="1" x14ac:dyDescent="0.35">
      <c r="B512" s="50">
        <v>9</v>
      </c>
      <c r="C512" s="51" t="s">
        <v>24</v>
      </c>
      <c r="D512" s="52">
        <v>40</v>
      </c>
      <c r="E512" s="52">
        <v>0</v>
      </c>
      <c r="F512" s="53" t="s">
        <v>2933</v>
      </c>
      <c r="G512" s="67" t="s">
        <v>2934</v>
      </c>
      <c r="H512" s="54" t="str">
        <f t="shared" si="29"/>
        <v>MM-JUP-040.00 - Manutenção em Iluminação Casa de Máquinas</v>
      </c>
      <c r="I512" s="55" t="s">
        <v>2245</v>
      </c>
      <c r="J512" s="55" t="str">
        <f>VLOOKUP(D512,GM!$D$4:$G$1637,4,3)&amp;" e "&amp;C512</f>
        <v>ENGENHARIA ELÉTRICA  e JUP</v>
      </c>
      <c r="K512" s="164">
        <v>45791</v>
      </c>
      <c r="L512" s="164">
        <f t="shared" si="30"/>
        <v>46887</v>
      </c>
      <c r="M512" s="10" t="s">
        <v>62</v>
      </c>
      <c r="N512" s="1" t="s">
        <v>371</v>
      </c>
      <c r="O512" s="67" t="str">
        <f t="shared" ca="1" si="31"/>
        <v>Em dia</v>
      </c>
      <c r="P512" s="67"/>
      <c r="Q512" s="67">
        <f t="shared" ca="1" si="32"/>
        <v>407</v>
      </c>
    </row>
    <row r="513" spans="2:17" ht="26" x14ac:dyDescent="0.35">
      <c r="B513" s="50">
        <v>9</v>
      </c>
      <c r="C513" s="51" t="s">
        <v>24</v>
      </c>
      <c r="D513" s="52">
        <v>50</v>
      </c>
      <c r="E513" s="52">
        <v>1</v>
      </c>
      <c r="F513" s="53" t="s">
        <v>2935</v>
      </c>
      <c r="G513" s="53" t="s">
        <v>175</v>
      </c>
      <c r="H513" s="54" t="str">
        <f t="shared" si="29"/>
        <v>MM-JUP-050.01 - Manutenção de Cabos de Alta Tensão Isolados a Óleo</v>
      </c>
      <c r="I513" s="55" t="s">
        <v>2936</v>
      </c>
      <c r="J513" s="55" t="str">
        <f>VLOOKUP(D513,GM!$D$4:$G$1637,4,3)&amp;" e "&amp;C513</f>
        <v>ENGENHARIA ELÉTRICA  e JUP</v>
      </c>
      <c r="K513" s="164">
        <v>44189</v>
      </c>
      <c r="L513" s="164">
        <f t="shared" si="30"/>
        <v>45285</v>
      </c>
      <c r="M513" s="10" t="s">
        <v>62</v>
      </c>
      <c r="N513" s="1" t="s">
        <v>371</v>
      </c>
      <c r="O513" s="67" t="str">
        <f t="shared" ca="1" si="31"/>
        <v>Vencido</v>
      </c>
      <c r="P513" s="67"/>
      <c r="Q513" s="67">
        <f t="shared" ca="1" si="32"/>
        <v>2009</v>
      </c>
    </row>
    <row r="514" spans="2:17" ht="28" x14ac:dyDescent="0.35">
      <c r="B514" s="50">
        <v>9</v>
      </c>
      <c r="C514" s="51" t="s">
        <v>24</v>
      </c>
      <c r="D514" s="52">
        <v>56</v>
      </c>
      <c r="E514" s="52">
        <v>1</v>
      </c>
      <c r="F514" s="53" t="s">
        <v>2937</v>
      </c>
      <c r="G514" s="18" t="s">
        <v>2806</v>
      </c>
      <c r="H514" s="54" t="str">
        <f t="shared" si="29"/>
        <v>MM-JUP-056.01 - Proteção de barras e falha disjuntor</v>
      </c>
      <c r="I514" s="18" t="s">
        <v>2807</v>
      </c>
      <c r="J514" s="55" t="str">
        <f>VLOOKUP(D514,GM!$D$4:$G$1637,4,3)&amp;" e "&amp;C514</f>
        <v>ENGENHARIA ELÉTRICA  e JUP</v>
      </c>
      <c r="K514" s="164">
        <v>45274</v>
      </c>
      <c r="L514" s="164">
        <f t="shared" si="30"/>
        <v>46370</v>
      </c>
      <c r="M514" s="10" t="s">
        <v>62</v>
      </c>
      <c r="N514" s="1" t="s">
        <v>371</v>
      </c>
      <c r="O514" s="67" t="str">
        <f t="shared" ca="1" si="31"/>
        <v>Alerta</v>
      </c>
      <c r="P514" s="67"/>
      <c r="Q514" s="67">
        <f t="shared" ca="1" si="32"/>
        <v>924</v>
      </c>
    </row>
    <row r="515" spans="2:17" ht="26" x14ac:dyDescent="0.35">
      <c r="B515" s="50">
        <v>9</v>
      </c>
      <c r="C515" s="51" t="s">
        <v>24</v>
      </c>
      <c r="D515" s="52">
        <v>60</v>
      </c>
      <c r="E515" s="52">
        <v>0</v>
      </c>
      <c r="F515" s="53" t="s">
        <v>2938</v>
      </c>
      <c r="G515" s="53" t="s">
        <v>2017</v>
      </c>
      <c r="H515" s="54" t="str">
        <f t="shared" si="29"/>
        <v>MM-JUP-060.00 - Manual de Manutenção sistema LGE</v>
      </c>
      <c r="I515" s="55" t="s">
        <v>2018</v>
      </c>
      <c r="J515" s="55" t="str">
        <f>VLOOKUP(D515,GM!$D$4:$G$1637,4,3)&amp;" e "&amp;C515</f>
        <v>ENGENHARIA MECÂNICA  e JUP</v>
      </c>
      <c r="K515" s="164">
        <v>44042</v>
      </c>
      <c r="L515" s="164">
        <f t="shared" si="30"/>
        <v>45138</v>
      </c>
      <c r="M515" s="10" t="s">
        <v>62</v>
      </c>
      <c r="N515" s="1" t="s">
        <v>371</v>
      </c>
      <c r="O515" s="67" t="str">
        <f t="shared" ca="1" si="31"/>
        <v>Vencido</v>
      </c>
      <c r="P515" s="67"/>
      <c r="Q515" s="67">
        <f t="shared" ca="1" si="32"/>
        <v>2156</v>
      </c>
    </row>
    <row r="516" spans="2:17" ht="26" x14ac:dyDescent="0.35">
      <c r="B516" s="50">
        <v>9</v>
      </c>
      <c r="C516" s="51" t="s">
        <v>24</v>
      </c>
      <c r="D516" s="52">
        <v>60</v>
      </c>
      <c r="E516" s="52">
        <v>1</v>
      </c>
      <c r="F516" s="53" t="s">
        <v>2939</v>
      </c>
      <c r="G516" s="53" t="s">
        <v>2940</v>
      </c>
      <c r="H516" s="54" t="str">
        <f t="shared" si="29"/>
        <v>MM-JUP-060.01 - Manual de operação anti-incêndio
Procedimento Operacional do Sistema Hidrantes</v>
      </c>
      <c r="I516" s="55" t="s">
        <v>2018</v>
      </c>
      <c r="J516" s="55" t="str">
        <f>VLOOKUP(D516,GM!$D$4:$G$1637,4,3)&amp;" e "&amp;C516</f>
        <v>ENGENHARIA MECÂNICA  e JUP</v>
      </c>
      <c r="K516" s="164"/>
      <c r="L516" s="164"/>
      <c r="M516" s="11" t="s">
        <v>267</v>
      </c>
      <c r="O516" s="67" t="str">
        <f t="shared" ca="1" si="31"/>
        <v>Vencido</v>
      </c>
      <c r="P516" s="67"/>
      <c r="Q516" s="67">
        <f t="shared" ca="1" si="32"/>
        <v>46198</v>
      </c>
    </row>
    <row r="517" spans="2:17" ht="37.5" x14ac:dyDescent="0.35">
      <c r="B517" s="50">
        <v>9</v>
      </c>
      <c r="C517" s="51" t="s">
        <v>24</v>
      </c>
      <c r="D517" s="52">
        <v>62</v>
      </c>
      <c r="E517" s="52">
        <v>1</v>
      </c>
      <c r="F517" s="53" t="s">
        <v>2941</v>
      </c>
      <c r="G517" s="53" t="s">
        <v>2942</v>
      </c>
      <c r="H517" s="54" t="str">
        <f t="shared" si="29"/>
        <v>MM-JUP-062.01 - UHE JUP - Troca de vedações do Servomotor do Acumulador de Energia da Comporta de Emergência</v>
      </c>
      <c r="I517" s="18" t="s">
        <v>2506</v>
      </c>
      <c r="J517" s="55" t="str">
        <f>VLOOKUP(D517,GM!$D$4:$G$1637,4,3)&amp;" e "&amp;C517</f>
        <v>ENGENHARIA MECÂNICA  e JUP</v>
      </c>
      <c r="K517" s="164"/>
      <c r="L517" s="164"/>
      <c r="M517" s="11" t="s">
        <v>267</v>
      </c>
      <c r="O517" s="67" t="str">
        <f t="shared" ca="1" si="31"/>
        <v>Vencido</v>
      </c>
      <c r="P517" s="67"/>
      <c r="Q517" s="67">
        <f t="shared" ca="1" si="32"/>
        <v>46198</v>
      </c>
    </row>
    <row r="518" spans="2:17" ht="25" hidden="1" x14ac:dyDescent="0.35">
      <c r="B518" s="50">
        <v>9</v>
      </c>
      <c r="C518" s="51" t="s">
        <v>24</v>
      </c>
      <c r="D518" s="52">
        <v>62</v>
      </c>
      <c r="E518" s="52">
        <v>2</v>
      </c>
      <c r="F518" s="53" t="s">
        <v>2943</v>
      </c>
      <c r="G518" s="53" t="s">
        <v>2944</v>
      </c>
      <c r="H518" s="54" t="str">
        <f t="shared" ref="H518:H581" si="33">(F518)&amp;" - "&amp;(G518)</f>
        <v xml:space="preserve">MM-JUP-062.02 - MPP0 Comporta de Emergência </v>
      </c>
      <c r="I518" s="18" t="s">
        <v>2506</v>
      </c>
      <c r="J518" s="55" t="str">
        <f>VLOOKUP(D518,GM!$D$4:$G$1637,4,3)&amp;" e "&amp;C518</f>
        <v>ENGENHARIA MECÂNICA  e JUP</v>
      </c>
      <c r="K518" s="164">
        <v>45791</v>
      </c>
      <c r="L518" s="164">
        <f t="shared" si="30"/>
        <v>46887</v>
      </c>
      <c r="M518" s="10" t="s">
        <v>62</v>
      </c>
      <c r="N518" s="1" t="s">
        <v>371</v>
      </c>
      <c r="O518" s="67" t="str">
        <f t="shared" ca="1" si="31"/>
        <v>Em dia</v>
      </c>
      <c r="P518" s="67"/>
      <c r="Q518" s="67">
        <f t="shared" ca="1" si="32"/>
        <v>407</v>
      </c>
    </row>
    <row r="519" spans="2:17" ht="25" x14ac:dyDescent="0.35">
      <c r="B519" s="50">
        <v>9</v>
      </c>
      <c r="C519" s="51" t="s">
        <v>24</v>
      </c>
      <c r="D519" s="52">
        <v>62</v>
      </c>
      <c r="E519" s="52">
        <v>3</v>
      </c>
      <c r="F519" s="53" t="s">
        <v>2945</v>
      </c>
      <c r="G519" s="18" t="s">
        <v>2946</v>
      </c>
      <c r="H519" s="54" t="str">
        <f t="shared" si="33"/>
        <v>MM-JUP-062.03 - MPP0_Comporta de emergência</v>
      </c>
      <c r="I519" s="18" t="s">
        <v>2506</v>
      </c>
      <c r="J519" s="55" t="str">
        <f>VLOOKUP(D519,GM!$D$4:$G$1637,4,3)&amp;" e "&amp;C519</f>
        <v>ENGENHARIA MECÂNICA  e JUP</v>
      </c>
      <c r="K519" s="164"/>
      <c r="L519" s="164"/>
      <c r="M519" s="11" t="s">
        <v>267</v>
      </c>
      <c r="O519" s="67" t="str">
        <f t="shared" ca="1" si="31"/>
        <v>Vencido</v>
      </c>
      <c r="P519" s="67"/>
      <c r="Q519" s="67">
        <f t="shared" ca="1" si="32"/>
        <v>46198</v>
      </c>
    </row>
    <row r="520" spans="2:17" ht="25" x14ac:dyDescent="0.35">
      <c r="B520" s="50">
        <v>9</v>
      </c>
      <c r="C520" s="51" t="s">
        <v>24</v>
      </c>
      <c r="D520" s="52">
        <v>63</v>
      </c>
      <c r="E520" s="52">
        <v>1</v>
      </c>
      <c r="F520" s="53" t="s">
        <v>2947</v>
      </c>
      <c r="G520" s="67" t="s">
        <v>2948</v>
      </c>
      <c r="H520" s="54" t="str">
        <f t="shared" si="33"/>
        <v>MM-JUP-063.01 - Manutenção Preventiva Trimestral_Anual Portico Jusante</v>
      </c>
      <c r="I520" s="18" t="s">
        <v>2034</v>
      </c>
      <c r="J520" s="55" t="str">
        <f>VLOOKUP(D520,GM!$D$4:$G$1637,4,3)&amp;" e "&amp;C520</f>
        <v>ENGENHARIA MECÂNICA  e JUP</v>
      </c>
      <c r="K520" s="164"/>
      <c r="L520" s="164"/>
      <c r="M520" s="11" t="s">
        <v>267</v>
      </c>
      <c r="O520" s="67" t="str">
        <f t="shared" ref="O520:O583" ca="1" si="34">IF(Q520="","",IF(Q520&gt;1095,"Vencido",IF(Q520&gt;910,"Alerta",IF(Q520&gt;820,"Alerta",IF(Q520&gt;730,"Alerta",IF(Q520&gt;=0,"Em dia","Vencido"))))))</f>
        <v>Vencido</v>
      </c>
      <c r="P520" s="67"/>
      <c r="Q520" s="67">
        <f t="shared" ca="1" si="32"/>
        <v>46198</v>
      </c>
    </row>
    <row r="521" spans="2:17" ht="25" x14ac:dyDescent="0.35">
      <c r="B521" s="50">
        <v>9</v>
      </c>
      <c r="C521" s="51" t="s">
        <v>24</v>
      </c>
      <c r="D521" s="52">
        <v>85</v>
      </c>
      <c r="E521" s="52">
        <v>1</v>
      </c>
      <c r="F521" s="53" t="s">
        <v>2949</v>
      </c>
      <c r="G521" s="53" t="s">
        <v>2950</v>
      </c>
      <c r="H521" s="54" t="str">
        <f t="shared" si="33"/>
        <v>MM-JUP-085.01 - Manutenção em Eclusas</v>
      </c>
      <c r="I521" s="57" t="s">
        <v>2951</v>
      </c>
      <c r="J521" s="55" t="str">
        <f>VLOOKUP(D521,GM!$D$4:$G$1637,4,3)&amp;" e "&amp;C521</f>
        <v>ENGENHARIA MECÂNICA  e JUP</v>
      </c>
      <c r="K521" s="164">
        <v>44062</v>
      </c>
      <c r="L521" s="164">
        <f t="shared" ref="L521:L582" si="35">K521+1096</f>
        <v>45158</v>
      </c>
      <c r="M521" s="10" t="s">
        <v>62</v>
      </c>
      <c r="N521" s="1" t="s">
        <v>371</v>
      </c>
      <c r="O521" s="67" t="str">
        <f t="shared" ca="1" si="34"/>
        <v>Vencido</v>
      </c>
      <c r="P521" s="67"/>
      <c r="Q521" s="67">
        <f t="shared" ca="1" si="32"/>
        <v>2136</v>
      </c>
    </row>
    <row r="522" spans="2:17" ht="26" x14ac:dyDescent="0.35">
      <c r="B522" s="50">
        <v>10</v>
      </c>
      <c r="C522" s="51" t="s">
        <v>21</v>
      </c>
      <c r="D522" s="52">
        <v>0</v>
      </c>
      <c r="E522" s="52">
        <v>2</v>
      </c>
      <c r="F522" s="53" t="s">
        <v>2952</v>
      </c>
      <c r="G522" s="53" t="s">
        <v>1972</v>
      </c>
      <c r="H522" s="54" t="str">
        <f t="shared" si="33"/>
        <v>MM-PLM-000.02 - Procedimentos Execução Mergulho Profissional</v>
      </c>
      <c r="I522" s="55" t="s">
        <v>1973</v>
      </c>
      <c r="J522" s="55" t="str">
        <f>VLOOKUP(D522,GM!$D$4:$G$1637,4,3)&amp;" e "&amp;C522</f>
        <v>ENGENHARIA  e PLM</v>
      </c>
      <c r="K522" s="164">
        <v>44063</v>
      </c>
      <c r="L522" s="164">
        <f t="shared" si="35"/>
        <v>45159</v>
      </c>
      <c r="M522" s="10" t="s">
        <v>62</v>
      </c>
      <c r="N522" s="1" t="s">
        <v>371</v>
      </c>
      <c r="O522" s="67" t="str">
        <f t="shared" ca="1" si="34"/>
        <v>Vencido</v>
      </c>
      <c r="P522" s="67"/>
      <c r="Q522" s="67">
        <f t="shared" ref="Q522:Q585" ca="1" si="36">$P$4-K522</f>
        <v>2135</v>
      </c>
    </row>
    <row r="523" spans="2:17" ht="25" x14ac:dyDescent="0.35">
      <c r="B523" s="50">
        <v>10</v>
      </c>
      <c r="C523" s="51" t="s">
        <v>21</v>
      </c>
      <c r="D523" s="52">
        <v>1</v>
      </c>
      <c r="E523" s="52">
        <v>25</v>
      </c>
      <c r="F523" s="53" t="s">
        <v>2953</v>
      </c>
      <c r="G523" s="53" t="s">
        <v>1978</v>
      </c>
      <c r="H523" s="54" t="str">
        <f t="shared" si="33"/>
        <v>MM-PLM-001.25 - Plano de Lubrificação da Turbina</v>
      </c>
      <c r="I523" s="55" t="s">
        <v>1976</v>
      </c>
      <c r="J523" s="55" t="str">
        <f>VLOOKUP(D523,GM!$D$4:$G$1637,4,3)&amp;" e "&amp;C523</f>
        <v>ENGENHARIA MECÂNICA  e PLM</v>
      </c>
      <c r="K523" s="164">
        <v>44082</v>
      </c>
      <c r="L523" s="164">
        <f t="shared" si="35"/>
        <v>45178</v>
      </c>
      <c r="M523" s="10" t="s">
        <v>62</v>
      </c>
      <c r="N523" s="1" t="s">
        <v>371</v>
      </c>
      <c r="O523" s="67" t="str">
        <f t="shared" ca="1" si="34"/>
        <v>Vencido</v>
      </c>
      <c r="P523" s="67"/>
      <c r="Q523" s="67">
        <f t="shared" ca="1" si="36"/>
        <v>2116</v>
      </c>
    </row>
    <row r="524" spans="2:17" ht="25" hidden="1" x14ac:dyDescent="0.35">
      <c r="B524" s="50">
        <v>10</v>
      </c>
      <c r="C524" s="51" t="s">
        <v>21</v>
      </c>
      <c r="D524" s="52">
        <v>6</v>
      </c>
      <c r="E524" s="52">
        <v>0</v>
      </c>
      <c r="F524" s="53" t="s">
        <v>2954</v>
      </c>
      <c r="G524" s="53" t="s">
        <v>1980</v>
      </c>
      <c r="H524" s="54" t="str">
        <f t="shared" si="33"/>
        <v>MM-PLM-006.00 - Coleta de Amostras de Óleo Isolante</v>
      </c>
      <c r="I524" s="57" t="s">
        <v>2034</v>
      </c>
      <c r="J524" s="55" t="str">
        <f>VLOOKUP(D524,GM!$D$4:$G$1637,4,3)&amp;" e "&amp;C524</f>
        <v>ENGENHARIA ELÉTRICA  e PLM</v>
      </c>
      <c r="K524" s="164">
        <v>45743</v>
      </c>
      <c r="L524" s="164">
        <f t="shared" si="35"/>
        <v>46839</v>
      </c>
      <c r="M524" s="10" t="s">
        <v>62</v>
      </c>
      <c r="N524" s="1" t="s">
        <v>371</v>
      </c>
      <c r="O524" s="67" t="str">
        <f t="shared" ca="1" si="34"/>
        <v>Em dia</v>
      </c>
      <c r="P524" s="67"/>
      <c r="Q524" s="67">
        <f t="shared" ca="1" si="36"/>
        <v>455</v>
      </c>
    </row>
    <row r="525" spans="2:17" ht="25" x14ac:dyDescent="0.35">
      <c r="B525" s="50">
        <v>10</v>
      </c>
      <c r="C525" s="51" t="s">
        <v>21</v>
      </c>
      <c r="D525" s="52">
        <v>22</v>
      </c>
      <c r="E525" s="52">
        <v>3</v>
      </c>
      <c r="F525" s="53" t="s">
        <v>2955</v>
      </c>
      <c r="G525" s="53" t="s">
        <v>1986</v>
      </c>
      <c r="H525" s="54" t="str">
        <f t="shared" si="33"/>
        <v>MM-PLM-022.03 - Plano de Lubrificação dos Compressores</v>
      </c>
      <c r="I525" s="57" t="s">
        <v>1987</v>
      </c>
      <c r="J525" s="55" t="str">
        <f>VLOOKUP(D525,GM!$D$4:$G$1637,4,3)&amp;" e "&amp;C525</f>
        <v>ENGENHARIA MECÂNICA  e PLM</v>
      </c>
      <c r="K525" s="164">
        <v>44082</v>
      </c>
      <c r="L525" s="164">
        <f t="shared" si="35"/>
        <v>45178</v>
      </c>
      <c r="M525" s="10" t="s">
        <v>62</v>
      </c>
      <c r="N525" s="1" t="s">
        <v>371</v>
      </c>
      <c r="O525" s="67" t="str">
        <f t="shared" ca="1" si="34"/>
        <v>Vencido</v>
      </c>
      <c r="P525" s="67"/>
      <c r="Q525" s="67">
        <f t="shared" ca="1" si="36"/>
        <v>2116</v>
      </c>
    </row>
    <row r="526" spans="2:17" ht="25" x14ac:dyDescent="0.35">
      <c r="B526" s="50">
        <v>10</v>
      </c>
      <c r="C526" s="51" t="s">
        <v>21</v>
      </c>
      <c r="D526" s="52">
        <v>23</v>
      </c>
      <c r="E526" s="52">
        <v>3</v>
      </c>
      <c r="F526" s="53" t="s">
        <v>2956</v>
      </c>
      <c r="G526" s="53" t="s">
        <v>1989</v>
      </c>
      <c r="H526" s="54" t="str">
        <f t="shared" si="33"/>
        <v>MM-PLM-023.03 - Plano de Lubrificação do sistema de Refrigeração</v>
      </c>
      <c r="I526" s="57" t="s">
        <v>1990</v>
      </c>
      <c r="J526" s="55" t="str">
        <f>VLOOKUP(D526,GM!$D$4:$G$1637,4,3)&amp;" e "&amp;C526</f>
        <v>ENGENHARIA MECÂNICA  e PLM</v>
      </c>
      <c r="K526" s="164">
        <v>44082</v>
      </c>
      <c r="L526" s="164">
        <f t="shared" si="35"/>
        <v>45178</v>
      </c>
      <c r="M526" s="10" t="s">
        <v>62</v>
      </c>
      <c r="N526" s="1" t="s">
        <v>371</v>
      </c>
      <c r="O526" s="67" t="str">
        <f t="shared" ca="1" si="34"/>
        <v>Vencido</v>
      </c>
      <c r="P526" s="67"/>
      <c r="Q526" s="67">
        <f t="shared" ca="1" si="36"/>
        <v>2116</v>
      </c>
    </row>
    <row r="527" spans="2:17" ht="25" x14ac:dyDescent="0.35">
      <c r="B527" s="50">
        <v>10</v>
      </c>
      <c r="C527" s="51" t="s">
        <v>21</v>
      </c>
      <c r="D527" s="52">
        <v>24</v>
      </c>
      <c r="E527" s="52">
        <v>1</v>
      </c>
      <c r="F527" s="53" t="s">
        <v>2957</v>
      </c>
      <c r="G527" s="53" t="s">
        <v>1992</v>
      </c>
      <c r="H527" s="54" t="str">
        <f t="shared" si="33"/>
        <v>MM-PLM-024.01 - Procedimento Para Reabastecimento dos GAE</v>
      </c>
      <c r="I527" s="57" t="s">
        <v>1993</v>
      </c>
      <c r="J527" s="55" t="str">
        <f>VLOOKUP(D527,GM!$D$4:$G$1637,4,3)&amp;" e "&amp;C527</f>
        <v>ENGENHARIA MECÂNICA  e PLM</v>
      </c>
      <c r="K527" s="164">
        <v>44062</v>
      </c>
      <c r="L527" s="164">
        <f t="shared" si="35"/>
        <v>45158</v>
      </c>
      <c r="M527" s="10" t="s">
        <v>62</v>
      </c>
      <c r="N527" s="1" t="s">
        <v>371</v>
      </c>
      <c r="O527" s="67" t="str">
        <f t="shared" ca="1" si="34"/>
        <v>Vencido</v>
      </c>
      <c r="P527" s="67"/>
      <c r="Q527" s="67">
        <f t="shared" ca="1" si="36"/>
        <v>2136</v>
      </c>
    </row>
    <row r="528" spans="2:17" ht="25" x14ac:dyDescent="0.35">
      <c r="B528" s="50">
        <v>10</v>
      </c>
      <c r="C528" s="51" t="s">
        <v>21</v>
      </c>
      <c r="D528" s="52">
        <v>24</v>
      </c>
      <c r="E528" s="52">
        <v>4</v>
      </c>
      <c r="F528" s="53" t="s">
        <v>2958</v>
      </c>
      <c r="G528" s="53" t="s">
        <v>1995</v>
      </c>
      <c r="H528" s="54" t="str">
        <f t="shared" si="33"/>
        <v>MM-PLM-024.04 - Plano de Lubrificação do GAE</v>
      </c>
      <c r="I528" s="57" t="s">
        <v>1993</v>
      </c>
      <c r="J528" s="55" t="str">
        <f>VLOOKUP(D528,GM!$D$4:$G$1637,4,3)&amp;" e "&amp;C528</f>
        <v>ENGENHARIA MECÂNICA  e PLM</v>
      </c>
      <c r="K528" s="164">
        <v>44082</v>
      </c>
      <c r="L528" s="164">
        <f t="shared" si="35"/>
        <v>45178</v>
      </c>
      <c r="M528" s="10" t="s">
        <v>62</v>
      </c>
      <c r="N528" s="1" t="s">
        <v>371</v>
      </c>
      <c r="O528" s="67" t="str">
        <f t="shared" ca="1" si="34"/>
        <v>Vencido</v>
      </c>
      <c r="P528" s="67"/>
      <c r="Q528" s="67">
        <f t="shared" ca="1" si="36"/>
        <v>2116</v>
      </c>
    </row>
    <row r="529" spans="2:17" ht="26" x14ac:dyDescent="0.35">
      <c r="B529" s="50">
        <v>10</v>
      </c>
      <c r="C529" s="51" t="s">
        <v>21</v>
      </c>
      <c r="D529" s="52">
        <v>26</v>
      </c>
      <c r="E529" s="52">
        <v>7</v>
      </c>
      <c r="F529" s="53" t="s">
        <v>2959</v>
      </c>
      <c r="G529" s="53" t="s">
        <v>1997</v>
      </c>
      <c r="H529" s="54" t="str">
        <f t="shared" si="33"/>
        <v>MM-PLM-026.07 - Plano de Lubrificação do Sistema Drenagem e Esg</v>
      </c>
      <c r="I529" s="55" t="s">
        <v>1998</v>
      </c>
      <c r="J529" s="55" t="str">
        <f>VLOOKUP(D529,GM!$D$4:$G$1637,4,3)&amp;" e "&amp;C529</f>
        <v>ENGENHARIA MECÂNICA  e PLM</v>
      </c>
      <c r="K529" s="164">
        <v>44082</v>
      </c>
      <c r="L529" s="164">
        <f t="shared" si="35"/>
        <v>45178</v>
      </c>
      <c r="M529" s="10" t="s">
        <v>62</v>
      </c>
      <c r="N529" s="1" t="s">
        <v>371</v>
      </c>
      <c r="O529" s="67" t="str">
        <f t="shared" ca="1" si="34"/>
        <v>Vencido</v>
      </c>
      <c r="P529" s="67"/>
      <c r="Q529" s="67">
        <f t="shared" ca="1" si="36"/>
        <v>2116</v>
      </c>
    </row>
    <row r="530" spans="2:17" ht="25" x14ac:dyDescent="0.35">
      <c r="B530" s="50">
        <v>10</v>
      </c>
      <c r="C530" s="51" t="s">
        <v>21</v>
      </c>
      <c r="D530" s="52">
        <v>28</v>
      </c>
      <c r="E530" s="52">
        <v>2</v>
      </c>
      <c r="F530" s="53" t="s">
        <v>2960</v>
      </c>
      <c r="G530" s="53" t="s">
        <v>2000</v>
      </c>
      <c r="H530" s="54" t="str">
        <f t="shared" si="33"/>
        <v>MM-PLM-028.02 - Procedimento Manuseio Comportas de Manutenção</v>
      </c>
      <c r="I530" s="55" t="s">
        <v>2001</v>
      </c>
      <c r="J530" s="55" t="str">
        <f>VLOOKUP(D530,GM!$D$4:$G$1637,4,3)&amp;" e "&amp;C530</f>
        <v>ENGENHARIA MECÂNICA  e PLM</v>
      </c>
      <c r="K530" s="164">
        <v>44062</v>
      </c>
      <c r="L530" s="164">
        <f t="shared" si="35"/>
        <v>45158</v>
      </c>
      <c r="M530" s="10" t="s">
        <v>62</v>
      </c>
      <c r="N530" s="1" t="s">
        <v>371</v>
      </c>
      <c r="O530" s="67" t="str">
        <f t="shared" ca="1" si="34"/>
        <v>Vencido</v>
      </c>
      <c r="P530" s="67"/>
      <c r="Q530" s="67">
        <f t="shared" ca="1" si="36"/>
        <v>2136</v>
      </c>
    </row>
    <row r="531" spans="2:17" ht="25" x14ac:dyDescent="0.35">
      <c r="B531" s="50">
        <v>10</v>
      </c>
      <c r="C531" s="51" t="s">
        <v>21</v>
      </c>
      <c r="D531" s="52">
        <v>30</v>
      </c>
      <c r="E531" s="52">
        <v>1</v>
      </c>
      <c r="F531" s="53" t="s">
        <v>2961</v>
      </c>
      <c r="G531" s="53" t="s">
        <v>2099</v>
      </c>
      <c r="H531" s="54" t="str">
        <f t="shared" si="33"/>
        <v>MM-PLM-030.01 - Plano de Lubrificação do Pórtico Montante</v>
      </c>
      <c r="I531" s="57" t="s">
        <v>2097</v>
      </c>
      <c r="J531" s="55" t="str">
        <f>VLOOKUP(D531,GM!$D$4:$G$1637,4,3)&amp;" e "&amp;C531</f>
        <v>ENGENHARIA MECÂNICA  e PLM</v>
      </c>
      <c r="K531" s="164">
        <v>44082</v>
      </c>
      <c r="L531" s="164">
        <f t="shared" si="35"/>
        <v>45178</v>
      </c>
      <c r="M531" s="10" t="s">
        <v>62</v>
      </c>
      <c r="N531" s="1" t="s">
        <v>371</v>
      </c>
      <c r="O531" s="67" t="str">
        <f t="shared" ca="1" si="34"/>
        <v>Vencido</v>
      </c>
      <c r="P531" s="67"/>
      <c r="Q531" s="67">
        <f t="shared" ca="1" si="36"/>
        <v>2116</v>
      </c>
    </row>
    <row r="532" spans="2:17" ht="25" x14ac:dyDescent="0.35">
      <c r="B532" s="50">
        <v>10</v>
      </c>
      <c r="C532" s="51" t="s">
        <v>21</v>
      </c>
      <c r="D532" s="52">
        <v>31</v>
      </c>
      <c r="E532" s="52">
        <v>21</v>
      </c>
      <c r="F532" s="53" t="s">
        <v>2962</v>
      </c>
      <c r="G532" s="53" t="s">
        <v>2112</v>
      </c>
      <c r="H532" s="54" t="str">
        <f t="shared" si="33"/>
        <v>MM-PLM-031.21 - Plano de Lubrificação da Ponte Rolante</v>
      </c>
      <c r="I532" s="55" t="s">
        <v>2113</v>
      </c>
      <c r="J532" s="55" t="str">
        <f>VLOOKUP(D532,GM!$D$4:$G$1637,4,3)&amp;" e "&amp;C532</f>
        <v>ENGENHARIA MECÂNICA  e PLM</v>
      </c>
      <c r="K532" s="164">
        <v>44082</v>
      </c>
      <c r="L532" s="164">
        <f t="shared" si="35"/>
        <v>45178</v>
      </c>
      <c r="M532" s="10" t="s">
        <v>62</v>
      </c>
      <c r="N532" s="1" t="s">
        <v>371</v>
      </c>
      <c r="O532" s="67" t="str">
        <f t="shared" ca="1" si="34"/>
        <v>Vencido</v>
      </c>
      <c r="P532" s="67"/>
      <c r="Q532" s="67">
        <f t="shared" ca="1" si="36"/>
        <v>2116</v>
      </c>
    </row>
    <row r="533" spans="2:17" ht="25" hidden="1" x14ac:dyDescent="0.35">
      <c r="B533" s="50">
        <v>10</v>
      </c>
      <c r="C533" s="51" t="s">
        <v>21</v>
      </c>
      <c r="D533" s="52">
        <v>41</v>
      </c>
      <c r="E533" s="52">
        <v>0</v>
      </c>
      <c r="F533" s="53" t="s">
        <v>2963</v>
      </c>
      <c r="G533" s="53" t="s">
        <v>2009</v>
      </c>
      <c r="H533" s="54" t="str">
        <f t="shared" si="33"/>
        <v>MM-PLM-041.00 - Manutenção Preventiva  SPDA – Escopo 2</v>
      </c>
      <c r="I533" s="57" t="s">
        <v>2010</v>
      </c>
      <c r="J533" s="55" t="str">
        <f>VLOOKUP(D533,GM!$D$4:$G$1637,4,3)&amp;" e "&amp;C533</f>
        <v>ENGENHARIA ELÉTRICA  e PLM</v>
      </c>
      <c r="K533" s="164">
        <v>45755</v>
      </c>
      <c r="L533" s="164">
        <f t="shared" si="35"/>
        <v>46851</v>
      </c>
      <c r="M533" s="10" t="s">
        <v>62</v>
      </c>
      <c r="N533" s="1" t="s">
        <v>371</v>
      </c>
      <c r="O533" s="67" t="str">
        <f t="shared" ca="1" si="34"/>
        <v>Em dia</v>
      </c>
      <c r="P533" s="67"/>
      <c r="Q533" s="67">
        <f t="shared" ca="1" si="36"/>
        <v>443</v>
      </c>
    </row>
    <row r="534" spans="2:17" ht="25" hidden="1" x14ac:dyDescent="0.35">
      <c r="B534" s="50">
        <v>10</v>
      </c>
      <c r="C534" s="51" t="s">
        <v>21</v>
      </c>
      <c r="D534" s="52">
        <v>41</v>
      </c>
      <c r="E534" s="52">
        <v>1</v>
      </c>
      <c r="F534" s="53" t="s">
        <v>2964</v>
      </c>
      <c r="G534" s="53" t="s">
        <v>2012</v>
      </c>
      <c r="H534" s="54" t="str">
        <f t="shared" si="33"/>
        <v>MM-PLM-041.01 - Manutenção Preventiva  SPDA – Escopo 1</v>
      </c>
      <c r="I534" s="57" t="s">
        <v>2010</v>
      </c>
      <c r="J534" s="55" t="str">
        <f>VLOOKUP(D534,GM!$D$4:$G$1637,4,3)&amp;" e "&amp;C534</f>
        <v>ENGENHARIA ELÉTRICA  e PLM</v>
      </c>
      <c r="K534" s="164">
        <v>45755</v>
      </c>
      <c r="L534" s="164">
        <f t="shared" si="35"/>
        <v>46851</v>
      </c>
      <c r="M534" s="10" t="s">
        <v>62</v>
      </c>
      <c r="N534" s="1" t="s">
        <v>371</v>
      </c>
      <c r="O534" s="67" t="str">
        <f t="shared" ca="1" si="34"/>
        <v>Em dia</v>
      </c>
      <c r="P534" s="67"/>
      <c r="Q534" s="67">
        <f t="shared" ca="1" si="36"/>
        <v>443</v>
      </c>
    </row>
    <row r="535" spans="2:17" ht="26" x14ac:dyDescent="0.35">
      <c r="B535" s="50">
        <v>10</v>
      </c>
      <c r="C535" s="51" t="s">
        <v>21</v>
      </c>
      <c r="D535" s="52">
        <v>60</v>
      </c>
      <c r="E535" s="52">
        <v>2</v>
      </c>
      <c r="F535" s="53" t="s">
        <v>2965</v>
      </c>
      <c r="G535" s="53" t="s">
        <v>2017</v>
      </c>
      <c r="H535" s="54" t="str">
        <f t="shared" si="33"/>
        <v>MM-PLM-060.02 - Manual de Manutenção sistema LGE</v>
      </c>
      <c r="I535" s="55" t="s">
        <v>2018</v>
      </c>
      <c r="J535" s="55" t="str">
        <f>VLOOKUP(D535,GM!$D$4:$G$1637,4,3)&amp;" e "&amp;C535</f>
        <v>ENGENHARIA MECÂNICA  e PLM</v>
      </c>
      <c r="K535" s="164">
        <v>44063</v>
      </c>
      <c r="L535" s="164">
        <f t="shared" si="35"/>
        <v>45159</v>
      </c>
      <c r="M535" s="10" t="s">
        <v>62</v>
      </c>
      <c r="N535" s="1" t="s">
        <v>371</v>
      </c>
      <c r="O535" s="67" t="str">
        <f t="shared" ca="1" si="34"/>
        <v>Vencido</v>
      </c>
      <c r="P535" s="67"/>
      <c r="Q535" s="67">
        <f t="shared" ca="1" si="36"/>
        <v>2135</v>
      </c>
    </row>
    <row r="536" spans="2:17" ht="25" x14ac:dyDescent="0.35">
      <c r="B536" s="50">
        <v>10</v>
      </c>
      <c r="C536" s="51" t="s">
        <v>21</v>
      </c>
      <c r="D536" s="52">
        <v>65</v>
      </c>
      <c r="E536" s="52">
        <v>1</v>
      </c>
      <c r="F536" s="53" t="s">
        <v>2966</v>
      </c>
      <c r="G536" s="53" t="s">
        <v>2022</v>
      </c>
      <c r="H536" s="54" t="str">
        <f t="shared" si="33"/>
        <v>MM-PLM-065.01 - Plano de Lubrificação Central Hidrau Comporta Emerg</v>
      </c>
      <c r="I536" s="57" t="s">
        <v>2023</v>
      </c>
      <c r="J536" s="55" t="str">
        <f>VLOOKUP(D536,GM!$D$4:$G$1637,4,3)&amp;" e "&amp;C536</f>
        <v>ENGENHARIA MECÂNICA  e PLM</v>
      </c>
      <c r="K536" s="164">
        <v>44082</v>
      </c>
      <c r="L536" s="164">
        <f t="shared" si="35"/>
        <v>45178</v>
      </c>
      <c r="M536" s="10" t="s">
        <v>62</v>
      </c>
      <c r="N536" s="1" t="s">
        <v>371</v>
      </c>
      <c r="O536" s="67" t="str">
        <f t="shared" ca="1" si="34"/>
        <v>Vencido</v>
      </c>
      <c r="P536" s="67"/>
      <c r="Q536" s="67">
        <f t="shared" ca="1" si="36"/>
        <v>2116</v>
      </c>
    </row>
    <row r="537" spans="2:17" ht="25" x14ac:dyDescent="0.35">
      <c r="B537" s="50">
        <v>10</v>
      </c>
      <c r="C537" s="51" t="s">
        <v>21</v>
      </c>
      <c r="D537" s="52">
        <v>65</v>
      </c>
      <c r="E537" s="52">
        <v>2</v>
      </c>
      <c r="F537" s="53" t="s">
        <v>2967</v>
      </c>
      <c r="G537" s="53" t="s">
        <v>2025</v>
      </c>
      <c r="H537" s="54" t="str">
        <f t="shared" si="33"/>
        <v>MM-PLM-065.02 - Plano de Lubrificação Central Hidrau do VS</v>
      </c>
      <c r="I537" s="57" t="s">
        <v>2026</v>
      </c>
      <c r="J537" s="55" t="str">
        <f>VLOOKUP(D537,GM!$D$4:$G$1637,4,3)&amp;" e "&amp;C537</f>
        <v>ENGENHARIA MECÂNICA  e PLM</v>
      </c>
      <c r="K537" s="164">
        <v>44082</v>
      </c>
      <c r="L537" s="164">
        <f t="shared" si="35"/>
        <v>45178</v>
      </c>
      <c r="M537" s="10" t="s">
        <v>62</v>
      </c>
      <c r="N537" s="1" t="s">
        <v>371</v>
      </c>
      <c r="O537" s="67" t="str">
        <f t="shared" ca="1" si="34"/>
        <v>Vencido</v>
      </c>
      <c r="P537" s="67"/>
      <c r="Q537" s="67">
        <f t="shared" ca="1" si="36"/>
        <v>2116</v>
      </c>
    </row>
    <row r="538" spans="2:17" ht="26" x14ac:dyDescent="0.35">
      <c r="B538" s="50">
        <v>11</v>
      </c>
      <c r="C538" s="51" t="s">
        <v>22</v>
      </c>
      <c r="D538" s="52">
        <v>0</v>
      </c>
      <c r="E538" s="52">
        <v>2</v>
      </c>
      <c r="F538" s="53" t="s">
        <v>2968</v>
      </c>
      <c r="G538" s="53" t="s">
        <v>1972</v>
      </c>
      <c r="H538" s="54" t="str">
        <f t="shared" si="33"/>
        <v>MM-RET-000.02 - Procedimentos Execução Mergulho Profissional</v>
      </c>
      <c r="I538" s="55" t="s">
        <v>1973</v>
      </c>
      <c r="J538" s="55" t="str">
        <f>VLOOKUP(D538,GM!$D$4:$G$1637,4,3)&amp;" e "&amp;C538</f>
        <v>ENGENHARIA  e RET</v>
      </c>
      <c r="K538" s="164">
        <v>44063</v>
      </c>
      <c r="L538" s="164">
        <f t="shared" si="35"/>
        <v>45159</v>
      </c>
      <c r="M538" s="10" t="s">
        <v>62</v>
      </c>
      <c r="N538" s="1" t="s">
        <v>371</v>
      </c>
      <c r="O538" s="67" t="str">
        <f t="shared" ca="1" si="34"/>
        <v>Vencido</v>
      </c>
      <c r="P538" s="67"/>
      <c r="Q538" s="67">
        <f t="shared" ca="1" si="36"/>
        <v>2135</v>
      </c>
    </row>
    <row r="539" spans="2:17" ht="25" x14ac:dyDescent="0.35">
      <c r="B539" s="50">
        <v>11</v>
      </c>
      <c r="C539" s="51" t="s">
        <v>22</v>
      </c>
      <c r="D539" s="52">
        <v>1</v>
      </c>
      <c r="E539" s="52">
        <v>25</v>
      </c>
      <c r="F539" s="53" t="s">
        <v>2969</v>
      </c>
      <c r="G539" s="53" t="s">
        <v>1978</v>
      </c>
      <c r="H539" s="54" t="str">
        <f t="shared" si="33"/>
        <v>MM-RET-001.25 - Plano de Lubrificação da Turbina</v>
      </c>
      <c r="I539" s="55" t="s">
        <v>1976</v>
      </c>
      <c r="J539" s="55" t="str">
        <f>VLOOKUP(D539,GM!$D$4:$G$1637,4,3)&amp;" e "&amp;C539</f>
        <v>ENGENHARIA MECÂNICA  e RET</v>
      </c>
      <c r="K539" s="164">
        <v>44083</v>
      </c>
      <c r="L539" s="164">
        <f t="shared" si="35"/>
        <v>45179</v>
      </c>
      <c r="M539" s="10" t="s">
        <v>62</v>
      </c>
      <c r="N539" s="1" t="s">
        <v>371</v>
      </c>
      <c r="O539" s="67" t="str">
        <f t="shared" ca="1" si="34"/>
        <v>Vencido</v>
      </c>
      <c r="P539" s="67"/>
      <c r="Q539" s="67">
        <f t="shared" ca="1" si="36"/>
        <v>2115</v>
      </c>
    </row>
    <row r="540" spans="2:17" ht="25" hidden="1" x14ac:dyDescent="0.35">
      <c r="B540" s="50">
        <v>11</v>
      </c>
      <c r="C540" s="51" t="s">
        <v>22</v>
      </c>
      <c r="D540" s="52">
        <v>6</v>
      </c>
      <c r="E540" s="52">
        <v>0</v>
      </c>
      <c r="F540" s="53" t="s">
        <v>2970</v>
      </c>
      <c r="G540" s="53" t="s">
        <v>1980</v>
      </c>
      <c r="H540" s="54" t="str">
        <f t="shared" si="33"/>
        <v>MM-RET-006.00 - Coleta de Amostras de Óleo Isolante</v>
      </c>
      <c r="I540" s="57" t="s">
        <v>2034</v>
      </c>
      <c r="J540" s="55" t="str">
        <f>VLOOKUP(D540,GM!$D$4:$G$1637,4,3)&amp;" e "&amp;C540</f>
        <v>ENGENHARIA ELÉTRICA  e RET</v>
      </c>
      <c r="K540" s="164">
        <v>45743</v>
      </c>
      <c r="L540" s="164">
        <f t="shared" si="35"/>
        <v>46839</v>
      </c>
      <c r="M540" s="10" t="s">
        <v>62</v>
      </c>
      <c r="N540" s="1" t="s">
        <v>371</v>
      </c>
      <c r="O540" s="67" t="str">
        <f t="shared" ca="1" si="34"/>
        <v>Em dia</v>
      </c>
      <c r="P540" s="67"/>
      <c r="Q540" s="67">
        <f t="shared" ca="1" si="36"/>
        <v>455</v>
      </c>
    </row>
    <row r="541" spans="2:17" ht="25" x14ac:dyDescent="0.35">
      <c r="B541" s="50">
        <v>11</v>
      </c>
      <c r="C541" s="51" t="s">
        <v>22</v>
      </c>
      <c r="D541" s="52">
        <v>22</v>
      </c>
      <c r="E541" s="52">
        <v>3</v>
      </c>
      <c r="F541" s="53" t="s">
        <v>2971</v>
      </c>
      <c r="G541" s="53" t="s">
        <v>1986</v>
      </c>
      <c r="H541" s="54" t="str">
        <f t="shared" si="33"/>
        <v>MM-RET-022.03 - Plano de Lubrificação dos Compressores</v>
      </c>
      <c r="I541" s="57" t="s">
        <v>1987</v>
      </c>
      <c r="J541" s="55" t="str">
        <f>VLOOKUP(D541,GM!$D$4:$G$1637,4,3)&amp;" e "&amp;C541</f>
        <v>ENGENHARIA MECÂNICA  e RET</v>
      </c>
      <c r="K541" s="164">
        <v>44083</v>
      </c>
      <c r="L541" s="164">
        <f t="shared" si="35"/>
        <v>45179</v>
      </c>
      <c r="M541" s="10" t="s">
        <v>62</v>
      </c>
      <c r="N541" s="1" t="s">
        <v>371</v>
      </c>
      <c r="O541" s="67" t="str">
        <f t="shared" ca="1" si="34"/>
        <v>Vencido</v>
      </c>
      <c r="P541" s="67"/>
      <c r="Q541" s="67">
        <f t="shared" ca="1" si="36"/>
        <v>2115</v>
      </c>
    </row>
    <row r="542" spans="2:17" ht="25" x14ac:dyDescent="0.35">
      <c r="B542" s="50">
        <v>11</v>
      </c>
      <c r="C542" s="51" t="s">
        <v>22</v>
      </c>
      <c r="D542" s="52">
        <v>24</v>
      </c>
      <c r="E542" s="52">
        <v>1</v>
      </c>
      <c r="F542" s="53" t="s">
        <v>2972</v>
      </c>
      <c r="G542" s="53" t="s">
        <v>1992</v>
      </c>
      <c r="H542" s="54" t="str">
        <f t="shared" si="33"/>
        <v>MM-RET-024.01 - Procedimento Para Reabastecimento dos GAE</v>
      </c>
      <c r="I542" s="57" t="s">
        <v>1993</v>
      </c>
      <c r="J542" s="55" t="str">
        <f>VLOOKUP(D542,GM!$D$4:$G$1637,4,3)&amp;" e "&amp;C542</f>
        <v>ENGENHARIA MECÂNICA  e RET</v>
      </c>
      <c r="K542" s="164">
        <v>44062</v>
      </c>
      <c r="L542" s="164">
        <f t="shared" si="35"/>
        <v>45158</v>
      </c>
      <c r="M542" s="10" t="s">
        <v>62</v>
      </c>
      <c r="N542" s="1" t="s">
        <v>371</v>
      </c>
      <c r="O542" s="67" t="str">
        <f t="shared" ca="1" si="34"/>
        <v>Vencido</v>
      </c>
      <c r="P542" s="67"/>
      <c r="Q542" s="67">
        <f t="shared" ca="1" si="36"/>
        <v>2136</v>
      </c>
    </row>
    <row r="543" spans="2:17" ht="25" x14ac:dyDescent="0.35">
      <c r="B543" s="50">
        <v>11</v>
      </c>
      <c r="C543" s="51" t="s">
        <v>22</v>
      </c>
      <c r="D543" s="52">
        <v>24</v>
      </c>
      <c r="E543" s="52">
        <v>4</v>
      </c>
      <c r="F543" s="53" t="s">
        <v>2973</v>
      </c>
      <c r="G543" s="53" t="s">
        <v>1995</v>
      </c>
      <c r="H543" s="54" t="str">
        <f t="shared" si="33"/>
        <v>MM-RET-024.04 - Plano de Lubrificação do GAE</v>
      </c>
      <c r="I543" s="57" t="s">
        <v>1993</v>
      </c>
      <c r="J543" s="55" t="str">
        <f>VLOOKUP(D543,GM!$D$4:$G$1637,4,3)&amp;" e "&amp;C543</f>
        <v>ENGENHARIA MECÂNICA  e RET</v>
      </c>
      <c r="K543" s="164">
        <v>44083</v>
      </c>
      <c r="L543" s="164">
        <f t="shared" si="35"/>
        <v>45179</v>
      </c>
      <c r="M543" s="10" t="s">
        <v>62</v>
      </c>
      <c r="N543" s="1" t="s">
        <v>371</v>
      </c>
      <c r="O543" s="67" t="str">
        <f t="shared" ca="1" si="34"/>
        <v>Vencido</v>
      </c>
      <c r="P543" s="67"/>
      <c r="Q543" s="67">
        <f t="shared" ca="1" si="36"/>
        <v>2115</v>
      </c>
    </row>
    <row r="544" spans="2:17" ht="26" x14ac:dyDescent="0.35">
      <c r="B544" s="50">
        <v>11</v>
      </c>
      <c r="C544" s="51" t="s">
        <v>22</v>
      </c>
      <c r="D544" s="52">
        <v>26</v>
      </c>
      <c r="E544" s="52">
        <v>7</v>
      </c>
      <c r="F544" s="53" t="s">
        <v>2974</v>
      </c>
      <c r="G544" s="53" t="s">
        <v>1997</v>
      </c>
      <c r="H544" s="54" t="str">
        <f t="shared" si="33"/>
        <v>MM-RET-026.07 - Plano de Lubrificação do Sistema Drenagem e Esg</v>
      </c>
      <c r="I544" s="55" t="s">
        <v>1998</v>
      </c>
      <c r="J544" s="55" t="str">
        <f>VLOOKUP(D544,GM!$D$4:$G$1637,4,3)&amp;" e "&amp;C544</f>
        <v>ENGENHARIA MECÂNICA  e RET</v>
      </c>
      <c r="K544" s="164">
        <v>44083</v>
      </c>
      <c r="L544" s="164">
        <f t="shared" si="35"/>
        <v>45179</v>
      </c>
      <c r="M544" s="10" t="s">
        <v>62</v>
      </c>
      <c r="N544" s="1" t="s">
        <v>371</v>
      </c>
      <c r="O544" s="67" t="str">
        <f t="shared" ca="1" si="34"/>
        <v>Vencido</v>
      </c>
      <c r="P544" s="67"/>
      <c r="Q544" s="67">
        <f t="shared" ca="1" si="36"/>
        <v>2115</v>
      </c>
    </row>
    <row r="545" spans="2:17" ht="25" x14ac:dyDescent="0.35">
      <c r="B545" s="50">
        <v>11</v>
      </c>
      <c r="C545" s="51" t="s">
        <v>22</v>
      </c>
      <c r="D545" s="52">
        <v>28</v>
      </c>
      <c r="E545" s="52">
        <v>2</v>
      </c>
      <c r="F545" s="53" t="s">
        <v>2975</v>
      </c>
      <c r="G545" s="53" t="s">
        <v>2000</v>
      </c>
      <c r="H545" s="54" t="str">
        <f t="shared" si="33"/>
        <v>MM-RET-028.02 - Procedimento Manuseio Comportas de Manutenção</v>
      </c>
      <c r="I545" s="55" t="s">
        <v>2001</v>
      </c>
      <c r="J545" s="55" t="str">
        <f>VLOOKUP(D545,GM!$D$4:$G$1637,4,3)&amp;" e "&amp;C545</f>
        <v>ENGENHARIA MECÂNICA  e RET</v>
      </c>
      <c r="K545" s="164">
        <v>44062</v>
      </c>
      <c r="L545" s="164">
        <f t="shared" si="35"/>
        <v>45158</v>
      </c>
      <c r="M545" s="10" t="s">
        <v>62</v>
      </c>
      <c r="N545" s="1" t="s">
        <v>371</v>
      </c>
      <c r="O545" s="67" t="str">
        <f t="shared" ca="1" si="34"/>
        <v>Vencido</v>
      </c>
      <c r="P545" s="67"/>
      <c r="Q545" s="67">
        <f t="shared" ca="1" si="36"/>
        <v>2136</v>
      </c>
    </row>
    <row r="546" spans="2:17" ht="25" x14ac:dyDescent="0.35">
      <c r="B546" s="50">
        <v>11</v>
      </c>
      <c r="C546" s="51" t="s">
        <v>22</v>
      </c>
      <c r="D546" s="52">
        <v>30</v>
      </c>
      <c r="E546" s="52">
        <v>1</v>
      </c>
      <c r="F546" s="53" t="s">
        <v>2976</v>
      </c>
      <c r="G546" s="53" t="s">
        <v>2099</v>
      </c>
      <c r="H546" s="54" t="str">
        <f t="shared" si="33"/>
        <v>MM-RET-030.01 - Plano de Lubrificação do Pórtico Montante</v>
      </c>
      <c r="I546" s="57" t="s">
        <v>2097</v>
      </c>
      <c r="J546" s="55" t="str">
        <f>VLOOKUP(D546,GM!$D$4:$G$1637,4,3)&amp;" e "&amp;C546</f>
        <v>ENGENHARIA MECÂNICA  e RET</v>
      </c>
      <c r="K546" s="164">
        <v>44083</v>
      </c>
      <c r="L546" s="164">
        <f t="shared" si="35"/>
        <v>45179</v>
      </c>
      <c r="M546" s="10" t="s">
        <v>62</v>
      </c>
      <c r="N546" s="1" t="s">
        <v>371</v>
      </c>
      <c r="O546" s="67" t="str">
        <f t="shared" ca="1" si="34"/>
        <v>Vencido</v>
      </c>
      <c r="P546" s="67"/>
      <c r="Q546" s="67">
        <f t="shared" ca="1" si="36"/>
        <v>2115</v>
      </c>
    </row>
    <row r="547" spans="2:17" ht="25" x14ac:dyDescent="0.35">
      <c r="B547" s="50">
        <v>11</v>
      </c>
      <c r="C547" s="51" t="s">
        <v>22</v>
      </c>
      <c r="D547" s="52">
        <v>31</v>
      </c>
      <c r="E547" s="52">
        <v>21</v>
      </c>
      <c r="F547" s="53" t="s">
        <v>2977</v>
      </c>
      <c r="G547" s="53" t="s">
        <v>2112</v>
      </c>
      <c r="H547" s="54" t="str">
        <f t="shared" si="33"/>
        <v>MM-RET-031.21 - Plano de Lubrificação da Ponte Rolante</v>
      </c>
      <c r="I547" s="55" t="s">
        <v>2113</v>
      </c>
      <c r="J547" s="55" t="str">
        <f>VLOOKUP(D547,GM!$D$4:$G$1637,4,3)&amp;" e "&amp;C547</f>
        <v>ENGENHARIA MECÂNICA  e RET</v>
      </c>
      <c r="K547" s="164">
        <v>44083</v>
      </c>
      <c r="L547" s="164">
        <f t="shared" si="35"/>
        <v>45179</v>
      </c>
      <c r="M547" s="10" t="s">
        <v>62</v>
      </c>
      <c r="N547" s="1" t="s">
        <v>371</v>
      </c>
      <c r="O547" s="67" t="str">
        <f t="shared" ca="1" si="34"/>
        <v>Vencido</v>
      </c>
      <c r="P547" s="67"/>
      <c r="Q547" s="67">
        <f t="shared" ca="1" si="36"/>
        <v>2115</v>
      </c>
    </row>
    <row r="548" spans="2:17" ht="25" hidden="1" x14ac:dyDescent="0.35">
      <c r="B548" s="50">
        <v>11</v>
      </c>
      <c r="C548" s="51" t="s">
        <v>22</v>
      </c>
      <c r="D548" s="52">
        <v>41</v>
      </c>
      <c r="E548" s="52">
        <v>0</v>
      </c>
      <c r="F548" s="53" t="s">
        <v>2978</v>
      </c>
      <c r="G548" s="53" t="s">
        <v>2009</v>
      </c>
      <c r="H548" s="54" t="str">
        <f t="shared" si="33"/>
        <v>MM-RET-041.00 - Manutenção Preventiva  SPDA – Escopo 2</v>
      </c>
      <c r="I548" s="57" t="s">
        <v>2010</v>
      </c>
      <c r="J548" s="55" t="str">
        <f>VLOOKUP(D548,GM!$D$4:$G$1637,4,3)&amp;" e "&amp;C548</f>
        <v>ENGENHARIA ELÉTRICA  e RET</v>
      </c>
      <c r="K548" s="164">
        <v>45755</v>
      </c>
      <c r="L548" s="164">
        <f t="shared" si="35"/>
        <v>46851</v>
      </c>
      <c r="M548" s="10" t="s">
        <v>62</v>
      </c>
      <c r="N548" s="1" t="s">
        <v>371</v>
      </c>
      <c r="O548" s="67" t="str">
        <f t="shared" ca="1" si="34"/>
        <v>Em dia</v>
      </c>
      <c r="P548" s="67"/>
      <c r="Q548" s="67">
        <f t="shared" ca="1" si="36"/>
        <v>443</v>
      </c>
    </row>
    <row r="549" spans="2:17" ht="25" hidden="1" x14ac:dyDescent="0.35">
      <c r="B549" s="50">
        <v>11</v>
      </c>
      <c r="C549" s="51" t="s">
        <v>22</v>
      </c>
      <c r="D549" s="52">
        <v>41</v>
      </c>
      <c r="E549" s="52">
        <v>1</v>
      </c>
      <c r="F549" s="53" t="s">
        <v>2979</v>
      </c>
      <c r="G549" s="53" t="s">
        <v>2012</v>
      </c>
      <c r="H549" s="54" t="str">
        <f t="shared" si="33"/>
        <v>MM-RET-041.01 - Manutenção Preventiva  SPDA – Escopo 1</v>
      </c>
      <c r="I549" s="57" t="s">
        <v>2010</v>
      </c>
      <c r="J549" s="55" t="str">
        <f>VLOOKUP(D549,GM!$D$4:$G$1637,4,3)&amp;" e "&amp;C549</f>
        <v>ENGENHARIA ELÉTRICA  e RET</v>
      </c>
      <c r="K549" s="164">
        <v>45755</v>
      </c>
      <c r="L549" s="164">
        <f t="shared" si="35"/>
        <v>46851</v>
      </c>
      <c r="M549" s="10" t="s">
        <v>62</v>
      </c>
      <c r="N549" s="1" t="s">
        <v>371</v>
      </c>
      <c r="O549" s="67" t="str">
        <f t="shared" ca="1" si="34"/>
        <v>Em dia</v>
      </c>
      <c r="P549" s="67"/>
      <c r="Q549" s="67">
        <f t="shared" ca="1" si="36"/>
        <v>443</v>
      </c>
    </row>
    <row r="550" spans="2:17" ht="26" x14ac:dyDescent="0.35">
      <c r="B550" s="50">
        <v>11</v>
      </c>
      <c r="C550" s="51" t="s">
        <v>22</v>
      </c>
      <c r="D550" s="52">
        <v>60</v>
      </c>
      <c r="E550" s="52">
        <v>2</v>
      </c>
      <c r="F550" s="53" t="s">
        <v>2980</v>
      </c>
      <c r="G550" s="53" t="s">
        <v>2017</v>
      </c>
      <c r="H550" s="54" t="str">
        <f t="shared" si="33"/>
        <v>MM-RET-060.02 - Manual de Manutenção sistema LGE</v>
      </c>
      <c r="I550" s="55" t="s">
        <v>2018</v>
      </c>
      <c r="J550" s="55" t="str">
        <f>VLOOKUP(D550,GM!$D$4:$G$1637,4,3)&amp;" e "&amp;C550</f>
        <v>ENGENHARIA MECÂNICA  e RET</v>
      </c>
      <c r="K550" s="164">
        <v>44063</v>
      </c>
      <c r="L550" s="164">
        <f t="shared" si="35"/>
        <v>45159</v>
      </c>
      <c r="M550" s="10" t="s">
        <v>62</v>
      </c>
      <c r="N550" s="1" t="s">
        <v>371</v>
      </c>
      <c r="O550" s="67" t="str">
        <f t="shared" ca="1" si="34"/>
        <v>Vencido</v>
      </c>
      <c r="P550" s="67"/>
      <c r="Q550" s="67">
        <f t="shared" ca="1" si="36"/>
        <v>2135</v>
      </c>
    </row>
    <row r="551" spans="2:17" ht="25" x14ac:dyDescent="0.35">
      <c r="B551" s="50">
        <v>11</v>
      </c>
      <c r="C551" s="51" t="s">
        <v>22</v>
      </c>
      <c r="D551" s="52">
        <v>65</v>
      </c>
      <c r="E551" s="52">
        <v>1</v>
      </c>
      <c r="F551" s="53" t="s">
        <v>2981</v>
      </c>
      <c r="G551" s="53" t="s">
        <v>2022</v>
      </c>
      <c r="H551" s="54" t="str">
        <f t="shared" si="33"/>
        <v>MM-RET-065.01 - Plano de Lubrificação Central Hidrau Comporta Emerg</v>
      </c>
      <c r="I551" s="57" t="s">
        <v>2023</v>
      </c>
      <c r="J551" s="55" t="str">
        <f>VLOOKUP(D551,GM!$D$4:$G$1637,4,3)&amp;" e "&amp;C551</f>
        <v>ENGENHARIA MECÂNICA  e RET</v>
      </c>
      <c r="K551" s="164">
        <v>44083</v>
      </c>
      <c r="L551" s="164">
        <f t="shared" si="35"/>
        <v>45179</v>
      </c>
      <c r="M551" s="10" t="s">
        <v>62</v>
      </c>
      <c r="N551" s="1" t="s">
        <v>371</v>
      </c>
      <c r="O551" s="67" t="str">
        <f t="shared" ca="1" si="34"/>
        <v>Vencido</v>
      </c>
      <c r="P551" s="67"/>
      <c r="Q551" s="67">
        <f t="shared" ca="1" si="36"/>
        <v>2115</v>
      </c>
    </row>
    <row r="552" spans="2:17" ht="25" x14ac:dyDescent="0.35">
      <c r="B552" s="50">
        <v>11</v>
      </c>
      <c r="C552" s="51" t="s">
        <v>22</v>
      </c>
      <c r="D552" s="52">
        <v>65</v>
      </c>
      <c r="E552" s="52">
        <v>2</v>
      </c>
      <c r="F552" s="53" t="s">
        <v>2982</v>
      </c>
      <c r="G552" s="53" t="s">
        <v>2025</v>
      </c>
      <c r="H552" s="54" t="str">
        <f t="shared" si="33"/>
        <v>MM-RET-065.02 - Plano de Lubrificação Central Hidrau do VS</v>
      </c>
      <c r="I552" s="57" t="s">
        <v>2026</v>
      </c>
      <c r="J552" s="55" t="str">
        <f>VLOOKUP(D552,GM!$D$4:$G$1637,4,3)&amp;" e "&amp;C552</f>
        <v>ENGENHARIA MECÂNICA  e RET</v>
      </c>
      <c r="K552" s="164">
        <v>44083</v>
      </c>
      <c r="L552" s="164">
        <f t="shared" si="35"/>
        <v>45179</v>
      </c>
      <c r="M552" s="10" t="s">
        <v>62</v>
      </c>
      <c r="N552" s="1" t="s">
        <v>371</v>
      </c>
      <c r="O552" s="67" t="str">
        <f t="shared" ca="1" si="34"/>
        <v>Vencido</v>
      </c>
      <c r="P552" s="67"/>
      <c r="Q552" s="67">
        <f t="shared" ca="1" si="36"/>
        <v>2115</v>
      </c>
    </row>
    <row r="553" spans="2:17" ht="26" x14ac:dyDescent="0.35">
      <c r="B553" s="50">
        <v>12</v>
      </c>
      <c r="C553" s="51" t="s">
        <v>20</v>
      </c>
      <c r="D553" s="52">
        <v>0</v>
      </c>
      <c r="E553" s="52">
        <v>2</v>
      </c>
      <c r="F553" s="53" t="s">
        <v>2983</v>
      </c>
      <c r="G553" s="53" t="s">
        <v>1972</v>
      </c>
      <c r="H553" s="54" t="str">
        <f t="shared" si="33"/>
        <v>MM-ROS-000.02 - Procedimentos Execução Mergulho Profissional</v>
      </c>
      <c r="I553" s="55" t="s">
        <v>1973</v>
      </c>
      <c r="J553" s="55" t="str">
        <f>VLOOKUP(D553,GM!$D$4:$G$1637,4,3)&amp;" e "&amp;C553</f>
        <v>ENGENHARIA  e ROS</v>
      </c>
      <c r="K553" s="164">
        <v>44063</v>
      </c>
      <c r="L553" s="164">
        <f t="shared" si="35"/>
        <v>45159</v>
      </c>
      <c r="M553" s="10" t="s">
        <v>62</v>
      </c>
      <c r="N553" s="1" t="s">
        <v>371</v>
      </c>
      <c r="O553" s="67" t="str">
        <f t="shared" ca="1" si="34"/>
        <v>Vencido</v>
      </c>
      <c r="P553" s="67"/>
      <c r="Q553" s="67">
        <f t="shared" ca="1" si="36"/>
        <v>2135</v>
      </c>
    </row>
    <row r="554" spans="2:17" ht="25" x14ac:dyDescent="0.35">
      <c r="B554" s="50">
        <v>12</v>
      </c>
      <c r="C554" s="51" t="s">
        <v>20</v>
      </c>
      <c r="D554" s="52">
        <v>1</v>
      </c>
      <c r="E554" s="52">
        <v>2</v>
      </c>
      <c r="F554" s="53" t="s">
        <v>2984</v>
      </c>
      <c r="G554" s="53" t="s">
        <v>1975</v>
      </c>
      <c r="H554" s="54" t="str">
        <f t="shared" si="33"/>
        <v>MM-ROS-001.02 - Procedimentos Para Ajustes de Verticalidade e Mancais</v>
      </c>
      <c r="I554" s="55" t="s">
        <v>1976</v>
      </c>
      <c r="J554" s="55" t="str">
        <f>VLOOKUP(D554,GM!$D$4:$G$1637,4,3)&amp;" e "&amp;C554</f>
        <v>ENGENHARIA MECÂNICA  e ROS</v>
      </c>
      <c r="K554" s="164">
        <v>44053</v>
      </c>
      <c r="L554" s="164">
        <f t="shared" si="35"/>
        <v>45149</v>
      </c>
      <c r="M554" s="10" t="s">
        <v>62</v>
      </c>
      <c r="N554" s="1" t="s">
        <v>371</v>
      </c>
      <c r="O554" s="67" t="str">
        <f t="shared" ca="1" si="34"/>
        <v>Vencido</v>
      </c>
      <c r="P554" s="67"/>
      <c r="Q554" s="67">
        <f t="shared" ca="1" si="36"/>
        <v>2145</v>
      </c>
    </row>
    <row r="555" spans="2:17" ht="25" x14ac:dyDescent="0.35">
      <c r="B555" s="50">
        <v>12</v>
      </c>
      <c r="C555" s="51" t="s">
        <v>20</v>
      </c>
      <c r="D555" s="52">
        <v>1</v>
      </c>
      <c r="E555" s="52">
        <v>25</v>
      </c>
      <c r="F555" s="53" t="s">
        <v>2985</v>
      </c>
      <c r="G555" s="53" t="s">
        <v>1978</v>
      </c>
      <c r="H555" s="54" t="str">
        <f t="shared" si="33"/>
        <v>MM-ROS-001.25 - Plano de Lubrificação da Turbina</v>
      </c>
      <c r="I555" s="55" t="s">
        <v>1976</v>
      </c>
      <c r="J555" s="55" t="str">
        <f>VLOOKUP(D555,GM!$D$4:$G$1637,4,3)&amp;" e "&amp;C555</f>
        <v>ENGENHARIA MECÂNICA  e ROS</v>
      </c>
      <c r="K555" s="164">
        <v>44083</v>
      </c>
      <c r="L555" s="164">
        <f t="shared" si="35"/>
        <v>45179</v>
      </c>
      <c r="M555" s="10" t="s">
        <v>62</v>
      </c>
      <c r="N555" s="1" t="s">
        <v>371</v>
      </c>
      <c r="O555" s="67" t="str">
        <f t="shared" ca="1" si="34"/>
        <v>Vencido</v>
      </c>
      <c r="P555" s="67"/>
      <c r="Q555" s="67">
        <f t="shared" ca="1" si="36"/>
        <v>2115</v>
      </c>
    </row>
    <row r="556" spans="2:17" ht="25" x14ac:dyDescent="0.35">
      <c r="B556" s="50">
        <v>12</v>
      </c>
      <c r="C556" s="51" t="s">
        <v>20</v>
      </c>
      <c r="D556" s="52">
        <v>1</v>
      </c>
      <c r="E556" s="52">
        <v>30</v>
      </c>
      <c r="F556" s="53" t="s">
        <v>2986</v>
      </c>
      <c r="G556" s="53" t="s">
        <v>2987</v>
      </c>
      <c r="H556" s="54" t="str">
        <f t="shared" si="33"/>
        <v>MM-ROS-001.30 - Manual OeM turbina de ROS V-1 S-2</v>
      </c>
      <c r="I556" s="55" t="s">
        <v>1976</v>
      </c>
      <c r="J556" s="55" t="str">
        <f>VLOOKUP(D556,GM!$D$4:$G$1637,4,3)&amp;" e "&amp;C556</f>
        <v>ENGENHARIA MECÂNICA  e ROS</v>
      </c>
      <c r="K556" s="164"/>
      <c r="L556" s="164"/>
      <c r="M556" s="11" t="s">
        <v>267</v>
      </c>
      <c r="O556" s="67" t="str">
        <f t="shared" ca="1" si="34"/>
        <v>Vencido</v>
      </c>
      <c r="P556" s="67"/>
      <c r="Q556" s="67">
        <f t="shared" ca="1" si="36"/>
        <v>46198</v>
      </c>
    </row>
    <row r="557" spans="2:17" ht="25" x14ac:dyDescent="0.35">
      <c r="B557" s="50">
        <v>12</v>
      </c>
      <c r="C557" s="51" t="s">
        <v>20</v>
      </c>
      <c r="D557" s="52">
        <v>1</v>
      </c>
      <c r="E557" s="52">
        <v>31</v>
      </c>
      <c r="F557" s="53" t="s">
        <v>2988</v>
      </c>
      <c r="G557" s="53" t="s">
        <v>2989</v>
      </c>
      <c r="H557" s="54" t="str">
        <f t="shared" si="33"/>
        <v>MM-ROS-001.31 - MANUAL DE OPERAÇÃO E MANUTENÇÃO 2-2 UHE ROS</v>
      </c>
      <c r="I557" s="55" t="s">
        <v>1976</v>
      </c>
      <c r="J557" s="55" t="str">
        <f>VLOOKUP(D557,GM!$D$4:$G$1637,4,3)&amp;" e "&amp;C557</f>
        <v>ENGENHARIA MECÂNICA  e ROS</v>
      </c>
      <c r="K557" s="164"/>
      <c r="L557" s="164"/>
      <c r="M557" s="11" t="s">
        <v>267</v>
      </c>
      <c r="O557" s="67" t="str">
        <f t="shared" ca="1" si="34"/>
        <v>Vencido</v>
      </c>
      <c r="P557" s="67"/>
      <c r="Q557" s="67">
        <f t="shared" ca="1" si="36"/>
        <v>46198</v>
      </c>
    </row>
    <row r="558" spans="2:17" ht="25" x14ac:dyDescent="0.35">
      <c r="B558" s="50">
        <v>12</v>
      </c>
      <c r="C558" s="51" t="s">
        <v>20</v>
      </c>
      <c r="D558" s="52">
        <v>1</v>
      </c>
      <c r="E558" s="52">
        <v>32</v>
      </c>
      <c r="F558" s="53" t="s">
        <v>2990</v>
      </c>
      <c r="G558" s="53" t="s">
        <v>2991</v>
      </c>
      <c r="H558" s="54" t="str">
        <f t="shared" si="33"/>
        <v>MM-ROS-001.32 - Manual de Montagem e Comissionamento UHE ROS</v>
      </c>
      <c r="I558" s="55" t="s">
        <v>1976</v>
      </c>
      <c r="J558" s="55" t="str">
        <f>VLOOKUP(D558,GM!$D$4:$G$1637,4,3)&amp;" e "&amp;C558</f>
        <v>ENGENHARIA MECÂNICA  e ROS</v>
      </c>
      <c r="K558" s="164"/>
      <c r="L558" s="164"/>
      <c r="M558" s="11" t="s">
        <v>267</v>
      </c>
      <c r="O558" s="67" t="str">
        <f t="shared" ca="1" si="34"/>
        <v>Vencido</v>
      </c>
      <c r="P558" s="67"/>
      <c r="Q558" s="67">
        <f t="shared" ca="1" si="36"/>
        <v>46198</v>
      </c>
    </row>
    <row r="559" spans="2:17" ht="25" x14ac:dyDescent="0.35">
      <c r="B559" s="50">
        <v>12</v>
      </c>
      <c r="C559" s="51" t="s">
        <v>20</v>
      </c>
      <c r="D559" s="52">
        <v>2</v>
      </c>
      <c r="E559" s="52">
        <v>0</v>
      </c>
      <c r="F559" s="53" t="s">
        <v>2992</v>
      </c>
      <c r="G559" s="53" t="s">
        <v>2993</v>
      </c>
      <c r="H559" s="54" t="str">
        <f t="shared" si="33"/>
        <v>MM-ROS-002.00 - Substituição dos Radiadores do Gerador das UG's</v>
      </c>
      <c r="I559" s="18" t="s">
        <v>2140</v>
      </c>
      <c r="J559" s="55" t="str">
        <f>VLOOKUP(D559,GM!$D$4:$G$1637,4,3)&amp;" e "&amp;C559</f>
        <v>ENGENHARIA MECÂNICA  e ROS</v>
      </c>
      <c r="K559" s="164"/>
      <c r="L559" s="164"/>
      <c r="M559" s="11" t="s">
        <v>267</v>
      </c>
      <c r="O559" s="67" t="str">
        <f t="shared" ca="1" si="34"/>
        <v>Vencido</v>
      </c>
      <c r="P559" s="67"/>
      <c r="Q559" s="67">
        <f t="shared" ca="1" si="36"/>
        <v>46198</v>
      </c>
    </row>
    <row r="560" spans="2:17" ht="25" x14ac:dyDescent="0.35">
      <c r="B560" s="50">
        <v>12</v>
      </c>
      <c r="C560" s="51" t="s">
        <v>20</v>
      </c>
      <c r="D560" s="52">
        <v>3</v>
      </c>
      <c r="E560" s="52">
        <v>1</v>
      </c>
      <c r="F560" s="53" t="s">
        <v>2994</v>
      </c>
      <c r="G560" s="53" t="s">
        <v>2995</v>
      </c>
      <c r="H560" s="54" t="str">
        <f t="shared" si="33"/>
        <v>MM-ROS-003.01 - Manutenção no Núcleo do Estator</v>
      </c>
      <c r="I560" s="55" t="s">
        <v>2242</v>
      </c>
      <c r="J560" s="55" t="str">
        <f>VLOOKUP(D560,GM!$D$4:$G$1637,4,3)&amp;" e "&amp;C560</f>
        <v>ENGENHARIA ELÉTRICA  e ROS</v>
      </c>
      <c r="K560" s="164">
        <v>44135</v>
      </c>
      <c r="L560" s="164">
        <f t="shared" si="35"/>
        <v>45231</v>
      </c>
      <c r="M560" s="10" t="s">
        <v>62</v>
      </c>
      <c r="N560" s="1" t="s">
        <v>371</v>
      </c>
      <c r="O560" s="67" t="str">
        <f t="shared" ca="1" si="34"/>
        <v>Vencido</v>
      </c>
      <c r="P560" s="67"/>
      <c r="Q560" s="67">
        <f t="shared" ca="1" si="36"/>
        <v>2063</v>
      </c>
    </row>
    <row r="561" spans="2:17" ht="25" hidden="1" x14ac:dyDescent="0.35">
      <c r="B561" s="50">
        <v>12</v>
      </c>
      <c r="C561" s="51" t="s">
        <v>20</v>
      </c>
      <c r="D561" s="52">
        <v>3</v>
      </c>
      <c r="E561" s="52">
        <v>2</v>
      </c>
      <c r="F561" s="53" t="s">
        <v>2996</v>
      </c>
      <c r="G561" s="53" t="s">
        <v>2997</v>
      </c>
      <c r="H561" s="54" t="str">
        <f t="shared" si="33"/>
        <v>MM-ROS-003.02 - Inspeção e Intervenção no Núcleo do Estator</v>
      </c>
      <c r="I561" s="55" t="s">
        <v>2242</v>
      </c>
      <c r="J561" s="55" t="str">
        <f>VLOOKUP(D561,GM!$D$4:$G$1637,4,3)&amp;" e "&amp;C561</f>
        <v>ENGENHARIA ELÉTRICA  e ROS</v>
      </c>
      <c r="K561" s="164">
        <v>45791</v>
      </c>
      <c r="L561" s="164">
        <f t="shared" si="35"/>
        <v>46887</v>
      </c>
      <c r="M561" s="10" t="s">
        <v>62</v>
      </c>
      <c r="N561" s="1" t="s">
        <v>371</v>
      </c>
      <c r="O561" s="67" t="str">
        <f t="shared" ca="1" si="34"/>
        <v>Em dia</v>
      </c>
      <c r="P561" s="67"/>
      <c r="Q561" s="67">
        <f t="shared" ca="1" si="36"/>
        <v>407</v>
      </c>
    </row>
    <row r="562" spans="2:17" ht="28" hidden="1" x14ac:dyDescent="0.35">
      <c r="B562" s="50">
        <v>12</v>
      </c>
      <c r="C562" s="51" t="s">
        <v>20</v>
      </c>
      <c r="D562" s="52">
        <v>4</v>
      </c>
      <c r="E562" s="52">
        <v>0</v>
      </c>
      <c r="F562" s="53" t="s">
        <v>2998</v>
      </c>
      <c r="G562" s="53" t="s">
        <v>2999</v>
      </c>
      <c r="H562" s="54" t="str">
        <f t="shared" si="33"/>
        <v>MM-ROS-004.00 - MPP0 nos sistemas auxiliares da unidade geradora - Parte elétrica</v>
      </c>
      <c r="I562" s="18" t="s">
        <v>2067</v>
      </c>
      <c r="J562" s="55" t="str">
        <f>VLOOKUP(D562,GM!$D$4:$G$1637,4,3)&amp;" e "&amp;C562</f>
        <v>ENGENHARIA ELÉTRICA  e ROS</v>
      </c>
      <c r="K562" s="164">
        <v>45743</v>
      </c>
      <c r="L562" s="164">
        <f t="shared" si="35"/>
        <v>46839</v>
      </c>
      <c r="M562" s="10" t="s">
        <v>62</v>
      </c>
      <c r="N562" s="1" t="s">
        <v>371</v>
      </c>
      <c r="O562" s="67" t="str">
        <f t="shared" ca="1" si="34"/>
        <v>Em dia</v>
      </c>
      <c r="P562" s="67"/>
      <c r="Q562" s="67">
        <f t="shared" ca="1" si="36"/>
        <v>455</v>
      </c>
    </row>
    <row r="563" spans="2:17" ht="28" hidden="1" x14ac:dyDescent="0.35">
      <c r="B563" s="50">
        <v>12</v>
      </c>
      <c r="C563" s="51" t="s">
        <v>20</v>
      </c>
      <c r="D563" s="52">
        <v>4</v>
      </c>
      <c r="E563" s="52">
        <v>1</v>
      </c>
      <c r="F563" s="53" t="s">
        <v>3000</v>
      </c>
      <c r="G563" s="53" t="s">
        <v>3001</v>
      </c>
      <c r="H563" s="54" t="str">
        <f t="shared" si="33"/>
        <v>MM-ROS-004.01 - MPP1 nos sistemas auxiliares da unidade geradora - Parte elétrica</v>
      </c>
      <c r="I563" s="18" t="s">
        <v>2067</v>
      </c>
      <c r="J563" s="55" t="str">
        <f>VLOOKUP(D563,GM!$D$4:$G$1637,4,3)&amp;" e "&amp;C563</f>
        <v>ENGENHARIA ELÉTRICA  e ROS</v>
      </c>
      <c r="K563" s="164">
        <v>45743</v>
      </c>
      <c r="L563" s="164">
        <f t="shared" si="35"/>
        <v>46839</v>
      </c>
      <c r="M563" s="10" t="s">
        <v>62</v>
      </c>
      <c r="N563" s="1" t="s">
        <v>371</v>
      </c>
      <c r="O563" s="67" t="str">
        <f t="shared" ca="1" si="34"/>
        <v>Em dia</v>
      </c>
      <c r="P563" s="67"/>
      <c r="Q563" s="67">
        <f t="shared" ca="1" si="36"/>
        <v>455</v>
      </c>
    </row>
    <row r="564" spans="2:17" ht="25" hidden="1" x14ac:dyDescent="0.35">
      <c r="B564" s="50">
        <v>12</v>
      </c>
      <c r="C564" s="51" t="s">
        <v>20</v>
      </c>
      <c r="D564" s="52">
        <v>6</v>
      </c>
      <c r="E564" s="52">
        <v>0</v>
      </c>
      <c r="F564" s="53" t="s">
        <v>3002</v>
      </c>
      <c r="G564" s="53" t="s">
        <v>3003</v>
      </c>
      <c r="H564" s="54" t="str">
        <f t="shared" si="33"/>
        <v>MM-ROS-006.00 - Coleta e Analise amostra oleo Isolante</v>
      </c>
      <c r="I564" s="18" t="s">
        <v>2034</v>
      </c>
      <c r="J564" s="55" t="str">
        <f>VLOOKUP(D564,GM!$D$4:$G$1637,4,3)&amp;" e "&amp;C564</f>
        <v>ENGENHARIA ELÉTRICA  e ROS</v>
      </c>
      <c r="K564" s="164">
        <v>45743</v>
      </c>
      <c r="L564" s="164">
        <f t="shared" si="35"/>
        <v>46839</v>
      </c>
      <c r="M564" s="10" t="s">
        <v>62</v>
      </c>
      <c r="N564" s="1" t="s">
        <v>371</v>
      </c>
      <c r="O564" s="67" t="str">
        <f t="shared" ca="1" si="34"/>
        <v>Em dia</v>
      </c>
      <c r="P564" s="67"/>
      <c r="Q564" s="67">
        <f t="shared" ca="1" si="36"/>
        <v>455</v>
      </c>
    </row>
    <row r="565" spans="2:17" ht="25" hidden="1" x14ac:dyDescent="0.35">
      <c r="B565" s="50">
        <v>12</v>
      </c>
      <c r="C565" s="51" t="s">
        <v>20</v>
      </c>
      <c r="D565" s="52">
        <v>7</v>
      </c>
      <c r="E565" s="52">
        <v>0</v>
      </c>
      <c r="F565" s="53" t="s">
        <v>3004</v>
      </c>
      <c r="G565" s="53" t="s">
        <v>3005</v>
      </c>
      <c r="H565" s="54" t="str">
        <f t="shared" si="33"/>
        <v>MM-ROS-007.00 - MPP0 Transformadores a Seco</v>
      </c>
      <c r="I565" s="18" t="s">
        <v>2251</v>
      </c>
      <c r="J565" s="55" t="str">
        <f>VLOOKUP(D565,GM!$D$4:$G$1637,4,3)&amp;" e "&amp;C565</f>
        <v>ENGENHARIA ELÉTRICA  e ROS</v>
      </c>
      <c r="K565" s="164">
        <v>45743</v>
      </c>
      <c r="L565" s="164">
        <f t="shared" si="35"/>
        <v>46839</v>
      </c>
      <c r="M565" s="10" t="s">
        <v>62</v>
      </c>
      <c r="N565" s="1" t="s">
        <v>371</v>
      </c>
      <c r="O565" s="67" t="str">
        <f t="shared" ca="1" si="34"/>
        <v>Em dia</v>
      </c>
      <c r="P565" s="67"/>
      <c r="Q565" s="67">
        <f t="shared" ca="1" si="36"/>
        <v>455</v>
      </c>
    </row>
    <row r="566" spans="2:17" ht="25" hidden="1" x14ac:dyDescent="0.35">
      <c r="B566" s="50">
        <v>12</v>
      </c>
      <c r="C566" s="51" t="s">
        <v>20</v>
      </c>
      <c r="D566" s="52">
        <v>7</v>
      </c>
      <c r="E566" s="52">
        <v>1</v>
      </c>
      <c r="F566" s="53" t="s">
        <v>3006</v>
      </c>
      <c r="G566" s="53" t="s">
        <v>3007</v>
      </c>
      <c r="H566" s="54" t="str">
        <f t="shared" si="33"/>
        <v>MM-ROS-007.01 - MPP1 Transformadores a Seco</v>
      </c>
      <c r="I566" s="18" t="s">
        <v>2251</v>
      </c>
      <c r="J566" s="55" t="str">
        <f>VLOOKUP(D566,GM!$D$4:$G$1637,4,3)&amp;" e "&amp;C566</f>
        <v>ENGENHARIA ELÉTRICA  e ROS</v>
      </c>
      <c r="K566" s="164">
        <v>45743</v>
      </c>
      <c r="L566" s="164">
        <f t="shared" si="35"/>
        <v>46839</v>
      </c>
      <c r="M566" s="10" t="s">
        <v>62</v>
      </c>
      <c r="N566" s="1" t="s">
        <v>371</v>
      </c>
      <c r="O566" s="67" t="str">
        <f t="shared" ca="1" si="34"/>
        <v>Em dia</v>
      </c>
      <c r="P566" s="67"/>
      <c r="Q566" s="67">
        <f t="shared" ca="1" si="36"/>
        <v>455</v>
      </c>
    </row>
    <row r="567" spans="2:17" ht="25" hidden="1" x14ac:dyDescent="0.35">
      <c r="B567" s="50">
        <v>12</v>
      </c>
      <c r="C567" s="51" t="s">
        <v>20</v>
      </c>
      <c r="D567" s="52">
        <v>8</v>
      </c>
      <c r="E567" s="52">
        <v>1</v>
      </c>
      <c r="F567" s="53" t="s">
        <v>3008</v>
      </c>
      <c r="G567" s="53" t="s">
        <v>95</v>
      </c>
      <c r="H567" s="54" t="str">
        <f t="shared" si="33"/>
        <v>MM-ROS-008.01 - Ensaios de Termovisão</v>
      </c>
      <c r="I567" s="18" t="s">
        <v>2254</v>
      </c>
      <c r="J567" s="55" t="str">
        <f>VLOOKUP(D567,GM!$D$4:$G$1637,4,3)&amp;" e "&amp;C567</f>
        <v>ENGENHARIA ELÉTRICA  e ROS</v>
      </c>
      <c r="K567" s="164">
        <v>45743</v>
      </c>
      <c r="L567" s="164">
        <f t="shared" si="35"/>
        <v>46839</v>
      </c>
      <c r="M567" s="10" t="s">
        <v>62</v>
      </c>
      <c r="N567" s="1" t="s">
        <v>371</v>
      </c>
      <c r="O567" s="67" t="str">
        <f t="shared" ca="1" si="34"/>
        <v>Em dia</v>
      </c>
      <c r="P567" s="67"/>
      <c r="Q567" s="67">
        <f t="shared" ca="1" si="36"/>
        <v>455</v>
      </c>
    </row>
    <row r="568" spans="2:17" ht="25" hidden="1" x14ac:dyDescent="0.35">
      <c r="B568" s="50">
        <v>12</v>
      </c>
      <c r="C568" s="51" t="s">
        <v>20</v>
      </c>
      <c r="D568" s="52">
        <v>9</v>
      </c>
      <c r="E568" s="52">
        <v>0</v>
      </c>
      <c r="F568" s="53" t="s">
        <v>3009</v>
      </c>
      <c r="G568" s="53" t="s">
        <v>3010</v>
      </c>
      <c r="H568" s="54" t="str">
        <f t="shared" si="33"/>
        <v>MM-ROS-009.00 - Manutenção Complementar Preventiva Tipo 0 nos Painéis de Média Tensão</v>
      </c>
      <c r="I568" s="18" t="s">
        <v>2686</v>
      </c>
      <c r="J568" s="55" t="str">
        <f>VLOOKUP(D568,GM!$D$4:$G$1637,4,3)&amp;" e "&amp;C568</f>
        <v>ENGENHARIA ELÉTRICA  e ROS</v>
      </c>
      <c r="K568" s="164">
        <v>45791</v>
      </c>
      <c r="L568" s="164">
        <f t="shared" si="35"/>
        <v>46887</v>
      </c>
      <c r="M568" s="10" t="s">
        <v>62</v>
      </c>
      <c r="N568" s="1" t="s">
        <v>371</v>
      </c>
      <c r="O568" s="67" t="str">
        <f t="shared" ca="1" si="34"/>
        <v>Em dia</v>
      </c>
      <c r="P568" s="67"/>
      <c r="Q568" s="67">
        <f t="shared" ca="1" si="36"/>
        <v>407</v>
      </c>
    </row>
    <row r="569" spans="2:17" ht="25" hidden="1" x14ac:dyDescent="0.35">
      <c r="B569" s="50">
        <v>12</v>
      </c>
      <c r="C569" s="51" t="s">
        <v>20</v>
      </c>
      <c r="D569" s="52">
        <v>10</v>
      </c>
      <c r="E569" s="52">
        <v>0</v>
      </c>
      <c r="F569" s="53" t="s">
        <v>3011</v>
      </c>
      <c r="G569" s="53" t="s">
        <v>3012</v>
      </c>
      <c r="H569" s="54" t="str">
        <f t="shared" si="33"/>
        <v>MM-ROS-010.00 - MCP0 nos Painéis de Baixa Tensão</v>
      </c>
      <c r="I569" s="18" t="s">
        <v>2686</v>
      </c>
      <c r="J569" s="55" t="str">
        <f>VLOOKUP(D569,GM!$D$4:$G$1637,4,3)&amp;" e "&amp;C569</f>
        <v>ENGENHARIA ELÉTRICA  e ROS</v>
      </c>
      <c r="K569" s="164">
        <v>45743</v>
      </c>
      <c r="L569" s="164">
        <f t="shared" si="35"/>
        <v>46839</v>
      </c>
      <c r="M569" s="10" t="s">
        <v>62</v>
      </c>
      <c r="N569" s="1" t="s">
        <v>371</v>
      </c>
      <c r="O569" s="67" t="str">
        <f t="shared" ca="1" si="34"/>
        <v>Em dia</v>
      </c>
      <c r="P569" s="67"/>
      <c r="Q569" s="67">
        <f t="shared" ca="1" si="36"/>
        <v>455</v>
      </c>
    </row>
    <row r="570" spans="2:17" ht="25" hidden="1" x14ac:dyDescent="0.35">
      <c r="B570" s="50">
        <v>12</v>
      </c>
      <c r="C570" s="51" t="s">
        <v>20</v>
      </c>
      <c r="D570" s="52">
        <v>11</v>
      </c>
      <c r="E570" s="52">
        <v>0</v>
      </c>
      <c r="F570" s="53" t="s">
        <v>3013</v>
      </c>
      <c r="G570" s="53" t="s">
        <v>3014</v>
      </c>
      <c r="H570" s="54" t="str">
        <f t="shared" si="33"/>
        <v>MM-ROS-011.00 - Manutenção Preventiva Periódica Tipo 0 nos Cabos de Potência até 35KV</v>
      </c>
      <c r="I570" s="18" t="s">
        <v>3015</v>
      </c>
      <c r="J570" s="55" t="str">
        <f>VLOOKUP(D570,GM!$D$4:$G$1637,4,3)&amp;" e "&amp;C570</f>
        <v>ENGENHARIA ELÉTRICA  e ROS</v>
      </c>
      <c r="K570" s="164">
        <v>45743</v>
      </c>
      <c r="L570" s="164">
        <f t="shared" si="35"/>
        <v>46839</v>
      </c>
      <c r="M570" s="10" t="s">
        <v>62</v>
      </c>
      <c r="N570" s="1" t="s">
        <v>371</v>
      </c>
      <c r="O570" s="67" t="str">
        <f t="shared" ca="1" si="34"/>
        <v>Em dia</v>
      </c>
      <c r="P570" s="67"/>
      <c r="Q570" s="67">
        <f t="shared" ca="1" si="36"/>
        <v>455</v>
      </c>
    </row>
    <row r="571" spans="2:17" ht="25" x14ac:dyDescent="0.35">
      <c r="B571" s="50">
        <v>12</v>
      </c>
      <c r="C571" s="51" t="s">
        <v>20</v>
      </c>
      <c r="D571" s="52">
        <v>20</v>
      </c>
      <c r="E571" s="52">
        <v>6</v>
      </c>
      <c r="F571" s="53" t="s">
        <v>3016</v>
      </c>
      <c r="G571" s="53" t="s">
        <v>1983</v>
      </c>
      <c r="H571" s="54" t="str">
        <f t="shared" si="33"/>
        <v>MM-ROS-020.06 - Plano de Lubrificação do RV</v>
      </c>
      <c r="I571" s="57" t="s">
        <v>1984</v>
      </c>
      <c r="J571" s="55" t="str">
        <f>VLOOKUP(D571,GM!$D$4:$G$1637,4,3)&amp;" e "&amp;C571</f>
        <v>ENGENHARIA MECÂNICA  e ROS</v>
      </c>
      <c r="K571" s="164">
        <v>44083</v>
      </c>
      <c r="L571" s="164">
        <f t="shared" si="35"/>
        <v>45179</v>
      </c>
      <c r="M571" s="10" t="s">
        <v>62</v>
      </c>
      <c r="N571" s="1" t="s">
        <v>371</v>
      </c>
      <c r="O571" s="67" t="str">
        <f t="shared" ca="1" si="34"/>
        <v>Vencido</v>
      </c>
      <c r="P571" s="67"/>
      <c r="Q571" s="67">
        <f t="shared" ca="1" si="36"/>
        <v>2115</v>
      </c>
    </row>
    <row r="572" spans="2:17" ht="25" x14ac:dyDescent="0.35">
      <c r="B572" s="50">
        <v>12</v>
      </c>
      <c r="C572" s="51" t="s">
        <v>20</v>
      </c>
      <c r="D572" s="52">
        <v>20</v>
      </c>
      <c r="E572" s="52">
        <v>7</v>
      </c>
      <c r="F572" s="53" t="s">
        <v>3017</v>
      </c>
      <c r="G572" s="53" t="s">
        <v>3018</v>
      </c>
      <c r="H572" s="54" t="str">
        <f t="shared" si="33"/>
        <v>MM-ROS-020.07 - Manual de  Operação e Manutenção do Sistema de regulação do RV</v>
      </c>
      <c r="I572" s="57" t="s">
        <v>1984</v>
      </c>
      <c r="J572" s="55" t="str">
        <f>VLOOKUP(D572,GM!$D$4:$G$1637,4,3)&amp;" e "&amp;C572</f>
        <v>ENGENHARIA MECÂNICA  e ROS</v>
      </c>
      <c r="K572" s="164"/>
      <c r="L572" s="164"/>
      <c r="M572" s="11" t="s">
        <v>267</v>
      </c>
      <c r="O572" s="67" t="str">
        <f t="shared" ca="1" si="34"/>
        <v>Vencido</v>
      </c>
      <c r="P572" s="67"/>
      <c r="Q572" s="67">
        <f t="shared" ca="1" si="36"/>
        <v>46198</v>
      </c>
    </row>
    <row r="573" spans="2:17" ht="25" x14ac:dyDescent="0.35">
      <c r="B573" s="50">
        <v>12</v>
      </c>
      <c r="C573" s="51" t="s">
        <v>20</v>
      </c>
      <c r="D573" s="52">
        <v>20</v>
      </c>
      <c r="E573" s="52">
        <v>8</v>
      </c>
      <c r="F573" s="53" t="s">
        <v>3019</v>
      </c>
      <c r="G573" s="53" t="s">
        <v>3020</v>
      </c>
      <c r="H573" s="54" t="str">
        <f t="shared" si="33"/>
        <v>MM-ROS-020.08 - Manual de Operação e Manutenção - Regulador Integrado REIVAX_REV0.0</v>
      </c>
      <c r="I573" s="57" t="s">
        <v>1984</v>
      </c>
      <c r="J573" s="55" t="str">
        <f>VLOOKUP(D573,GM!$D$4:$G$1637,4,3)&amp;" e "&amp;C573</f>
        <v>ENGENHARIA MECÂNICA  e ROS</v>
      </c>
      <c r="K573" s="164"/>
      <c r="L573" s="164"/>
      <c r="M573" s="11" t="s">
        <v>267</v>
      </c>
      <c r="O573" s="67" t="str">
        <f t="shared" ca="1" si="34"/>
        <v>Vencido</v>
      </c>
      <c r="P573" s="67"/>
      <c r="Q573" s="67">
        <f t="shared" ca="1" si="36"/>
        <v>46198</v>
      </c>
    </row>
    <row r="574" spans="2:17" ht="25" x14ac:dyDescent="0.35">
      <c r="B574" s="50">
        <v>12</v>
      </c>
      <c r="C574" s="51" t="s">
        <v>20</v>
      </c>
      <c r="D574" s="52">
        <v>22</v>
      </c>
      <c r="E574" s="52">
        <v>3</v>
      </c>
      <c r="F574" s="53" t="s">
        <v>3021</v>
      </c>
      <c r="G574" s="53" t="s">
        <v>1986</v>
      </c>
      <c r="H574" s="54" t="str">
        <f t="shared" si="33"/>
        <v>MM-ROS-022.03 - Plano de Lubrificação dos Compressores</v>
      </c>
      <c r="I574" s="57" t="s">
        <v>1987</v>
      </c>
      <c r="J574" s="55" t="str">
        <f>VLOOKUP(D574,GM!$D$4:$G$1637,4,3)&amp;" e "&amp;C574</f>
        <v>ENGENHARIA MECÂNICA  e ROS</v>
      </c>
      <c r="K574" s="164">
        <v>44083</v>
      </c>
      <c r="L574" s="164">
        <f t="shared" si="35"/>
        <v>45179</v>
      </c>
      <c r="M574" s="10" t="s">
        <v>62</v>
      </c>
      <c r="N574" s="1" t="s">
        <v>371</v>
      </c>
      <c r="O574" s="67" t="str">
        <f t="shared" ca="1" si="34"/>
        <v>Vencido</v>
      </c>
      <c r="P574" s="67"/>
      <c r="Q574" s="67">
        <f t="shared" ca="1" si="36"/>
        <v>2115</v>
      </c>
    </row>
    <row r="575" spans="2:17" ht="25" x14ac:dyDescent="0.35">
      <c r="B575" s="50">
        <v>12</v>
      </c>
      <c r="C575" s="51" t="s">
        <v>20</v>
      </c>
      <c r="D575" s="52">
        <v>23</v>
      </c>
      <c r="E575" s="52">
        <v>3</v>
      </c>
      <c r="F575" s="53" t="s">
        <v>3022</v>
      </c>
      <c r="G575" s="53" t="s">
        <v>1989</v>
      </c>
      <c r="H575" s="54" t="str">
        <f t="shared" si="33"/>
        <v>MM-ROS-023.03 - Plano de Lubrificação do sistema de Refrigeração</v>
      </c>
      <c r="I575" s="57" t="s">
        <v>1990</v>
      </c>
      <c r="J575" s="55" t="str">
        <f>VLOOKUP(D575,GM!$D$4:$G$1637,4,3)&amp;" e "&amp;C575</f>
        <v>ENGENHARIA MECÂNICA  e ROS</v>
      </c>
      <c r="K575" s="164">
        <v>44083</v>
      </c>
      <c r="L575" s="164">
        <f t="shared" si="35"/>
        <v>45179</v>
      </c>
      <c r="M575" s="10" t="s">
        <v>62</v>
      </c>
      <c r="N575" s="1" t="s">
        <v>371</v>
      </c>
      <c r="O575" s="67" t="str">
        <f t="shared" ca="1" si="34"/>
        <v>Vencido</v>
      </c>
      <c r="P575" s="67"/>
      <c r="Q575" s="67">
        <f t="shared" ca="1" si="36"/>
        <v>2115</v>
      </c>
    </row>
    <row r="576" spans="2:17" ht="25" x14ac:dyDescent="0.35">
      <c r="B576" s="50">
        <v>12</v>
      </c>
      <c r="C576" s="51" t="s">
        <v>20</v>
      </c>
      <c r="D576" s="52">
        <v>24</v>
      </c>
      <c r="E576" s="52">
        <v>1</v>
      </c>
      <c r="F576" s="53" t="s">
        <v>3023</v>
      </c>
      <c r="G576" s="53" t="s">
        <v>1992</v>
      </c>
      <c r="H576" s="54" t="str">
        <f t="shared" si="33"/>
        <v>MM-ROS-024.01 - Procedimento Para Reabastecimento dos GAE</v>
      </c>
      <c r="I576" s="57" t="s">
        <v>1993</v>
      </c>
      <c r="J576" s="55" t="str">
        <f>VLOOKUP(D576,GM!$D$4:$G$1637,4,3)&amp;" e "&amp;C576</f>
        <v>ENGENHARIA MECÂNICA  e ROS</v>
      </c>
      <c r="K576" s="164">
        <v>44062</v>
      </c>
      <c r="L576" s="164">
        <f t="shared" si="35"/>
        <v>45158</v>
      </c>
      <c r="M576" s="10" t="s">
        <v>62</v>
      </c>
      <c r="N576" s="1" t="s">
        <v>371</v>
      </c>
      <c r="O576" s="67" t="str">
        <f t="shared" ca="1" si="34"/>
        <v>Vencido</v>
      </c>
      <c r="P576" s="67"/>
      <c r="Q576" s="67">
        <f t="shared" ca="1" si="36"/>
        <v>2136</v>
      </c>
    </row>
    <row r="577" spans="2:17" ht="25" x14ac:dyDescent="0.35">
      <c r="B577" s="50">
        <v>12</v>
      </c>
      <c r="C577" s="51" t="s">
        <v>20</v>
      </c>
      <c r="D577" s="52">
        <v>24</v>
      </c>
      <c r="E577" s="52">
        <v>4</v>
      </c>
      <c r="F577" s="53" t="s">
        <v>3024</v>
      </c>
      <c r="G577" s="53" t="s">
        <v>1995</v>
      </c>
      <c r="H577" s="54" t="str">
        <f t="shared" si="33"/>
        <v>MM-ROS-024.04 - Plano de Lubrificação do GAE</v>
      </c>
      <c r="I577" s="57" t="s">
        <v>1993</v>
      </c>
      <c r="J577" s="55" t="str">
        <f>VLOOKUP(D577,GM!$D$4:$G$1637,4,3)&amp;" e "&amp;C577</f>
        <v>ENGENHARIA MECÂNICA  e ROS</v>
      </c>
      <c r="K577" s="164">
        <v>44083</v>
      </c>
      <c r="L577" s="164">
        <f t="shared" si="35"/>
        <v>45179</v>
      </c>
      <c r="M577" s="10" t="s">
        <v>62</v>
      </c>
      <c r="N577" s="1" t="s">
        <v>371</v>
      </c>
      <c r="O577" s="67" t="str">
        <f t="shared" ca="1" si="34"/>
        <v>Vencido</v>
      </c>
      <c r="P577" s="67"/>
      <c r="Q577" s="67">
        <f t="shared" ca="1" si="36"/>
        <v>2115</v>
      </c>
    </row>
    <row r="578" spans="2:17" ht="28" hidden="1" x14ac:dyDescent="0.35">
      <c r="B578" s="50">
        <v>12</v>
      </c>
      <c r="C578" s="51" t="s">
        <v>20</v>
      </c>
      <c r="D578" s="52">
        <v>25</v>
      </c>
      <c r="E578" s="52">
        <v>0</v>
      </c>
      <c r="F578" s="53" t="s">
        <v>3025</v>
      </c>
      <c r="G578" s="53" t="s">
        <v>3026</v>
      </c>
      <c r="H578" s="54" t="str">
        <f t="shared" si="33"/>
        <v>MM-ROS-025.00 - Sistema de Medição de Energia</v>
      </c>
      <c r="I578" s="18" t="s">
        <v>2454</v>
      </c>
      <c r="J578" s="55" t="str">
        <f>VLOOKUP(D578,GM!$D$4:$G$1637,4,3)&amp;" e "&amp;C578</f>
        <v>ENGENHARIA ELÉTRICA  e ROS</v>
      </c>
      <c r="K578" s="164">
        <v>45743</v>
      </c>
      <c r="L578" s="164">
        <f t="shared" si="35"/>
        <v>46839</v>
      </c>
      <c r="M578" s="10" t="s">
        <v>62</v>
      </c>
      <c r="N578" s="1" t="s">
        <v>371</v>
      </c>
      <c r="O578" s="67" t="str">
        <f t="shared" ca="1" si="34"/>
        <v>Em dia</v>
      </c>
      <c r="P578" s="67"/>
      <c r="Q578" s="67">
        <f t="shared" ca="1" si="36"/>
        <v>455</v>
      </c>
    </row>
    <row r="579" spans="2:17" ht="28" x14ac:dyDescent="0.35">
      <c r="B579" s="50">
        <v>12</v>
      </c>
      <c r="C579" s="51" t="s">
        <v>20</v>
      </c>
      <c r="D579" s="52">
        <v>26</v>
      </c>
      <c r="E579" s="52">
        <v>0</v>
      </c>
      <c r="F579" s="53" t="s">
        <v>3027</v>
      </c>
      <c r="G579" s="53" t="s">
        <v>3028</v>
      </c>
      <c r="H579" s="54" t="str">
        <f t="shared" si="33"/>
        <v>MM-ROS-026.00 -  Manutenção Sistema de Drenagem e Esgotamento</v>
      </c>
      <c r="I579" s="18" t="s">
        <v>2919</v>
      </c>
      <c r="J579" s="55" t="str">
        <f>VLOOKUP(D579,GM!$D$4:$G$1637,4,3)&amp;" e "&amp;C579</f>
        <v>ENGENHARIA MECÂNICA  e ROS</v>
      </c>
      <c r="K579" s="164"/>
      <c r="L579" s="164"/>
      <c r="M579" s="11" t="s">
        <v>267</v>
      </c>
      <c r="O579" s="67" t="str">
        <f t="shared" ca="1" si="34"/>
        <v>Vencido</v>
      </c>
      <c r="P579" s="67"/>
      <c r="Q579" s="67">
        <f t="shared" ca="1" si="36"/>
        <v>46198</v>
      </c>
    </row>
    <row r="580" spans="2:17" ht="26" x14ac:dyDescent="0.35">
      <c r="B580" s="50">
        <v>12</v>
      </c>
      <c r="C580" s="51" t="s">
        <v>20</v>
      </c>
      <c r="D580" s="52">
        <v>26</v>
      </c>
      <c r="E580" s="52">
        <v>7</v>
      </c>
      <c r="F580" s="53" t="s">
        <v>3029</v>
      </c>
      <c r="G580" s="53" t="s">
        <v>1997</v>
      </c>
      <c r="H580" s="54" t="str">
        <f t="shared" si="33"/>
        <v>MM-ROS-026.07 - Plano de Lubrificação do Sistema Drenagem e Esg</v>
      </c>
      <c r="I580" s="55" t="s">
        <v>1998</v>
      </c>
      <c r="J580" s="55" t="str">
        <f>VLOOKUP(D580,GM!$D$4:$G$1637,4,3)&amp;" e "&amp;C580</f>
        <v>ENGENHARIA MECÂNICA  e ROS</v>
      </c>
      <c r="K580" s="164">
        <v>44083</v>
      </c>
      <c r="L580" s="164">
        <f t="shared" si="35"/>
        <v>45179</v>
      </c>
      <c r="M580" s="10" t="s">
        <v>62</v>
      </c>
      <c r="N580" s="1" t="s">
        <v>371</v>
      </c>
      <c r="O580" s="67" t="str">
        <f t="shared" ca="1" si="34"/>
        <v>Vencido</v>
      </c>
      <c r="P580" s="67"/>
      <c r="Q580" s="67">
        <f t="shared" ca="1" si="36"/>
        <v>2115</v>
      </c>
    </row>
    <row r="581" spans="2:17" ht="25" x14ac:dyDescent="0.35">
      <c r="B581" s="50">
        <v>12</v>
      </c>
      <c r="C581" s="51" t="s">
        <v>20</v>
      </c>
      <c r="D581" s="52">
        <v>28</v>
      </c>
      <c r="E581" s="52">
        <v>2</v>
      </c>
      <c r="F581" s="53" t="s">
        <v>3030</v>
      </c>
      <c r="G581" s="53" t="s">
        <v>2000</v>
      </c>
      <c r="H581" s="54" t="str">
        <f t="shared" si="33"/>
        <v>MM-ROS-028.02 - Procedimento Manuseio Comportas de Manutenção</v>
      </c>
      <c r="I581" s="55" t="s">
        <v>2001</v>
      </c>
      <c r="J581" s="55" t="str">
        <f>VLOOKUP(D581,GM!$D$4:$G$1637,4,3)&amp;" e "&amp;C581</f>
        <v>ENGENHARIA MECÂNICA  e ROS</v>
      </c>
      <c r="K581" s="164">
        <v>44062</v>
      </c>
      <c r="L581" s="164">
        <f t="shared" si="35"/>
        <v>45158</v>
      </c>
      <c r="M581" s="10" t="s">
        <v>62</v>
      </c>
      <c r="N581" s="1" t="s">
        <v>371</v>
      </c>
      <c r="O581" s="67" t="str">
        <f t="shared" ca="1" si="34"/>
        <v>Vencido</v>
      </c>
      <c r="P581" s="67"/>
      <c r="Q581" s="67">
        <f t="shared" ca="1" si="36"/>
        <v>2136</v>
      </c>
    </row>
    <row r="582" spans="2:17" ht="25" x14ac:dyDescent="0.35">
      <c r="B582" s="50">
        <v>12</v>
      </c>
      <c r="C582" s="51" t="s">
        <v>20</v>
      </c>
      <c r="D582" s="52">
        <v>31</v>
      </c>
      <c r="E582" s="52">
        <v>21</v>
      </c>
      <c r="F582" s="53" t="s">
        <v>3031</v>
      </c>
      <c r="G582" s="53" t="s">
        <v>2112</v>
      </c>
      <c r="H582" s="54" t="str">
        <f t="shared" ref="H582:H643" si="37">(F582)&amp;" - "&amp;(G582)</f>
        <v>MM-ROS-031.21 - Plano de Lubrificação da Ponte Rolante</v>
      </c>
      <c r="I582" s="55" t="s">
        <v>2113</v>
      </c>
      <c r="J582" s="55" t="str">
        <f>VLOOKUP(D582,GM!$D$4:$G$1637,4,3)&amp;" e "&amp;C582</f>
        <v>ENGENHARIA MECÂNICA  e ROS</v>
      </c>
      <c r="K582" s="164">
        <v>44083</v>
      </c>
      <c r="L582" s="164">
        <f t="shared" si="35"/>
        <v>45179</v>
      </c>
      <c r="M582" s="10" t="s">
        <v>62</v>
      </c>
      <c r="N582" s="1" t="s">
        <v>371</v>
      </c>
      <c r="O582" s="67" t="str">
        <f t="shared" ca="1" si="34"/>
        <v>Vencido</v>
      </c>
      <c r="P582" s="67"/>
      <c r="Q582" s="67">
        <f t="shared" ca="1" si="36"/>
        <v>2115</v>
      </c>
    </row>
    <row r="583" spans="2:17" ht="25" x14ac:dyDescent="0.35">
      <c r="B583" s="50">
        <v>12</v>
      </c>
      <c r="C583" s="51" t="s">
        <v>20</v>
      </c>
      <c r="D583" s="52">
        <v>32</v>
      </c>
      <c r="E583" s="52">
        <v>1</v>
      </c>
      <c r="F583" s="53" t="s">
        <v>3032</v>
      </c>
      <c r="G583" s="53" t="s">
        <v>3033</v>
      </c>
      <c r="H583" s="54" t="str">
        <f t="shared" si="37"/>
        <v>MM-ROS-032.21 - Plano de Lubrificação da Ponte Rolante Aux</v>
      </c>
      <c r="I583" s="55" t="s">
        <v>3034</v>
      </c>
      <c r="J583" s="55" t="str">
        <f>VLOOKUP(D583,GM!$D$4:$G$1637,4,3)&amp;" e "&amp;C583</f>
        <v>ENGENHARIA MECÂNICA  e ROS</v>
      </c>
      <c r="K583" s="164">
        <v>44083</v>
      </c>
      <c r="L583" s="164">
        <f t="shared" ref="L583:L642" si="38">K583+1096</f>
        <v>45179</v>
      </c>
      <c r="M583" s="10" t="s">
        <v>62</v>
      </c>
      <c r="N583" s="1" t="s">
        <v>371</v>
      </c>
      <c r="O583" s="67" t="str">
        <f t="shared" ca="1" si="34"/>
        <v>Vencido</v>
      </c>
      <c r="P583" s="67"/>
      <c r="Q583" s="67">
        <f t="shared" ca="1" si="36"/>
        <v>2115</v>
      </c>
    </row>
    <row r="584" spans="2:17" ht="25" x14ac:dyDescent="0.35">
      <c r="B584" s="50">
        <v>12</v>
      </c>
      <c r="C584" s="51" t="s">
        <v>20</v>
      </c>
      <c r="D584" s="52">
        <v>33</v>
      </c>
      <c r="E584" s="52">
        <v>1</v>
      </c>
      <c r="F584" s="53" t="s">
        <v>3035</v>
      </c>
      <c r="G584" s="53" t="s">
        <v>3036</v>
      </c>
      <c r="H584" s="54" t="str">
        <f t="shared" si="37"/>
        <v>MM-ROS-033.01 - Manutenção Preventiva Elevador Social - MCP2</v>
      </c>
      <c r="I584" s="55" t="s">
        <v>2173</v>
      </c>
      <c r="J584" s="55" t="str">
        <f>VLOOKUP(D584,GM!$D$4:$G$1637,4,3)&amp;" e "&amp;C584</f>
        <v>ENGENHARIA MECÂNICA  e ROS</v>
      </c>
      <c r="K584" s="164"/>
      <c r="L584" s="164"/>
      <c r="M584" s="11" t="s">
        <v>267</v>
      </c>
      <c r="O584" s="67" t="str">
        <f t="shared" ref="O584:O647" ca="1" si="39">IF(Q584="","",IF(Q584&gt;1095,"Vencido",IF(Q584&gt;910,"Alerta",IF(Q584&gt;820,"Alerta",IF(Q584&gt;730,"Alerta",IF(Q584&gt;=0,"Em dia","Vencido"))))))</f>
        <v>Vencido</v>
      </c>
      <c r="P584" s="67"/>
      <c r="Q584" s="67">
        <f t="shared" ca="1" si="36"/>
        <v>46198</v>
      </c>
    </row>
    <row r="585" spans="2:17" ht="25" x14ac:dyDescent="0.35">
      <c r="B585" s="50">
        <v>12</v>
      </c>
      <c r="C585" s="51" t="s">
        <v>20</v>
      </c>
      <c r="D585" s="52">
        <v>33</v>
      </c>
      <c r="E585" s="52">
        <v>2</v>
      </c>
      <c r="F585" s="53" t="s">
        <v>3037</v>
      </c>
      <c r="G585" s="53" t="s">
        <v>3038</v>
      </c>
      <c r="H585" s="54" t="str">
        <f t="shared" si="37"/>
        <v>MM-ROS-033.02 - Manutenção Preventiva Elevador Social - MCP1</v>
      </c>
      <c r="I585" s="55" t="s">
        <v>2173</v>
      </c>
      <c r="J585" s="55" t="str">
        <f>VLOOKUP(D585,GM!$D$4:$G$1637,4,3)&amp;" e "&amp;C585</f>
        <v>ENGENHARIA MECÂNICA  e ROS</v>
      </c>
      <c r="K585" s="164"/>
      <c r="L585" s="164"/>
      <c r="M585" s="11" t="s">
        <v>267</v>
      </c>
      <c r="O585" s="67" t="str">
        <f t="shared" ca="1" si="39"/>
        <v>Vencido</v>
      </c>
      <c r="P585" s="67"/>
      <c r="Q585" s="67">
        <f t="shared" ca="1" si="36"/>
        <v>46198</v>
      </c>
    </row>
    <row r="586" spans="2:17" ht="25" x14ac:dyDescent="0.35">
      <c r="B586" s="50">
        <v>12</v>
      </c>
      <c r="C586" s="51" t="s">
        <v>20</v>
      </c>
      <c r="D586" s="52">
        <v>33</v>
      </c>
      <c r="E586" s="52">
        <v>3</v>
      </c>
      <c r="F586" s="53" t="s">
        <v>3039</v>
      </c>
      <c r="G586" s="53" t="s">
        <v>3040</v>
      </c>
      <c r="H586" s="54" t="str">
        <f t="shared" si="37"/>
        <v>MM-ROS-033.03 - Manutenção Preventiva Elevador Social - MCP0</v>
      </c>
      <c r="I586" s="55" t="s">
        <v>2173</v>
      </c>
      <c r="J586" s="55" t="str">
        <f>VLOOKUP(D586,GM!$D$4:$G$1637,4,3)&amp;" e "&amp;C586</f>
        <v>ENGENHARIA MECÂNICA  e ROS</v>
      </c>
      <c r="K586" s="164"/>
      <c r="L586" s="164"/>
      <c r="M586" s="11" t="s">
        <v>267</v>
      </c>
      <c r="O586" s="67" t="str">
        <f t="shared" ca="1" si="39"/>
        <v>Vencido</v>
      </c>
      <c r="P586" s="67"/>
      <c r="Q586" s="67">
        <f t="shared" ref="Q586:Q649" ca="1" si="40">$P$4-K586</f>
        <v>46198</v>
      </c>
    </row>
    <row r="587" spans="2:17" ht="28" hidden="1" x14ac:dyDescent="0.35">
      <c r="B587" s="50">
        <v>12</v>
      </c>
      <c r="C587" s="51" t="s">
        <v>20</v>
      </c>
      <c r="D587" s="52">
        <v>41</v>
      </c>
      <c r="E587" s="52">
        <v>0</v>
      </c>
      <c r="F587" s="53" t="s">
        <v>3041</v>
      </c>
      <c r="G587" s="53" t="s">
        <v>3042</v>
      </c>
      <c r="H587" s="54" t="str">
        <f t="shared" si="37"/>
        <v>MM-ROS-041.00 - Sistema de proteção Contra Descargas Atmosféricas (SPDA)</v>
      </c>
      <c r="I587" s="18" t="s">
        <v>2010</v>
      </c>
      <c r="J587" s="55" t="str">
        <f>VLOOKUP(D587,GM!$D$4:$G$1637,4,3)&amp;" e "&amp;C587</f>
        <v>ENGENHARIA ELÉTRICA  e ROS</v>
      </c>
      <c r="K587" s="164">
        <v>45743</v>
      </c>
      <c r="L587" s="164">
        <f t="shared" si="38"/>
        <v>46839</v>
      </c>
      <c r="M587" s="10" t="s">
        <v>62</v>
      </c>
      <c r="N587" s="1" t="s">
        <v>371</v>
      </c>
      <c r="O587" s="67" t="str">
        <f t="shared" ca="1" si="39"/>
        <v>Em dia</v>
      </c>
      <c r="P587" s="67"/>
      <c r="Q587" s="67">
        <f t="shared" ca="1" si="40"/>
        <v>455</v>
      </c>
    </row>
    <row r="588" spans="2:17" ht="25" x14ac:dyDescent="0.35">
      <c r="B588" s="50">
        <v>12</v>
      </c>
      <c r="C588" s="51" t="s">
        <v>20</v>
      </c>
      <c r="D588" s="52">
        <v>60</v>
      </c>
      <c r="E588" s="52">
        <v>0</v>
      </c>
      <c r="F588" s="53" t="s">
        <v>3043</v>
      </c>
      <c r="G588" s="53" t="s">
        <v>3044</v>
      </c>
      <c r="H588" s="54" t="str">
        <f t="shared" si="37"/>
        <v>MM-ROS-060.00 -  Manutenção Complementar Preventiva LGE</v>
      </c>
      <c r="I588" s="55" t="s">
        <v>3045</v>
      </c>
      <c r="J588" s="55" t="str">
        <f>VLOOKUP(D588,GM!$D$4:$G$1637,4,3)&amp;" e "&amp;C588</f>
        <v>ENGENHARIA MECÂNICA  e ROS</v>
      </c>
      <c r="K588" s="164"/>
      <c r="L588" s="164"/>
      <c r="M588" s="11" t="s">
        <v>267</v>
      </c>
      <c r="O588" s="67" t="str">
        <f t="shared" ca="1" si="39"/>
        <v>Vencido</v>
      </c>
      <c r="P588" s="67"/>
      <c r="Q588" s="67">
        <f t="shared" ca="1" si="40"/>
        <v>46198</v>
      </c>
    </row>
    <row r="589" spans="2:17" ht="25" x14ac:dyDescent="0.35">
      <c r="B589" s="50">
        <v>12</v>
      </c>
      <c r="C589" s="51" t="s">
        <v>20</v>
      </c>
      <c r="D589" s="52">
        <v>60</v>
      </c>
      <c r="E589" s="52">
        <v>2</v>
      </c>
      <c r="F589" s="53" t="s">
        <v>3046</v>
      </c>
      <c r="G589" s="53" t="s">
        <v>2017</v>
      </c>
      <c r="H589" s="54" t="str">
        <f t="shared" si="37"/>
        <v>MM-ROS-060.02 - Manual de Manutenção sistema LGE</v>
      </c>
      <c r="I589" s="55" t="s">
        <v>3045</v>
      </c>
      <c r="J589" s="55" t="str">
        <f>VLOOKUP(D589,GM!$D$4:$G$1637,4,3)&amp;" e "&amp;C589</f>
        <v>ENGENHARIA MECÂNICA  e ROS</v>
      </c>
      <c r="K589" s="164">
        <v>44063</v>
      </c>
      <c r="L589" s="164">
        <f t="shared" si="38"/>
        <v>45159</v>
      </c>
      <c r="M589" s="10" t="s">
        <v>62</v>
      </c>
      <c r="N589" s="1" t="s">
        <v>371</v>
      </c>
      <c r="O589" s="67" t="str">
        <f t="shared" ca="1" si="39"/>
        <v>Vencido</v>
      </c>
      <c r="P589" s="67"/>
      <c r="Q589" s="67">
        <f t="shared" ca="1" si="40"/>
        <v>2135</v>
      </c>
    </row>
    <row r="590" spans="2:17" ht="25" x14ac:dyDescent="0.35">
      <c r="B590" s="50">
        <v>12</v>
      </c>
      <c r="C590" s="51" t="s">
        <v>20</v>
      </c>
      <c r="D590" s="52">
        <v>65</v>
      </c>
      <c r="E590" s="52">
        <v>1</v>
      </c>
      <c r="F590" s="53" t="s">
        <v>3047</v>
      </c>
      <c r="G590" s="53" t="s">
        <v>2022</v>
      </c>
      <c r="H590" s="54" t="str">
        <f t="shared" si="37"/>
        <v>MM-ROS-065.01 - Plano de Lubrificação Central Hidrau Comporta Emerg</v>
      </c>
      <c r="I590" s="57" t="s">
        <v>2023</v>
      </c>
      <c r="J590" s="55" t="str">
        <f>VLOOKUP(D590,GM!$D$4:$G$1637,4,3)&amp;" e "&amp;C590</f>
        <v>ENGENHARIA MECÂNICA  e ROS</v>
      </c>
      <c r="K590" s="164">
        <v>44083</v>
      </c>
      <c r="L590" s="164">
        <f t="shared" si="38"/>
        <v>45179</v>
      </c>
      <c r="M590" s="10" t="s">
        <v>62</v>
      </c>
      <c r="N590" s="1" t="s">
        <v>371</v>
      </c>
      <c r="O590" s="67" t="str">
        <f t="shared" ca="1" si="39"/>
        <v>Vencido</v>
      </c>
      <c r="P590" s="67"/>
      <c r="Q590" s="67">
        <f t="shared" ca="1" si="40"/>
        <v>2115</v>
      </c>
    </row>
    <row r="591" spans="2:17" ht="25" x14ac:dyDescent="0.35">
      <c r="B591" s="50">
        <v>12</v>
      </c>
      <c r="C591" s="51" t="s">
        <v>20</v>
      </c>
      <c r="D591" s="52">
        <v>65</v>
      </c>
      <c r="E591" s="52">
        <v>2</v>
      </c>
      <c r="F591" s="53" t="s">
        <v>3048</v>
      </c>
      <c r="G591" s="53" t="s">
        <v>2025</v>
      </c>
      <c r="H591" s="54" t="str">
        <f t="shared" si="37"/>
        <v>MM-ROS-065.02 - Plano de Lubrificação Central Hidrau do VS</v>
      </c>
      <c r="I591" s="57" t="s">
        <v>2026</v>
      </c>
      <c r="J591" s="55" t="str">
        <f>VLOOKUP(D591,GM!$D$4:$G$1637,4,3)&amp;" e "&amp;C591</f>
        <v>ENGENHARIA MECÂNICA  e ROS</v>
      </c>
      <c r="K591" s="164">
        <v>44083</v>
      </c>
      <c r="L591" s="164">
        <f t="shared" si="38"/>
        <v>45179</v>
      </c>
      <c r="M591" s="10" t="s">
        <v>62</v>
      </c>
      <c r="N591" s="1" t="s">
        <v>371</v>
      </c>
      <c r="O591" s="67" t="str">
        <f t="shared" ca="1" si="39"/>
        <v>Vencido</v>
      </c>
      <c r="P591" s="67"/>
      <c r="Q591" s="67">
        <f t="shared" ca="1" si="40"/>
        <v>2115</v>
      </c>
    </row>
    <row r="592" spans="2:17" ht="25" x14ac:dyDescent="0.35">
      <c r="B592" s="50">
        <v>13</v>
      </c>
      <c r="C592" s="51" t="s">
        <v>25</v>
      </c>
      <c r="D592" s="52">
        <v>1</v>
      </c>
      <c r="E592" s="52">
        <v>1</v>
      </c>
      <c r="F592" s="53" t="s">
        <v>3049</v>
      </c>
      <c r="G592" s="53" t="s">
        <v>3050</v>
      </c>
      <c r="H592" s="54" t="str">
        <f t="shared" si="37"/>
        <v xml:space="preserve">MM-STO-001.01 - Folgas Radiais e Ajuste em Mancal de Guia Inferior </v>
      </c>
      <c r="I592" s="55" t="s">
        <v>2077</v>
      </c>
      <c r="J592" s="55" t="str">
        <f>VLOOKUP(D592,GM!$D$4:$G$1637,4,3)&amp;" e "&amp;C592</f>
        <v>ENGENHARIA MECÂNICA  e STO</v>
      </c>
      <c r="K592" s="164"/>
      <c r="L592" s="164"/>
      <c r="M592" s="11" t="s">
        <v>267</v>
      </c>
      <c r="O592" s="67" t="str">
        <f t="shared" ca="1" si="39"/>
        <v>Vencido</v>
      </c>
      <c r="P592" s="67"/>
      <c r="Q592" s="67">
        <f t="shared" ca="1" si="40"/>
        <v>46198</v>
      </c>
    </row>
    <row r="593" spans="2:17" ht="25" x14ac:dyDescent="0.35">
      <c r="B593" s="50">
        <v>13</v>
      </c>
      <c r="C593" s="51" t="s">
        <v>25</v>
      </c>
      <c r="D593" s="52">
        <v>2</v>
      </c>
      <c r="E593" s="52">
        <v>1</v>
      </c>
      <c r="F593" s="53" t="s">
        <v>3051</v>
      </c>
      <c r="G593" s="53" t="s">
        <v>2324</v>
      </c>
      <c r="H593" s="54" t="str">
        <f t="shared" si="37"/>
        <v>MM-STO-002.01 - Substituição do radiador do gerador UGs Francis</v>
      </c>
      <c r="I593" s="55" t="s">
        <v>2077</v>
      </c>
      <c r="J593" s="55" t="str">
        <f>VLOOKUP(D593,GM!$D$4:$G$1637,4,3)&amp;" e "&amp;C593</f>
        <v>ENGENHARIA MECÂNICA  e STO</v>
      </c>
      <c r="K593" s="164"/>
      <c r="L593" s="164"/>
      <c r="M593" s="11" t="s">
        <v>267</v>
      </c>
      <c r="O593" s="67" t="str">
        <f t="shared" ca="1" si="39"/>
        <v>Vencido</v>
      </c>
      <c r="P593" s="67"/>
      <c r="Q593" s="67">
        <f t="shared" ca="1" si="40"/>
        <v>46198</v>
      </c>
    </row>
    <row r="594" spans="2:17" ht="25" hidden="1" x14ac:dyDescent="0.35">
      <c r="B594" s="50">
        <v>13</v>
      </c>
      <c r="C594" s="51" t="s">
        <v>25</v>
      </c>
      <c r="D594" s="52">
        <v>6</v>
      </c>
      <c r="E594" s="52">
        <v>0</v>
      </c>
      <c r="F594" s="53" t="s">
        <v>3052</v>
      </c>
      <c r="G594" s="53" t="s">
        <v>2863</v>
      </c>
      <c r="H594" s="54" t="str">
        <f t="shared" si="37"/>
        <v>MM-STO-006.00 - Coleta de Óleo Isolante nos Transformadores a Óleo</v>
      </c>
      <c r="I594" s="55" t="s">
        <v>2034</v>
      </c>
      <c r="J594" s="55" t="str">
        <f>VLOOKUP(D594,GM!$D$4:$G$1637,4,3)&amp;" e "&amp;C594</f>
        <v>ENGENHARIA ELÉTRICA  e STO</v>
      </c>
      <c r="K594" s="164">
        <v>45791</v>
      </c>
      <c r="L594" s="164">
        <f t="shared" si="38"/>
        <v>46887</v>
      </c>
      <c r="M594" s="168" t="s">
        <v>62</v>
      </c>
      <c r="N594" s="1" t="s">
        <v>371</v>
      </c>
      <c r="O594" s="67" t="str">
        <f t="shared" ca="1" si="39"/>
        <v>Em dia</v>
      </c>
      <c r="P594" s="67"/>
      <c r="Q594" s="67">
        <f t="shared" ca="1" si="40"/>
        <v>407</v>
      </c>
    </row>
    <row r="595" spans="2:17" ht="25" x14ac:dyDescent="0.35">
      <c r="B595" s="50">
        <v>13</v>
      </c>
      <c r="C595" s="51" t="s">
        <v>25</v>
      </c>
      <c r="D595" s="52">
        <v>8</v>
      </c>
      <c r="E595" s="52">
        <v>0</v>
      </c>
      <c r="F595" s="53" t="s">
        <v>3053</v>
      </c>
      <c r="G595" s="53" t="s">
        <v>3054</v>
      </c>
      <c r="H595" s="54" t="str">
        <f t="shared" si="37"/>
        <v xml:space="preserve">MM-STO-008.00 - Manutenção, testes e inspeção em equipamentos de alta tensão em subestação </v>
      </c>
      <c r="I595" s="55" t="s">
        <v>2254</v>
      </c>
      <c r="J595" s="55" t="str">
        <f>VLOOKUP(D595,GM!$D$4:$G$1637,4,3)&amp;" e "&amp;C595</f>
        <v>ENGENHARIA ELÉTRICA  e STO</v>
      </c>
      <c r="K595" s="164"/>
      <c r="L595" s="164"/>
      <c r="M595" s="11" t="s">
        <v>267</v>
      </c>
      <c r="O595" s="67" t="str">
        <f t="shared" ca="1" si="39"/>
        <v>Vencido</v>
      </c>
      <c r="P595" s="67"/>
      <c r="Q595" s="67">
        <f t="shared" ca="1" si="40"/>
        <v>46198</v>
      </c>
    </row>
    <row r="596" spans="2:17" ht="25" x14ac:dyDescent="0.35">
      <c r="B596" s="50">
        <v>13</v>
      </c>
      <c r="C596" s="51" t="s">
        <v>25</v>
      </c>
      <c r="D596" s="52">
        <v>8</v>
      </c>
      <c r="E596" s="52">
        <v>1</v>
      </c>
      <c r="F596" s="53" t="s">
        <v>3055</v>
      </c>
      <c r="G596" s="53" t="s">
        <v>2851</v>
      </c>
      <c r="H596" s="54" t="str">
        <f t="shared" si="37"/>
        <v xml:space="preserve">MM-STO-008.01 - Termovisão em subestações e equipamentos de alta tensão </v>
      </c>
      <c r="I596" s="55" t="s">
        <v>2254</v>
      </c>
      <c r="J596" s="55" t="str">
        <f>VLOOKUP(D596,GM!$D$4:$G$1637,4,3)&amp;" e "&amp;C596</f>
        <v>ENGENHARIA ELÉTRICA  e STO</v>
      </c>
      <c r="K596" s="164"/>
      <c r="L596" s="164"/>
      <c r="M596" s="11" t="s">
        <v>267</v>
      </c>
      <c r="O596" s="67" t="str">
        <f t="shared" ca="1" si="39"/>
        <v>Vencido</v>
      </c>
      <c r="P596" s="67"/>
      <c r="Q596" s="67">
        <f t="shared" ca="1" si="40"/>
        <v>46198</v>
      </c>
    </row>
    <row r="597" spans="2:17" ht="25" x14ac:dyDescent="0.35">
      <c r="B597" s="50">
        <v>13</v>
      </c>
      <c r="C597" s="51" t="s">
        <v>25</v>
      </c>
      <c r="D597" s="52">
        <v>15</v>
      </c>
      <c r="E597" s="52">
        <v>1</v>
      </c>
      <c r="F597" s="53" t="s">
        <v>3056</v>
      </c>
      <c r="G597" s="53" t="s">
        <v>2705</v>
      </c>
      <c r="H597" s="54" t="str">
        <f t="shared" si="37"/>
        <v>MM-STO-015.01 - Manual Ensaios Bancada Proteções Relé REG670</v>
      </c>
      <c r="I597" s="55" t="s">
        <v>2077</v>
      </c>
      <c r="J597" s="55" t="str">
        <f>VLOOKUP(D597,GM!$D$4:$G$1637,4,3)&amp;" e "&amp;C597</f>
        <v>ENGENHARIA ELÉTRICA  e STO</v>
      </c>
      <c r="K597" s="164">
        <v>44223</v>
      </c>
      <c r="L597" s="164">
        <f t="shared" si="38"/>
        <v>45319</v>
      </c>
      <c r="M597" s="10" t="s">
        <v>62</v>
      </c>
      <c r="N597" s="1" t="s">
        <v>371</v>
      </c>
      <c r="O597" s="67" t="str">
        <f t="shared" ca="1" si="39"/>
        <v>Vencido</v>
      </c>
      <c r="P597" s="67"/>
      <c r="Q597" s="67">
        <f t="shared" ca="1" si="40"/>
        <v>1975</v>
      </c>
    </row>
    <row r="598" spans="2:17" ht="25" x14ac:dyDescent="0.35">
      <c r="B598" s="50">
        <v>13</v>
      </c>
      <c r="C598" s="51" t="s">
        <v>25</v>
      </c>
      <c r="D598" s="52">
        <v>24</v>
      </c>
      <c r="E598" s="52">
        <v>1</v>
      </c>
      <c r="F598" s="53" t="s">
        <v>3057</v>
      </c>
      <c r="G598" s="53" t="s">
        <v>1992</v>
      </c>
      <c r="H598" s="54" t="str">
        <f t="shared" si="37"/>
        <v>MM-STO-024.01 - Procedimento Para Reabastecimento dos GAE</v>
      </c>
      <c r="I598" s="57" t="s">
        <v>1993</v>
      </c>
      <c r="J598" s="55" t="str">
        <f>VLOOKUP(D598,GM!$D$4:$G$1637,4,3)&amp;" e "&amp;C598</f>
        <v>ENGENHARIA MECÂNICA  e STO</v>
      </c>
      <c r="K598" s="164">
        <v>44062</v>
      </c>
      <c r="L598" s="164">
        <f t="shared" si="38"/>
        <v>45158</v>
      </c>
      <c r="M598" s="10" t="s">
        <v>62</v>
      </c>
      <c r="N598" s="1" t="s">
        <v>371</v>
      </c>
      <c r="O598" s="67" t="str">
        <f t="shared" ca="1" si="39"/>
        <v>Vencido</v>
      </c>
      <c r="P598" s="67"/>
      <c r="Q598" s="67">
        <f t="shared" ca="1" si="40"/>
        <v>2136</v>
      </c>
    </row>
    <row r="599" spans="2:17" ht="28" x14ac:dyDescent="0.35">
      <c r="B599" s="50">
        <v>13</v>
      </c>
      <c r="C599" s="51" t="s">
        <v>25</v>
      </c>
      <c r="D599" s="52">
        <v>26</v>
      </c>
      <c r="E599" s="52">
        <v>0</v>
      </c>
      <c r="F599" s="53" t="s">
        <v>3058</v>
      </c>
      <c r="G599" s="53" t="s">
        <v>3059</v>
      </c>
      <c r="H599" s="54" t="str">
        <f t="shared" si="37"/>
        <v xml:space="preserve">MM-STO-026.00 - Esgotamento e Enchimento das UGs </v>
      </c>
      <c r="I599" s="142" t="s">
        <v>2919</v>
      </c>
      <c r="J599" s="55" t="str">
        <f>VLOOKUP(D599,GM!$D$4:$G$1637,4,3)&amp;" e "&amp;C599</f>
        <v>ENGENHARIA MECÂNICA  e STO</v>
      </c>
      <c r="K599" s="164"/>
      <c r="L599" s="164"/>
      <c r="M599" s="11" t="s">
        <v>267</v>
      </c>
      <c r="O599" s="67" t="str">
        <f t="shared" ca="1" si="39"/>
        <v>Vencido</v>
      </c>
      <c r="P599" s="67"/>
      <c r="Q599" s="67">
        <f t="shared" ca="1" si="40"/>
        <v>46198</v>
      </c>
    </row>
    <row r="600" spans="2:17" ht="25" x14ac:dyDescent="0.35">
      <c r="B600" s="50">
        <v>13</v>
      </c>
      <c r="C600" s="51" t="s">
        <v>25</v>
      </c>
      <c r="D600" s="52">
        <v>30</v>
      </c>
      <c r="E600" s="52">
        <v>0</v>
      </c>
      <c r="F600" s="53" t="s">
        <v>3060</v>
      </c>
      <c r="G600" s="53" t="s">
        <v>3061</v>
      </c>
      <c r="H600" s="54" t="str">
        <f t="shared" si="37"/>
        <v>MM-STO-030.00 - Manutenção Preventiva Portico de Montante</v>
      </c>
      <c r="I600" s="18" t="s">
        <v>2282</v>
      </c>
      <c r="J600" s="55" t="str">
        <f>VLOOKUP(D600,GM!$D$4:$G$1637,4,3)&amp;" e "&amp;C600</f>
        <v>ENGENHARIA MECÂNICA  e STO</v>
      </c>
      <c r="K600" s="164"/>
      <c r="L600" s="164"/>
      <c r="M600" s="11" t="s">
        <v>267</v>
      </c>
      <c r="O600" s="67" t="str">
        <f t="shared" ca="1" si="39"/>
        <v>Vencido</v>
      </c>
      <c r="P600" s="67"/>
      <c r="Q600" s="67">
        <f t="shared" ca="1" si="40"/>
        <v>46198</v>
      </c>
    </row>
    <row r="601" spans="2:17" ht="25" x14ac:dyDescent="0.35">
      <c r="B601" s="50">
        <v>13</v>
      </c>
      <c r="C601" s="51" t="s">
        <v>25</v>
      </c>
      <c r="D601" s="52">
        <v>31</v>
      </c>
      <c r="E601" s="52">
        <v>0</v>
      </c>
      <c r="F601" s="53" t="s">
        <v>3062</v>
      </c>
      <c r="G601" s="53" t="s">
        <v>3063</v>
      </c>
      <c r="H601" s="54" t="str">
        <f t="shared" si="37"/>
        <v>MM-STO-031.00 - Manutenção Preventiva Ponte Rolante</v>
      </c>
      <c r="I601" s="18" t="s">
        <v>2459</v>
      </c>
      <c r="J601" s="55" t="str">
        <f>VLOOKUP(D601,GM!$D$4:$G$1637,4,3)&amp;" e "&amp;C601</f>
        <v>ENGENHARIA MECÂNICA  e STO</v>
      </c>
      <c r="K601" s="164"/>
      <c r="L601" s="164"/>
      <c r="M601" s="11" t="s">
        <v>267</v>
      </c>
      <c r="O601" s="67" t="str">
        <f t="shared" ca="1" si="39"/>
        <v>Vencido</v>
      </c>
      <c r="P601" s="67"/>
      <c r="Q601" s="67">
        <f t="shared" ca="1" si="40"/>
        <v>46198</v>
      </c>
    </row>
    <row r="602" spans="2:17" ht="25" x14ac:dyDescent="0.35">
      <c r="B602" s="50">
        <v>13</v>
      </c>
      <c r="C602" s="51" t="s">
        <v>25</v>
      </c>
      <c r="D602" s="52">
        <v>40</v>
      </c>
      <c r="E602" s="52">
        <v>0</v>
      </c>
      <c r="F602" s="53" t="s">
        <v>3064</v>
      </c>
      <c r="G602" s="53" t="s">
        <v>2934</v>
      </c>
      <c r="H602" s="54" t="str">
        <f t="shared" si="37"/>
        <v>MM-STO-040.00 - Manutenção em Iluminação Casa de Máquinas</v>
      </c>
      <c r="I602" s="55" t="s">
        <v>2294</v>
      </c>
      <c r="J602" s="55" t="str">
        <f>VLOOKUP(D602,GM!$D$4:$G$1637,4,3)&amp;" e "&amp;C602</f>
        <v>ENGENHARIA ELÉTRICA  e STO</v>
      </c>
      <c r="K602" s="164"/>
      <c r="L602" s="164"/>
      <c r="M602" s="11" t="s">
        <v>267</v>
      </c>
      <c r="O602" s="67" t="str">
        <f t="shared" ca="1" si="39"/>
        <v>Vencido</v>
      </c>
      <c r="P602" s="67"/>
      <c r="Q602" s="67">
        <f t="shared" ca="1" si="40"/>
        <v>46198</v>
      </c>
    </row>
    <row r="603" spans="2:17" ht="28" x14ac:dyDescent="0.35">
      <c r="B603" s="50">
        <v>13</v>
      </c>
      <c r="C603" s="51" t="s">
        <v>25</v>
      </c>
      <c r="D603" s="52">
        <v>51</v>
      </c>
      <c r="E603" s="52">
        <v>0</v>
      </c>
      <c r="F603" s="53" t="s">
        <v>3065</v>
      </c>
      <c r="G603" s="53" t="s">
        <v>3066</v>
      </c>
      <c r="H603" s="54" t="str">
        <f t="shared" si="37"/>
        <v>MM-STO-051.00 - Manutenção no transformador de serviço auxiliar TSA-03</v>
      </c>
      <c r="I603" s="18" t="s">
        <v>2046</v>
      </c>
      <c r="J603" s="55" t="str">
        <f>VLOOKUP(D603,GM!$D$4:$G$1637,4,3)&amp;" e "&amp;C603</f>
        <v>ENGENHARIA ELÉTRICA  e STO</v>
      </c>
      <c r="K603" s="164"/>
      <c r="L603" s="164"/>
      <c r="M603" s="11" t="s">
        <v>267</v>
      </c>
      <c r="O603" s="67" t="str">
        <f t="shared" ca="1" si="39"/>
        <v>Vencido</v>
      </c>
      <c r="P603" s="67"/>
      <c r="Q603" s="67">
        <f t="shared" ca="1" si="40"/>
        <v>46198</v>
      </c>
    </row>
    <row r="604" spans="2:17" ht="26" x14ac:dyDescent="0.35">
      <c r="B604" s="50">
        <v>13</v>
      </c>
      <c r="C604" s="51" t="s">
        <v>25</v>
      </c>
      <c r="D604" s="52">
        <v>60</v>
      </c>
      <c r="E604" s="52">
        <v>2</v>
      </c>
      <c r="F604" s="53" t="s">
        <v>3067</v>
      </c>
      <c r="G604" s="53" t="s">
        <v>2017</v>
      </c>
      <c r="H604" s="54" t="str">
        <f t="shared" si="37"/>
        <v>MM-STO-060.02 - Manual de Manutenção sistema LGE</v>
      </c>
      <c r="I604" s="55" t="s">
        <v>2018</v>
      </c>
      <c r="J604" s="55" t="str">
        <f>VLOOKUP(D604,GM!$D$4:$G$1637,4,3)&amp;" e "&amp;C604</f>
        <v>ENGENHARIA MECÂNICA  e STO</v>
      </c>
      <c r="K604" s="164">
        <v>44063</v>
      </c>
      <c r="L604" s="164">
        <f t="shared" si="38"/>
        <v>45159</v>
      </c>
      <c r="M604" s="10" t="s">
        <v>62</v>
      </c>
      <c r="N604" s="1" t="s">
        <v>371</v>
      </c>
      <c r="O604" s="67" t="str">
        <f t="shared" ca="1" si="39"/>
        <v>Vencido</v>
      </c>
      <c r="P604" s="67"/>
      <c r="Q604" s="67">
        <f t="shared" ca="1" si="40"/>
        <v>2135</v>
      </c>
    </row>
    <row r="605" spans="2:17" ht="25" x14ac:dyDescent="0.35">
      <c r="B605" s="50">
        <v>13</v>
      </c>
      <c r="C605" s="51" t="s">
        <v>25</v>
      </c>
      <c r="D605" s="52">
        <v>63</v>
      </c>
      <c r="E605" s="52">
        <v>0</v>
      </c>
      <c r="F605" s="53" t="s">
        <v>3068</v>
      </c>
      <c r="G605" s="53" t="s">
        <v>3069</v>
      </c>
      <c r="H605" s="54" t="str">
        <f t="shared" si="37"/>
        <v>MM-STO-063.00 - Manutenção Preventiva Pórtico de Jusante</v>
      </c>
      <c r="I605" s="18" t="s">
        <v>2310</v>
      </c>
      <c r="J605" s="55" t="str">
        <f>VLOOKUP(D605,GM!$D$4:$G$1637,4,3)&amp;" e "&amp;C605</f>
        <v>ENGENHARIA MECÂNICA  e STO</v>
      </c>
      <c r="K605" s="164"/>
      <c r="L605" s="164"/>
      <c r="M605" s="11" t="s">
        <v>267</v>
      </c>
      <c r="O605" s="67" t="str">
        <f t="shared" ca="1" si="39"/>
        <v>Vencido</v>
      </c>
      <c r="P605" s="67"/>
      <c r="Q605" s="67">
        <f t="shared" ca="1" si="40"/>
        <v>46198</v>
      </c>
    </row>
    <row r="606" spans="2:17" ht="26" x14ac:dyDescent="0.35">
      <c r="B606" s="50">
        <v>14</v>
      </c>
      <c r="C606" s="51" t="s">
        <v>19</v>
      </c>
      <c r="D606" s="52">
        <v>0</v>
      </c>
      <c r="E606" s="52">
        <v>2</v>
      </c>
      <c r="F606" s="53" t="s">
        <v>3070</v>
      </c>
      <c r="G606" s="53" t="s">
        <v>1972</v>
      </c>
      <c r="H606" s="54" t="str">
        <f t="shared" si="37"/>
        <v>MM-TAQ-000.02 - Procedimentos Execução Mergulho Profissional</v>
      </c>
      <c r="I606" s="55" t="s">
        <v>1973</v>
      </c>
      <c r="J606" s="55" t="str">
        <f>VLOOKUP(D606,GM!$D$4:$G$1637,4,3)&amp;" e "&amp;C606</f>
        <v>ENGENHARIA  e TAQ</v>
      </c>
      <c r="K606" s="164">
        <v>44063</v>
      </c>
      <c r="L606" s="164">
        <f t="shared" si="38"/>
        <v>45159</v>
      </c>
      <c r="M606" s="10" t="s">
        <v>62</v>
      </c>
      <c r="N606" s="1" t="s">
        <v>371</v>
      </c>
      <c r="O606" s="67" t="str">
        <f t="shared" ca="1" si="39"/>
        <v>Vencido</v>
      </c>
      <c r="P606" s="67"/>
      <c r="Q606" s="67">
        <f t="shared" ca="1" si="40"/>
        <v>2135</v>
      </c>
    </row>
    <row r="607" spans="2:17" ht="25" x14ac:dyDescent="0.35">
      <c r="B607" s="50">
        <v>14</v>
      </c>
      <c r="C607" s="51" t="s">
        <v>19</v>
      </c>
      <c r="D607" s="52">
        <v>1</v>
      </c>
      <c r="E607" s="52">
        <v>2</v>
      </c>
      <c r="F607" s="53" t="s">
        <v>3071</v>
      </c>
      <c r="G607" s="53" t="s">
        <v>1975</v>
      </c>
      <c r="H607" s="54" t="str">
        <f t="shared" si="37"/>
        <v>MM-TAQ-001.02 - Procedimentos Para Ajustes de Verticalidade e Mancais</v>
      </c>
      <c r="I607" s="55" t="s">
        <v>1976</v>
      </c>
      <c r="J607" s="55" t="str">
        <f>VLOOKUP(D607,GM!$D$4:$G$1637,4,3)&amp;" e "&amp;C607</f>
        <v>ENGENHARIA MECÂNICA  e TAQ</v>
      </c>
      <c r="K607" s="164">
        <v>44054</v>
      </c>
      <c r="L607" s="164">
        <f t="shared" si="38"/>
        <v>45150</v>
      </c>
      <c r="M607" s="10" t="s">
        <v>62</v>
      </c>
      <c r="N607" s="1" t="s">
        <v>371</v>
      </c>
      <c r="O607" s="67" t="str">
        <f t="shared" ca="1" si="39"/>
        <v>Vencido</v>
      </c>
      <c r="P607" s="67"/>
      <c r="Q607" s="67">
        <f t="shared" ca="1" si="40"/>
        <v>2144</v>
      </c>
    </row>
    <row r="608" spans="2:17" ht="25" x14ac:dyDescent="0.35">
      <c r="B608" s="50">
        <v>14</v>
      </c>
      <c r="C608" s="51" t="s">
        <v>19</v>
      </c>
      <c r="D608" s="52">
        <v>1</v>
      </c>
      <c r="E608" s="52">
        <v>7</v>
      </c>
      <c r="F608" s="53" t="s">
        <v>3072</v>
      </c>
      <c r="G608" s="53" t="s">
        <v>3073</v>
      </c>
      <c r="H608" s="54" t="str">
        <f t="shared" si="37"/>
        <v>MM-TAQ-001.07 - Recuperação Trinca Pá Rotor Kaplan</v>
      </c>
      <c r="I608" s="55" t="s">
        <v>1976</v>
      </c>
      <c r="J608" s="55" t="str">
        <f>VLOOKUP(D608,GM!$D$4:$G$1637,4,3)&amp;" e "&amp;C608</f>
        <v>ENGENHARIA MECÂNICA  e TAQ</v>
      </c>
      <c r="K608" s="164">
        <v>44054</v>
      </c>
      <c r="L608" s="164">
        <f t="shared" si="38"/>
        <v>45150</v>
      </c>
      <c r="M608" s="10" t="s">
        <v>62</v>
      </c>
      <c r="N608" s="1" t="s">
        <v>371</v>
      </c>
      <c r="O608" s="67" t="str">
        <f t="shared" ca="1" si="39"/>
        <v>Vencido</v>
      </c>
      <c r="P608" s="67"/>
      <c r="Q608" s="67">
        <f t="shared" ca="1" si="40"/>
        <v>2144</v>
      </c>
    </row>
    <row r="609" spans="2:17" ht="25" x14ac:dyDescent="0.35">
      <c r="B609" s="50">
        <v>14</v>
      </c>
      <c r="C609" s="51" t="s">
        <v>19</v>
      </c>
      <c r="D609" s="52">
        <v>1</v>
      </c>
      <c r="E609" s="52">
        <v>25</v>
      </c>
      <c r="F609" s="53" t="s">
        <v>3074</v>
      </c>
      <c r="G609" s="53" t="s">
        <v>1978</v>
      </c>
      <c r="H609" s="54" t="str">
        <f t="shared" si="37"/>
        <v>MM-TAQ-001.25 - Plano de Lubrificação da Turbina</v>
      </c>
      <c r="I609" s="55" t="s">
        <v>1976</v>
      </c>
      <c r="J609" s="55" t="str">
        <f>VLOOKUP(D609,GM!$D$4:$G$1637,4,3)&amp;" e "&amp;C609</f>
        <v>ENGENHARIA MECÂNICA  e TAQ</v>
      </c>
      <c r="K609" s="164">
        <v>44083</v>
      </c>
      <c r="L609" s="164">
        <f t="shared" si="38"/>
        <v>45179</v>
      </c>
      <c r="M609" s="10" t="s">
        <v>62</v>
      </c>
      <c r="N609" s="1" t="s">
        <v>371</v>
      </c>
      <c r="O609" s="67" t="str">
        <f t="shared" ca="1" si="39"/>
        <v>Vencido</v>
      </c>
      <c r="P609" s="67"/>
      <c r="Q609" s="67">
        <f t="shared" ca="1" si="40"/>
        <v>2115</v>
      </c>
    </row>
    <row r="610" spans="2:17" ht="25" x14ac:dyDescent="0.35">
      <c r="B610" s="50">
        <v>14</v>
      </c>
      <c r="C610" s="51" t="s">
        <v>19</v>
      </c>
      <c r="D610" s="52">
        <v>6</v>
      </c>
      <c r="E610" s="52">
        <v>1</v>
      </c>
      <c r="F610" s="53" t="s">
        <v>3075</v>
      </c>
      <c r="G610" s="57" t="s">
        <v>3076</v>
      </c>
      <c r="H610" s="54" t="str">
        <f t="shared" si="37"/>
        <v>MM-TAQ-006.01 - Movimentação dos transformadores TUSA</v>
      </c>
      <c r="I610" s="57" t="s">
        <v>1981</v>
      </c>
      <c r="J610" s="55" t="str">
        <f>VLOOKUP(D610,GM!$D$4:$G$1637,4,3)&amp;" e "&amp;C610</f>
        <v>ENGENHARIA ELÉTRICA  e TAQ</v>
      </c>
      <c r="K610" s="164">
        <v>45274</v>
      </c>
      <c r="L610" s="164">
        <f t="shared" si="38"/>
        <v>46370</v>
      </c>
      <c r="M610" s="10" t="s">
        <v>62</v>
      </c>
      <c r="N610" s="1" t="s">
        <v>371</v>
      </c>
      <c r="O610" s="67" t="str">
        <f t="shared" ca="1" si="39"/>
        <v>Alerta</v>
      </c>
      <c r="P610" s="67"/>
      <c r="Q610" s="67">
        <f t="shared" ca="1" si="40"/>
        <v>924</v>
      </c>
    </row>
    <row r="611" spans="2:17" ht="25" hidden="1" x14ac:dyDescent="0.35">
      <c r="B611" s="50">
        <v>14</v>
      </c>
      <c r="C611" s="51" t="s">
        <v>19</v>
      </c>
      <c r="D611" s="52">
        <v>6</v>
      </c>
      <c r="E611" s="52">
        <v>2</v>
      </c>
      <c r="F611" s="53" t="s">
        <v>3077</v>
      </c>
      <c r="G611" s="57" t="s">
        <v>3078</v>
      </c>
      <c r="H611" s="54" t="str">
        <f t="shared" si="37"/>
        <v>MM-TAQ-006.02 -  Coleta de Óleo isolante</v>
      </c>
      <c r="I611" s="57" t="s">
        <v>1981</v>
      </c>
      <c r="J611" s="55" t="str">
        <f>VLOOKUP(D611,GM!$D$4:$G$1637,4,3)&amp;" e "&amp;C611</f>
        <v>ENGENHARIA ELÉTRICA  e TAQ</v>
      </c>
      <c r="K611" s="164">
        <v>45743</v>
      </c>
      <c r="L611" s="164">
        <f t="shared" si="38"/>
        <v>46839</v>
      </c>
      <c r="M611" s="10" t="s">
        <v>62</v>
      </c>
      <c r="N611" s="1" t="s">
        <v>371</v>
      </c>
      <c r="O611" s="67" t="str">
        <f t="shared" ca="1" si="39"/>
        <v>Em dia</v>
      </c>
      <c r="P611" s="67"/>
      <c r="Q611" s="67">
        <f t="shared" ca="1" si="40"/>
        <v>455</v>
      </c>
    </row>
    <row r="612" spans="2:17" ht="25" hidden="1" x14ac:dyDescent="0.35">
      <c r="B612" s="50">
        <v>14</v>
      </c>
      <c r="C612" s="51" t="s">
        <v>19</v>
      </c>
      <c r="D612" s="52">
        <v>8</v>
      </c>
      <c r="E612" s="52">
        <v>1</v>
      </c>
      <c r="F612" s="53" t="s">
        <v>3079</v>
      </c>
      <c r="G612" s="57" t="s">
        <v>95</v>
      </c>
      <c r="H612" s="54" t="str">
        <f t="shared" si="37"/>
        <v>MM-TAQ-008.01 - Ensaios de Termovisão</v>
      </c>
      <c r="I612" s="18" t="s">
        <v>2254</v>
      </c>
      <c r="J612" s="55" t="str">
        <f>VLOOKUP(D612,GM!$D$4:$G$1637,4,3)&amp;" e "&amp;C612</f>
        <v>ENGENHARIA ELÉTRICA  e TAQ</v>
      </c>
      <c r="K612" s="164">
        <v>45743</v>
      </c>
      <c r="L612" s="164">
        <f t="shared" si="38"/>
        <v>46839</v>
      </c>
      <c r="M612" s="10" t="s">
        <v>62</v>
      </c>
      <c r="N612" s="1" t="s">
        <v>371</v>
      </c>
      <c r="O612" s="67" t="str">
        <f t="shared" ca="1" si="39"/>
        <v>Em dia</v>
      </c>
      <c r="P612" s="67"/>
      <c r="Q612" s="67">
        <f t="shared" ca="1" si="40"/>
        <v>455</v>
      </c>
    </row>
    <row r="613" spans="2:17" ht="25" x14ac:dyDescent="0.35">
      <c r="B613" s="50">
        <v>14</v>
      </c>
      <c r="C613" s="51" t="s">
        <v>19</v>
      </c>
      <c r="D613" s="52">
        <v>20</v>
      </c>
      <c r="E613" s="52">
        <v>6</v>
      </c>
      <c r="F613" s="53" t="s">
        <v>3080</v>
      </c>
      <c r="G613" s="53" t="s">
        <v>1983</v>
      </c>
      <c r="H613" s="54" t="str">
        <f t="shared" si="37"/>
        <v>MM-TAQ-020.06 - Plano de Lubrificação do RV</v>
      </c>
      <c r="I613" s="57" t="s">
        <v>1984</v>
      </c>
      <c r="J613" s="55" t="str">
        <f>VLOOKUP(D613,GM!$D$4:$G$1637,4,3)&amp;" e "&amp;C613</f>
        <v>ENGENHARIA MECÂNICA  e TAQ</v>
      </c>
      <c r="K613" s="164">
        <v>44083</v>
      </c>
      <c r="L613" s="164">
        <f t="shared" si="38"/>
        <v>45179</v>
      </c>
      <c r="M613" s="10" t="s">
        <v>62</v>
      </c>
      <c r="N613" s="1" t="s">
        <v>371</v>
      </c>
      <c r="O613" s="67" t="str">
        <f t="shared" ca="1" si="39"/>
        <v>Vencido</v>
      </c>
      <c r="P613" s="67"/>
      <c r="Q613" s="67">
        <f t="shared" ca="1" si="40"/>
        <v>2115</v>
      </c>
    </row>
    <row r="614" spans="2:17" ht="25" x14ac:dyDescent="0.35">
      <c r="B614" s="50">
        <v>14</v>
      </c>
      <c r="C614" s="51" t="s">
        <v>19</v>
      </c>
      <c r="D614" s="52">
        <v>22</v>
      </c>
      <c r="E614" s="52">
        <v>3</v>
      </c>
      <c r="F614" s="53" t="s">
        <v>3081</v>
      </c>
      <c r="G614" s="53" t="s">
        <v>1986</v>
      </c>
      <c r="H614" s="54" t="str">
        <f t="shared" si="37"/>
        <v>MM-TAQ-022.03 - Plano de Lubrificação dos Compressores</v>
      </c>
      <c r="I614" s="57" t="s">
        <v>1987</v>
      </c>
      <c r="J614" s="55" t="str">
        <f>VLOOKUP(D614,GM!$D$4:$G$1637,4,3)&amp;" e "&amp;C614</f>
        <v>ENGENHARIA MECÂNICA  e TAQ</v>
      </c>
      <c r="K614" s="164">
        <v>44083</v>
      </c>
      <c r="L614" s="164">
        <f t="shared" si="38"/>
        <v>45179</v>
      </c>
      <c r="M614" s="10" t="s">
        <v>62</v>
      </c>
      <c r="N614" s="1" t="s">
        <v>371</v>
      </c>
      <c r="O614" s="67" t="str">
        <f t="shared" ca="1" si="39"/>
        <v>Vencido</v>
      </c>
      <c r="P614" s="67"/>
      <c r="Q614" s="67">
        <f t="shared" ca="1" si="40"/>
        <v>2115</v>
      </c>
    </row>
    <row r="615" spans="2:17" ht="25" x14ac:dyDescent="0.35">
      <c r="B615" s="50">
        <v>14</v>
      </c>
      <c r="C615" s="51" t="s">
        <v>19</v>
      </c>
      <c r="D615" s="52">
        <v>23</v>
      </c>
      <c r="E615" s="52">
        <v>3</v>
      </c>
      <c r="F615" s="53" t="s">
        <v>3082</v>
      </c>
      <c r="G615" s="53" t="s">
        <v>1989</v>
      </c>
      <c r="H615" s="54" t="str">
        <f t="shared" si="37"/>
        <v>MM-TAQ-023.03 - Plano de Lubrificação do sistema de Refrigeração</v>
      </c>
      <c r="I615" s="57" t="s">
        <v>1990</v>
      </c>
      <c r="J615" s="55" t="str">
        <f>VLOOKUP(D615,GM!$D$4:$G$1637,4,3)&amp;" e "&amp;C615</f>
        <v>ENGENHARIA MECÂNICA  e TAQ</v>
      </c>
      <c r="K615" s="164">
        <v>44083</v>
      </c>
      <c r="L615" s="164">
        <f t="shared" si="38"/>
        <v>45179</v>
      </c>
      <c r="M615" s="10" t="s">
        <v>62</v>
      </c>
      <c r="N615" s="1" t="s">
        <v>371</v>
      </c>
      <c r="O615" s="67" t="str">
        <f t="shared" ca="1" si="39"/>
        <v>Vencido</v>
      </c>
      <c r="P615" s="67"/>
      <c r="Q615" s="67">
        <f t="shared" ca="1" si="40"/>
        <v>2115</v>
      </c>
    </row>
    <row r="616" spans="2:17" ht="25" x14ac:dyDescent="0.35">
      <c r="B616" s="50">
        <v>14</v>
      </c>
      <c r="C616" s="51" t="s">
        <v>19</v>
      </c>
      <c r="D616" s="52">
        <v>24</v>
      </c>
      <c r="E616" s="52">
        <v>1</v>
      </c>
      <c r="F616" s="53" t="s">
        <v>3083</v>
      </c>
      <c r="G616" s="53" t="s">
        <v>1992</v>
      </c>
      <c r="H616" s="54" t="str">
        <f t="shared" si="37"/>
        <v>MM-TAQ-024.01 - Procedimento Para Reabastecimento dos GAE</v>
      </c>
      <c r="I616" s="57" t="s">
        <v>1993</v>
      </c>
      <c r="J616" s="55" t="str">
        <f>VLOOKUP(D616,GM!$D$4:$G$1637,4,3)&amp;" e "&amp;C616</f>
        <v>ENGENHARIA MECÂNICA  e TAQ</v>
      </c>
      <c r="K616" s="164">
        <v>44062</v>
      </c>
      <c r="L616" s="164">
        <f t="shared" si="38"/>
        <v>45158</v>
      </c>
      <c r="M616" s="10" t="s">
        <v>62</v>
      </c>
      <c r="N616" s="1" t="s">
        <v>371</v>
      </c>
      <c r="O616" s="67" t="str">
        <f t="shared" ca="1" si="39"/>
        <v>Vencido</v>
      </c>
      <c r="P616" s="67"/>
      <c r="Q616" s="67">
        <f t="shared" ca="1" si="40"/>
        <v>2136</v>
      </c>
    </row>
    <row r="617" spans="2:17" ht="25" x14ac:dyDescent="0.35">
      <c r="B617" s="50">
        <v>14</v>
      </c>
      <c r="C617" s="51" t="s">
        <v>19</v>
      </c>
      <c r="D617" s="52">
        <v>24</v>
      </c>
      <c r="E617" s="52">
        <v>4</v>
      </c>
      <c r="F617" s="53" t="s">
        <v>3084</v>
      </c>
      <c r="G617" s="53" t="s">
        <v>1995</v>
      </c>
      <c r="H617" s="54" t="str">
        <f t="shared" si="37"/>
        <v>MM-TAQ-024.04 - Plano de Lubrificação do GAE</v>
      </c>
      <c r="I617" s="57" t="s">
        <v>1993</v>
      </c>
      <c r="J617" s="55" t="str">
        <f>VLOOKUP(D617,GM!$D$4:$G$1637,4,3)&amp;" e "&amp;C617</f>
        <v>ENGENHARIA MECÂNICA  e TAQ</v>
      </c>
      <c r="K617" s="164">
        <v>44083</v>
      </c>
      <c r="L617" s="164">
        <f t="shared" si="38"/>
        <v>45179</v>
      </c>
      <c r="M617" s="10" t="s">
        <v>62</v>
      </c>
      <c r="N617" s="1" t="s">
        <v>371</v>
      </c>
      <c r="O617" s="67" t="str">
        <f t="shared" ca="1" si="39"/>
        <v>Vencido</v>
      </c>
      <c r="P617" s="67"/>
      <c r="Q617" s="67">
        <f t="shared" ca="1" si="40"/>
        <v>2115</v>
      </c>
    </row>
    <row r="618" spans="2:17" ht="26" x14ac:dyDescent="0.35">
      <c r="B618" s="50">
        <v>14</v>
      </c>
      <c r="C618" s="51" t="s">
        <v>19</v>
      </c>
      <c r="D618" s="52">
        <v>26</v>
      </c>
      <c r="E618" s="52">
        <v>1</v>
      </c>
      <c r="F618" s="53" t="s">
        <v>3085</v>
      </c>
      <c r="G618" s="53" t="s">
        <v>3086</v>
      </c>
      <c r="H618" s="54" t="str">
        <f t="shared" si="37"/>
        <v>MM-TAQ-026.01 - Manutenção Complementar Preventiva MCP1 – Poços de Drenagem UHE Taquaruçu</v>
      </c>
      <c r="I618" s="55" t="s">
        <v>1998</v>
      </c>
      <c r="J618" s="55" t="str">
        <f>VLOOKUP(D618,GM!$D$4:$G$1637,4,3)&amp;" e "&amp;C618</f>
        <v>ENGENHARIA MECÂNICA  e TAQ</v>
      </c>
      <c r="K618" s="164"/>
      <c r="L618" s="164"/>
      <c r="M618" s="163" t="s">
        <v>267</v>
      </c>
      <c r="O618" s="67" t="str">
        <f t="shared" ca="1" si="39"/>
        <v>Vencido</v>
      </c>
      <c r="P618" s="67"/>
      <c r="Q618" s="67">
        <f t="shared" ca="1" si="40"/>
        <v>46198</v>
      </c>
    </row>
    <row r="619" spans="2:17" ht="26" x14ac:dyDescent="0.35">
      <c r="B619" s="50">
        <v>14</v>
      </c>
      <c r="C619" s="51" t="s">
        <v>19</v>
      </c>
      <c r="D619" s="52">
        <v>26</v>
      </c>
      <c r="E619" s="52">
        <v>2</v>
      </c>
      <c r="F619" s="53" t="s">
        <v>3087</v>
      </c>
      <c r="G619" s="53" t="s">
        <v>3088</v>
      </c>
      <c r="H619" s="54" t="str">
        <f t="shared" si="37"/>
        <v>MM-TAQ-026.02 - Manutenção Complementar Preventiva MCP0 – Poços de Drenagem UHE Taquaruçu</v>
      </c>
      <c r="I619" s="55" t="s">
        <v>1998</v>
      </c>
      <c r="J619" s="55" t="str">
        <f>VLOOKUP(D619,GM!$D$4:$G$1637,4,3)&amp;" e "&amp;C619</f>
        <v>ENGENHARIA MECÂNICA  e TAQ</v>
      </c>
      <c r="K619" s="164"/>
      <c r="L619" s="164"/>
      <c r="M619" s="163" t="s">
        <v>267</v>
      </c>
      <c r="O619" s="67" t="str">
        <f t="shared" ca="1" si="39"/>
        <v>Vencido</v>
      </c>
      <c r="P619" s="67"/>
      <c r="Q619" s="67">
        <f t="shared" ca="1" si="40"/>
        <v>46198</v>
      </c>
    </row>
    <row r="620" spans="2:17" ht="26" x14ac:dyDescent="0.35">
      <c r="B620" s="50">
        <v>14</v>
      </c>
      <c r="C620" s="51" t="s">
        <v>19</v>
      </c>
      <c r="D620" s="52">
        <v>26</v>
      </c>
      <c r="E620" s="52">
        <v>3</v>
      </c>
      <c r="F620" s="53" t="s">
        <v>3089</v>
      </c>
      <c r="G620" s="53" t="s">
        <v>3090</v>
      </c>
      <c r="H620" s="54" t="str">
        <f t="shared" si="37"/>
        <v>MM-TAQ-026.03 -  Manutenção Complementar Preventiva MCP1 – Poço de Esgotamento UHE Taquaruçu</v>
      </c>
      <c r="I620" s="55" t="s">
        <v>1998</v>
      </c>
      <c r="J620" s="55" t="str">
        <f>VLOOKUP(D620,GM!$D$4:$G$1637,4,3)&amp;" e "&amp;C620</f>
        <v>ENGENHARIA MECÂNICA  e TAQ</v>
      </c>
      <c r="K620" s="164"/>
      <c r="L620" s="164"/>
      <c r="M620" s="163" t="s">
        <v>267</v>
      </c>
      <c r="O620" s="67" t="str">
        <f t="shared" ca="1" si="39"/>
        <v>Vencido</v>
      </c>
      <c r="P620" s="67"/>
      <c r="Q620" s="67">
        <f t="shared" ca="1" si="40"/>
        <v>46198</v>
      </c>
    </row>
    <row r="621" spans="2:17" ht="26" x14ac:dyDescent="0.35">
      <c r="B621" s="50">
        <v>14</v>
      </c>
      <c r="C621" s="51" t="s">
        <v>19</v>
      </c>
      <c r="D621" s="52">
        <v>26</v>
      </c>
      <c r="E621" s="52">
        <v>4</v>
      </c>
      <c r="F621" s="53" t="s">
        <v>3091</v>
      </c>
      <c r="G621" s="53" t="s">
        <v>3092</v>
      </c>
      <c r="H621" s="54" t="str">
        <f t="shared" si="37"/>
        <v>MM-TAQ-026.04 - Manutenção Complementar Preventiva MCP0 – Poço de Esgotamento UHE Taquaruçu</v>
      </c>
      <c r="I621" s="55" t="s">
        <v>1998</v>
      </c>
      <c r="J621" s="55" t="str">
        <f>VLOOKUP(D621,GM!$D$4:$G$1637,4,3)&amp;" e "&amp;C621</f>
        <v>ENGENHARIA MECÂNICA  e TAQ</v>
      </c>
      <c r="K621" s="164"/>
      <c r="L621" s="164"/>
      <c r="M621" s="163" t="s">
        <v>267</v>
      </c>
      <c r="O621" s="67" t="str">
        <f t="shared" ca="1" si="39"/>
        <v>Vencido</v>
      </c>
      <c r="P621" s="67"/>
      <c r="Q621" s="67">
        <f t="shared" ca="1" si="40"/>
        <v>46198</v>
      </c>
    </row>
    <row r="622" spans="2:17" ht="26" x14ac:dyDescent="0.35">
      <c r="B622" s="50">
        <v>14</v>
      </c>
      <c r="C622" s="51" t="s">
        <v>19</v>
      </c>
      <c r="D622" s="52">
        <v>26</v>
      </c>
      <c r="E622" s="52">
        <v>7</v>
      </c>
      <c r="F622" s="53" t="s">
        <v>3093</v>
      </c>
      <c r="G622" s="53" t="s">
        <v>1997</v>
      </c>
      <c r="H622" s="54" t="str">
        <f t="shared" si="37"/>
        <v>MM-TAQ-026.07 - Plano de Lubrificação do Sistema Drenagem e Esg</v>
      </c>
      <c r="I622" s="55" t="s">
        <v>1998</v>
      </c>
      <c r="J622" s="55" t="str">
        <f>VLOOKUP(D622,GM!$D$4:$G$1637,4,3)&amp;" e "&amp;C622</f>
        <v>ENGENHARIA MECÂNICA  e TAQ</v>
      </c>
      <c r="K622" s="164">
        <v>44083</v>
      </c>
      <c r="L622" s="164">
        <f t="shared" si="38"/>
        <v>45179</v>
      </c>
      <c r="M622" s="10" t="s">
        <v>62</v>
      </c>
      <c r="N622" s="1" t="s">
        <v>371</v>
      </c>
      <c r="O622" s="67" t="str">
        <f t="shared" ca="1" si="39"/>
        <v>Vencido</v>
      </c>
      <c r="P622" s="67"/>
      <c r="Q622" s="67">
        <f t="shared" ca="1" si="40"/>
        <v>2115</v>
      </c>
    </row>
    <row r="623" spans="2:17" ht="25" x14ac:dyDescent="0.35">
      <c r="B623" s="50">
        <v>14</v>
      </c>
      <c r="C623" s="51" t="s">
        <v>19</v>
      </c>
      <c r="D623" s="52">
        <v>28</v>
      </c>
      <c r="E623" s="52">
        <v>2</v>
      </c>
      <c r="F623" s="53" t="s">
        <v>3094</v>
      </c>
      <c r="G623" s="53" t="s">
        <v>2000</v>
      </c>
      <c r="H623" s="54" t="str">
        <f t="shared" si="37"/>
        <v>MM-TAQ-028.02 - Procedimento Manuseio Comportas de Manutenção</v>
      </c>
      <c r="I623" s="55" t="s">
        <v>2001</v>
      </c>
      <c r="J623" s="55" t="str">
        <f>VLOOKUP(D623,GM!$D$4:$G$1637,4,3)&amp;" e "&amp;C623</f>
        <v>ENGENHARIA MECÂNICA  e TAQ</v>
      </c>
      <c r="K623" s="164">
        <v>44062</v>
      </c>
      <c r="L623" s="164">
        <f t="shared" si="38"/>
        <v>45158</v>
      </c>
      <c r="M623" s="10" t="s">
        <v>62</v>
      </c>
      <c r="N623" s="1" t="s">
        <v>371</v>
      </c>
      <c r="O623" s="67" t="str">
        <f t="shared" ca="1" si="39"/>
        <v>Vencido</v>
      </c>
      <c r="P623" s="67"/>
      <c r="Q623" s="67">
        <f t="shared" ca="1" si="40"/>
        <v>2136</v>
      </c>
    </row>
    <row r="624" spans="2:17" ht="25" x14ac:dyDescent="0.35">
      <c r="B624" s="50">
        <v>14</v>
      </c>
      <c r="C624" s="51" t="s">
        <v>19</v>
      </c>
      <c r="D624" s="52">
        <v>30</v>
      </c>
      <c r="E624" s="52">
        <v>1</v>
      </c>
      <c r="F624" s="53" t="s">
        <v>3095</v>
      </c>
      <c r="G624" s="53" t="s">
        <v>3096</v>
      </c>
      <c r="H624" s="54" t="str">
        <f t="shared" si="37"/>
        <v>MM-TAQ-030.01 - Manutenção Preventiva Pótico Rolante Montante 900_160_50kN - Bienal</v>
      </c>
      <c r="I624" s="55" t="s">
        <v>2282</v>
      </c>
      <c r="J624" s="55" t="str">
        <f>VLOOKUP(D624,GM!$D$4:$G$1637,4,3)&amp;" e "&amp;C624</f>
        <v>ENGENHARIA MECÂNICA  e TAQ</v>
      </c>
      <c r="K624" s="164"/>
      <c r="L624" s="164"/>
      <c r="M624" s="11" t="s">
        <v>267</v>
      </c>
      <c r="O624" s="67" t="str">
        <f t="shared" ca="1" si="39"/>
        <v>Vencido</v>
      </c>
      <c r="P624" s="67"/>
      <c r="Q624" s="67">
        <f t="shared" ca="1" si="40"/>
        <v>46198</v>
      </c>
    </row>
    <row r="625" spans="2:17" ht="25" x14ac:dyDescent="0.35">
      <c r="B625" s="50">
        <v>14</v>
      </c>
      <c r="C625" s="51" t="s">
        <v>19</v>
      </c>
      <c r="D625" s="52">
        <v>30</v>
      </c>
      <c r="E625" s="52">
        <v>3</v>
      </c>
      <c r="F625" s="53" t="s">
        <v>3097</v>
      </c>
      <c r="G625" s="53" t="s">
        <v>3098</v>
      </c>
      <c r="H625" s="54" t="str">
        <f t="shared" si="37"/>
        <v>MM-TAQ-030.03 - Manutenção Preventiva Pótico Rolante Montante 900_160_50kN - Trimestral</v>
      </c>
      <c r="I625" s="55" t="s">
        <v>2282</v>
      </c>
      <c r="J625" s="55" t="str">
        <f>VLOOKUP(D625,GM!$D$4:$G$1637,4,3)&amp;" e "&amp;C625</f>
        <v>ENGENHARIA MECÂNICA  e TAQ</v>
      </c>
      <c r="K625" s="164"/>
      <c r="L625" s="164"/>
      <c r="M625" s="11" t="s">
        <v>267</v>
      </c>
      <c r="O625" s="67" t="str">
        <f t="shared" ca="1" si="39"/>
        <v>Vencido</v>
      </c>
      <c r="P625" s="67"/>
      <c r="Q625" s="67">
        <f t="shared" ca="1" si="40"/>
        <v>46198</v>
      </c>
    </row>
    <row r="626" spans="2:17" ht="25" x14ac:dyDescent="0.35">
      <c r="B626" s="50">
        <v>14</v>
      </c>
      <c r="C626" s="51" t="s">
        <v>19</v>
      </c>
      <c r="D626" s="52">
        <v>31</v>
      </c>
      <c r="E626" s="52">
        <v>21</v>
      </c>
      <c r="F626" s="53" t="s">
        <v>3099</v>
      </c>
      <c r="G626" s="53" t="s">
        <v>2112</v>
      </c>
      <c r="H626" s="54" t="str">
        <f t="shared" si="37"/>
        <v>MM-TAQ-031.21 - Plano de Lubrificação da Ponte Rolante</v>
      </c>
      <c r="I626" s="55" t="s">
        <v>2113</v>
      </c>
      <c r="J626" s="55" t="str">
        <f>VLOOKUP(D626,GM!$D$4:$G$1637,4,3)&amp;" e "&amp;C626</f>
        <v>ENGENHARIA MECÂNICA  e TAQ</v>
      </c>
      <c r="K626" s="164">
        <v>44083</v>
      </c>
      <c r="L626" s="164">
        <f t="shared" si="38"/>
        <v>45179</v>
      </c>
      <c r="M626" s="10" t="s">
        <v>62</v>
      </c>
      <c r="N626" s="1" t="s">
        <v>371</v>
      </c>
      <c r="O626" s="67" t="str">
        <f t="shared" ca="1" si="39"/>
        <v>Vencido</v>
      </c>
      <c r="P626" s="67"/>
      <c r="Q626" s="67">
        <f t="shared" ca="1" si="40"/>
        <v>2115</v>
      </c>
    </row>
    <row r="627" spans="2:17" ht="25" x14ac:dyDescent="0.35">
      <c r="B627" s="50">
        <v>14</v>
      </c>
      <c r="C627" s="51" t="s">
        <v>19</v>
      </c>
      <c r="D627" s="52">
        <v>32</v>
      </c>
      <c r="E627" s="52">
        <v>1</v>
      </c>
      <c r="F627" s="53" t="s">
        <v>3100</v>
      </c>
      <c r="G627" s="53" t="s">
        <v>3033</v>
      </c>
      <c r="H627" s="54" t="str">
        <f t="shared" si="37"/>
        <v>MM-TAQ-032.21 - Plano de Lubrificação da Ponte Rolante Aux</v>
      </c>
      <c r="I627" s="55" t="s">
        <v>3034</v>
      </c>
      <c r="J627" s="55" t="str">
        <f>VLOOKUP(D627,GM!$D$4:$G$1637,4,3)&amp;" e "&amp;C627</f>
        <v>ENGENHARIA MECÂNICA  e TAQ</v>
      </c>
      <c r="K627" s="164">
        <v>44083</v>
      </c>
      <c r="L627" s="164">
        <f t="shared" si="38"/>
        <v>45179</v>
      </c>
      <c r="M627" s="10" t="s">
        <v>62</v>
      </c>
      <c r="N627" s="1" t="s">
        <v>371</v>
      </c>
      <c r="O627" s="67" t="str">
        <f t="shared" ca="1" si="39"/>
        <v>Vencido</v>
      </c>
      <c r="P627" s="67"/>
      <c r="Q627" s="67">
        <f t="shared" ca="1" si="40"/>
        <v>2115</v>
      </c>
    </row>
    <row r="628" spans="2:17" ht="25" x14ac:dyDescent="0.35">
      <c r="B628" s="50">
        <v>14</v>
      </c>
      <c r="C628" s="51" t="s">
        <v>19</v>
      </c>
      <c r="D628" s="52">
        <v>32</v>
      </c>
      <c r="E628" s="52">
        <v>2</v>
      </c>
      <c r="F628" s="53" t="s">
        <v>3101</v>
      </c>
      <c r="G628" s="53" t="s">
        <v>3102</v>
      </c>
      <c r="H628" s="54" t="str">
        <f t="shared" si="37"/>
        <v xml:space="preserve">MM-TAQ-032.02 - MM-TAQ-032.02 - Manutenção Preventiva Ponte Rolante Auxiliar 350kN - Bienal </v>
      </c>
      <c r="I628" s="55" t="s">
        <v>3034</v>
      </c>
      <c r="J628" s="55" t="str">
        <f>VLOOKUP(D628,GM!$D$4:$G$1637,4,3)&amp;" e "&amp;C628</f>
        <v>ENGENHARIA MECÂNICA  e TAQ</v>
      </c>
      <c r="K628" s="164"/>
      <c r="L628" s="164"/>
      <c r="M628" s="11" t="s">
        <v>267</v>
      </c>
      <c r="O628" s="67" t="str">
        <f t="shared" ca="1" si="39"/>
        <v>Vencido</v>
      </c>
      <c r="P628" s="67"/>
      <c r="Q628" s="67">
        <f t="shared" ca="1" si="40"/>
        <v>46198</v>
      </c>
    </row>
    <row r="629" spans="2:17" ht="25" x14ac:dyDescent="0.35">
      <c r="B629" s="50">
        <v>14</v>
      </c>
      <c r="C629" s="51" t="s">
        <v>19</v>
      </c>
      <c r="D629" s="52">
        <v>32</v>
      </c>
      <c r="E629" s="52">
        <v>3</v>
      </c>
      <c r="F629" s="53" t="s">
        <v>3103</v>
      </c>
      <c r="G629" s="53" t="s">
        <v>3104</v>
      </c>
      <c r="H629" s="54" t="str">
        <f t="shared" si="37"/>
        <v>MM-TAQ-032.03 - Manutenção Preventiva Ponte Rolante Auxiliar 350kN - Trimestral</v>
      </c>
      <c r="I629" s="55" t="s">
        <v>3034</v>
      </c>
      <c r="J629" s="55" t="str">
        <f>VLOOKUP(D629,GM!$D$4:$G$1637,4,3)&amp;" e "&amp;C629</f>
        <v>ENGENHARIA MECÂNICA  e TAQ</v>
      </c>
      <c r="K629" s="164"/>
      <c r="L629" s="164"/>
      <c r="M629" s="11" t="s">
        <v>267</v>
      </c>
      <c r="O629" s="67" t="str">
        <f t="shared" ca="1" si="39"/>
        <v>Vencido</v>
      </c>
      <c r="P629" s="67"/>
      <c r="Q629" s="67">
        <f t="shared" ca="1" si="40"/>
        <v>46198</v>
      </c>
    </row>
    <row r="630" spans="2:17" ht="25" x14ac:dyDescent="0.35">
      <c r="B630" s="50">
        <v>14</v>
      </c>
      <c r="C630" s="51" t="s">
        <v>19</v>
      </c>
      <c r="D630" s="52">
        <v>32</v>
      </c>
      <c r="E630" s="52">
        <v>4</v>
      </c>
      <c r="F630" s="53" t="s">
        <v>3105</v>
      </c>
      <c r="G630" s="53" t="s">
        <v>3106</v>
      </c>
      <c r="H630" s="54" t="str">
        <f t="shared" si="37"/>
        <v>MM-TAQ-032.04 - Manutenção Preventiva Ponte Rolante Auxiliar 350kN - Semestral</v>
      </c>
      <c r="I630" s="55" t="s">
        <v>3034</v>
      </c>
      <c r="J630" s="55" t="str">
        <f>VLOOKUP(D630,GM!$D$4:$G$1637,4,3)&amp;" e "&amp;C630</f>
        <v>ENGENHARIA MECÂNICA  e TAQ</v>
      </c>
      <c r="K630" s="164"/>
      <c r="L630" s="164"/>
      <c r="M630" s="11" t="s">
        <v>267</v>
      </c>
      <c r="O630" s="67" t="str">
        <f t="shared" ca="1" si="39"/>
        <v>Vencido</v>
      </c>
      <c r="P630" s="67"/>
      <c r="Q630" s="67">
        <f t="shared" ca="1" si="40"/>
        <v>46198</v>
      </c>
    </row>
    <row r="631" spans="2:17" ht="25" x14ac:dyDescent="0.35">
      <c r="B631" s="50">
        <v>14</v>
      </c>
      <c r="C631" s="51" t="s">
        <v>19</v>
      </c>
      <c r="D631" s="52">
        <v>33</v>
      </c>
      <c r="E631" s="52">
        <v>1</v>
      </c>
      <c r="F631" s="53" t="s">
        <v>3107</v>
      </c>
      <c r="G631" s="57" t="s">
        <v>3036</v>
      </c>
      <c r="H631" s="54" t="str">
        <f t="shared" si="37"/>
        <v>MM-TAQ-033.01 - Manutenção Preventiva Elevador Social - MCP2</v>
      </c>
      <c r="I631" s="57" t="s">
        <v>2173</v>
      </c>
      <c r="J631" s="55" t="str">
        <f>VLOOKUP(D631,GM!$D$4:$G$1637,4,3)&amp;" e "&amp;C631</f>
        <v>ENGENHARIA MECÂNICA  e TAQ</v>
      </c>
      <c r="K631" s="164"/>
      <c r="L631" s="164"/>
      <c r="M631" s="11" t="s">
        <v>267</v>
      </c>
      <c r="O631" s="67" t="str">
        <f t="shared" ca="1" si="39"/>
        <v>Vencido</v>
      </c>
      <c r="P631" s="67"/>
      <c r="Q631" s="67">
        <f t="shared" ca="1" si="40"/>
        <v>46198</v>
      </c>
    </row>
    <row r="632" spans="2:17" ht="25" x14ac:dyDescent="0.35">
      <c r="B632" s="50">
        <v>14</v>
      </c>
      <c r="C632" s="51" t="s">
        <v>19</v>
      </c>
      <c r="D632" s="52">
        <v>33</v>
      </c>
      <c r="E632" s="52">
        <v>2</v>
      </c>
      <c r="F632" s="53" t="s">
        <v>3108</v>
      </c>
      <c r="G632" s="57" t="s">
        <v>3038</v>
      </c>
      <c r="H632" s="54" t="str">
        <f t="shared" si="37"/>
        <v>MM-TAQ-033.02 - Manutenção Preventiva Elevador Social - MCP1</v>
      </c>
      <c r="I632" s="57" t="s">
        <v>2173</v>
      </c>
      <c r="J632" s="55" t="str">
        <f>VLOOKUP(D632,GM!$D$4:$G$1637,4,3)&amp;" e "&amp;C632</f>
        <v>ENGENHARIA MECÂNICA  e TAQ</v>
      </c>
      <c r="K632" s="164"/>
      <c r="L632" s="164"/>
      <c r="M632" s="11" t="s">
        <v>267</v>
      </c>
      <c r="O632" s="67" t="str">
        <f t="shared" ca="1" si="39"/>
        <v>Vencido</v>
      </c>
      <c r="P632" s="67"/>
      <c r="Q632" s="67">
        <f t="shared" ca="1" si="40"/>
        <v>46198</v>
      </c>
    </row>
    <row r="633" spans="2:17" ht="25" x14ac:dyDescent="0.35">
      <c r="B633" s="50">
        <v>14</v>
      </c>
      <c r="C633" s="51" t="s">
        <v>19</v>
      </c>
      <c r="D633" s="52">
        <v>33</v>
      </c>
      <c r="E633" s="52">
        <v>3</v>
      </c>
      <c r="F633" s="53" t="s">
        <v>3109</v>
      </c>
      <c r="G633" s="57" t="s">
        <v>3040</v>
      </c>
      <c r="H633" s="54" t="str">
        <f t="shared" si="37"/>
        <v>MM-TAQ-033.03 - Manutenção Preventiva Elevador Social - MCP0</v>
      </c>
      <c r="I633" s="57" t="s">
        <v>2173</v>
      </c>
      <c r="J633" s="55" t="str">
        <f>VLOOKUP(D633,GM!$D$4:$G$1637,4,3)&amp;" e "&amp;C633</f>
        <v>ENGENHARIA MECÂNICA  e TAQ</v>
      </c>
      <c r="K633" s="164"/>
      <c r="L633" s="164"/>
      <c r="M633" s="11" t="s">
        <v>267</v>
      </c>
      <c r="O633" s="67" t="str">
        <f t="shared" ca="1" si="39"/>
        <v>Vencido</v>
      </c>
      <c r="P633" s="67"/>
      <c r="Q633" s="67">
        <f t="shared" ca="1" si="40"/>
        <v>46198</v>
      </c>
    </row>
    <row r="634" spans="2:17" ht="28" hidden="1" x14ac:dyDescent="0.35">
      <c r="B634" s="50">
        <v>14</v>
      </c>
      <c r="C634" s="51" t="s">
        <v>19</v>
      </c>
      <c r="D634" s="52">
        <v>41</v>
      </c>
      <c r="E634" s="52">
        <v>0</v>
      </c>
      <c r="F634" s="53" t="s">
        <v>3110</v>
      </c>
      <c r="G634" s="57" t="s">
        <v>3111</v>
      </c>
      <c r="H634" s="54" t="str">
        <f t="shared" si="37"/>
        <v>MM-TAQ-041.00 - Sistema de proteção contra descargas atmosféricas - SPDA</v>
      </c>
      <c r="I634" s="18" t="s">
        <v>2010</v>
      </c>
      <c r="J634" s="55" t="str">
        <f>VLOOKUP(D634,GM!$D$4:$G$1637,4,3)&amp;" e "&amp;C634</f>
        <v>ENGENHARIA ELÉTRICA  e TAQ</v>
      </c>
      <c r="K634" s="164">
        <v>45743</v>
      </c>
      <c r="L634" s="164">
        <f t="shared" si="38"/>
        <v>46839</v>
      </c>
      <c r="M634" s="10" t="s">
        <v>62</v>
      </c>
      <c r="N634" s="1" t="s">
        <v>371</v>
      </c>
      <c r="O634" s="67" t="str">
        <f t="shared" ca="1" si="39"/>
        <v>Em dia</v>
      </c>
      <c r="P634" s="67"/>
      <c r="Q634" s="67">
        <f t="shared" ca="1" si="40"/>
        <v>455</v>
      </c>
    </row>
    <row r="635" spans="2:17" ht="26" x14ac:dyDescent="0.35">
      <c r="B635" s="50">
        <v>14</v>
      </c>
      <c r="C635" s="51" t="s">
        <v>19</v>
      </c>
      <c r="D635" s="52">
        <v>60</v>
      </c>
      <c r="E635" s="52">
        <v>2</v>
      </c>
      <c r="F635" s="53" t="s">
        <v>3112</v>
      </c>
      <c r="G635" s="53" t="s">
        <v>2017</v>
      </c>
      <c r="H635" s="54" t="str">
        <f t="shared" si="37"/>
        <v>MM-TAQ-060.02 - Manual de Manutenção sistema LGE</v>
      </c>
      <c r="I635" s="55" t="s">
        <v>2018</v>
      </c>
      <c r="J635" s="55" t="str">
        <f>VLOOKUP(D635,GM!$D$4:$G$1637,4,3)&amp;" e "&amp;C635</f>
        <v>ENGENHARIA MECÂNICA  e TAQ</v>
      </c>
      <c r="K635" s="164">
        <v>44063</v>
      </c>
      <c r="L635" s="164">
        <f t="shared" si="38"/>
        <v>45159</v>
      </c>
      <c r="M635" s="10" t="s">
        <v>62</v>
      </c>
      <c r="N635" s="1" t="s">
        <v>371</v>
      </c>
      <c r="O635" s="67" t="str">
        <f t="shared" ca="1" si="39"/>
        <v>Vencido</v>
      </c>
      <c r="P635" s="67"/>
      <c r="Q635" s="67">
        <f t="shared" ca="1" si="40"/>
        <v>2135</v>
      </c>
    </row>
    <row r="636" spans="2:17" ht="25" x14ac:dyDescent="0.35">
      <c r="B636" s="50">
        <v>14</v>
      </c>
      <c r="C636" s="51" t="s">
        <v>19</v>
      </c>
      <c r="D636" s="52">
        <v>63</v>
      </c>
      <c r="E636" s="52">
        <v>1</v>
      </c>
      <c r="F636" s="53" t="s">
        <v>3113</v>
      </c>
      <c r="G636" s="53" t="s">
        <v>3114</v>
      </c>
      <c r="H636" s="54" t="str">
        <f t="shared" si="37"/>
        <v>MM-TAQ-063.01 - Manutenção Preventiva Ponte Rolante Jusante 264kN - Bienal</v>
      </c>
      <c r="I636" s="55" t="s">
        <v>2310</v>
      </c>
      <c r="J636" s="55" t="str">
        <f>VLOOKUP(D636,GM!$D$4:$G$1637,4,3)&amp;" e "&amp;C636</f>
        <v>ENGENHARIA MECÂNICA  e TAQ</v>
      </c>
      <c r="K636" s="164"/>
      <c r="L636" s="164"/>
      <c r="M636" s="11" t="s">
        <v>267</v>
      </c>
      <c r="O636" s="67" t="str">
        <f t="shared" ca="1" si="39"/>
        <v>Vencido</v>
      </c>
      <c r="P636" s="67"/>
      <c r="Q636" s="67">
        <f t="shared" ca="1" si="40"/>
        <v>46198</v>
      </c>
    </row>
    <row r="637" spans="2:17" ht="25" x14ac:dyDescent="0.35">
      <c r="B637" s="50">
        <v>14</v>
      </c>
      <c r="C637" s="51" t="s">
        <v>19</v>
      </c>
      <c r="D637" s="52">
        <v>63</v>
      </c>
      <c r="E637" s="52">
        <v>2</v>
      </c>
      <c r="F637" s="53" t="s">
        <v>3115</v>
      </c>
      <c r="G637" s="53" t="s">
        <v>3116</v>
      </c>
      <c r="H637" s="54" t="str">
        <f t="shared" si="37"/>
        <v xml:space="preserve">MM-TAQ-063.02 - Manutenção Preventiva Ponte Rolante Jusante 264kN - Semestral </v>
      </c>
      <c r="I637" s="55" t="s">
        <v>2310</v>
      </c>
      <c r="J637" s="55" t="str">
        <f>VLOOKUP(D637,GM!$D$4:$G$1637,4,3)&amp;" e "&amp;C637</f>
        <v>ENGENHARIA MECÂNICA  e TAQ</v>
      </c>
      <c r="K637" s="164"/>
      <c r="L637" s="164"/>
      <c r="M637" s="11" t="s">
        <v>267</v>
      </c>
      <c r="O637" s="67" t="str">
        <f t="shared" ca="1" si="39"/>
        <v>Vencido</v>
      </c>
      <c r="P637" s="67"/>
      <c r="Q637" s="67">
        <f t="shared" ca="1" si="40"/>
        <v>46198</v>
      </c>
    </row>
    <row r="638" spans="2:17" ht="25" x14ac:dyDescent="0.35">
      <c r="B638" s="50">
        <v>14</v>
      </c>
      <c r="C638" s="51" t="s">
        <v>19</v>
      </c>
      <c r="D638" s="52">
        <v>63</v>
      </c>
      <c r="E638" s="52">
        <v>3</v>
      </c>
      <c r="F638" s="53" t="s">
        <v>3117</v>
      </c>
      <c r="G638" s="53" t="s">
        <v>3118</v>
      </c>
      <c r="H638" s="54" t="str">
        <f t="shared" si="37"/>
        <v>MM-TAQ-063.03 - Manutenção Preventiva Ponte Rolante Jusante 264kN - Trimestral</v>
      </c>
      <c r="I638" s="55" t="s">
        <v>2310</v>
      </c>
      <c r="J638" s="55" t="str">
        <f>VLOOKUP(D638,GM!$D$4:$G$1637,4,3)&amp;" e "&amp;C638</f>
        <v>ENGENHARIA MECÂNICA  e TAQ</v>
      </c>
      <c r="K638" s="164"/>
      <c r="L638" s="164"/>
      <c r="M638" s="11" t="s">
        <v>267</v>
      </c>
      <c r="O638" s="67" t="str">
        <f t="shared" ca="1" si="39"/>
        <v>Vencido</v>
      </c>
      <c r="P638" s="67"/>
      <c r="Q638" s="67">
        <f t="shared" ca="1" si="40"/>
        <v>46198</v>
      </c>
    </row>
    <row r="639" spans="2:17" ht="25" x14ac:dyDescent="0.35">
      <c r="B639" s="50">
        <v>14</v>
      </c>
      <c r="C639" s="51" t="s">
        <v>19</v>
      </c>
      <c r="D639" s="52">
        <v>65</v>
      </c>
      <c r="E639" s="52">
        <v>1</v>
      </c>
      <c r="F639" s="53" t="s">
        <v>3119</v>
      </c>
      <c r="G639" s="53" t="s">
        <v>2022</v>
      </c>
      <c r="H639" s="54" t="str">
        <f t="shared" si="37"/>
        <v>MM-TAQ-065.01 - Plano de Lubrificação Central Hidrau Comporta Emerg</v>
      </c>
      <c r="I639" s="57" t="s">
        <v>2023</v>
      </c>
      <c r="J639" s="55" t="str">
        <f>VLOOKUP(D639,GM!$D$4:$G$1637,4,3)&amp;" e "&amp;C639</f>
        <v>ENGENHARIA MECÂNICA  e TAQ</v>
      </c>
      <c r="K639" s="164">
        <v>44083</v>
      </c>
      <c r="L639" s="164">
        <f t="shared" si="38"/>
        <v>45179</v>
      </c>
      <c r="M639" s="10" t="s">
        <v>62</v>
      </c>
      <c r="N639" s="1" t="s">
        <v>371</v>
      </c>
      <c r="O639" s="67" t="str">
        <f t="shared" ca="1" si="39"/>
        <v>Vencido</v>
      </c>
      <c r="P639" s="67"/>
      <c r="Q639" s="67">
        <f t="shared" ca="1" si="40"/>
        <v>2115</v>
      </c>
    </row>
    <row r="640" spans="2:17" ht="25" x14ac:dyDescent="0.35">
      <c r="B640" s="50">
        <v>14</v>
      </c>
      <c r="C640" s="51" t="s">
        <v>19</v>
      </c>
      <c r="D640" s="52">
        <v>65</v>
      </c>
      <c r="E640" s="52">
        <v>2</v>
      </c>
      <c r="F640" s="53" t="s">
        <v>3120</v>
      </c>
      <c r="G640" s="53" t="s">
        <v>2025</v>
      </c>
      <c r="H640" s="54" t="str">
        <f t="shared" si="37"/>
        <v>MM-TAQ-065.02 - Plano de Lubrificação Central Hidrau do VS</v>
      </c>
      <c r="I640" s="57" t="s">
        <v>2026</v>
      </c>
      <c r="J640" s="55" t="str">
        <f>VLOOKUP(D640,GM!$D$4:$G$1637,4,3)&amp;" e "&amp;C640</f>
        <v>ENGENHARIA MECÂNICA  e TAQ</v>
      </c>
      <c r="K640" s="164">
        <v>44083</v>
      </c>
      <c r="L640" s="164">
        <f t="shared" si="38"/>
        <v>45179</v>
      </c>
      <c r="M640" s="10" t="s">
        <v>62</v>
      </c>
      <c r="N640" s="1" t="s">
        <v>371</v>
      </c>
      <c r="O640" s="67" t="str">
        <f t="shared" ca="1" si="39"/>
        <v>Vencido</v>
      </c>
      <c r="P640" s="67"/>
      <c r="Q640" s="67">
        <f t="shared" ca="1" si="40"/>
        <v>2115</v>
      </c>
    </row>
    <row r="641" spans="2:17" ht="25" x14ac:dyDescent="0.35">
      <c r="B641" s="50">
        <v>15</v>
      </c>
      <c r="C641" s="51" t="s">
        <v>3121</v>
      </c>
      <c r="D641" s="52">
        <v>300</v>
      </c>
      <c r="E641" s="52">
        <v>0</v>
      </c>
      <c r="F641" s="53" t="s">
        <v>3122</v>
      </c>
      <c r="G641" s="53" t="s">
        <v>3123</v>
      </c>
      <c r="H641" s="54" t="str">
        <f t="shared" si="37"/>
        <v>MM-ARN-300.00 - Módulos Fotovoltaicos</v>
      </c>
      <c r="I641" s="53" t="s">
        <v>3124</v>
      </c>
      <c r="J641" s="55" t="str">
        <f>VLOOKUP(D641,GM!$D$4:$G$1637,4,3)&amp;" e "&amp;C641</f>
        <v xml:space="preserve">RENOVÁVEIS e ARN </v>
      </c>
      <c r="K641" s="164"/>
      <c r="L641" s="164"/>
      <c r="M641" s="11" t="s">
        <v>267</v>
      </c>
      <c r="N641"/>
      <c r="O641" s="67" t="str">
        <f t="shared" ca="1" si="39"/>
        <v>Vencido</v>
      </c>
      <c r="P641" s="67"/>
      <c r="Q641" s="67">
        <f t="shared" ca="1" si="40"/>
        <v>46198</v>
      </c>
    </row>
    <row r="642" spans="2:17" ht="25" hidden="1" x14ac:dyDescent="0.35">
      <c r="B642" s="50">
        <v>17</v>
      </c>
      <c r="C642" s="51" t="s">
        <v>42</v>
      </c>
      <c r="D642" s="52">
        <v>12</v>
      </c>
      <c r="E642" s="52">
        <v>0</v>
      </c>
      <c r="F642" s="53" t="s">
        <v>3125</v>
      </c>
      <c r="G642" s="67" t="s">
        <v>3126</v>
      </c>
      <c r="H642" s="54" t="str">
        <f t="shared" si="37"/>
        <v>MM-COG-012.00 - Backup_Restore SCADA Software</v>
      </c>
      <c r="I642" s="55" t="s">
        <v>3127</v>
      </c>
      <c r="J642" s="55" t="str">
        <f>VLOOKUP(D642,GM!$D$4:$G$1637,4,3)&amp;" e "&amp;C642</f>
        <v>ENGENHARIA ELÉTRICA  e COG</v>
      </c>
      <c r="K642" s="164">
        <v>45595</v>
      </c>
      <c r="L642" s="164">
        <f t="shared" si="38"/>
        <v>46691</v>
      </c>
      <c r="M642" s="10" t="s">
        <v>62</v>
      </c>
      <c r="N642" s="1" t="s">
        <v>371</v>
      </c>
      <c r="O642" s="67" t="str">
        <f t="shared" ca="1" si="39"/>
        <v>Em dia</v>
      </c>
      <c r="P642" s="67"/>
      <c r="Q642" s="67">
        <f t="shared" ca="1" si="40"/>
        <v>603</v>
      </c>
    </row>
    <row r="643" spans="2:17" ht="43.5" x14ac:dyDescent="0.35">
      <c r="B643" s="50">
        <v>8</v>
      </c>
      <c r="C643" s="51" t="s">
        <v>23</v>
      </c>
      <c r="D643" s="52">
        <v>6</v>
      </c>
      <c r="E643" s="52">
        <v>15</v>
      </c>
      <c r="F643" s="53" t="s">
        <v>13066</v>
      </c>
      <c r="G643" s="65" t="s">
        <v>13067</v>
      </c>
      <c r="H643" s="54" t="str">
        <f t="shared" si="37"/>
        <v>MM-ILS-006.16 - Movimentação dos Transformadores elevadores WEG 
UHE Ilha Solteira</v>
      </c>
      <c r="I643" s="55" t="s">
        <v>2034</v>
      </c>
      <c r="J643" s="55" t="str">
        <f>VLOOKUP(D643,GM!$D$4:$G$1637,4,3)&amp;" e "&amp;C643</f>
        <v>ENGENHARIA ELÉTRICA  e ILS</v>
      </c>
      <c r="K643" s="164"/>
      <c r="L643" s="164"/>
      <c r="M643" s="11" t="s">
        <v>267</v>
      </c>
      <c r="O643" s="67" t="str">
        <f t="shared" ca="1" si="39"/>
        <v>Vencido</v>
      </c>
      <c r="P643" s="67"/>
      <c r="Q643" s="67">
        <f t="shared" ca="1" si="40"/>
        <v>46198</v>
      </c>
    </row>
    <row r="644" spans="2:17" ht="25" x14ac:dyDescent="0.35">
      <c r="B644" s="50">
        <v>8</v>
      </c>
      <c r="C644" s="51" t="s">
        <v>23</v>
      </c>
      <c r="D644" s="52">
        <v>8</v>
      </c>
      <c r="E644" s="52">
        <v>19</v>
      </c>
      <c r="F644" s="53" t="s">
        <v>13068</v>
      </c>
      <c r="G644" s="67" t="s">
        <v>13069</v>
      </c>
      <c r="H644" s="54" t="str">
        <f>(F644)&amp;" - "&amp;(G644)</f>
        <v>MM-ILS-008.20 - Retirada do bloco de acionamento do disjuntor 3AP2 FI- 550kV </v>
      </c>
      <c r="I644" s="55" t="s">
        <v>2254</v>
      </c>
      <c r="J644" s="55" t="str">
        <f>VLOOKUP(D644,GM!$D$4:$G$1637,4,3)&amp;" e "&amp;C644</f>
        <v>ENGENHARIA ELÉTRICA  e ILS</v>
      </c>
      <c r="K644" s="164"/>
      <c r="L644" s="164"/>
      <c r="M644" s="158" t="s">
        <v>267</v>
      </c>
      <c r="O644" s="67" t="str">
        <f t="shared" ca="1" si="39"/>
        <v>Vencido</v>
      </c>
      <c r="P644" s="67"/>
      <c r="Q644" s="67">
        <f t="shared" ca="1" si="40"/>
        <v>46198</v>
      </c>
    </row>
    <row r="645" spans="2:17" ht="31" x14ac:dyDescent="0.35">
      <c r="B645" s="50">
        <v>7</v>
      </c>
      <c r="C645" s="51" t="s">
        <v>26</v>
      </c>
      <c r="D645" s="52">
        <v>6</v>
      </c>
      <c r="E645" s="52">
        <v>5</v>
      </c>
      <c r="F645" s="53" t="s">
        <v>13071</v>
      </c>
      <c r="G645" s="141" t="s">
        <v>13073</v>
      </c>
      <c r="H645" s="54" t="str">
        <f t="shared" ref="H645" si="41">(F645)&amp;" - "&amp;(G645)</f>
        <v>MM-GAR-006.06 - Manutenção Preventiva nos Transformadores Elevadores MPP0</v>
      </c>
      <c r="I645" s="55" t="s">
        <v>2034</v>
      </c>
      <c r="J645" s="55" t="str">
        <f>VLOOKUP(D645,GM!$D$4:$G$1637,4,3)&amp;" e "&amp;C645</f>
        <v>ENGENHARIA ELÉTRICA  e GAR</v>
      </c>
      <c r="K645" s="164"/>
      <c r="L645" s="164"/>
      <c r="M645" s="11" t="s">
        <v>13070</v>
      </c>
      <c r="O645" s="67" t="str">
        <f t="shared" ca="1" si="39"/>
        <v>Vencido</v>
      </c>
      <c r="P645" s="67"/>
      <c r="Q645" s="67">
        <f t="shared" ca="1" si="40"/>
        <v>46198</v>
      </c>
    </row>
    <row r="646" spans="2:17" ht="31" x14ac:dyDescent="0.35">
      <c r="B646" s="50">
        <v>7</v>
      </c>
      <c r="C646" s="51" t="s">
        <v>26</v>
      </c>
      <c r="D646" s="52">
        <v>6</v>
      </c>
      <c r="E646" s="52">
        <v>5</v>
      </c>
      <c r="F646" s="53" t="s">
        <v>13072</v>
      </c>
      <c r="G646" s="141" t="s">
        <v>13074</v>
      </c>
      <c r="H646" s="54" t="str">
        <f t="shared" ref="H646:H665" si="42">(F646)&amp;" - "&amp;(G646)</f>
        <v>MM-GAR-006.07 - Manutenção Preventiva nos Transformadores Elevadores MPP1</v>
      </c>
      <c r="I646" s="55" t="s">
        <v>2034</v>
      </c>
      <c r="J646" s="55" t="str">
        <f>VLOOKUP(D646,GM!$D$4:$G$1637,4,3)&amp;" e "&amp;C646</f>
        <v>ENGENHARIA ELÉTRICA  e GAR</v>
      </c>
      <c r="K646" s="164"/>
      <c r="L646" s="164"/>
      <c r="M646" s="11" t="s">
        <v>13070</v>
      </c>
      <c r="O646" s="67" t="str">
        <f t="shared" ca="1" si="39"/>
        <v>Vencido</v>
      </c>
      <c r="P646" s="67"/>
      <c r="Q646" s="67">
        <f t="shared" ca="1" si="40"/>
        <v>46198</v>
      </c>
    </row>
    <row r="647" spans="2:17" ht="25" x14ac:dyDescent="0.35">
      <c r="B647" s="50">
        <v>17</v>
      </c>
      <c r="C647" s="51" t="s">
        <v>42</v>
      </c>
      <c r="D647" s="52">
        <v>89</v>
      </c>
      <c r="E647" s="52">
        <v>0</v>
      </c>
      <c r="F647" s="53" t="s">
        <v>13077</v>
      </c>
      <c r="G647" s="67" t="s">
        <v>13075</v>
      </c>
      <c r="H647" s="54" t="str">
        <f t="shared" si="42"/>
        <v xml:space="preserve">MM-COG-089.00 - Manutenção Ar Condicionado </v>
      </c>
      <c r="I647" s="55" t="s">
        <v>13075</v>
      </c>
      <c r="J647" s="55" t="str">
        <f>VLOOKUP(D647,GM!$D$4:$G$1637,4,3)&amp;" e "&amp;C647</f>
        <v>ENGENHARIA MECÂNICA  e COG</v>
      </c>
      <c r="K647" s="164"/>
      <c r="L647" s="164"/>
      <c r="M647" s="11" t="s">
        <v>267</v>
      </c>
      <c r="O647" s="67" t="str">
        <f t="shared" ca="1" si="39"/>
        <v>Vencido</v>
      </c>
      <c r="P647" s="67"/>
      <c r="Q647" s="67">
        <f t="shared" ca="1" si="40"/>
        <v>46198</v>
      </c>
    </row>
    <row r="648" spans="2:17" ht="25" hidden="1" x14ac:dyDescent="0.35">
      <c r="B648" s="50">
        <v>13</v>
      </c>
      <c r="C648" s="51" t="s">
        <v>25</v>
      </c>
      <c r="D648" s="52">
        <v>8</v>
      </c>
      <c r="E648" s="52">
        <v>2</v>
      </c>
      <c r="F648" s="53" t="s">
        <v>13078</v>
      </c>
      <c r="G648" s="53" t="s">
        <v>13079</v>
      </c>
      <c r="H648" s="54" t="str">
        <f t="shared" si="42"/>
        <v>MM-STO-008.02 - Ensaio de Termovisão em Equipamentos de Alta e Baixa Tensão</v>
      </c>
      <c r="I648" s="55" t="s">
        <v>2254</v>
      </c>
      <c r="J648" s="55" t="str">
        <f>VLOOKUP(D648,GM!$D$4:$G$1637,4,3)&amp;" e "&amp;C648</f>
        <v>ENGENHARIA ELÉTRICA  e STO</v>
      </c>
      <c r="K648" s="164">
        <v>45959</v>
      </c>
      <c r="L648" s="164">
        <f t="shared" ref="L648:L710" si="43">K648+1096</f>
        <v>47055</v>
      </c>
      <c r="M648" s="184" t="s">
        <v>13129</v>
      </c>
      <c r="N648" s="1" t="s">
        <v>371</v>
      </c>
      <c r="O648" s="67" t="str">
        <f t="shared" ref="O648:O711" ca="1" si="44">IF(Q648="","",IF(Q648&gt;1095,"Vencido",IF(Q648&gt;910,"Alerta",IF(Q648&gt;820,"Alerta",IF(Q648&gt;730,"Alerta",IF(Q648&gt;=0,"Em dia","Vencido"))))))</f>
        <v>Em dia</v>
      </c>
      <c r="P648" s="67"/>
      <c r="Q648" s="67">
        <f t="shared" ca="1" si="40"/>
        <v>239</v>
      </c>
    </row>
    <row r="649" spans="2:17" ht="25" x14ac:dyDescent="0.35">
      <c r="B649" s="50">
        <v>6</v>
      </c>
      <c r="C649" s="51" t="s">
        <v>18</v>
      </c>
      <c r="D649" s="52">
        <v>6</v>
      </c>
      <c r="E649" s="52">
        <v>2</v>
      </c>
      <c r="F649" s="53" t="s">
        <v>13080</v>
      </c>
      <c r="G649" s="53" t="s">
        <v>13081</v>
      </c>
      <c r="H649" s="54" t="str">
        <f t="shared" si="42"/>
        <v>MM-CPV-006.02 - Manutenção Preventiva Periódica Tipo 2 em Transformadores Elevadores</v>
      </c>
      <c r="I649" s="18" t="s">
        <v>2034</v>
      </c>
      <c r="J649" s="55" t="str">
        <f>VLOOKUP(D649,GM!$D$4:$G$1637,4,3)&amp;" e "&amp;C649</f>
        <v>ENGENHARIA ELÉTRICA  e CPV</v>
      </c>
      <c r="K649" s="164"/>
      <c r="L649" s="164"/>
      <c r="M649" s="11" t="s">
        <v>267</v>
      </c>
      <c r="O649" s="67" t="str">
        <f t="shared" ca="1" si="44"/>
        <v>Vencido</v>
      </c>
      <c r="P649" s="67"/>
      <c r="Q649" s="67">
        <f t="shared" ca="1" si="40"/>
        <v>46198</v>
      </c>
    </row>
    <row r="650" spans="2:17" ht="29" hidden="1" x14ac:dyDescent="0.35">
      <c r="B650" s="50">
        <v>8</v>
      </c>
      <c r="C650" s="51" t="s">
        <v>23</v>
      </c>
      <c r="D650" s="52">
        <v>25</v>
      </c>
      <c r="E650" s="52">
        <v>1</v>
      </c>
      <c r="F650" s="53" t="s">
        <v>13082</v>
      </c>
      <c r="G650" s="65" t="s">
        <v>13083</v>
      </c>
      <c r="H650" s="54" t="str">
        <f t="shared" si="42"/>
        <v>MM-ILS-025.01 - Alteração no sistema de medição de corrente dos medidores de energia do SMF (3 para 2 TCs)</v>
      </c>
      <c r="I650" s="18" t="s">
        <v>2454</v>
      </c>
      <c r="J650" s="55" t="str">
        <f>VLOOKUP(D650,GM!$D$4:$G$1637,4,3)&amp;" e "&amp;C650</f>
        <v>ENGENHARIA ELÉTRICA  e ILS</v>
      </c>
      <c r="K650" s="164">
        <v>45959</v>
      </c>
      <c r="L650" s="164">
        <f t="shared" si="43"/>
        <v>47055</v>
      </c>
      <c r="M650" s="10" t="s">
        <v>62</v>
      </c>
      <c r="N650" s="1" t="s">
        <v>371</v>
      </c>
      <c r="O650" s="67" t="str">
        <f t="shared" ca="1" si="44"/>
        <v>Em dia</v>
      </c>
      <c r="P650" s="67"/>
      <c r="Q650" s="67">
        <f t="shared" ref="Q650:Q713" ca="1" si="45">$P$4-K650</f>
        <v>239</v>
      </c>
    </row>
    <row r="651" spans="2:17" ht="25" x14ac:dyDescent="0.35">
      <c r="B651" s="50">
        <v>6</v>
      </c>
      <c r="C651" s="51" t="s">
        <v>18</v>
      </c>
      <c r="D651" s="52">
        <v>33</v>
      </c>
      <c r="E651" s="52">
        <v>1</v>
      </c>
      <c r="F651" s="53" t="s">
        <v>13088</v>
      </c>
      <c r="G651" s="53" t="s">
        <v>13090</v>
      </c>
      <c r="H651" s="54" t="str">
        <f t="shared" si="42"/>
        <v>MM-CPV-033.01 - Manutenção Complementar Preventiva Tipo 1</v>
      </c>
      <c r="I651" s="55" t="s">
        <v>2291</v>
      </c>
      <c r="J651" s="55" t="str">
        <f>VLOOKUP(D651,GM!$D$4:$G$1637,4,3)&amp;" e "&amp;C651</f>
        <v>ENGENHARIA MECÂNICA  e CPV</v>
      </c>
      <c r="K651" s="164"/>
      <c r="L651" s="164"/>
      <c r="M651" s="11" t="s">
        <v>267</v>
      </c>
      <c r="O651" s="67" t="str">
        <f t="shared" ca="1" si="44"/>
        <v>Vencido</v>
      </c>
      <c r="P651" s="67"/>
      <c r="Q651" s="67">
        <f t="shared" ca="1" si="45"/>
        <v>46198</v>
      </c>
    </row>
    <row r="652" spans="2:17" ht="25" x14ac:dyDescent="0.35">
      <c r="B652" s="50">
        <v>6</v>
      </c>
      <c r="C652" s="51" t="s">
        <v>18</v>
      </c>
      <c r="D652" s="52">
        <v>33</v>
      </c>
      <c r="E652" s="52">
        <v>2</v>
      </c>
      <c r="F652" s="53" t="s">
        <v>13089</v>
      </c>
      <c r="G652" s="53" t="s">
        <v>13091</v>
      </c>
      <c r="H652" s="54" t="str">
        <f t="shared" si="42"/>
        <v>MM-CPV-033.02 - Manutenção Complementar Preventiva Tipo 2</v>
      </c>
      <c r="I652" s="55" t="s">
        <v>2291</v>
      </c>
      <c r="J652" s="55" t="str">
        <f>VLOOKUP(D652,GM!$D$4:$G$1637,4,3)&amp;" e "&amp;C652</f>
        <v>ENGENHARIA MECÂNICA  e CPV</v>
      </c>
      <c r="K652" s="164"/>
      <c r="L652" s="164"/>
      <c r="M652" s="11" t="s">
        <v>267</v>
      </c>
      <c r="O652" s="67" t="str">
        <f t="shared" ca="1" si="44"/>
        <v>Vencido</v>
      </c>
      <c r="P652" s="67"/>
      <c r="Q652" s="67">
        <f t="shared" ca="1" si="45"/>
        <v>46198</v>
      </c>
    </row>
    <row r="653" spans="2:17" ht="37.5" x14ac:dyDescent="0.35">
      <c r="B653" s="50">
        <v>8</v>
      </c>
      <c r="C653" s="51" t="s">
        <v>23</v>
      </c>
      <c r="D653" s="52">
        <v>3</v>
      </c>
      <c r="E653" s="52">
        <v>13</v>
      </c>
      <c r="F653" s="53" t="s">
        <v>13094</v>
      </c>
      <c r="G653" s="53" t="s">
        <v>13095</v>
      </c>
      <c r="H653" s="54" t="str">
        <f t="shared" si="42"/>
        <v>MM-ILS-003.13 - Ensaios em Geradores com os Equipamentos Megger S1-1568, Megger DLRO-200 e Baker AWAIV-12</v>
      </c>
      <c r="I653" s="55" t="s">
        <v>2242</v>
      </c>
      <c r="J653" s="55" t="str">
        <f>VLOOKUP(D653,GM!$D$4:$G$1637,4,3)&amp;" e "&amp;C653</f>
        <v>ENGENHARIA ELÉTRICA  e ILS</v>
      </c>
      <c r="K653" s="164"/>
      <c r="L653" s="164"/>
      <c r="M653" s="150" t="s">
        <v>267</v>
      </c>
      <c r="O653" s="67" t="str">
        <f t="shared" ca="1" si="44"/>
        <v>Vencido</v>
      </c>
      <c r="P653" s="67"/>
      <c r="Q653" s="67">
        <f t="shared" ca="1" si="45"/>
        <v>46198</v>
      </c>
    </row>
    <row r="654" spans="2:17" ht="25" x14ac:dyDescent="0.35">
      <c r="B654" s="50">
        <v>9</v>
      </c>
      <c r="C654" s="51" t="s">
        <v>24</v>
      </c>
      <c r="D654" s="178">
        <v>29</v>
      </c>
      <c r="E654" s="178">
        <v>1</v>
      </c>
      <c r="F654" s="53" t="s">
        <v>13097</v>
      </c>
      <c r="G654" s="67" t="s">
        <v>13098</v>
      </c>
      <c r="H654" s="54" t="str">
        <f t="shared" si="42"/>
        <v>MM-JUP-029.01 - Inspeção embarcada com sonar nas Unidades Geradoras Principais</v>
      </c>
      <c r="I654" s="180" t="s">
        <v>2924</v>
      </c>
      <c r="J654" s="55" t="str">
        <f>VLOOKUP(D654,GM!$D$4:$G$1637,4,3)&amp;" e "&amp;C654</f>
        <v>ENGENHARIA MECÂNICA  e JUP</v>
      </c>
      <c r="K654" s="164"/>
      <c r="L654" s="164"/>
      <c r="M654" s="181" t="s">
        <v>267</v>
      </c>
      <c r="O654" s="67" t="str">
        <f t="shared" ca="1" si="44"/>
        <v>Vencido</v>
      </c>
      <c r="P654" s="67"/>
      <c r="Q654" s="67">
        <f t="shared" ca="1" si="45"/>
        <v>46198</v>
      </c>
    </row>
    <row r="655" spans="2:17" ht="26" x14ac:dyDescent="0.35">
      <c r="B655" s="50">
        <v>9</v>
      </c>
      <c r="C655" s="51" t="s">
        <v>24</v>
      </c>
      <c r="D655" s="52">
        <v>40</v>
      </c>
      <c r="E655" s="52">
        <v>1</v>
      </c>
      <c r="F655" s="53" t="s">
        <v>13107</v>
      </c>
      <c r="G655" s="67" t="s">
        <v>13099</v>
      </c>
      <c r="H655" s="54" t="str">
        <f t="shared" si="42"/>
        <v>MM-JUP-040.01 - Manutenção Corretiva na Iluminação Poste da Barragem de Terra</v>
      </c>
      <c r="I655" s="55" t="s">
        <v>2245</v>
      </c>
      <c r="J655" s="55" t="str">
        <f>VLOOKUP(D655,GM!$D$4:$G$1637,4,3)&amp;" e "&amp;C655</f>
        <v>ENGENHARIA ELÉTRICA  e JUP</v>
      </c>
      <c r="K655" s="164"/>
      <c r="L655" s="164"/>
      <c r="M655" s="181" t="s">
        <v>267</v>
      </c>
      <c r="O655" s="67" t="str">
        <f t="shared" ca="1" si="44"/>
        <v>Vencido</v>
      </c>
      <c r="P655" s="67"/>
      <c r="Q655" s="67">
        <f t="shared" ca="1" si="45"/>
        <v>46198</v>
      </c>
    </row>
    <row r="656" spans="2:17" ht="26" x14ac:dyDescent="0.35">
      <c r="B656" s="50">
        <v>9</v>
      </c>
      <c r="C656" s="51" t="s">
        <v>24</v>
      </c>
      <c r="D656" s="52">
        <v>40</v>
      </c>
      <c r="E656" s="52">
        <v>2</v>
      </c>
      <c r="F656" s="53" t="s">
        <v>13108</v>
      </c>
      <c r="G656" s="67" t="s">
        <v>13100</v>
      </c>
      <c r="H656" s="54" t="str">
        <f t="shared" si="42"/>
        <v>MM-JUP-040.02 - Manutenção Corretiva na Iluminação Poste do Estacionamento</v>
      </c>
      <c r="I656" s="55" t="s">
        <v>2245</v>
      </c>
      <c r="J656" s="55" t="str">
        <f>VLOOKUP(D656,GM!$D$4:$G$1637,4,3)&amp;" e "&amp;C656</f>
        <v>ENGENHARIA ELÉTRICA  e JUP</v>
      </c>
      <c r="K656" s="164"/>
      <c r="L656" s="164"/>
      <c r="M656" s="181" t="s">
        <v>267</v>
      </c>
      <c r="O656" s="67" t="str">
        <f t="shared" ca="1" si="44"/>
        <v>Vencido</v>
      </c>
      <c r="P656" s="67"/>
      <c r="Q656" s="67">
        <f t="shared" ca="1" si="45"/>
        <v>46198</v>
      </c>
    </row>
    <row r="657" spans="2:17" ht="26" x14ac:dyDescent="0.35">
      <c r="B657" s="50">
        <v>9</v>
      </c>
      <c r="C657" s="51" t="s">
        <v>24</v>
      </c>
      <c r="D657" s="52">
        <v>40</v>
      </c>
      <c r="E657" s="52">
        <v>3</v>
      </c>
      <c r="F657" s="53" t="s">
        <v>13109</v>
      </c>
      <c r="G657" s="67" t="s">
        <v>13101</v>
      </c>
      <c r="H657" s="54" t="str">
        <f t="shared" si="42"/>
        <v>MM-JUP-040.03 - Manutenção Corretiva na Iluminação Galeria dos Filtros</v>
      </c>
      <c r="I657" s="55" t="s">
        <v>2245</v>
      </c>
      <c r="J657" s="55" t="str">
        <f>VLOOKUP(D657,GM!$D$4:$G$1637,4,3)&amp;" e "&amp;C657</f>
        <v>ENGENHARIA ELÉTRICA  e JUP</v>
      </c>
      <c r="K657" s="164"/>
      <c r="L657" s="164"/>
      <c r="M657" s="181" t="s">
        <v>267</v>
      </c>
      <c r="O657" s="67" t="str">
        <f t="shared" ca="1" si="44"/>
        <v>Vencido</v>
      </c>
      <c r="P657" s="67"/>
      <c r="Q657" s="67">
        <f t="shared" ca="1" si="45"/>
        <v>46198</v>
      </c>
    </row>
    <row r="658" spans="2:17" ht="26" x14ac:dyDescent="0.35">
      <c r="B658" s="50">
        <v>9</v>
      </c>
      <c r="C658" s="51" t="s">
        <v>24</v>
      </c>
      <c r="D658" s="52">
        <v>40</v>
      </c>
      <c r="E658" s="52">
        <v>4</v>
      </c>
      <c r="F658" s="53" t="s">
        <v>13110</v>
      </c>
      <c r="G658" s="67" t="s">
        <v>13102</v>
      </c>
      <c r="H658" s="54" t="str">
        <f t="shared" ref="H658:H660" si="46">(F658)&amp;" - "&amp;(G658)</f>
        <v>MM-JUP-040.04 - Manutenção Corretiva na Iluminação Piso dos Transformadores</v>
      </c>
      <c r="I658" s="55" t="s">
        <v>2245</v>
      </c>
      <c r="J658" s="55" t="str">
        <f>VLOOKUP(D658,GM!$D$4:$G$1637,4,3)&amp;" e "&amp;C658</f>
        <v>ENGENHARIA ELÉTRICA  e JUP</v>
      </c>
      <c r="K658" s="164"/>
      <c r="L658" s="164"/>
      <c r="M658" s="181" t="s">
        <v>267</v>
      </c>
      <c r="O658" s="67" t="str">
        <f t="shared" ca="1" si="44"/>
        <v>Vencido</v>
      </c>
      <c r="P658" s="67"/>
      <c r="Q658" s="67">
        <f t="shared" ca="1" si="45"/>
        <v>46198</v>
      </c>
    </row>
    <row r="659" spans="2:17" ht="26" x14ac:dyDescent="0.35">
      <c r="B659" s="50">
        <v>9</v>
      </c>
      <c r="C659" s="51" t="s">
        <v>24</v>
      </c>
      <c r="D659" s="52">
        <v>40</v>
      </c>
      <c r="E659" s="52">
        <v>5</v>
      </c>
      <c r="F659" s="53" t="s">
        <v>13111</v>
      </c>
      <c r="G659" s="67" t="s">
        <v>13103</v>
      </c>
      <c r="H659" s="54" t="str">
        <f t="shared" si="46"/>
        <v>MM-JUP-040.05 - Manutenção Corretiva na Iluminação Poste da Barragem de Concreto</v>
      </c>
      <c r="I659" s="55" t="s">
        <v>2245</v>
      </c>
      <c r="J659" s="55" t="str">
        <f>VLOOKUP(D659,GM!$D$4:$G$1637,4,3)&amp;" e "&amp;C659</f>
        <v>ENGENHARIA ELÉTRICA  e JUP</v>
      </c>
      <c r="K659" s="164"/>
      <c r="L659" s="164"/>
      <c r="M659" s="181" t="s">
        <v>267</v>
      </c>
      <c r="O659" s="67" t="str">
        <f t="shared" ca="1" si="44"/>
        <v>Vencido</v>
      </c>
      <c r="P659" s="67"/>
      <c r="Q659" s="67">
        <f t="shared" ca="1" si="45"/>
        <v>46198</v>
      </c>
    </row>
    <row r="660" spans="2:17" ht="26" x14ac:dyDescent="0.35">
      <c r="B660" s="50">
        <v>9</v>
      </c>
      <c r="C660" s="51" t="s">
        <v>24</v>
      </c>
      <c r="D660" s="52">
        <v>40</v>
      </c>
      <c r="E660" s="52">
        <v>6</v>
      </c>
      <c r="F660" s="53" t="s">
        <v>13112</v>
      </c>
      <c r="G660" s="67" t="s">
        <v>13104</v>
      </c>
      <c r="H660" s="54" t="str">
        <f t="shared" si="46"/>
        <v>MM-JUP-040.06 - Manutenção Corretiva na Iluminação Tomada D'Água</v>
      </c>
      <c r="I660" s="55" t="s">
        <v>2245</v>
      </c>
      <c r="J660" s="55" t="str">
        <f>VLOOKUP(D660,GM!$D$4:$G$1637,4,3)&amp;" e "&amp;C660</f>
        <v>ENGENHARIA ELÉTRICA  e JUP</v>
      </c>
      <c r="K660" s="164"/>
      <c r="L660" s="164"/>
      <c r="M660" s="181" t="s">
        <v>267</v>
      </c>
      <c r="O660" s="67" t="str">
        <f t="shared" ca="1" si="44"/>
        <v>Vencido</v>
      </c>
      <c r="P660" s="67"/>
      <c r="Q660" s="67">
        <f t="shared" ca="1" si="45"/>
        <v>46198</v>
      </c>
    </row>
    <row r="661" spans="2:17" ht="26" x14ac:dyDescent="0.35">
      <c r="B661" s="50">
        <v>9</v>
      </c>
      <c r="C661" s="51" t="s">
        <v>24</v>
      </c>
      <c r="D661" s="52">
        <v>40</v>
      </c>
      <c r="E661" s="52">
        <v>7</v>
      </c>
      <c r="F661" s="53" t="s">
        <v>13113</v>
      </c>
      <c r="G661" s="67" t="s">
        <v>13105</v>
      </c>
      <c r="H661" s="54" t="str">
        <f t="shared" si="42"/>
        <v>MM-JUP-040.07 - Manutenção Corretiva na Iluminação Torre Hall de Entrada</v>
      </c>
      <c r="I661" s="55" t="s">
        <v>2245</v>
      </c>
      <c r="J661" s="55" t="str">
        <f>VLOOKUP(D661,GM!$D$4:$G$1637,4,3)&amp;" e "&amp;C661</f>
        <v>ENGENHARIA ELÉTRICA  e JUP</v>
      </c>
      <c r="K661" s="164"/>
      <c r="L661" s="164"/>
      <c r="M661" s="181" t="s">
        <v>267</v>
      </c>
      <c r="O661" s="67" t="str">
        <f t="shared" ca="1" si="44"/>
        <v>Vencido</v>
      </c>
      <c r="P661" s="67"/>
      <c r="Q661" s="67">
        <f t="shared" ca="1" si="45"/>
        <v>46198</v>
      </c>
    </row>
    <row r="662" spans="2:17" ht="26" x14ac:dyDescent="0.35">
      <c r="B662" s="50">
        <v>9</v>
      </c>
      <c r="C662" s="51" t="s">
        <v>24</v>
      </c>
      <c r="D662" s="52">
        <v>40</v>
      </c>
      <c r="E662" s="52">
        <v>8</v>
      </c>
      <c r="F662" s="53" t="s">
        <v>13114</v>
      </c>
      <c r="G662" s="67" t="s">
        <v>13106</v>
      </c>
      <c r="H662" s="54" t="str">
        <f t="shared" si="42"/>
        <v>MM-JUP-040.08 - Manutenção Corretiva na Iluminação Túnel</v>
      </c>
      <c r="I662" s="55" t="s">
        <v>2245</v>
      </c>
      <c r="J662" s="55" t="str">
        <f>VLOOKUP(D662,GM!$D$4:$G$1637,4,3)&amp;" e "&amp;C662</f>
        <v>ENGENHARIA ELÉTRICA  e JUP</v>
      </c>
      <c r="K662" s="164"/>
      <c r="L662" s="164"/>
      <c r="M662" s="181" t="s">
        <v>267</v>
      </c>
      <c r="O662" s="67" t="str">
        <f t="shared" ca="1" si="44"/>
        <v>Vencido</v>
      </c>
      <c r="P662" s="67"/>
      <c r="Q662" s="67">
        <f t="shared" ca="1" si="45"/>
        <v>46198</v>
      </c>
    </row>
    <row r="663" spans="2:17" ht="26" hidden="1" x14ac:dyDescent="0.35">
      <c r="B663" s="50">
        <v>4</v>
      </c>
      <c r="C663" s="51" t="s">
        <v>16</v>
      </c>
      <c r="D663" s="52">
        <v>26</v>
      </c>
      <c r="E663" s="52">
        <v>0</v>
      </c>
      <c r="F663" s="53" t="s">
        <v>13117</v>
      </c>
      <c r="G663" s="53" t="s">
        <v>13119</v>
      </c>
      <c r="H663" s="54" t="str">
        <f t="shared" si="42"/>
        <v>MM-CN1-026.00 - Manutenção preventiva em sistemas de drenagem e esgoto – MCP0</v>
      </c>
      <c r="I663" s="55" t="s">
        <v>1998</v>
      </c>
      <c r="J663" s="55" t="str">
        <f>VLOOKUP(D663,GM!$D$4:$G$1637,4,3)&amp;" e "&amp;C663</f>
        <v>ENGENHARIA MECÂNICA  e CN1</v>
      </c>
      <c r="K663" s="164">
        <v>45959</v>
      </c>
      <c r="L663" s="164">
        <f t="shared" si="43"/>
        <v>47055</v>
      </c>
      <c r="M663" s="10" t="s">
        <v>62</v>
      </c>
      <c r="N663" s="1" t="s">
        <v>371</v>
      </c>
      <c r="O663" s="67" t="str">
        <f t="shared" ca="1" si="44"/>
        <v>Em dia</v>
      </c>
      <c r="P663" s="67"/>
      <c r="Q663" s="67">
        <f t="shared" ca="1" si="45"/>
        <v>239</v>
      </c>
    </row>
    <row r="664" spans="2:17" ht="26" hidden="1" x14ac:dyDescent="0.35">
      <c r="B664" s="50">
        <v>4</v>
      </c>
      <c r="C664" s="51" t="s">
        <v>16</v>
      </c>
      <c r="D664" s="52">
        <v>26</v>
      </c>
      <c r="E664" s="52">
        <v>1</v>
      </c>
      <c r="F664" s="53" t="s">
        <v>13118</v>
      </c>
      <c r="G664" s="53" t="s">
        <v>13120</v>
      </c>
      <c r="H664" s="54" t="str">
        <f t="shared" si="42"/>
        <v>MM-CN1-026.01 - Manutenção preventiva em sistemas de drenagem e esgoto – MCP1</v>
      </c>
      <c r="I664" s="55" t="s">
        <v>1998</v>
      </c>
      <c r="J664" s="55" t="str">
        <f>VLOOKUP(D664,GM!$D$4:$G$1637,4,3)&amp;" e "&amp;C664</f>
        <v>ENGENHARIA MECÂNICA  e CN1</v>
      </c>
      <c r="K664" s="164">
        <v>45959</v>
      </c>
      <c r="L664" s="164">
        <f t="shared" si="43"/>
        <v>47055</v>
      </c>
      <c r="M664" s="10" t="s">
        <v>62</v>
      </c>
      <c r="N664" s="1" t="s">
        <v>371</v>
      </c>
      <c r="O664" s="67" t="str">
        <f t="shared" ca="1" si="44"/>
        <v>Em dia</v>
      </c>
      <c r="P664" s="67"/>
      <c r="Q664" s="67">
        <f t="shared" ca="1" si="45"/>
        <v>239</v>
      </c>
    </row>
    <row r="665" spans="2:17" ht="25" x14ac:dyDescent="0.35">
      <c r="B665" s="50">
        <v>13</v>
      </c>
      <c r="C665" s="51" t="s">
        <v>25</v>
      </c>
      <c r="D665" s="52">
        <v>18</v>
      </c>
      <c r="E665" s="52">
        <v>0</v>
      </c>
      <c r="F665" s="53" t="s">
        <v>13121</v>
      </c>
      <c r="G665" s="53" t="s">
        <v>13122</v>
      </c>
      <c r="H665" s="54" t="str">
        <f t="shared" si="42"/>
        <v xml:space="preserve">MM-STO-018.00 - Substituição do PLC </v>
      </c>
      <c r="I665" s="18" t="s">
        <v>2404</v>
      </c>
      <c r="J665" s="55" t="str">
        <f>VLOOKUP(D665,GM!$D$4:$G$1637,4,3)&amp;" e "&amp;C665</f>
        <v>ENGENHARIA ELÉTRICA  e STO</v>
      </c>
      <c r="K665" s="164"/>
      <c r="L665" s="164"/>
      <c r="M665" s="11" t="s">
        <v>267</v>
      </c>
      <c r="O665" s="67" t="str">
        <f t="shared" ca="1" si="44"/>
        <v>Vencido</v>
      </c>
      <c r="P665" s="67"/>
      <c r="Q665" s="67">
        <f t="shared" ca="1" si="45"/>
        <v>46198</v>
      </c>
    </row>
    <row r="666" spans="2:17" ht="25" x14ac:dyDescent="0.35">
      <c r="B666" s="50">
        <v>9</v>
      </c>
      <c r="C666" s="51" t="s">
        <v>24</v>
      </c>
      <c r="D666" s="52">
        <v>0</v>
      </c>
      <c r="E666" s="52">
        <v>1</v>
      </c>
      <c r="F666" s="53" t="s">
        <v>13125</v>
      </c>
      <c r="G666" s="67" t="s">
        <v>13128</v>
      </c>
      <c r="H666" s="54" t="str">
        <f t="shared" ref="H666" si="47">(F666)&amp;" - "&amp;(G666)</f>
        <v>MM-JUP-000.01 - Enchimento da Unidade Geradora Durante MPP</v>
      </c>
      <c r="I666" s="55" t="s">
        <v>12856</v>
      </c>
      <c r="J666" s="55" t="str">
        <f>VLOOKUP(D666,GM!$D$4:$G$1637,4,3)&amp;" e "&amp;C666</f>
        <v>ENGENHARIA  e JUP</v>
      </c>
      <c r="K666" s="164">
        <v>44369</v>
      </c>
      <c r="L666" s="164">
        <f t="shared" si="43"/>
        <v>45465</v>
      </c>
      <c r="M666" s="10" t="s">
        <v>62</v>
      </c>
      <c r="N666" s="1" t="s">
        <v>371</v>
      </c>
      <c r="O666" s="67" t="str">
        <f t="shared" ca="1" si="44"/>
        <v>Vencido</v>
      </c>
      <c r="P666" s="67"/>
      <c r="Q666" s="67">
        <f t="shared" ca="1" si="45"/>
        <v>1829</v>
      </c>
    </row>
    <row r="667" spans="2:17" ht="25" x14ac:dyDescent="0.35">
      <c r="B667" s="50">
        <v>9</v>
      </c>
      <c r="C667" s="51" t="s">
        <v>24</v>
      </c>
      <c r="D667" s="52">
        <v>0</v>
      </c>
      <c r="E667" s="52">
        <v>2</v>
      </c>
      <c r="F667" s="53" t="s">
        <v>13126</v>
      </c>
      <c r="G667" s="67" t="s">
        <v>13127</v>
      </c>
      <c r="H667" s="54" t="str">
        <f t="shared" ref="H667:H670" si="48">(F667)&amp;" - "&amp;(G667)</f>
        <v>MM-JUP-000.02 - Fechamento e Esgotamento da Unidade Geradora Durante MPP</v>
      </c>
      <c r="I667" s="55" t="s">
        <v>12856</v>
      </c>
      <c r="J667" s="55" t="str">
        <f>VLOOKUP(D667,GM!$D$4:$G$1637,4,3)&amp;" e "&amp;C667</f>
        <v>ENGENHARIA  e JUP</v>
      </c>
      <c r="K667" s="164"/>
      <c r="L667" s="164"/>
      <c r="M667" s="181" t="s">
        <v>267</v>
      </c>
      <c r="O667" s="67" t="str">
        <f t="shared" ca="1" si="44"/>
        <v>Vencido</v>
      </c>
      <c r="P667" s="67"/>
      <c r="Q667" s="67">
        <f t="shared" ca="1" si="45"/>
        <v>46198</v>
      </c>
    </row>
    <row r="668" spans="2:17" ht="25" x14ac:dyDescent="0.35">
      <c r="B668" s="50">
        <v>8</v>
      </c>
      <c r="C668" s="51" t="s">
        <v>23</v>
      </c>
      <c r="D668" s="52">
        <v>30</v>
      </c>
      <c r="E668" s="52">
        <v>0</v>
      </c>
      <c r="F668" s="53" t="s">
        <v>13132</v>
      </c>
      <c r="G668" s="53" t="s">
        <v>13130</v>
      </c>
      <c r="H668" s="54" t="str">
        <f t="shared" si="48"/>
        <v>MM-ILS-030.00 - Manual de Manutenção de MCP0 do pórtico de 45 ton</v>
      </c>
      <c r="I668" s="55" t="s">
        <v>2113</v>
      </c>
      <c r="J668" s="55" t="str">
        <f>VLOOKUP(D668,GM!$D$4:$G$1637,4,3)&amp;" e "&amp;C668</f>
        <v>ENGENHARIA MECÂNICA  e ILS</v>
      </c>
      <c r="K668" s="164"/>
      <c r="L668" s="164"/>
      <c r="M668" s="11" t="s">
        <v>267</v>
      </c>
      <c r="O668" s="67" t="str">
        <f t="shared" ca="1" si="44"/>
        <v>Vencido</v>
      </c>
      <c r="P668" s="67"/>
      <c r="Q668" s="67">
        <f t="shared" ca="1" si="45"/>
        <v>46198</v>
      </c>
    </row>
    <row r="669" spans="2:17" ht="25" x14ac:dyDescent="0.35">
      <c r="B669" s="50">
        <v>8</v>
      </c>
      <c r="C669" s="51" t="s">
        <v>23</v>
      </c>
      <c r="D669" s="52">
        <v>30</v>
      </c>
      <c r="E669" s="52">
        <v>1</v>
      </c>
      <c r="F669" s="53" t="s">
        <v>13133</v>
      </c>
      <c r="G669" s="53" t="s">
        <v>13131</v>
      </c>
      <c r="H669" s="54" t="str">
        <f t="shared" si="48"/>
        <v>MM-ILS-030.01 - Manual de Manutenção de MCP1 do pórtico de 45 ton</v>
      </c>
      <c r="I669" s="55" t="s">
        <v>2113</v>
      </c>
      <c r="J669" s="55" t="str">
        <f>VLOOKUP(D669,GM!$D$4:$G$1637,4,3)&amp;" e "&amp;C669</f>
        <v>ENGENHARIA MECÂNICA  e ILS</v>
      </c>
      <c r="K669" s="164"/>
      <c r="L669" s="164"/>
      <c r="M669" s="11" t="s">
        <v>267</v>
      </c>
      <c r="O669" s="67" t="str">
        <f t="shared" ca="1" si="44"/>
        <v>Vencido</v>
      </c>
      <c r="P669" s="67"/>
      <c r="Q669" s="67">
        <f t="shared" ca="1" si="45"/>
        <v>46198</v>
      </c>
    </row>
    <row r="670" spans="2:17" ht="25" x14ac:dyDescent="0.35">
      <c r="B670" s="50">
        <v>8</v>
      </c>
      <c r="C670" s="51" t="s">
        <v>23</v>
      </c>
      <c r="D670" s="52">
        <v>1</v>
      </c>
      <c r="E670" s="52">
        <v>13</v>
      </c>
      <c r="F670" s="53" t="s">
        <v>13134</v>
      </c>
      <c r="G670" s="53" t="s">
        <v>13135</v>
      </c>
      <c r="H670" s="54" t="str">
        <f t="shared" si="48"/>
        <v>MM-ILS-001.13 - Inspeção Trimestral das Válvulas By-Pass da Comporta e Escotilhas da Caixa Espiral</v>
      </c>
      <c r="I670" s="55" t="s">
        <v>1976</v>
      </c>
      <c r="J670" s="55" t="str">
        <f>VLOOKUP(D670,GM!$D$4:$G$1637,4,3)&amp;" e "&amp;C670</f>
        <v>ENGENHARIA MECÂNICA  e ILS</v>
      </c>
      <c r="K670" s="164"/>
      <c r="L670" s="164"/>
      <c r="M670" s="11" t="s">
        <v>267</v>
      </c>
      <c r="O670" s="67" t="str">
        <f t="shared" ca="1" si="44"/>
        <v>Vencido</v>
      </c>
      <c r="P670" s="67"/>
      <c r="Q670" s="67">
        <f t="shared" ca="1" si="45"/>
        <v>46198</v>
      </c>
    </row>
    <row r="671" spans="2:17" ht="25" x14ac:dyDescent="0.35">
      <c r="B671" s="50">
        <v>8</v>
      </c>
      <c r="C671" s="51" t="s">
        <v>23</v>
      </c>
      <c r="D671" s="52">
        <v>1</v>
      </c>
      <c r="E671" s="52">
        <v>14</v>
      </c>
      <c r="F671" s="53" t="s">
        <v>13136</v>
      </c>
      <c r="G671" s="53" t="s">
        <v>13137</v>
      </c>
      <c r="H671" s="54" t="str">
        <f t="shared" ref="H671" si="49">(F671)&amp;" - "&amp;(G671)</f>
        <v>MM-ILS-001.14 - Manual de Inspeção na Vedação do Eixo e Buchas Intermediarias</v>
      </c>
      <c r="I671" s="55" t="s">
        <v>1976</v>
      </c>
      <c r="J671" s="55" t="str">
        <f>VLOOKUP(D671,GM!$D$4:$G$1637,4,3)&amp;" e "&amp;C671</f>
        <v>ENGENHARIA MECÂNICA  e ILS</v>
      </c>
      <c r="K671" s="164"/>
      <c r="L671" s="164"/>
      <c r="M671" s="11" t="s">
        <v>267</v>
      </c>
      <c r="O671" s="67" t="str">
        <f t="shared" ca="1" si="44"/>
        <v>Vencido</v>
      </c>
      <c r="P671" s="67"/>
      <c r="Q671" s="67">
        <f t="shared" ca="1" si="45"/>
        <v>46198</v>
      </c>
    </row>
    <row r="672" spans="2:17" ht="25" x14ac:dyDescent="0.35">
      <c r="B672" s="50">
        <v>8</v>
      </c>
      <c r="C672" s="51" t="s">
        <v>23</v>
      </c>
      <c r="D672" s="52">
        <v>1</v>
      </c>
      <c r="E672" s="52">
        <v>15</v>
      </c>
      <c r="F672" s="53" t="s">
        <v>13138</v>
      </c>
      <c r="G672" s="53" t="s">
        <v>13139</v>
      </c>
      <c r="H672" s="54" t="str">
        <f t="shared" ref="H672:H674" si="50">(F672)&amp;" - "&amp;(G672)</f>
        <v>MM-ILS-001.15 - Manual de Montagem_Desmontagem do Servo Motor - Distribuidor</v>
      </c>
      <c r="I672" s="55" t="s">
        <v>1976</v>
      </c>
      <c r="J672" s="55" t="str">
        <f>VLOOKUP(D672,GM!$D$4:$G$1637,4,3)&amp;" e "&amp;C672</f>
        <v>ENGENHARIA MECÂNICA  e ILS</v>
      </c>
      <c r="K672" s="164"/>
      <c r="L672" s="164"/>
      <c r="M672" s="11" t="s">
        <v>267</v>
      </c>
      <c r="O672" s="67" t="str">
        <f t="shared" ca="1" si="44"/>
        <v>Vencido</v>
      </c>
      <c r="P672" s="67"/>
      <c r="Q672" s="67">
        <f t="shared" ca="1" si="45"/>
        <v>46198</v>
      </c>
    </row>
    <row r="673" spans="2:17" ht="28" x14ac:dyDescent="0.35">
      <c r="C673" s="51" t="s">
        <v>23</v>
      </c>
      <c r="D673" s="52">
        <v>62</v>
      </c>
      <c r="E673" s="52">
        <v>1</v>
      </c>
      <c r="F673" s="53" t="s">
        <v>13140</v>
      </c>
      <c r="G673" s="18" t="s">
        <v>13141</v>
      </c>
      <c r="H673" s="54" t="str">
        <f t="shared" si="50"/>
        <v>MM-ILS-062.01 - Manual de Montagem_Desmontagem do Servo Motor - Comporta de Emergência</v>
      </c>
      <c r="I673" s="18"/>
      <c r="J673" s="55" t="str">
        <f>VLOOKUP(D673,GM!$D$4:$G$1637,4,3)&amp;" e "&amp;C673</f>
        <v>ENGENHARIA MECÂNICA  e ILS</v>
      </c>
      <c r="K673" s="164"/>
      <c r="L673" s="164"/>
      <c r="M673" s="11" t="s">
        <v>267</v>
      </c>
      <c r="O673" s="67" t="str">
        <f t="shared" ca="1" si="44"/>
        <v>Vencido</v>
      </c>
      <c r="P673" s="67"/>
      <c r="Q673" s="67">
        <f t="shared" ca="1" si="45"/>
        <v>46198</v>
      </c>
    </row>
    <row r="674" spans="2:17" ht="25" x14ac:dyDescent="0.35">
      <c r="B674" s="50">
        <v>8</v>
      </c>
      <c r="C674" s="51" t="s">
        <v>23</v>
      </c>
      <c r="D674" s="52">
        <v>22</v>
      </c>
      <c r="E674" s="52">
        <v>3</v>
      </c>
      <c r="F674" s="53" t="s">
        <v>13142</v>
      </c>
      <c r="G674" s="53" t="s">
        <v>13146</v>
      </c>
      <c r="H674" s="54" t="str">
        <f t="shared" si="50"/>
        <v>MM-ILS-022.03 - Manual de Manutenção Inspeção de NR 13 Vaso Pressão Sistema de Ar de Serviço Gerais</v>
      </c>
      <c r="I674" s="57" t="s">
        <v>1987</v>
      </c>
      <c r="J674" s="55" t="str">
        <f>VLOOKUP(D674,GM!$D$4:$G$1637,4,3)&amp;" e "&amp;C674</f>
        <v>ENGENHARIA MECÂNICA  e ILS</v>
      </c>
      <c r="K674" s="164"/>
      <c r="L674" s="164"/>
      <c r="M674" s="11" t="s">
        <v>267</v>
      </c>
      <c r="O674" s="67" t="str">
        <f t="shared" ca="1" si="44"/>
        <v>Vencido</v>
      </c>
      <c r="P674" s="67"/>
      <c r="Q674" s="67">
        <f t="shared" ca="1" si="45"/>
        <v>46198</v>
      </c>
    </row>
    <row r="675" spans="2:17" ht="25" x14ac:dyDescent="0.35">
      <c r="B675" s="50">
        <v>8</v>
      </c>
      <c r="C675" s="51" t="s">
        <v>23</v>
      </c>
      <c r="D675" s="52">
        <v>22</v>
      </c>
      <c r="E675" s="52">
        <v>4</v>
      </c>
      <c r="F675" s="53" t="s">
        <v>13143</v>
      </c>
      <c r="G675" s="53" t="s">
        <v>13147</v>
      </c>
      <c r="H675" s="54" t="str">
        <f t="shared" ref="H675:H678" si="51">(F675)&amp;" - "&amp;(G675)</f>
        <v>MM-ILS-022.04 - Manual de Manutenção Inspeção de NR 13 Vaso Pressão Sistema de Frenagem</v>
      </c>
      <c r="I675" s="57" t="s">
        <v>1987</v>
      </c>
      <c r="J675" s="55" t="str">
        <f>VLOOKUP(D675,GM!$D$4:$G$1637,4,3)&amp;" e "&amp;C675</f>
        <v>ENGENHARIA MECÂNICA  e ILS</v>
      </c>
      <c r="K675" s="164"/>
      <c r="L675" s="164"/>
      <c r="M675" s="11" t="s">
        <v>267</v>
      </c>
      <c r="O675" s="67" t="str">
        <f t="shared" ca="1" si="44"/>
        <v>Vencido</v>
      </c>
      <c r="P675" s="67"/>
      <c r="Q675" s="67">
        <f t="shared" ca="1" si="45"/>
        <v>46198</v>
      </c>
    </row>
    <row r="676" spans="2:17" ht="25" x14ac:dyDescent="0.35">
      <c r="B676" s="50">
        <v>8</v>
      </c>
      <c r="C676" s="51" t="s">
        <v>23</v>
      </c>
      <c r="D676" s="52">
        <v>22</v>
      </c>
      <c r="E676" s="52">
        <v>5</v>
      </c>
      <c r="F676" s="53" t="s">
        <v>13144</v>
      </c>
      <c r="G676" s="53" t="s">
        <v>13148</v>
      </c>
      <c r="H676" s="54" t="str">
        <f t="shared" si="51"/>
        <v>MM-ILS-022.05 - Manual de Manutenção Inspeção de NR 13 Vaso Pressão Sistema de Rebaixamento</v>
      </c>
      <c r="I676" s="57" t="s">
        <v>1987</v>
      </c>
      <c r="J676" s="55" t="str">
        <f>VLOOKUP(D676,GM!$D$4:$G$1637,4,3)&amp;" e "&amp;C676</f>
        <v>ENGENHARIA MECÂNICA  e ILS</v>
      </c>
      <c r="K676" s="164"/>
      <c r="L676" s="164"/>
      <c r="M676" s="11" t="s">
        <v>267</v>
      </c>
      <c r="O676" s="67" t="str">
        <f t="shared" ca="1" si="44"/>
        <v>Vencido</v>
      </c>
      <c r="P676" s="67"/>
      <c r="Q676" s="67">
        <f t="shared" ca="1" si="45"/>
        <v>46198</v>
      </c>
    </row>
    <row r="677" spans="2:17" ht="25" x14ac:dyDescent="0.35">
      <c r="B677" s="50">
        <v>8</v>
      </c>
      <c r="C677" s="51" t="s">
        <v>23</v>
      </c>
      <c r="D677" s="52">
        <v>22</v>
      </c>
      <c r="E677" s="52">
        <v>6</v>
      </c>
      <c r="F677" s="53" t="s">
        <v>13145</v>
      </c>
      <c r="G677" s="53" t="s">
        <v>13149</v>
      </c>
      <c r="H677" s="54" t="str">
        <f t="shared" si="51"/>
        <v>MM-ILS-022.06 -  Manual de Manutenção Inspeção de NR 13 Vaso Pressão Sistema de Regulação</v>
      </c>
      <c r="I677" s="57" t="s">
        <v>1987</v>
      </c>
      <c r="J677" s="55" t="str">
        <f>VLOOKUP(D677,GM!$D$4:$G$1637,4,3)&amp;" e "&amp;C677</f>
        <v>ENGENHARIA MECÂNICA  e ILS</v>
      </c>
      <c r="K677" s="164"/>
      <c r="L677" s="164"/>
      <c r="M677" s="11" t="s">
        <v>267</v>
      </c>
      <c r="O677" s="67" t="str">
        <f t="shared" ca="1" si="44"/>
        <v>Vencido</v>
      </c>
      <c r="P677" s="67"/>
      <c r="Q677" s="67">
        <f t="shared" ca="1" si="45"/>
        <v>46198</v>
      </c>
    </row>
    <row r="678" spans="2:17" ht="28" x14ac:dyDescent="0.35">
      <c r="C678" s="51" t="s">
        <v>23</v>
      </c>
      <c r="D678" s="52">
        <v>62</v>
      </c>
      <c r="E678" s="52">
        <v>2</v>
      </c>
      <c r="F678" s="53" t="s">
        <v>13150</v>
      </c>
      <c r="G678" s="18" t="s">
        <v>13151</v>
      </c>
      <c r="H678" s="54" t="str">
        <f t="shared" si="51"/>
        <v>MM-ILS-062.02 - Manual de Manutenção (MPP0) nas Comportas de Emergência</v>
      </c>
      <c r="I678" s="18"/>
      <c r="J678" s="55" t="str">
        <f>VLOOKUP(D678,GM!$D$4:$G$1637,4,3)&amp;" e "&amp;C678</f>
        <v>ENGENHARIA MECÂNICA  e ILS</v>
      </c>
      <c r="K678" s="164"/>
      <c r="L678" s="164"/>
      <c r="M678" s="11" t="s">
        <v>267</v>
      </c>
      <c r="O678" s="67" t="str">
        <f t="shared" ca="1" si="44"/>
        <v>Vencido</v>
      </c>
      <c r="P678" s="67"/>
      <c r="Q678" s="67">
        <f t="shared" ca="1" si="45"/>
        <v>46198</v>
      </c>
    </row>
    <row r="679" spans="2:17" ht="28" x14ac:dyDescent="0.35">
      <c r="C679" s="51" t="s">
        <v>23</v>
      </c>
      <c r="D679" s="52">
        <v>62</v>
      </c>
      <c r="E679" s="52">
        <v>3</v>
      </c>
      <c r="F679" s="53" t="s">
        <v>13152</v>
      </c>
      <c r="G679" s="18" t="s">
        <v>13153</v>
      </c>
      <c r="H679" s="54" t="str">
        <f t="shared" ref="H679:H680" si="52">(F679)&amp;" - "&amp;(G679)</f>
        <v>MM-ILS-062.03 - Manual de Manutenção (MPP1) nas Comportas de Emergência</v>
      </c>
      <c r="I679" s="18"/>
      <c r="J679" s="55" t="str">
        <f>VLOOKUP(D679,GM!$D$4:$G$1637,4,3)&amp;" e "&amp;C679</f>
        <v>ENGENHARIA MECÂNICA  e ILS</v>
      </c>
      <c r="K679" s="164"/>
      <c r="L679" s="164"/>
      <c r="M679" s="11" t="s">
        <v>267</v>
      </c>
      <c r="O679" s="67" t="str">
        <f t="shared" ca="1" si="44"/>
        <v>Vencido</v>
      </c>
      <c r="P679" s="67"/>
      <c r="Q679" s="67">
        <f t="shared" ca="1" si="45"/>
        <v>46198</v>
      </c>
    </row>
    <row r="680" spans="2:17" ht="15.5" x14ac:dyDescent="0.35">
      <c r="C680" s="51" t="s">
        <v>23</v>
      </c>
      <c r="D680" s="52">
        <v>24</v>
      </c>
      <c r="E680" s="52">
        <v>4</v>
      </c>
      <c r="F680" s="53" t="s">
        <v>13154</v>
      </c>
      <c r="G680" s="53" t="s">
        <v>13155</v>
      </c>
      <c r="H680" s="54" t="str">
        <f t="shared" si="52"/>
        <v>MM-ILS-024.04 - Manual de Manutenção Trimestral GAE COG</v>
      </c>
      <c r="I680" s="57" t="s">
        <v>1993</v>
      </c>
      <c r="J680" s="55" t="str">
        <f>VLOOKUP(D680,GM!$D$4:$G$1637,4,3)&amp;" e "&amp;C680</f>
        <v>ENGENHARIA MECÂNICA  e ILS</v>
      </c>
      <c r="K680" s="164"/>
      <c r="L680" s="164"/>
      <c r="M680" s="11" t="s">
        <v>267</v>
      </c>
      <c r="O680" s="67" t="str">
        <f t="shared" ca="1" si="44"/>
        <v>Vencido</v>
      </c>
      <c r="P680" s="67"/>
      <c r="Q680" s="67">
        <f t="shared" ca="1" si="45"/>
        <v>46198</v>
      </c>
    </row>
    <row r="681" spans="2:17" ht="15.5" x14ac:dyDescent="0.35">
      <c r="C681" s="51" t="s">
        <v>23</v>
      </c>
      <c r="D681" s="52">
        <v>24</v>
      </c>
      <c r="E681" s="52">
        <v>5</v>
      </c>
      <c r="F681" s="53" t="s">
        <v>13158</v>
      </c>
      <c r="G681" s="53" t="s">
        <v>13159</v>
      </c>
      <c r="H681" s="54" t="str">
        <f t="shared" ref="H681:H682" si="53">(F681)&amp;" - "&amp;(G681)</f>
        <v>MM-ILS-024.05 - Manual de Manutenção Anual GAE COG</v>
      </c>
      <c r="I681" s="57" t="s">
        <v>1993</v>
      </c>
      <c r="J681" s="55" t="str">
        <f>VLOOKUP(D681,GM!$D$4:$G$1637,4,3)&amp;" e "&amp;C681</f>
        <v>ENGENHARIA MECÂNICA  e ILS</v>
      </c>
      <c r="K681" s="164"/>
      <c r="L681" s="164"/>
      <c r="M681" s="11" t="s">
        <v>267</v>
      </c>
      <c r="O681" s="67" t="str">
        <f t="shared" ca="1" si="44"/>
        <v>Vencido</v>
      </c>
      <c r="P681" s="67"/>
      <c r="Q681" s="67">
        <f t="shared" ca="1" si="45"/>
        <v>46198</v>
      </c>
    </row>
    <row r="682" spans="2:17" ht="25" x14ac:dyDescent="0.35">
      <c r="B682" s="50">
        <v>8</v>
      </c>
      <c r="C682" s="51" t="s">
        <v>23</v>
      </c>
      <c r="D682" s="52">
        <v>1</v>
      </c>
      <c r="E682" s="52">
        <v>16</v>
      </c>
      <c r="F682" s="53" t="s">
        <v>13160</v>
      </c>
      <c r="G682" s="53" t="s">
        <v>13161</v>
      </c>
      <c r="H682" s="54" t="str">
        <f t="shared" si="53"/>
        <v>MM-ILS-001.16 - Manual de Manutenção e Operação da Separadora Centrifuga ALFA LAVAL</v>
      </c>
      <c r="I682" s="55" t="s">
        <v>1976</v>
      </c>
      <c r="J682" s="55" t="str">
        <f>VLOOKUP(D682,GM!$D$4:$G$1637,4,3)&amp;" e "&amp;C682</f>
        <v>ENGENHARIA MECÂNICA  e ILS</v>
      </c>
      <c r="K682" s="164"/>
      <c r="L682" s="164"/>
      <c r="M682" s="11" t="s">
        <v>267</v>
      </c>
      <c r="O682" s="67" t="str">
        <f t="shared" ca="1" si="44"/>
        <v>Vencido</v>
      </c>
      <c r="P682" s="67"/>
      <c r="Q682" s="67">
        <f t="shared" ca="1" si="45"/>
        <v>46198</v>
      </c>
    </row>
    <row r="683" spans="2:17" ht="25" x14ac:dyDescent="0.35">
      <c r="B683" s="50">
        <v>8</v>
      </c>
      <c r="C683" s="51" t="s">
        <v>23</v>
      </c>
      <c r="D683" s="52">
        <v>1</v>
      </c>
      <c r="E683" s="52">
        <v>17</v>
      </c>
      <c r="F683" s="53" t="s">
        <v>13162</v>
      </c>
      <c r="G683" s="53" t="s">
        <v>13165</v>
      </c>
      <c r="H683" s="54" t="str">
        <f t="shared" ref="H683:H686" si="54">(F683)&amp;" - "&amp;(G683)</f>
        <v>MM-ILS-001.17 - Manual de Manutenção e Operação da termovácuo FAM 45</v>
      </c>
      <c r="I683" s="55" t="s">
        <v>1976</v>
      </c>
      <c r="J683" s="55" t="str">
        <f>VLOOKUP(D683,GM!$D$4:$G$1637,4,3)&amp;" e "&amp;C683</f>
        <v>ENGENHARIA MECÂNICA  e ILS</v>
      </c>
      <c r="K683" s="164"/>
      <c r="L683" s="164"/>
      <c r="M683" s="11" t="s">
        <v>267</v>
      </c>
      <c r="O683" s="67" t="str">
        <f t="shared" ca="1" si="44"/>
        <v>Vencido</v>
      </c>
      <c r="P683" s="67"/>
      <c r="Q683" s="67">
        <f t="shared" ca="1" si="45"/>
        <v>46198</v>
      </c>
    </row>
    <row r="684" spans="2:17" ht="25" x14ac:dyDescent="0.35">
      <c r="B684" s="50">
        <v>8</v>
      </c>
      <c r="C684" s="51" t="s">
        <v>23</v>
      </c>
      <c r="D684" s="52">
        <v>1</v>
      </c>
      <c r="E684" s="52">
        <v>18</v>
      </c>
      <c r="F684" s="53" t="s">
        <v>13163</v>
      </c>
      <c r="G684" s="53" t="s">
        <v>13164</v>
      </c>
      <c r="H684" s="54" t="str">
        <f t="shared" si="54"/>
        <v>MM-ILS-001.18 - Manual de Manutenção e Operação da termovácuo PURILUB</v>
      </c>
      <c r="I684" s="55" t="s">
        <v>1976</v>
      </c>
      <c r="J684" s="55" t="str">
        <f>VLOOKUP(D684,GM!$D$4:$G$1637,4,3)&amp;" e "&amp;C684</f>
        <v>ENGENHARIA MECÂNICA  e ILS</v>
      </c>
      <c r="K684" s="164"/>
      <c r="L684" s="164"/>
      <c r="M684" s="11" t="s">
        <v>267</v>
      </c>
      <c r="O684" s="67" t="str">
        <f t="shared" ca="1" si="44"/>
        <v>Vencido</v>
      </c>
      <c r="P684" s="67"/>
      <c r="Q684" s="67">
        <f t="shared" ca="1" si="45"/>
        <v>46198</v>
      </c>
    </row>
    <row r="685" spans="2:17" ht="25" x14ac:dyDescent="0.35">
      <c r="B685" s="50">
        <v>8</v>
      </c>
      <c r="C685" s="51" t="s">
        <v>23</v>
      </c>
      <c r="D685" s="52">
        <v>22</v>
      </c>
      <c r="E685" s="52">
        <v>7</v>
      </c>
      <c r="F685" s="53" t="s">
        <v>13166</v>
      </c>
      <c r="G685" s="53" t="s">
        <v>13169</v>
      </c>
      <c r="H685" s="54" t="str">
        <f t="shared" si="54"/>
        <v>MM-ILS-022.07 - Manutenção Quadrimestral Compressor Atlas Copco-GA</v>
      </c>
      <c r="I685" s="57" t="s">
        <v>1987</v>
      </c>
      <c r="J685" s="55" t="str">
        <f>VLOOKUP(D685,GM!$D$4:$G$1637,4,3)&amp;" e "&amp;C685</f>
        <v>ENGENHARIA MECÂNICA  e ILS</v>
      </c>
      <c r="K685" s="164"/>
      <c r="L685" s="164"/>
      <c r="M685" s="11" t="s">
        <v>267</v>
      </c>
      <c r="O685" s="67" t="str">
        <f t="shared" ca="1" si="44"/>
        <v>Vencido</v>
      </c>
      <c r="P685" s="67"/>
      <c r="Q685" s="67">
        <f t="shared" ca="1" si="45"/>
        <v>46198</v>
      </c>
    </row>
    <row r="686" spans="2:17" ht="15.5" x14ac:dyDescent="0.35">
      <c r="B686" s="50">
        <v>8</v>
      </c>
      <c r="C686" s="51" t="s">
        <v>23</v>
      </c>
      <c r="D686" s="52">
        <v>22</v>
      </c>
      <c r="E686" s="52">
        <v>8</v>
      </c>
      <c r="F686" s="53" t="s">
        <v>13167</v>
      </c>
      <c r="G686" s="53" t="s">
        <v>13170</v>
      </c>
      <c r="H686" s="54" t="str">
        <f t="shared" si="54"/>
        <v>MM-ILS-022.08 - Manutenção Quadrimestral Compressor Kaeser</v>
      </c>
      <c r="I686" s="57" t="s">
        <v>1987</v>
      </c>
      <c r="J686" s="55" t="str">
        <f>VLOOKUP(D686,GM!$D$4:$G$1637,4,3)&amp;" e "&amp;C686</f>
        <v>ENGENHARIA MECÂNICA  e ILS</v>
      </c>
      <c r="K686" s="164"/>
      <c r="L686" s="164"/>
      <c r="M686" s="11" t="s">
        <v>267</v>
      </c>
      <c r="O686" s="67" t="str">
        <f t="shared" ca="1" si="44"/>
        <v>Vencido</v>
      </c>
      <c r="P686" s="67"/>
      <c r="Q686" s="67">
        <f t="shared" ca="1" si="45"/>
        <v>46198</v>
      </c>
    </row>
    <row r="687" spans="2:17" ht="15.5" x14ac:dyDescent="0.35">
      <c r="B687" s="50">
        <v>8</v>
      </c>
      <c r="C687" s="51" t="s">
        <v>23</v>
      </c>
      <c r="D687" s="52">
        <v>22</v>
      </c>
      <c r="E687" s="52">
        <v>9</v>
      </c>
      <c r="F687" s="53" t="s">
        <v>13168</v>
      </c>
      <c r="G687" s="53" t="s">
        <v>13171</v>
      </c>
      <c r="H687" s="54" t="str">
        <f t="shared" ref="H687" si="55">(F687)&amp;" - "&amp;(G687)</f>
        <v>MM-ILS-022.09 - Manutenção Anual Compressor Atlas Copco - GA</v>
      </c>
      <c r="I687" s="57" t="s">
        <v>1987</v>
      </c>
      <c r="J687" s="55" t="str">
        <f>VLOOKUP(D687,GM!$D$4:$G$1637,4,3)&amp;" e "&amp;C687</f>
        <v>ENGENHARIA MECÂNICA  e ILS</v>
      </c>
      <c r="K687" s="164"/>
      <c r="L687" s="164"/>
      <c r="M687" s="11" t="s">
        <v>267</v>
      </c>
      <c r="O687" s="67" t="str">
        <f t="shared" ca="1" si="44"/>
        <v>Vencido</v>
      </c>
      <c r="P687" s="67"/>
      <c r="Q687" s="67">
        <f t="shared" ca="1" si="45"/>
        <v>46198</v>
      </c>
    </row>
    <row r="688" spans="2:17" ht="15.5" x14ac:dyDescent="0.35">
      <c r="B688" s="50">
        <v>8</v>
      </c>
      <c r="C688" s="51" t="s">
        <v>23</v>
      </c>
      <c r="D688" s="52">
        <v>22</v>
      </c>
      <c r="E688" s="52">
        <v>10</v>
      </c>
      <c r="F688" s="53" t="s">
        <v>13172</v>
      </c>
      <c r="G688" s="53" t="s">
        <v>13173</v>
      </c>
      <c r="H688" s="54" t="str">
        <f t="shared" ref="H688" si="56">(F688)&amp;" - "&amp;(G688)</f>
        <v>MM-ILS-022.10 - Manutenção Anual Compressor Kaeser</v>
      </c>
      <c r="I688" s="57" t="s">
        <v>1987</v>
      </c>
      <c r="J688" s="55" t="str">
        <f>VLOOKUP(D688,GM!$D$4:$G$1637,4,3)&amp;" e "&amp;C688</f>
        <v>ENGENHARIA MECÂNICA  e ILS</v>
      </c>
      <c r="K688" s="164"/>
      <c r="L688" s="164"/>
      <c r="M688" s="11" t="s">
        <v>267</v>
      </c>
      <c r="O688" s="67" t="str">
        <f t="shared" ca="1" si="44"/>
        <v>Vencido</v>
      </c>
      <c r="P688" s="67"/>
      <c r="Q688" s="67">
        <f t="shared" ca="1" si="45"/>
        <v>46198</v>
      </c>
    </row>
    <row r="689" spans="2:17" ht="25" x14ac:dyDescent="0.35">
      <c r="B689" s="50">
        <v>8</v>
      </c>
      <c r="C689" s="51" t="s">
        <v>23</v>
      </c>
      <c r="D689" s="52">
        <v>22</v>
      </c>
      <c r="E689" s="52">
        <v>11</v>
      </c>
      <c r="F689" s="53" t="s">
        <v>13174</v>
      </c>
      <c r="G689" s="53" t="s">
        <v>13176</v>
      </c>
      <c r="H689" s="54" t="str">
        <f t="shared" ref="H689" si="57">(F689)&amp;" - "&amp;(G689)</f>
        <v>MM-ILS-022.11 - Manutenção Compressor do sistema de rebaixamento - CPSRs (Atlas)</v>
      </c>
      <c r="I689" s="57" t="s">
        <v>1987</v>
      </c>
      <c r="J689" s="55" t="str">
        <f>VLOOKUP(D689,GM!$D$4:$G$1637,4,3)&amp;" e "&amp;C689</f>
        <v>ENGENHARIA MECÂNICA  e ILS</v>
      </c>
      <c r="K689" s="164"/>
      <c r="L689" s="164"/>
      <c r="M689" s="11" t="s">
        <v>267</v>
      </c>
      <c r="O689" s="67" t="str">
        <f t="shared" ca="1" si="44"/>
        <v>Vencido</v>
      </c>
      <c r="P689" s="67"/>
      <c r="Q689" s="67">
        <f t="shared" ca="1" si="45"/>
        <v>46198</v>
      </c>
    </row>
    <row r="690" spans="2:17" ht="25" x14ac:dyDescent="0.35">
      <c r="B690" s="50">
        <v>8</v>
      </c>
      <c r="C690" s="51" t="s">
        <v>23</v>
      </c>
      <c r="D690" s="52">
        <v>22</v>
      </c>
      <c r="E690" s="52">
        <v>12</v>
      </c>
      <c r="F690" s="53" t="s">
        <v>13175</v>
      </c>
      <c r="G690" s="53" t="s">
        <v>13177</v>
      </c>
      <c r="H690" s="54" t="str">
        <f t="shared" ref="H690:H692" si="58">(F690)&amp;" - "&amp;(G690)</f>
        <v>MM-ILS-022.12 - Manutenção dos Compressores Sistema de Rebaixamento - CPSRs (Chicago)</v>
      </c>
      <c r="I690" s="57" t="s">
        <v>1987</v>
      </c>
      <c r="J690" s="55" t="str">
        <f>VLOOKUP(D690,GM!$D$4:$G$1637,4,3)&amp;" e "&amp;C690</f>
        <v>ENGENHARIA MECÂNICA  e ILS</v>
      </c>
      <c r="K690" s="164"/>
      <c r="L690" s="164"/>
      <c r="M690" s="11" t="s">
        <v>267</v>
      </c>
      <c r="O690" s="67" t="str">
        <f t="shared" ca="1" si="44"/>
        <v>Vencido</v>
      </c>
      <c r="P690" s="67"/>
      <c r="Q690" s="67">
        <f t="shared" ca="1" si="45"/>
        <v>46198</v>
      </c>
    </row>
    <row r="691" spans="2:17" ht="26" x14ac:dyDescent="0.35">
      <c r="B691" s="50">
        <v>8</v>
      </c>
      <c r="C691" s="51" t="s">
        <v>23</v>
      </c>
      <c r="D691" s="52">
        <v>60</v>
      </c>
      <c r="E691" s="52">
        <v>4</v>
      </c>
      <c r="F691" s="53" t="s">
        <v>13178</v>
      </c>
      <c r="G691" s="53" t="s">
        <v>13179</v>
      </c>
      <c r="H691" s="54" t="str">
        <f t="shared" si="58"/>
        <v>MM-ILS-060.04 - Manutenção Sistema Anti-incêndio (Hidrantes)</v>
      </c>
      <c r="I691" s="55" t="s">
        <v>2018</v>
      </c>
      <c r="J691" s="55" t="str">
        <f>VLOOKUP(D691,GM!$D$4:$G$1637,4,3)&amp;" e "&amp;C691</f>
        <v>ENGENHARIA MECÂNICA  e ILS</v>
      </c>
      <c r="K691" s="164"/>
      <c r="L691" s="164"/>
      <c r="M691" s="11" t="s">
        <v>267</v>
      </c>
      <c r="O691" s="67" t="str">
        <f t="shared" ca="1" si="44"/>
        <v>Vencido</v>
      </c>
      <c r="P691" s="67"/>
      <c r="Q691" s="67">
        <f t="shared" ca="1" si="45"/>
        <v>46198</v>
      </c>
    </row>
    <row r="692" spans="2:17" ht="15.5" x14ac:dyDescent="0.35">
      <c r="B692" s="50">
        <v>8</v>
      </c>
      <c r="C692" s="51" t="s">
        <v>23</v>
      </c>
      <c r="D692" s="52">
        <v>1</v>
      </c>
      <c r="E692" s="52">
        <v>19</v>
      </c>
      <c r="F692" s="53" t="s">
        <v>13180</v>
      </c>
      <c r="G692" s="53" t="s">
        <v>13182</v>
      </c>
      <c r="H692" s="54" t="str">
        <f t="shared" si="58"/>
        <v>MM-ILS-001.19 - Manual de Instalação-Retirada Stop-log Jusante</v>
      </c>
      <c r="I692" s="55" t="s">
        <v>1976</v>
      </c>
      <c r="J692" s="55" t="str">
        <f>VLOOKUP(D692,GM!$D$4:$G$1637,4,3)&amp;" e "&amp;C692</f>
        <v>ENGENHARIA MECÂNICA  e ILS</v>
      </c>
      <c r="K692" s="164"/>
      <c r="L692" s="164"/>
      <c r="M692" s="11" t="s">
        <v>267</v>
      </c>
      <c r="O692" s="67" t="str">
        <f t="shared" ca="1" si="44"/>
        <v>Vencido</v>
      </c>
      <c r="P692" s="67"/>
      <c r="Q692" s="67">
        <f t="shared" ca="1" si="45"/>
        <v>46198</v>
      </c>
    </row>
    <row r="693" spans="2:17" ht="15.5" x14ac:dyDescent="0.35">
      <c r="B693" s="50">
        <v>8</v>
      </c>
      <c r="C693" s="51" t="s">
        <v>23</v>
      </c>
      <c r="D693" s="52">
        <v>1</v>
      </c>
      <c r="E693" s="52">
        <v>20</v>
      </c>
      <c r="F693" s="53" t="s">
        <v>13181</v>
      </c>
      <c r="G693" s="53" t="s">
        <v>13183</v>
      </c>
      <c r="H693" s="54" t="str">
        <f t="shared" ref="H693:H699" si="59">(F693)&amp;" - "&amp;(G693)</f>
        <v>MM-ILS-001.20 - Manual de Instalação-Retirada Stop-Log Montante</v>
      </c>
      <c r="I693" s="55" t="s">
        <v>1976</v>
      </c>
      <c r="J693" s="55" t="str">
        <f>VLOOKUP(D693,GM!$D$4:$G$1637,4,3)&amp;" e "&amp;C693</f>
        <v>ENGENHARIA MECÂNICA  e ILS</v>
      </c>
      <c r="K693" s="164"/>
      <c r="L693" s="164"/>
      <c r="M693" s="11" t="s">
        <v>267</v>
      </c>
      <c r="O693" s="67" t="str">
        <f t="shared" ca="1" si="44"/>
        <v>Vencido</v>
      </c>
      <c r="P693" s="67"/>
      <c r="Q693" s="67">
        <f t="shared" ca="1" si="45"/>
        <v>46198</v>
      </c>
    </row>
    <row r="694" spans="2:17" ht="15.5" x14ac:dyDescent="0.35">
      <c r="B694" s="50">
        <v>8</v>
      </c>
      <c r="C694" s="51" t="s">
        <v>23</v>
      </c>
      <c r="D694" s="52">
        <v>61</v>
      </c>
      <c r="E694" s="52">
        <v>2</v>
      </c>
      <c r="F694" s="53" t="s">
        <v>13184</v>
      </c>
      <c r="G694" s="53" t="s">
        <v>13185</v>
      </c>
      <c r="H694" s="54" t="str">
        <f t="shared" si="59"/>
        <v>MM-ILS-061.02 - Manual Inspeção e Instalação Stop Log Flutuante</v>
      </c>
      <c r="I694" s="55" t="s">
        <v>2816</v>
      </c>
      <c r="J694" s="55" t="str">
        <f>VLOOKUP(D694,GM!$D$4:$G$1637,4,3)&amp;" e "&amp;C694</f>
        <v>ENGENHARIA MECÂNICA  e ILS</v>
      </c>
      <c r="K694" s="164"/>
      <c r="L694" s="164"/>
      <c r="M694" s="11" t="s">
        <v>267</v>
      </c>
      <c r="O694" s="67" t="str">
        <f t="shared" ca="1" si="44"/>
        <v>Vencido</v>
      </c>
      <c r="P694" s="67"/>
      <c r="Q694" s="67">
        <f t="shared" ca="1" si="45"/>
        <v>46198</v>
      </c>
    </row>
    <row r="695" spans="2:17" ht="28" x14ac:dyDescent="0.35">
      <c r="B695" s="50">
        <v>9</v>
      </c>
      <c r="C695" s="51" t="s">
        <v>24</v>
      </c>
      <c r="D695" s="52">
        <v>1</v>
      </c>
      <c r="E695" s="52">
        <v>0</v>
      </c>
      <c r="F695" s="53" t="s">
        <v>13186</v>
      </c>
      <c r="G695" s="18" t="s">
        <v>13262</v>
      </c>
      <c r="H695" s="54" t="str">
        <f t="shared" si="59"/>
        <v>MM-JUP-001.00 - Turbina e seus equipamentos auxiliares das Unidades Geradoras</v>
      </c>
      <c r="I695" s="18" t="s">
        <v>2318</v>
      </c>
      <c r="J695" s="55" t="str">
        <f>VLOOKUP(D695,GM!$D$4:$G$1637,4,3)&amp;" e "&amp;C695</f>
        <v>ENGENHARIA MECÂNICA  e JUP</v>
      </c>
      <c r="K695" s="164"/>
      <c r="L695" s="164"/>
      <c r="M695" s="11" t="s">
        <v>267</v>
      </c>
      <c r="O695" s="67" t="str">
        <f t="shared" ca="1" si="44"/>
        <v>Vencido</v>
      </c>
      <c r="P695" s="67"/>
      <c r="Q695" s="67">
        <f t="shared" ca="1" si="45"/>
        <v>46198</v>
      </c>
    </row>
    <row r="696" spans="2:17" ht="25" x14ac:dyDescent="0.35">
      <c r="C696" s="51" t="s">
        <v>23</v>
      </c>
      <c r="D696" s="52">
        <v>24</v>
      </c>
      <c r="E696" s="52">
        <v>6</v>
      </c>
      <c r="F696" s="53" t="s">
        <v>13187</v>
      </c>
      <c r="G696" s="53" t="s">
        <v>13188</v>
      </c>
      <c r="H696" s="54" t="str">
        <f t="shared" si="59"/>
        <v>MM-ILS-024.06 - manutenção complementar preventiva em grupo de geradores a diesel</v>
      </c>
      <c r="I696" s="57" t="s">
        <v>1993</v>
      </c>
      <c r="J696" s="55" t="str">
        <f>VLOOKUP(D696,GM!$D$4:$G$1637,4,3)&amp;" e "&amp;C696</f>
        <v>ENGENHARIA MECÂNICA  e ILS</v>
      </c>
      <c r="K696" s="164"/>
      <c r="L696" s="164"/>
      <c r="M696" s="11" t="s">
        <v>267</v>
      </c>
      <c r="O696" s="67" t="str">
        <f t="shared" ca="1" si="44"/>
        <v>Vencido</v>
      </c>
      <c r="P696" s="67"/>
      <c r="Q696" s="67">
        <f t="shared" ca="1" si="45"/>
        <v>46198</v>
      </c>
    </row>
    <row r="697" spans="2:17" ht="15.5" x14ac:dyDescent="0.35">
      <c r="B697" s="50">
        <v>8</v>
      </c>
      <c r="C697" s="51" t="s">
        <v>23</v>
      </c>
      <c r="D697" s="52">
        <v>3</v>
      </c>
      <c r="E697" s="52">
        <v>14</v>
      </c>
      <c r="F697" s="53" t="s">
        <v>13189</v>
      </c>
      <c r="G697" s="53" t="s">
        <v>13190</v>
      </c>
      <c r="H697" s="54" t="str">
        <f t="shared" si="59"/>
        <v>MM-ILS-003.14 - Manutenção e Inspeção em Geradores</v>
      </c>
      <c r="I697" s="55" t="s">
        <v>2242</v>
      </c>
      <c r="J697" s="55" t="str">
        <f>VLOOKUP(D697,GM!$D$4:$G$1637,4,3)&amp;" e "&amp;C697</f>
        <v>ENGENHARIA ELÉTRICA  e ILS</v>
      </c>
      <c r="K697" s="164"/>
      <c r="L697" s="164"/>
      <c r="M697" s="150" t="s">
        <v>267</v>
      </c>
      <c r="O697" s="67" t="str">
        <f t="shared" ca="1" si="44"/>
        <v>Vencido</v>
      </c>
      <c r="P697" s="67"/>
      <c r="Q697" s="67">
        <f t="shared" ca="1" si="45"/>
        <v>46198</v>
      </c>
    </row>
    <row r="698" spans="2:17" ht="26" x14ac:dyDescent="0.35">
      <c r="B698" s="50">
        <v>3</v>
      </c>
      <c r="C698" s="51" t="s">
        <v>15</v>
      </c>
      <c r="D698" s="52">
        <v>26</v>
      </c>
      <c r="E698" s="52">
        <v>8</v>
      </c>
      <c r="F698" s="53" t="s">
        <v>13191</v>
      </c>
      <c r="G698" t="s">
        <v>13192</v>
      </c>
      <c r="H698" s="54" t="str">
        <f t="shared" si="59"/>
        <v>MM-SAG-026.08 - Esvaziamento e Enchimento das UG's</v>
      </c>
      <c r="I698" s="55" t="s">
        <v>1998</v>
      </c>
      <c r="J698" s="55" t="str">
        <f>VLOOKUP(D698,GM!$D$4:$G$1637,4,3)&amp;" e "&amp;C698</f>
        <v>ENGENHARIA MECÂNICA  e SAG</v>
      </c>
      <c r="K698" s="164"/>
      <c r="L698" s="164"/>
      <c r="M698" s="11" t="s">
        <v>267</v>
      </c>
      <c r="O698" s="67" t="str">
        <f t="shared" ca="1" si="44"/>
        <v>Vencido</v>
      </c>
      <c r="P698" s="67"/>
      <c r="Q698" s="67">
        <f t="shared" ca="1" si="45"/>
        <v>46198</v>
      </c>
    </row>
    <row r="699" spans="2:17" ht="26" hidden="1" x14ac:dyDescent="0.35">
      <c r="B699" s="50">
        <v>6</v>
      </c>
      <c r="C699" s="51" t="s">
        <v>18</v>
      </c>
      <c r="D699" s="52">
        <v>4</v>
      </c>
      <c r="E699" s="52">
        <v>1</v>
      </c>
      <c r="F699" s="53" t="s">
        <v>13193</v>
      </c>
      <c r="G699" s="53" t="s">
        <v>13202</v>
      </c>
      <c r="H699" s="54" t="str">
        <f t="shared" si="59"/>
        <v>MM-CPV-004.01 - MPP2 Centro de Comando de Motores - CCM</v>
      </c>
      <c r="I699" s="55" t="s">
        <v>2067</v>
      </c>
      <c r="J699" s="55" t="str">
        <f>VLOOKUP(D699,GM!$D$4:$G$1637,4,3)&amp;" e "&amp;C699</f>
        <v>ENGENHARIA ELÉTRICA  e CPV</v>
      </c>
      <c r="K699" s="164">
        <v>46009</v>
      </c>
      <c r="L699" s="164">
        <f t="shared" si="43"/>
        <v>47105</v>
      </c>
      <c r="M699" s="10" t="s">
        <v>62</v>
      </c>
      <c r="N699" s="1" t="s">
        <v>371</v>
      </c>
      <c r="O699" s="67" t="str">
        <f t="shared" ca="1" si="44"/>
        <v>Em dia</v>
      </c>
      <c r="P699" s="67"/>
      <c r="Q699" s="67">
        <f t="shared" ca="1" si="45"/>
        <v>189</v>
      </c>
    </row>
    <row r="700" spans="2:17" ht="26" hidden="1" x14ac:dyDescent="0.35">
      <c r="B700" s="50">
        <v>6</v>
      </c>
      <c r="C700" s="51" t="s">
        <v>18</v>
      </c>
      <c r="D700" s="52">
        <v>4</v>
      </c>
      <c r="E700" s="52">
        <v>2</v>
      </c>
      <c r="F700" s="53" t="s">
        <v>13194</v>
      </c>
      <c r="G700" s="53" t="s">
        <v>13203</v>
      </c>
      <c r="H700" s="54" t="str">
        <f t="shared" ref="H700:H708" si="60">(F700)&amp;" - "&amp;(G700)</f>
        <v>MM-CPV-004.02 - MPP2 Paineis QCL X.1</v>
      </c>
      <c r="I700" s="55" t="s">
        <v>2067</v>
      </c>
      <c r="J700" s="55" t="str">
        <f>VLOOKUP(D700,GM!$D$4:$G$1637,4,3)&amp;" e "&amp;C700</f>
        <v>ENGENHARIA ELÉTRICA  e CPV</v>
      </c>
      <c r="K700" s="164">
        <v>46009</v>
      </c>
      <c r="L700" s="164">
        <f t="shared" si="43"/>
        <v>47105</v>
      </c>
      <c r="M700" s="10" t="s">
        <v>62</v>
      </c>
      <c r="N700" s="1" t="s">
        <v>371</v>
      </c>
      <c r="O700" s="67" t="str">
        <f t="shared" ca="1" si="44"/>
        <v>Em dia</v>
      </c>
      <c r="P700" s="67"/>
      <c r="Q700" s="67">
        <f t="shared" ca="1" si="45"/>
        <v>189</v>
      </c>
    </row>
    <row r="701" spans="2:17" ht="26" hidden="1" x14ac:dyDescent="0.35">
      <c r="B701" s="50">
        <v>6</v>
      </c>
      <c r="C701" s="51" t="s">
        <v>18</v>
      </c>
      <c r="D701" s="52">
        <v>4</v>
      </c>
      <c r="E701" s="52">
        <v>3</v>
      </c>
      <c r="F701" s="53" t="s">
        <v>13195</v>
      </c>
      <c r="G701" s="53" t="s">
        <v>13204</v>
      </c>
      <c r="H701" s="54" t="str">
        <f>(F701)&amp;" - "&amp;(G701)</f>
        <v>MM-CPV-004.03 - MPP2 Paineis QCL X.2</v>
      </c>
      <c r="I701" s="55" t="s">
        <v>2067</v>
      </c>
      <c r="J701" s="55" t="str">
        <f>VLOOKUP(D701,GM!$D$4:$G$1637,4,3)&amp;" e "&amp;C701</f>
        <v>ENGENHARIA ELÉTRICA  e CPV</v>
      </c>
      <c r="K701" s="164">
        <v>46009</v>
      </c>
      <c r="L701" s="164">
        <f t="shared" si="43"/>
        <v>47105</v>
      </c>
      <c r="M701" s="10" t="s">
        <v>62</v>
      </c>
      <c r="N701" s="1" t="s">
        <v>371</v>
      </c>
      <c r="O701" s="67" t="str">
        <f t="shared" ca="1" si="44"/>
        <v>Em dia</v>
      </c>
      <c r="P701" s="67"/>
      <c r="Q701" s="67">
        <f t="shared" ca="1" si="45"/>
        <v>189</v>
      </c>
    </row>
    <row r="702" spans="2:17" ht="26" hidden="1" x14ac:dyDescent="0.35">
      <c r="B702" s="50">
        <v>6</v>
      </c>
      <c r="C702" s="51" t="s">
        <v>18</v>
      </c>
      <c r="D702" s="52">
        <v>4</v>
      </c>
      <c r="E702" s="52">
        <v>4</v>
      </c>
      <c r="F702" s="53" t="s">
        <v>13196</v>
      </c>
      <c r="G702" s="53" t="s">
        <v>13205</v>
      </c>
      <c r="H702" s="54" t="str">
        <f t="shared" si="60"/>
        <v>MM-CPV-004.04 - MPP2 Paineis QCL X.3</v>
      </c>
      <c r="I702" s="55" t="s">
        <v>2067</v>
      </c>
      <c r="J702" s="55" t="str">
        <f>VLOOKUP(D702,GM!$D$4:$G$1637,4,3)&amp;" e "&amp;C702</f>
        <v>ENGENHARIA ELÉTRICA  e CPV</v>
      </c>
      <c r="K702" s="164">
        <v>46009</v>
      </c>
      <c r="L702" s="164">
        <f t="shared" si="43"/>
        <v>47105</v>
      </c>
      <c r="M702" s="10" t="s">
        <v>62</v>
      </c>
      <c r="N702" s="1" t="s">
        <v>371</v>
      </c>
      <c r="O702" s="67" t="str">
        <f t="shared" ca="1" si="44"/>
        <v>Em dia</v>
      </c>
      <c r="P702" s="67"/>
      <c r="Q702" s="67">
        <f t="shared" ca="1" si="45"/>
        <v>189</v>
      </c>
    </row>
    <row r="703" spans="2:17" ht="26" hidden="1" x14ac:dyDescent="0.35">
      <c r="B703" s="50">
        <v>6</v>
      </c>
      <c r="C703" s="51" t="s">
        <v>18</v>
      </c>
      <c r="D703" s="52">
        <v>4</v>
      </c>
      <c r="E703" s="52">
        <v>5</v>
      </c>
      <c r="F703" s="53" t="s">
        <v>13197</v>
      </c>
      <c r="G703" s="53" t="s">
        <v>13206</v>
      </c>
      <c r="H703" s="54" t="str">
        <f t="shared" si="60"/>
        <v>MM-CPV-004.05 - MPP2 Paineis QCL X.4</v>
      </c>
      <c r="I703" s="55" t="s">
        <v>2067</v>
      </c>
      <c r="J703" s="55" t="str">
        <f>VLOOKUP(D703,GM!$D$4:$G$1637,4,3)&amp;" e "&amp;C703</f>
        <v>ENGENHARIA ELÉTRICA  e CPV</v>
      </c>
      <c r="K703" s="164">
        <v>46009</v>
      </c>
      <c r="L703" s="164">
        <f t="shared" si="43"/>
        <v>47105</v>
      </c>
      <c r="M703" s="10" t="s">
        <v>62</v>
      </c>
      <c r="N703" s="1" t="s">
        <v>371</v>
      </c>
      <c r="O703" s="67" t="str">
        <f t="shared" ca="1" si="44"/>
        <v>Em dia</v>
      </c>
      <c r="P703" s="67"/>
      <c r="Q703" s="67">
        <f t="shared" ca="1" si="45"/>
        <v>189</v>
      </c>
    </row>
    <row r="704" spans="2:17" ht="26" hidden="1" x14ac:dyDescent="0.35">
      <c r="B704" s="50">
        <v>6</v>
      </c>
      <c r="C704" s="51" t="s">
        <v>18</v>
      </c>
      <c r="D704" s="52">
        <v>4</v>
      </c>
      <c r="E704" s="52">
        <v>6</v>
      </c>
      <c r="F704" s="53" t="s">
        <v>13198</v>
      </c>
      <c r="G704" s="53" t="s">
        <v>13258</v>
      </c>
      <c r="H704" s="54" t="str">
        <f t="shared" si="60"/>
        <v>MM-CPV-004.06 - MPP2 Paineis de Terminal dos Freios +1MKA50 e MF</v>
      </c>
      <c r="I704" s="55" t="s">
        <v>2067</v>
      </c>
      <c r="J704" s="55" t="str">
        <f>VLOOKUP(D704,GM!$D$4:$G$1637,4,3)&amp;" e "&amp;C704</f>
        <v>ENGENHARIA ELÉTRICA  e CPV</v>
      </c>
      <c r="K704" s="164">
        <v>46009</v>
      </c>
      <c r="L704" s="164">
        <f t="shared" si="43"/>
        <v>47105</v>
      </c>
      <c r="M704" s="10" t="s">
        <v>62</v>
      </c>
      <c r="N704" s="1" t="s">
        <v>371</v>
      </c>
      <c r="O704" s="67" t="str">
        <f t="shared" ca="1" si="44"/>
        <v>Em dia</v>
      </c>
      <c r="P704" s="67"/>
      <c r="Q704" s="67">
        <f t="shared" ca="1" si="45"/>
        <v>189</v>
      </c>
    </row>
    <row r="705" spans="2:17" ht="26" hidden="1" x14ac:dyDescent="0.35">
      <c r="B705" s="50">
        <v>6</v>
      </c>
      <c r="C705" s="51" t="s">
        <v>18</v>
      </c>
      <c r="D705" s="52">
        <v>4</v>
      </c>
      <c r="E705" s="52">
        <v>7</v>
      </c>
      <c r="F705" s="53" t="s">
        <v>13199</v>
      </c>
      <c r="G705" s="53" t="s">
        <v>13207</v>
      </c>
      <c r="H705" s="54" t="str">
        <f t="shared" si="60"/>
        <v>MM-CPV-004.07 - MPP2 Paineis PCAI</v>
      </c>
      <c r="I705" s="55" t="s">
        <v>2067</v>
      </c>
      <c r="J705" s="55" t="str">
        <f>VLOOKUP(D705,GM!$D$4:$G$1637,4,3)&amp;" e "&amp;C705</f>
        <v>ENGENHARIA ELÉTRICA  e CPV</v>
      </c>
      <c r="K705" s="164">
        <v>46009</v>
      </c>
      <c r="L705" s="164">
        <f t="shared" si="43"/>
        <v>47105</v>
      </c>
      <c r="M705" s="10" t="s">
        <v>62</v>
      </c>
      <c r="N705" s="1" t="s">
        <v>371</v>
      </c>
      <c r="O705" s="67" t="str">
        <f t="shared" ca="1" si="44"/>
        <v>Em dia</v>
      </c>
      <c r="P705" s="67"/>
      <c r="Q705" s="67">
        <f t="shared" ca="1" si="45"/>
        <v>189</v>
      </c>
    </row>
    <row r="706" spans="2:17" ht="26" hidden="1" x14ac:dyDescent="0.35">
      <c r="B706" s="50">
        <v>6</v>
      </c>
      <c r="C706" s="51" t="s">
        <v>18</v>
      </c>
      <c r="D706" s="52">
        <v>4</v>
      </c>
      <c r="E706" s="52">
        <v>8</v>
      </c>
      <c r="F706" s="53" t="s">
        <v>13200</v>
      </c>
      <c r="G706" s="53" t="s">
        <v>13208</v>
      </c>
      <c r="H706" s="54" t="str">
        <f t="shared" si="60"/>
        <v>MM-CPV-004.08 - MPP2 Paineis de Sensores de Vazamento - Trocadores de Calor</v>
      </c>
      <c r="I706" s="55" t="s">
        <v>2067</v>
      </c>
      <c r="J706" s="55" t="str">
        <f>VLOOKUP(D706,GM!$D$4:$G$1637,4,3)&amp;" e "&amp;C706</f>
        <v>ENGENHARIA ELÉTRICA  e CPV</v>
      </c>
      <c r="K706" s="164">
        <v>46009</v>
      </c>
      <c r="L706" s="164">
        <f t="shared" si="43"/>
        <v>47105</v>
      </c>
      <c r="M706" s="10" t="s">
        <v>62</v>
      </c>
      <c r="N706" s="1" t="s">
        <v>371</v>
      </c>
      <c r="O706" s="67" t="str">
        <f t="shared" ca="1" si="44"/>
        <v>Em dia</v>
      </c>
      <c r="P706" s="67"/>
      <c r="Q706" s="67">
        <f t="shared" ca="1" si="45"/>
        <v>189</v>
      </c>
    </row>
    <row r="707" spans="2:17" ht="26" hidden="1" x14ac:dyDescent="0.35">
      <c r="B707" s="50">
        <v>6</v>
      </c>
      <c r="C707" s="51" t="s">
        <v>18</v>
      </c>
      <c r="D707" s="52">
        <v>4</v>
      </c>
      <c r="E707" s="52">
        <v>9</v>
      </c>
      <c r="F707" s="53" t="s">
        <v>13201</v>
      </c>
      <c r="G707" s="53" t="s">
        <v>13209</v>
      </c>
      <c r="H707" s="54" t="str">
        <f t="shared" si="60"/>
        <v>MM-CPV-004.09 - MPP2 Paineis de Terminais dos Pinos de Ruptura</v>
      </c>
      <c r="I707" s="55" t="s">
        <v>2067</v>
      </c>
      <c r="J707" s="55" t="str">
        <f>VLOOKUP(D707,GM!$D$4:$G$1637,4,3)&amp;" e "&amp;C707</f>
        <v>ENGENHARIA ELÉTRICA  e CPV</v>
      </c>
      <c r="K707" s="164">
        <v>46009</v>
      </c>
      <c r="L707" s="164">
        <f t="shared" si="43"/>
        <v>47105</v>
      </c>
      <c r="M707" s="10" t="s">
        <v>62</v>
      </c>
      <c r="N707" s="1" t="s">
        <v>371</v>
      </c>
      <c r="O707" s="67" t="str">
        <f t="shared" ca="1" si="44"/>
        <v>Em dia</v>
      </c>
      <c r="P707" s="67"/>
      <c r="Q707" s="67">
        <f t="shared" ca="1" si="45"/>
        <v>189</v>
      </c>
    </row>
    <row r="708" spans="2:17" ht="25" hidden="1" x14ac:dyDescent="0.35">
      <c r="B708" s="50">
        <v>12</v>
      </c>
      <c r="C708" s="51" t="s">
        <v>20</v>
      </c>
      <c r="D708" s="52">
        <v>3</v>
      </c>
      <c r="E708" s="52">
        <v>3</v>
      </c>
      <c r="F708" s="53" t="s">
        <v>13210</v>
      </c>
      <c r="G708" s="53" t="s">
        <v>13211</v>
      </c>
      <c r="H708" s="54" t="str">
        <f t="shared" si="60"/>
        <v>MM-ROS-003.03 - MPP0 Gerador partes elétricas com APR</v>
      </c>
      <c r="I708" s="55" t="s">
        <v>2242</v>
      </c>
      <c r="J708" s="55" t="str">
        <f>VLOOKUP(D708,GM!$D$4:$G$1637,4,3)&amp;" e "&amp;C708</f>
        <v>ENGENHARIA ELÉTRICA  e ROS</v>
      </c>
      <c r="K708" s="164">
        <v>46009</v>
      </c>
      <c r="L708" s="164">
        <f t="shared" si="43"/>
        <v>47105</v>
      </c>
      <c r="M708" s="10" t="s">
        <v>62</v>
      </c>
      <c r="N708" s="1" t="s">
        <v>61</v>
      </c>
      <c r="O708" s="67" t="str">
        <f t="shared" ca="1" si="44"/>
        <v>Em dia</v>
      </c>
      <c r="P708" s="67"/>
      <c r="Q708" s="67">
        <f t="shared" ca="1" si="45"/>
        <v>189</v>
      </c>
    </row>
    <row r="709" spans="2:17" ht="25" hidden="1" x14ac:dyDescent="0.35">
      <c r="B709" s="50">
        <v>12</v>
      </c>
      <c r="C709" s="51" t="s">
        <v>20</v>
      </c>
      <c r="D709" s="52">
        <v>3</v>
      </c>
      <c r="E709" s="52">
        <v>4</v>
      </c>
      <c r="F709" s="53" t="s">
        <v>13212</v>
      </c>
      <c r="G709" s="53" t="s">
        <v>13214</v>
      </c>
      <c r="H709" s="54" t="str">
        <f t="shared" ref="H709:H710" si="61">(F709)&amp;" - "&amp;(G709)</f>
        <v>MM-ROS-003.04 - MPP1 Gerador partes elétricas com APR</v>
      </c>
      <c r="I709" s="55" t="s">
        <v>2242</v>
      </c>
      <c r="J709" s="55" t="str">
        <f>VLOOKUP(D709,GM!$D$4:$G$1637,4,3)&amp;" e "&amp;C709</f>
        <v>ENGENHARIA ELÉTRICA  e ROS</v>
      </c>
      <c r="K709" s="164">
        <v>46009</v>
      </c>
      <c r="L709" s="164">
        <f t="shared" si="43"/>
        <v>47105</v>
      </c>
      <c r="M709" s="10" t="s">
        <v>62</v>
      </c>
      <c r="N709" s="1" t="s">
        <v>61</v>
      </c>
      <c r="O709" s="67" t="str">
        <f t="shared" ca="1" si="44"/>
        <v>Em dia</v>
      </c>
      <c r="P709" s="67"/>
      <c r="Q709" s="67">
        <f t="shared" ca="1" si="45"/>
        <v>189</v>
      </c>
    </row>
    <row r="710" spans="2:17" ht="25" hidden="1" x14ac:dyDescent="0.35">
      <c r="B710" s="50">
        <v>12</v>
      </c>
      <c r="C710" s="51" t="s">
        <v>20</v>
      </c>
      <c r="D710" s="52">
        <v>3</v>
      </c>
      <c r="E710" s="52">
        <v>5</v>
      </c>
      <c r="F710" s="53" t="s">
        <v>13213</v>
      </c>
      <c r="G710" s="53" t="s">
        <v>13215</v>
      </c>
      <c r="H710" s="54" t="str">
        <f t="shared" si="61"/>
        <v>MM-ROS-003.05 - MPP2 Gerador partes elétricas APR</v>
      </c>
      <c r="I710" s="55" t="s">
        <v>2242</v>
      </c>
      <c r="J710" s="55" t="str">
        <f>VLOOKUP(D710,GM!$D$4:$G$1637,4,3)&amp;" e "&amp;C710</f>
        <v>ENGENHARIA ELÉTRICA  e ROS</v>
      </c>
      <c r="K710" s="164">
        <v>46009</v>
      </c>
      <c r="L710" s="164">
        <f t="shared" si="43"/>
        <v>47105</v>
      </c>
      <c r="M710" s="10" t="s">
        <v>62</v>
      </c>
      <c r="N710" s="1" t="s">
        <v>61</v>
      </c>
      <c r="O710" s="67" t="str">
        <f t="shared" ca="1" si="44"/>
        <v>Em dia</v>
      </c>
      <c r="P710" s="67"/>
      <c r="Q710" s="67">
        <f t="shared" ca="1" si="45"/>
        <v>189</v>
      </c>
    </row>
    <row r="711" spans="2:17" ht="25" hidden="1" x14ac:dyDescent="0.35">
      <c r="B711" s="50">
        <v>12</v>
      </c>
      <c r="C711" s="51" t="s">
        <v>20</v>
      </c>
      <c r="D711" s="52">
        <v>3</v>
      </c>
      <c r="E711" s="52">
        <v>6</v>
      </c>
      <c r="F711" s="53" t="s">
        <v>13216</v>
      </c>
      <c r="G711" s="53" t="s">
        <v>13259</v>
      </c>
      <c r="H711" s="54" t="str">
        <f>(F711)&amp;" - "&amp;(G711)</f>
        <v>MM-ROS-003.06 - Inspeção Periodica Gerador - Partes elétricas Substitui a anterior 087 Com APR</v>
      </c>
      <c r="I711" s="55" t="s">
        <v>2242</v>
      </c>
      <c r="J711" s="55" t="str">
        <f>VLOOKUP(D711,GM!$D$4:$G$1637,4,3)&amp;" e "&amp;C711</f>
        <v>ENGENHARIA ELÉTRICA  e ROS</v>
      </c>
      <c r="K711" s="164">
        <v>46009</v>
      </c>
      <c r="L711" s="164">
        <f t="shared" ref="L711:L735" si="62">K711+1096</f>
        <v>47105</v>
      </c>
      <c r="M711" s="10" t="s">
        <v>62</v>
      </c>
      <c r="N711" s="1" t="s">
        <v>61</v>
      </c>
      <c r="O711" s="67" t="str">
        <f t="shared" ca="1" si="44"/>
        <v>Em dia</v>
      </c>
      <c r="P711" s="67"/>
      <c r="Q711" s="67">
        <f t="shared" ca="1" si="45"/>
        <v>189</v>
      </c>
    </row>
    <row r="712" spans="2:17" ht="26" hidden="1" x14ac:dyDescent="0.35">
      <c r="B712" s="50">
        <v>12</v>
      </c>
      <c r="C712" s="51" t="s">
        <v>20</v>
      </c>
      <c r="D712" s="52">
        <v>5</v>
      </c>
      <c r="E712" s="52">
        <v>0</v>
      </c>
      <c r="F712" s="53" t="s">
        <v>13218</v>
      </c>
      <c r="G712" s="53" t="s">
        <v>13219</v>
      </c>
      <c r="H712" s="54" t="str">
        <f t="shared" ref="H712" si="63">(F712)&amp;" - "&amp;(G712)</f>
        <v>MM-ROS-005.00 - Barramento de saída do gerador e seus acessórios</v>
      </c>
      <c r="I712" s="55" t="s">
        <v>2245</v>
      </c>
      <c r="J712" s="55" t="str">
        <f>VLOOKUP(D712,GM!$D$4:$G$1637,4,3)&amp;" e "&amp;C712</f>
        <v>ENGENHARIA ELÉTRICA  e ROS</v>
      </c>
      <c r="K712" s="164">
        <v>46009</v>
      </c>
      <c r="L712" s="164">
        <f t="shared" si="62"/>
        <v>47105</v>
      </c>
      <c r="M712" s="10" t="s">
        <v>62</v>
      </c>
      <c r="N712" s="1" t="s">
        <v>61</v>
      </c>
      <c r="O712" s="67" t="str">
        <f t="shared" ref="O712:O739" ca="1" si="64">IF(Q712="","",IF(Q712&gt;1095,"Vencido",IF(Q712&gt;910,"Alerta",IF(Q712&gt;820,"Alerta",IF(Q712&gt;730,"Alerta",IF(Q712&gt;=0,"Em dia","Vencido"))))))</f>
        <v>Em dia</v>
      </c>
      <c r="P712" s="67"/>
      <c r="Q712" s="67">
        <f t="shared" ca="1" si="45"/>
        <v>189</v>
      </c>
    </row>
    <row r="713" spans="2:17" ht="26" hidden="1" x14ac:dyDescent="0.35">
      <c r="B713" s="50">
        <v>12</v>
      </c>
      <c r="C713" s="51" t="s">
        <v>20</v>
      </c>
      <c r="D713" s="52">
        <v>5</v>
      </c>
      <c r="E713" s="52">
        <v>1</v>
      </c>
      <c r="F713" s="53" t="s">
        <v>13217</v>
      </c>
      <c r="G713" s="53" t="s">
        <v>13219</v>
      </c>
      <c r="H713" s="54" t="str">
        <f t="shared" ref="H713:H715" si="65">(F713)&amp;" - "&amp;(G713)</f>
        <v>MM-ROS-005.01 - Barramento de saída do gerador e seus acessórios</v>
      </c>
      <c r="I713" s="55" t="s">
        <v>2245</v>
      </c>
      <c r="J713" s="55" t="str">
        <f>VLOOKUP(D713,GM!$D$4:$G$1637,4,3)&amp;" e "&amp;C713</f>
        <v>ENGENHARIA ELÉTRICA  e ROS</v>
      </c>
      <c r="K713" s="164">
        <v>46009</v>
      </c>
      <c r="L713" s="164">
        <f t="shared" si="62"/>
        <v>47105</v>
      </c>
      <c r="M713" s="10" t="s">
        <v>62</v>
      </c>
      <c r="N713" s="1" t="s">
        <v>61</v>
      </c>
      <c r="O713" s="67" t="str">
        <f t="shared" ca="1" si="64"/>
        <v>Em dia</v>
      </c>
      <c r="P713" s="67"/>
      <c r="Q713" s="67">
        <f t="shared" ca="1" si="45"/>
        <v>189</v>
      </c>
    </row>
    <row r="714" spans="2:17" ht="26" hidden="1" x14ac:dyDescent="0.35">
      <c r="B714" s="50">
        <v>12</v>
      </c>
      <c r="C714" s="51" t="s">
        <v>20</v>
      </c>
      <c r="D714" s="52">
        <v>5</v>
      </c>
      <c r="E714" s="52">
        <v>2</v>
      </c>
      <c r="F714" s="53" t="s">
        <v>13220</v>
      </c>
      <c r="G714" s="53" t="s">
        <v>13219</v>
      </c>
      <c r="H714" s="54" t="str">
        <f t="shared" si="65"/>
        <v>MM-ROS-005.02 - Barramento de saída do gerador e seus acessórios</v>
      </c>
      <c r="I714" s="55" t="s">
        <v>2245</v>
      </c>
      <c r="J714" s="55" t="str">
        <f>VLOOKUP(D714,GM!$D$4:$G$1637,4,3)&amp;" e "&amp;C714</f>
        <v>ENGENHARIA ELÉTRICA  e ROS</v>
      </c>
      <c r="K714" s="164">
        <v>46009</v>
      </c>
      <c r="L714" s="164">
        <f t="shared" si="62"/>
        <v>47105</v>
      </c>
      <c r="M714" s="10" t="s">
        <v>62</v>
      </c>
      <c r="N714" s="1" t="s">
        <v>61</v>
      </c>
      <c r="O714" s="67" t="str">
        <f t="shared" ca="1" si="64"/>
        <v>Em dia</v>
      </c>
      <c r="P714" s="67"/>
      <c r="Q714" s="67">
        <f t="shared" ref="Q714:Q739" ca="1" si="66">$P$4-K714</f>
        <v>189</v>
      </c>
    </row>
    <row r="715" spans="2:17" ht="25" x14ac:dyDescent="0.35">
      <c r="B715" s="50">
        <v>12</v>
      </c>
      <c r="C715" s="51" t="s">
        <v>20</v>
      </c>
      <c r="D715" s="52">
        <v>11</v>
      </c>
      <c r="E715" s="52">
        <v>1</v>
      </c>
      <c r="F715" s="53" t="s">
        <v>13221</v>
      </c>
      <c r="G715" s="53" t="s">
        <v>13222</v>
      </c>
      <c r="H715" s="54" t="str">
        <f t="shared" si="65"/>
        <v>MM-ROS-011.01 - Manutenção Complementar Preventiva Tipo 1 Cabos de Potência</v>
      </c>
      <c r="I715" s="18" t="s">
        <v>3015</v>
      </c>
      <c r="J715" s="55" t="str">
        <f>VLOOKUP(D715,GM!$D$4:$G$1637,4,3)&amp;" e "&amp;C715</f>
        <v>ENGENHARIA ELÉTRICA  e ROS</v>
      </c>
      <c r="K715" s="164"/>
      <c r="L715" s="164"/>
      <c r="M715" s="11" t="s">
        <v>267</v>
      </c>
      <c r="O715" s="67" t="str">
        <f t="shared" ca="1" si="64"/>
        <v>Vencido</v>
      </c>
      <c r="P715" s="67"/>
      <c r="Q715" s="67">
        <f t="shared" ca="1" si="66"/>
        <v>46198</v>
      </c>
    </row>
    <row r="716" spans="2:17" ht="25" hidden="1" x14ac:dyDescent="0.35">
      <c r="B716" s="50">
        <v>12</v>
      </c>
      <c r="C716" s="51" t="s">
        <v>20</v>
      </c>
      <c r="D716" s="52">
        <v>12</v>
      </c>
      <c r="E716" s="52">
        <v>0</v>
      </c>
      <c r="F716" s="53" t="s">
        <v>13223</v>
      </c>
      <c r="G716" s="53" t="s">
        <v>13224</v>
      </c>
      <c r="H716" s="54" t="str">
        <f t="shared" ref="H716" si="67">(F716)&amp;" - "&amp;(G716)</f>
        <v>MM-ROS-012.00 - Manutenção Complementar Preventiva Tipo 0 Estação de Operação</v>
      </c>
      <c r="I716" s="18" t="s">
        <v>2697</v>
      </c>
      <c r="J716" s="55" t="str">
        <f>VLOOKUP(D716,GM!$D$4:$G$1637,4,3)&amp;" e "&amp;C716</f>
        <v>ENGENHARIA ELÉTRICA  e ROS</v>
      </c>
      <c r="K716" s="164">
        <v>46009</v>
      </c>
      <c r="L716" s="164">
        <f t="shared" si="62"/>
        <v>47105</v>
      </c>
      <c r="M716" s="10" t="s">
        <v>62</v>
      </c>
      <c r="N716" s="1" t="s">
        <v>61</v>
      </c>
      <c r="O716" s="67" t="str">
        <f t="shared" ca="1" si="64"/>
        <v>Em dia</v>
      </c>
      <c r="P716" s="67"/>
      <c r="Q716" s="67">
        <f t="shared" ca="1" si="66"/>
        <v>189</v>
      </c>
    </row>
    <row r="717" spans="2:17" ht="25" x14ac:dyDescent="0.35">
      <c r="B717" s="50">
        <v>12</v>
      </c>
      <c r="C717" s="51" t="s">
        <v>20</v>
      </c>
      <c r="D717" s="52">
        <v>12</v>
      </c>
      <c r="E717" s="52">
        <v>1</v>
      </c>
      <c r="F717" s="53" t="s">
        <v>13225</v>
      </c>
      <c r="G717" s="53" t="s">
        <v>13226</v>
      </c>
      <c r="H717" s="54" t="str">
        <f t="shared" ref="H717" si="68">(F717)&amp;" - "&amp;(G717)</f>
        <v>MM-ROS-012.01 - Manutenção Preventiva Periodica Tipo 1 em Estação de Operação</v>
      </c>
      <c r="I717" s="18" t="s">
        <v>2697</v>
      </c>
      <c r="J717" s="55" t="str">
        <f>VLOOKUP(D717,GM!$D$4:$G$1637,4,3)&amp;" e "&amp;C717</f>
        <v>ENGENHARIA ELÉTRICA  e ROS</v>
      </c>
      <c r="K717" s="164"/>
      <c r="L717" s="164"/>
      <c r="M717" s="11" t="s">
        <v>267</v>
      </c>
      <c r="O717" s="67" t="str">
        <f t="shared" ca="1" si="64"/>
        <v>Vencido</v>
      </c>
      <c r="P717" s="67"/>
      <c r="Q717" s="67">
        <f t="shared" ca="1" si="66"/>
        <v>46198</v>
      </c>
    </row>
    <row r="718" spans="2:17" ht="28" hidden="1" x14ac:dyDescent="0.35">
      <c r="B718" s="50">
        <v>12</v>
      </c>
      <c r="C718" s="51" t="s">
        <v>20</v>
      </c>
      <c r="D718" s="52">
        <v>13</v>
      </c>
      <c r="E718" s="52">
        <v>0</v>
      </c>
      <c r="F718" s="53" t="s">
        <v>13227</v>
      </c>
      <c r="G718" s="53" t="s">
        <v>13228</v>
      </c>
      <c r="H718" s="54" t="str">
        <f t="shared" ref="H718" si="69">(F718)&amp;" - "&amp;(G718)</f>
        <v>MM-ROS-013.00 - Manutenção Complementar Preventiva Tipo 0 Unidade de Aquisição e Controle (UAC)</v>
      </c>
      <c r="I718" s="18" t="s">
        <v>2381</v>
      </c>
      <c r="J718" s="55" t="str">
        <f>VLOOKUP(D718,GM!$D$4:$G$1637,4,3)&amp;" e "&amp;C718</f>
        <v>ENGENHARIA ELÉTRICA  e ROS</v>
      </c>
      <c r="K718" s="164">
        <v>46009</v>
      </c>
      <c r="L718" s="164">
        <f t="shared" si="62"/>
        <v>47105</v>
      </c>
      <c r="M718" s="10" t="s">
        <v>62</v>
      </c>
      <c r="N718" s="1" t="s">
        <v>61</v>
      </c>
      <c r="O718" s="67" t="str">
        <f t="shared" ca="1" si="64"/>
        <v>Em dia</v>
      </c>
      <c r="P718" s="67"/>
      <c r="Q718" s="67">
        <f t="shared" ca="1" si="66"/>
        <v>189</v>
      </c>
    </row>
    <row r="719" spans="2:17" ht="25" hidden="1" x14ac:dyDescent="0.35">
      <c r="B719" s="50">
        <v>12</v>
      </c>
      <c r="C719" s="51" t="s">
        <v>20</v>
      </c>
      <c r="D719" s="52">
        <v>18</v>
      </c>
      <c r="E719" s="52">
        <v>0</v>
      </c>
      <c r="F719" s="53" t="s">
        <v>13229</v>
      </c>
      <c r="G719" s="53" t="s">
        <v>13230</v>
      </c>
      <c r="H719" s="54" t="str">
        <f t="shared" ref="H719" si="70">(F719)&amp;" - "&amp;(G719)</f>
        <v>MM-ROS-018.00 - Manutenção Complementar Preventiva Tipo 0 Sistema de Excitação</v>
      </c>
      <c r="I719" s="18" t="s">
        <v>2404</v>
      </c>
      <c r="J719" s="55" t="str">
        <f>VLOOKUP(D719,GM!$D$4:$G$1637,4,3)&amp;" e "&amp;C719</f>
        <v>ENGENHARIA ELÉTRICA  e ROS</v>
      </c>
      <c r="K719" s="164">
        <v>46009</v>
      </c>
      <c r="L719" s="164">
        <f t="shared" si="62"/>
        <v>47105</v>
      </c>
      <c r="M719" s="10" t="s">
        <v>62</v>
      </c>
      <c r="N719" s="1" t="s">
        <v>61</v>
      </c>
      <c r="O719" s="67" t="str">
        <f t="shared" ca="1" si="64"/>
        <v>Em dia</v>
      </c>
      <c r="P719" s="67"/>
      <c r="Q719" s="67">
        <f t="shared" ca="1" si="66"/>
        <v>189</v>
      </c>
    </row>
    <row r="720" spans="2:17" ht="25" hidden="1" x14ac:dyDescent="0.35">
      <c r="B720" s="50">
        <v>12</v>
      </c>
      <c r="C720" s="51" t="s">
        <v>20</v>
      </c>
      <c r="D720" s="52">
        <v>18</v>
      </c>
      <c r="E720" s="52">
        <v>1</v>
      </c>
      <c r="F720" s="53" t="s">
        <v>13231</v>
      </c>
      <c r="G720" s="53" t="s">
        <v>13232</v>
      </c>
      <c r="H720" s="54" t="str">
        <f t="shared" ref="H720" si="71">(F720)&amp;" - "&amp;(G720)</f>
        <v>MM-ROS-018.01 - MPP1 Sistema de Excitação</v>
      </c>
      <c r="I720" s="18" t="s">
        <v>2404</v>
      </c>
      <c r="J720" s="55" t="str">
        <f>VLOOKUP(D720,GM!$D$4:$G$1637,4,3)&amp;" e "&amp;C720</f>
        <v>ENGENHARIA ELÉTRICA  e ROS</v>
      </c>
      <c r="K720" s="164">
        <v>46009</v>
      </c>
      <c r="L720" s="164">
        <f t="shared" si="62"/>
        <v>47105</v>
      </c>
      <c r="M720" s="10" t="s">
        <v>62</v>
      </c>
      <c r="N720" s="1" t="s">
        <v>61</v>
      </c>
      <c r="O720" s="67" t="str">
        <f t="shared" ca="1" si="64"/>
        <v>Em dia</v>
      </c>
      <c r="P720" s="67"/>
      <c r="Q720" s="67">
        <f t="shared" ca="1" si="66"/>
        <v>189</v>
      </c>
    </row>
    <row r="721" spans="2:17" ht="28" hidden="1" x14ac:dyDescent="0.35">
      <c r="B721" s="50">
        <v>12</v>
      </c>
      <c r="C721" s="51" t="s">
        <v>20</v>
      </c>
      <c r="D721" s="52">
        <v>21</v>
      </c>
      <c r="E721" s="52">
        <v>0</v>
      </c>
      <c r="F721" s="53" t="s">
        <v>13233</v>
      </c>
      <c r="G721" s="53" t="s">
        <v>13235</v>
      </c>
      <c r="H721" s="54" t="str">
        <f t="shared" ref="H721" si="72">(F721)&amp;" - "&amp;(G721)</f>
        <v>MM-ROS-021.00 - MPP0  Regulador de Velocidade - Parte elétrica</v>
      </c>
      <c r="I721" s="18" t="s">
        <v>2080</v>
      </c>
      <c r="J721" s="55" t="str">
        <f>VLOOKUP(D721,GM!$D$4:$G$1637,4,3)&amp;" e "&amp;C721</f>
        <v>ENGENHARIA ELÉTRICA  e ROS</v>
      </c>
      <c r="K721" s="164">
        <v>46009</v>
      </c>
      <c r="L721" s="164">
        <f t="shared" si="62"/>
        <v>47105</v>
      </c>
      <c r="M721" s="10" t="s">
        <v>62</v>
      </c>
      <c r="N721" s="1" t="s">
        <v>61</v>
      </c>
      <c r="O721" s="67" t="str">
        <f t="shared" ca="1" si="64"/>
        <v>Em dia</v>
      </c>
      <c r="P721" s="67"/>
      <c r="Q721" s="67">
        <f t="shared" ca="1" si="66"/>
        <v>189</v>
      </c>
    </row>
    <row r="722" spans="2:17" ht="28" x14ac:dyDescent="0.35">
      <c r="B722" s="50">
        <v>12</v>
      </c>
      <c r="C722" s="51" t="s">
        <v>20</v>
      </c>
      <c r="D722" s="52">
        <v>21</v>
      </c>
      <c r="E722" s="52">
        <v>1</v>
      </c>
      <c r="F722" s="53" t="s">
        <v>13234</v>
      </c>
      <c r="G722" s="53" t="s">
        <v>13236</v>
      </c>
      <c r="H722" s="54" t="str">
        <f t="shared" ref="H722:H725" si="73">(F722)&amp;" - "&amp;(G722)</f>
        <v>MM-ROS-021.01 - MPP1  Regulador de Velocidade - Parte elétrica</v>
      </c>
      <c r="I722" s="18" t="s">
        <v>2080</v>
      </c>
      <c r="J722" s="55" t="str">
        <f>VLOOKUP(D722,GM!$D$4:$G$1637,4,3)&amp;" e "&amp;C722</f>
        <v>ENGENHARIA ELÉTRICA  e ROS</v>
      </c>
      <c r="K722" s="164"/>
      <c r="L722" s="164"/>
      <c r="M722" s="11" t="s">
        <v>267</v>
      </c>
      <c r="O722" s="67" t="str">
        <f t="shared" ca="1" si="64"/>
        <v>Vencido</v>
      </c>
      <c r="P722" s="67"/>
      <c r="Q722" s="67">
        <f t="shared" ca="1" si="66"/>
        <v>46198</v>
      </c>
    </row>
    <row r="723" spans="2:17" ht="25" x14ac:dyDescent="0.35">
      <c r="B723" s="50">
        <v>8</v>
      </c>
      <c r="C723" s="51" t="s">
        <v>23</v>
      </c>
      <c r="D723" s="52">
        <v>9</v>
      </c>
      <c r="E723" s="52">
        <v>5</v>
      </c>
      <c r="F723" s="53" t="s">
        <v>13237</v>
      </c>
      <c r="G723" s="53" t="s">
        <v>13238</v>
      </c>
      <c r="H723" s="54" t="str">
        <f t="shared" si="73"/>
        <v>MM-ILS-009.05 - Instalação do relé de proteção ABB Relé RET-615 no Quadro QD</v>
      </c>
      <c r="I723" s="55" t="s">
        <v>2686</v>
      </c>
      <c r="J723" s="55" t="str">
        <f>VLOOKUP(D723,GM!$D$4:$G$1637,4,3)&amp;" e "&amp;C723</f>
        <v>ENGENHARIA ELÉTRICA  e ILS</v>
      </c>
      <c r="K723" s="164"/>
      <c r="L723" s="164"/>
      <c r="M723" s="11" t="s">
        <v>267</v>
      </c>
      <c r="O723" s="67" t="str">
        <f t="shared" ca="1" si="64"/>
        <v>Vencido</v>
      </c>
      <c r="P723" s="67"/>
      <c r="Q723" s="67">
        <f t="shared" ca="1" si="66"/>
        <v>46198</v>
      </c>
    </row>
    <row r="724" spans="2:17" ht="25" hidden="1" x14ac:dyDescent="0.35">
      <c r="B724" s="50">
        <v>17</v>
      </c>
      <c r="C724" s="51" t="s">
        <v>42</v>
      </c>
      <c r="D724" s="52">
        <v>12</v>
      </c>
      <c r="E724" s="52">
        <v>1</v>
      </c>
      <c r="F724" s="53" t="s">
        <v>13239</v>
      </c>
      <c r="G724" s="67" t="s">
        <v>13240</v>
      </c>
      <c r="H724" s="54" t="str">
        <f t="shared" si="73"/>
        <v>MM-COG-012.01 - Manual de Manutenção SCADA H900</v>
      </c>
      <c r="I724" s="55" t="s">
        <v>3127</v>
      </c>
      <c r="J724" s="55" t="str">
        <f>VLOOKUP(D724,GM!$D$4:$G$1637,4,3)&amp;" e "&amp;C724</f>
        <v>ENGENHARIA ELÉTRICA  e COG</v>
      </c>
      <c r="K724" s="164">
        <v>46009</v>
      </c>
      <c r="L724" s="164">
        <f t="shared" si="62"/>
        <v>47105</v>
      </c>
      <c r="M724" s="10" t="s">
        <v>62</v>
      </c>
      <c r="N724" s="1" t="s">
        <v>371</v>
      </c>
      <c r="O724" s="67" t="str">
        <f t="shared" ca="1" si="64"/>
        <v>Em dia</v>
      </c>
      <c r="P724" s="67"/>
      <c r="Q724" s="67">
        <f t="shared" ca="1" si="66"/>
        <v>189</v>
      </c>
    </row>
    <row r="725" spans="2:17" ht="25" x14ac:dyDescent="0.35">
      <c r="B725" s="50">
        <v>14</v>
      </c>
      <c r="C725" s="51" t="s">
        <v>19</v>
      </c>
      <c r="D725" s="52">
        <v>11</v>
      </c>
      <c r="E725" s="52">
        <v>0</v>
      </c>
      <c r="F725" s="53" t="s">
        <v>13241</v>
      </c>
      <c r="G725" s="53" t="s">
        <v>13242</v>
      </c>
      <c r="H725" s="54" t="str">
        <f t="shared" si="73"/>
        <v>MM-TAQ-011.00 - Manual de manutenção para Cabos de Potência até 35kV UHE Taquaruçu – MCP1</v>
      </c>
      <c r="I725" s="55" t="s">
        <v>2264</v>
      </c>
      <c r="J725" s="55" t="str">
        <f>VLOOKUP(D725,GM!$D$4:$G$1637,4,3)&amp;" e "&amp;C725</f>
        <v>ENGENHARIA ELÉTRICA  e TAQ</v>
      </c>
      <c r="K725" s="164"/>
      <c r="L725" s="164"/>
      <c r="M725" s="11" t="s">
        <v>267</v>
      </c>
      <c r="O725" s="67" t="str">
        <f t="shared" ca="1" si="64"/>
        <v>Vencido</v>
      </c>
      <c r="P725" s="67"/>
      <c r="Q725" s="67">
        <f t="shared" ca="1" si="66"/>
        <v>46198</v>
      </c>
    </row>
    <row r="726" spans="2:17" ht="25" x14ac:dyDescent="0.35">
      <c r="B726" s="50">
        <v>14</v>
      </c>
      <c r="C726" s="51" t="s">
        <v>19</v>
      </c>
      <c r="D726" s="52">
        <v>11</v>
      </c>
      <c r="E726" s="52">
        <v>1</v>
      </c>
      <c r="F726" s="53" t="s">
        <v>13243</v>
      </c>
      <c r="G726" s="53" t="s">
        <v>13242</v>
      </c>
      <c r="H726" s="54" t="str">
        <f t="shared" ref="H726:H727" si="74">(F726)&amp;" - "&amp;(G726)</f>
        <v>MM-TAQ-011.01 - Manual de manutenção para Cabos de Potência até 35kV UHE Taquaruçu – MCP1</v>
      </c>
      <c r="I726" s="55" t="s">
        <v>2264</v>
      </c>
      <c r="J726" s="55" t="str">
        <f>VLOOKUP(D726,GM!$D$4:$G$1637,4,3)&amp;" e "&amp;C726</f>
        <v>ENGENHARIA ELÉTRICA  e TAQ</v>
      </c>
      <c r="K726" s="164"/>
      <c r="L726" s="164"/>
      <c r="M726" s="11" t="s">
        <v>267</v>
      </c>
      <c r="O726" s="67" t="str">
        <f t="shared" ca="1" si="64"/>
        <v>Vencido</v>
      </c>
      <c r="P726" s="67"/>
      <c r="Q726" s="67">
        <f t="shared" ca="1" si="66"/>
        <v>46198</v>
      </c>
    </row>
    <row r="727" spans="2:17" ht="25" hidden="1" x14ac:dyDescent="0.35">
      <c r="B727" s="50">
        <v>14</v>
      </c>
      <c r="C727" s="51" t="s">
        <v>19</v>
      </c>
      <c r="D727" s="52">
        <v>15</v>
      </c>
      <c r="E727" s="52">
        <v>1</v>
      </c>
      <c r="F727" s="53" t="s">
        <v>13245</v>
      </c>
      <c r="G727" s="53" t="s">
        <v>13244</v>
      </c>
      <c r="H727" s="54" t="str">
        <f t="shared" si="74"/>
        <v>MM-TAQ-015.01 - Manual de manutenção para Sistema de Proteção UHE Taquaruçu - MPPG</v>
      </c>
      <c r="I727" s="55" t="s">
        <v>2077</v>
      </c>
      <c r="J727" s="55" t="str">
        <f>VLOOKUP(D727,GM!$D$4:$G$1637,4,3)&amp;" e "&amp;C727</f>
        <v>ENGENHARIA ELÉTRICA  e TAQ</v>
      </c>
      <c r="K727" s="164">
        <v>46009</v>
      </c>
      <c r="L727" s="164">
        <f t="shared" si="62"/>
        <v>47105</v>
      </c>
      <c r="M727" s="10" t="s">
        <v>62</v>
      </c>
      <c r="N727" s="1" t="s">
        <v>61</v>
      </c>
      <c r="O727" s="67" t="str">
        <f t="shared" ca="1" si="64"/>
        <v>Em dia</v>
      </c>
      <c r="P727" s="67"/>
      <c r="Q727" s="67">
        <f t="shared" ca="1" si="66"/>
        <v>189</v>
      </c>
    </row>
    <row r="728" spans="2:17" ht="25" hidden="1" x14ac:dyDescent="0.35">
      <c r="B728" s="50">
        <v>14</v>
      </c>
      <c r="C728" s="51" t="s">
        <v>19</v>
      </c>
      <c r="D728" s="52">
        <v>15</v>
      </c>
      <c r="E728" s="52">
        <v>2</v>
      </c>
      <c r="F728" s="53" t="s">
        <v>13246</v>
      </c>
      <c r="G728" s="53" t="s">
        <v>13260</v>
      </c>
      <c r="H728" s="54" t="str">
        <f t="shared" ref="H728" si="75">(F728)&amp;" - "&amp;(G728)</f>
        <v>MM-TAQ-015.02 - Manual de manutenção para Sistema de Proteção UHE Taquaruçu - MPP2</v>
      </c>
      <c r="I728" s="55" t="s">
        <v>2077</v>
      </c>
      <c r="J728" s="55" t="str">
        <f>VLOOKUP(D728,GM!$D$4:$G$1637,4,3)&amp;" e "&amp;C728</f>
        <v>ENGENHARIA ELÉTRICA  e TAQ</v>
      </c>
      <c r="K728" s="164">
        <v>46009</v>
      </c>
      <c r="L728" s="164">
        <f t="shared" si="62"/>
        <v>47105</v>
      </c>
      <c r="M728" s="10" t="s">
        <v>62</v>
      </c>
      <c r="N728" s="1" t="s">
        <v>61</v>
      </c>
      <c r="O728" s="67" t="str">
        <f t="shared" ca="1" si="64"/>
        <v>Em dia</v>
      </c>
      <c r="P728" s="67"/>
      <c r="Q728" s="67">
        <f t="shared" ca="1" si="66"/>
        <v>189</v>
      </c>
    </row>
    <row r="729" spans="2:17" ht="25" hidden="1" x14ac:dyDescent="0.35">
      <c r="B729" s="50">
        <v>14</v>
      </c>
      <c r="C729" s="51" t="s">
        <v>19</v>
      </c>
      <c r="D729" s="52">
        <v>15</v>
      </c>
      <c r="E729" s="52">
        <v>3</v>
      </c>
      <c r="F729" s="53" t="s">
        <v>13247</v>
      </c>
      <c r="G729" s="53" t="s">
        <v>13250</v>
      </c>
      <c r="H729" s="54" t="str">
        <f t="shared" ref="H729:H730" si="76">(F729)&amp;" - "&amp;(G729)</f>
        <v>MM-TAQ-015.03 - Manual de manutenção para Sistema de Proteção UHE Taquaruçu – MPP1</v>
      </c>
      <c r="I729" s="55" t="s">
        <v>2077</v>
      </c>
      <c r="J729" s="55" t="str">
        <f>VLOOKUP(D729,GM!$D$4:$G$1637,4,3)&amp;" e "&amp;C729</f>
        <v>ENGENHARIA ELÉTRICA  e TAQ</v>
      </c>
      <c r="K729" s="164">
        <v>46009</v>
      </c>
      <c r="L729" s="164">
        <f t="shared" si="62"/>
        <v>47105</v>
      </c>
      <c r="M729" s="10" t="s">
        <v>62</v>
      </c>
      <c r="N729" s="1" t="s">
        <v>61</v>
      </c>
      <c r="O729" s="67" t="str">
        <f t="shared" ca="1" si="64"/>
        <v>Em dia</v>
      </c>
      <c r="P729" s="67"/>
      <c r="Q729" s="67">
        <f t="shared" ca="1" si="66"/>
        <v>189</v>
      </c>
    </row>
    <row r="730" spans="2:17" ht="25" hidden="1" x14ac:dyDescent="0.35">
      <c r="B730" s="50">
        <v>14</v>
      </c>
      <c r="C730" s="51" t="s">
        <v>19</v>
      </c>
      <c r="D730" s="52">
        <v>15</v>
      </c>
      <c r="E730" s="52">
        <v>4</v>
      </c>
      <c r="F730" s="53" t="s">
        <v>13248</v>
      </c>
      <c r="G730" s="53" t="s">
        <v>13249</v>
      </c>
      <c r="H730" s="54" t="str">
        <f t="shared" si="76"/>
        <v>MM-TAQ-015.04 - Manual de manutenção para Sistema de Proteção UHE Taquaruçu – MPP0</v>
      </c>
      <c r="I730" s="55" t="s">
        <v>2077</v>
      </c>
      <c r="J730" s="55" t="str">
        <f>VLOOKUP(D730,GM!$D$4:$G$1637,4,3)&amp;" e "&amp;C730</f>
        <v>ENGENHARIA ELÉTRICA  e TAQ</v>
      </c>
      <c r="K730" s="164">
        <v>46009</v>
      </c>
      <c r="L730" s="164">
        <f t="shared" si="62"/>
        <v>47105</v>
      </c>
      <c r="M730" s="10" t="s">
        <v>62</v>
      </c>
      <c r="N730" s="1" t="s">
        <v>61</v>
      </c>
      <c r="O730" s="67" t="str">
        <f t="shared" ca="1" si="64"/>
        <v>Em dia</v>
      </c>
      <c r="P730" s="67"/>
      <c r="Q730" s="67">
        <f t="shared" ca="1" si="66"/>
        <v>189</v>
      </c>
    </row>
    <row r="731" spans="2:17" ht="25" x14ac:dyDescent="0.35">
      <c r="B731" s="50">
        <v>14</v>
      </c>
      <c r="C731" s="51" t="s">
        <v>19</v>
      </c>
      <c r="D731" s="52">
        <v>19</v>
      </c>
      <c r="E731" s="52">
        <v>0</v>
      </c>
      <c r="F731" s="53" t="s">
        <v>13251</v>
      </c>
      <c r="G731" s="53" t="s">
        <v>13254</v>
      </c>
      <c r="H731" s="54" t="str">
        <f t="shared" ref="H731" si="77">(F731)&amp;" - "&amp;(G731)</f>
        <v>MM-TAQ-019.00 - Manual de manutenção para Sistema de Corrente Contínua da UHE Taquaruçu – MCP2</v>
      </c>
      <c r="I731" s="55" t="s">
        <v>2158</v>
      </c>
      <c r="J731" s="55" t="str">
        <f>VLOOKUP(D731,GM!$D$4:$G$1637,4,3)&amp;" e "&amp;C731</f>
        <v>ENGENHARIA ELÉTRICA  e TAQ</v>
      </c>
      <c r="K731" s="164"/>
      <c r="L731" s="164"/>
      <c r="M731" s="11" t="s">
        <v>267</v>
      </c>
      <c r="O731" s="67" t="str">
        <f t="shared" ca="1" si="64"/>
        <v>Vencido</v>
      </c>
      <c r="P731" s="67"/>
      <c r="Q731" s="67">
        <f t="shared" ca="1" si="66"/>
        <v>46198</v>
      </c>
    </row>
    <row r="732" spans="2:17" ht="25" x14ac:dyDescent="0.35">
      <c r="B732" s="50">
        <v>14</v>
      </c>
      <c r="C732" s="51" t="s">
        <v>19</v>
      </c>
      <c r="D732" s="52">
        <v>19</v>
      </c>
      <c r="E732" s="52">
        <v>1</v>
      </c>
      <c r="F732" s="53" t="s">
        <v>13252</v>
      </c>
      <c r="G732" s="53" t="s">
        <v>13255</v>
      </c>
      <c r="H732" s="54" t="str">
        <f t="shared" ref="H732" si="78">(F732)&amp;" - "&amp;(G732)</f>
        <v>MM-TAQ-019.01 - Manual de manutenção para Sistema de Corrente Contínua da UHE Taquaruçu – MCP1</v>
      </c>
      <c r="I732" s="55" t="s">
        <v>2158</v>
      </c>
      <c r="J732" s="55" t="str">
        <f>VLOOKUP(D732,GM!$D$4:$G$1637,4,3)&amp;" e "&amp;C732</f>
        <v>ENGENHARIA ELÉTRICA  e TAQ</v>
      </c>
      <c r="K732" s="164"/>
      <c r="L732" s="164"/>
      <c r="M732" s="11" t="s">
        <v>267</v>
      </c>
      <c r="O732" s="67" t="str">
        <f t="shared" ca="1" si="64"/>
        <v>Vencido</v>
      </c>
      <c r="P732" s="67"/>
      <c r="Q732" s="67">
        <f t="shared" ca="1" si="66"/>
        <v>46198</v>
      </c>
    </row>
    <row r="733" spans="2:17" ht="25" x14ac:dyDescent="0.35">
      <c r="B733" s="50">
        <v>14</v>
      </c>
      <c r="C733" s="51" t="s">
        <v>19</v>
      </c>
      <c r="D733" s="52">
        <v>19</v>
      </c>
      <c r="E733" s="52">
        <v>2</v>
      </c>
      <c r="F733" s="53" t="s">
        <v>13253</v>
      </c>
      <c r="G733" s="53" t="s">
        <v>13256</v>
      </c>
      <c r="H733" s="54" t="str">
        <f t="shared" ref="H733:H741" si="79">(F733)&amp;" - "&amp;(G733)</f>
        <v>MM-TAQ-019.02 - Manual de manutenção para Sistema de Corrente Contínua da UHE Taquaruçu – MCP0</v>
      </c>
      <c r="I733" s="55" t="s">
        <v>2158</v>
      </c>
      <c r="J733" s="55" t="str">
        <f>VLOOKUP(D733,GM!$D$4:$G$1637,4,3)&amp;" e "&amp;C733</f>
        <v>ENGENHARIA ELÉTRICA  e TAQ</v>
      </c>
      <c r="K733" s="164"/>
      <c r="L733" s="164"/>
      <c r="M733" s="11" t="s">
        <v>267</v>
      </c>
      <c r="O733" s="67" t="str">
        <f t="shared" ca="1" si="64"/>
        <v>Vencido</v>
      </c>
      <c r="P733" s="67"/>
      <c r="Q733" s="67">
        <f t="shared" ca="1" si="66"/>
        <v>46198</v>
      </c>
    </row>
    <row r="734" spans="2:17" ht="25" hidden="1" x14ac:dyDescent="0.35">
      <c r="B734" s="50">
        <v>6</v>
      </c>
      <c r="C734" s="51" t="s">
        <v>18</v>
      </c>
      <c r="D734" s="52">
        <v>6</v>
      </c>
      <c r="E734" s="52">
        <v>3</v>
      </c>
      <c r="F734" s="53" t="s">
        <v>13257</v>
      </c>
      <c r="G734" s="53" t="s">
        <v>13261</v>
      </c>
      <c r="H734" s="54" t="str">
        <f t="shared" si="79"/>
        <v>MM-CPV-006.03 - MPP1 em Transformadores Elevadores</v>
      </c>
      <c r="I734" s="18" t="s">
        <v>2034</v>
      </c>
      <c r="J734" s="55" t="str">
        <f>VLOOKUP(D734,GM!$D$4:$G$1637,4,3)&amp;" e "&amp;C734</f>
        <v>ENGENHARIA ELÉTRICA  e CPV</v>
      </c>
      <c r="K734" s="164">
        <v>46009</v>
      </c>
      <c r="L734" s="164">
        <f t="shared" si="62"/>
        <v>47105</v>
      </c>
      <c r="M734" s="10" t="s">
        <v>62</v>
      </c>
      <c r="N734" s="1" t="s">
        <v>371</v>
      </c>
      <c r="O734" s="67" t="str">
        <f t="shared" ca="1" si="64"/>
        <v>Em dia</v>
      </c>
      <c r="P734" s="67"/>
      <c r="Q734" s="67">
        <f t="shared" ca="1" si="66"/>
        <v>189</v>
      </c>
    </row>
    <row r="735" spans="2:17" ht="26" hidden="1" x14ac:dyDescent="0.35">
      <c r="B735" s="50">
        <v>9</v>
      </c>
      <c r="C735" s="51" t="s">
        <v>24</v>
      </c>
      <c r="D735" s="52">
        <v>13</v>
      </c>
      <c r="E735" s="52">
        <v>4</v>
      </c>
      <c r="F735" s="53" t="s">
        <v>13263</v>
      </c>
      <c r="G735" s="53" t="s">
        <v>13265</v>
      </c>
      <c r="H735" s="54" t="str">
        <f t="shared" si="79"/>
        <v>MM-JUP-013.04 - MPP0_Unidade de Aquisição e Controle UG02-06</v>
      </c>
      <c r="I735" s="55" t="s">
        <v>2381</v>
      </c>
      <c r="J735" s="55" t="str">
        <f>VLOOKUP(D735,GM!$D$4:$G$1637,4,3)&amp;" e "&amp;C735</f>
        <v>ENGENHARIA ELÉTRICA  e JUP</v>
      </c>
      <c r="K735" s="164">
        <v>46100</v>
      </c>
      <c r="L735" s="164">
        <f t="shared" si="62"/>
        <v>47196</v>
      </c>
      <c r="M735" s="10" t="s">
        <v>62</v>
      </c>
      <c r="O735" s="67" t="str">
        <f t="shared" ca="1" si="64"/>
        <v>Em dia</v>
      </c>
      <c r="P735" s="67"/>
      <c r="Q735" s="67">
        <f t="shared" ca="1" si="66"/>
        <v>98</v>
      </c>
    </row>
    <row r="736" spans="2:17" ht="26" hidden="1" x14ac:dyDescent="0.35">
      <c r="B736" s="50">
        <v>9</v>
      </c>
      <c r="C736" s="51" t="s">
        <v>24</v>
      </c>
      <c r="D736" s="52">
        <v>13</v>
      </c>
      <c r="E736" s="52">
        <v>5</v>
      </c>
      <c r="F736" s="53" t="s">
        <v>13264</v>
      </c>
      <c r="G736" s="53" t="s">
        <v>13266</v>
      </c>
      <c r="H736" s="54" t="str">
        <f t="shared" si="79"/>
        <v>MM-JUP-013.05 - MPP0_Unidade de Aquisição e Controle UGs Moderniza</v>
      </c>
      <c r="I736" s="55" t="s">
        <v>2381</v>
      </c>
      <c r="J736" s="55" t="str">
        <f>VLOOKUP(D736,GM!$D$4:$G$1637,4,3)&amp;" e "&amp;C736</f>
        <v>ENGENHARIA ELÉTRICA  e JUP</v>
      </c>
      <c r="K736" s="164">
        <v>46100</v>
      </c>
      <c r="L736" s="164">
        <f t="shared" ref="L736" si="80">K736+1096</f>
        <v>47196</v>
      </c>
      <c r="M736" s="10" t="s">
        <v>62</v>
      </c>
      <c r="O736" s="67" t="str">
        <f t="shared" ca="1" si="64"/>
        <v>Em dia</v>
      </c>
      <c r="P736" s="67"/>
      <c r="Q736" s="67">
        <f t="shared" ca="1" si="66"/>
        <v>98</v>
      </c>
    </row>
    <row r="737" spans="2:17" ht="28" hidden="1" x14ac:dyDescent="0.35">
      <c r="B737" s="50">
        <v>9</v>
      </c>
      <c r="C737" s="51" t="s">
        <v>24</v>
      </c>
      <c r="D737" s="52">
        <v>17</v>
      </c>
      <c r="E737" s="52">
        <v>2</v>
      </c>
      <c r="F737" s="53" t="s">
        <v>13267</v>
      </c>
      <c r="G737" s="18" t="s">
        <v>13268</v>
      </c>
      <c r="H737" s="54" t="str">
        <f t="shared" si="79"/>
        <v>MM-JUP-017.02 - Ensaios do Sistema de Proteção do Serviço Auxiliar</v>
      </c>
      <c r="I737" s="18" t="s">
        <v>2910</v>
      </c>
      <c r="J737" s="55" t="str">
        <f>VLOOKUP(D737,GM!$D$4:$G$1637,4,3)&amp;" e "&amp;C737</f>
        <v>ENGENHARIA ELÉTRICA  e JUP</v>
      </c>
      <c r="K737" s="195">
        <v>46100</v>
      </c>
      <c r="L737" s="196">
        <v>47196</v>
      </c>
      <c r="M737" s="168" t="s">
        <v>62</v>
      </c>
      <c r="O737" s="67" t="str">
        <f t="shared" ca="1" si="64"/>
        <v>Em dia</v>
      </c>
      <c r="P737" s="67"/>
      <c r="Q737" s="67">
        <f t="shared" ca="1" si="66"/>
        <v>98</v>
      </c>
    </row>
    <row r="738" spans="2:17" ht="29" hidden="1" x14ac:dyDescent="0.35">
      <c r="B738" s="50"/>
      <c r="C738" s="51" t="s">
        <v>43</v>
      </c>
      <c r="D738" s="52">
        <v>25</v>
      </c>
      <c r="E738" s="52">
        <v>0</v>
      </c>
      <c r="F738" s="53" t="s">
        <v>13271</v>
      </c>
      <c r="G738" s="65" t="s">
        <v>13272</v>
      </c>
      <c r="H738" s="54" t="str">
        <f t="shared" si="79"/>
        <v>MM-UHE-025.00 - Calibração dos medidores de energia do SMF utilizando o padrão de calibração PRS1-3</v>
      </c>
      <c r="I738" s="18" t="s">
        <v>2454</v>
      </c>
      <c r="J738" s="55" t="str">
        <f>VLOOKUP(D738,GM!$D$4:$G$1637,4,3)&amp;" e "&amp;C738</f>
        <v>ENGENHARIA ELÉTRICA  e UHE</v>
      </c>
      <c r="K738" s="164">
        <v>46100</v>
      </c>
      <c r="L738" s="164">
        <f>K738+1096</f>
        <v>47196</v>
      </c>
      <c r="M738" s="10" t="s">
        <v>62</v>
      </c>
      <c r="O738" s="67" t="str">
        <f t="shared" ca="1" si="64"/>
        <v>Em dia</v>
      </c>
      <c r="P738" s="67"/>
      <c r="Q738" s="67">
        <f t="shared" ca="1" si="66"/>
        <v>98</v>
      </c>
    </row>
    <row r="739" spans="2:17" ht="43.5" hidden="1" x14ac:dyDescent="0.35">
      <c r="B739" s="50"/>
      <c r="C739" s="51" t="s">
        <v>43</v>
      </c>
      <c r="D739" s="52">
        <v>25</v>
      </c>
      <c r="E739" s="52">
        <v>1</v>
      </c>
      <c r="F739" s="53" t="s">
        <v>13270</v>
      </c>
      <c r="G739" s="65" t="s">
        <v>13273</v>
      </c>
      <c r="H739" s="54" t="str">
        <f t="shared" si="79"/>
        <v>MM-UHE-025.01 - Calibração dos medidores de energia do SMF utilizando o padrão de calibração PRS600-3_PRS400-3</v>
      </c>
      <c r="I739" s="18" t="s">
        <v>2454</v>
      </c>
      <c r="J739" s="55" t="str">
        <f>VLOOKUP(D739,GM!$D$4:$G$1637,4,3)&amp;" e "&amp;C739</f>
        <v>ENGENHARIA ELÉTRICA  e UHE</v>
      </c>
      <c r="K739" s="164">
        <v>46100</v>
      </c>
      <c r="L739" s="164">
        <f>K739+1096</f>
        <v>47196</v>
      </c>
      <c r="M739" s="10" t="s">
        <v>62</v>
      </c>
      <c r="O739" s="67" t="str">
        <f t="shared" ca="1" si="64"/>
        <v>Em dia</v>
      </c>
      <c r="P739" s="67"/>
      <c r="Q739" s="67">
        <f t="shared" ca="1" si="66"/>
        <v>98</v>
      </c>
    </row>
    <row r="740" spans="2:17" ht="42" hidden="1" x14ac:dyDescent="0.35">
      <c r="B740" s="50">
        <v>9</v>
      </c>
      <c r="C740" s="51" t="s">
        <v>24</v>
      </c>
      <c r="D740" s="52">
        <v>1</v>
      </c>
      <c r="E740" s="52">
        <v>1</v>
      </c>
      <c r="F740" s="53" t="s">
        <v>13287</v>
      </c>
      <c r="G740" s="18" t="s">
        <v>13286</v>
      </c>
      <c r="H740" s="54" t="str">
        <f t="shared" si="79"/>
        <v>MM-JUP-001.01 - Reposição de óleo lubrificante nos mancais guia inferior das Unidades geradoras principais.</v>
      </c>
      <c r="I740" s="18" t="s">
        <v>2318</v>
      </c>
      <c r="J740" s="55" t="str">
        <f>VLOOKUP(D740,GM!$D$4:$G$1637,4,3)&amp;" e "&amp;C740</f>
        <v>ENGENHARIA MECÂNICA  e JUP</v>
      </c>
      <c r="K740" s="164"/>
      <c r="L740" s="164"/>
      <c r="M740" s="11" t="s">
        <v>267</v>
      </c>
      <c r="N740" s="67" t="s">
        <v>485</v>
      </c>
    </row>
    <row r="741" spans="2:17" ht="28" hidden="1" x14ac:dyDescent="0.35">
      <c r="B741" s="50">
        <v>9</v>
      </c>
      <c r="C741" s="51" t="s">
        <v>24</v>
      </c>
      <c r="D741" s="52">
        <v>1</v>
      </c>
      <c r="E741" s="52">
        <v>2</v>
      </c>
      <c r="F741" s="53" t="s">
        <v>13289</v>
      </c>
      <c r="G741" s="18" t="s">
        <v>13288</v>
      </c>
      <c r="H741" s="54" t="str">
        <f t="shared" si="79"/>
        <v>MM-JUP-001.02 - Manual para Limpeza dos Trocadores de Calor dos Mancais Combinado.</v>
      </c>
      <c r="I741" s="18" t="s">
        <v>2318</v>
      </c>
      <c r="J741" s="55" t="str">
        <f>VLOOKUP(D741,GM!$D$4:$G$1637,4,3)&amp;" e "&amp;C741</f>
        <v>ENGENHARIA MECÂNICA  e JUP</v>
      </c>
      <c r="K741" s="164"/>
      <c r="L741" s="164"/>
      <c r="M741" s="11" t="s">
        <v>267</v>
      </c>
    </row>
    <row r="742" spans="2:17" ht="42" hidden="1" x14ac:dyDescent="0.35">
      <c r="B742" s="50">
        <v>9</v>
      </c>
      <c r="C742" s="51" t="s">
        <v>24</v>
      </c>
      <c r="D742" s="52">
        <v>65</v>
      </c>
      <c r="E742" s="52">
        <v>0</v>
      </c>
      <c r="F742" s="53" t="s">
        <v>13290</v>
      </c>
      <c r="G742" s="18" t="s">
        <v>13291</v>
      </c>
      <c r="H742" s="54" t="str">
        <f t="shared" ref="H742:H743" si="81">(F742)&amp;" - "&amp;(G742)</f>
        <v>MM-JUP-065.00 - Reposição de óleo lubrificante nas comportas de emergência das Unidades geradoras principais.</v>
      </c>
      <c r="I742" s="18" t="s">
        <v>12923</v>
      </c>
      <c r="J742" s="55" t="str">
        <f>VLOOKUP(D742,GM!$D$4:$G$1637,4,3)&amp;" e "&amp;C742</f>
        <v>ENGENHARIA MECÂNICA  e JUP</v>
      </c>
      <c r="K742" s="164"/>
      <c r="L742" s="164"/>
      <c r="M742" s="11" t="s">
        <v>267</v>
      </c>
    </row>
    <row r="743" spans="2:17" ht="28" hidden="1" x14ac:dyDescent="0.35">
      <c r="B743" s="50">
        <v>9</v>
      </c>
      <c r="C743" s="51" t="s">
        <v>24</v>
      </c>
      <c r="D743" s="52">
        <v>1</v>
      </c>
      <c r="E743" s="52">
        <v>3</v>
      </c>
      <c r="F743" s="53" t="s">
        <v>13292</v>
      </c>
      <c r="G743" s="18" t="s">
        <v>13293</v>
      </c>
      <c r="H743" s="54" t="str">
        <f t="shared" si="81"/>
        <v>MM-JUP-001.03 - Realizar retorno do óleo para o mancal combinado com as tubulações da PVQs.</v>
      </c>
      <c r="I743" s="18" t="s">
        <v>2318</v>
      </c>
      <c r="J743" s="55" t="str">
        <f>VLOOKUP(D743,GM!$D$4:$G$1637,4,3)&amp;" e "&amp;C743</f>
        <v>ENGENHARIA MECÂNICA  e JUP</v>
      </c>
      <c r="K743" s="164"/>
      <c r="L743" s="164"/>
      <c r="M743" s="11" t="s">
        <v>267</v>
      </c>
    </row>
    <row r="744" spans="2:17" ht="28" hidden="1" x14ac:dyDescent="0.35">
      <c r="B744" s="50">
        <v>9</v>
      </c>
      <c r="C744" s="51" t="s">
        <v>24</v>
      </c>
      <c r="D744" s="52">
        <v>34</v>
      </c>
      <c r="E744" s="52">
        <v>0</v>
      </c>
      <c r="F744" s="53" t="s">
        <v>13294</v>
      </c>
      <c r="G744" s="18" t="s">
        <v>13295</v>
      </c>
      <c r="H744" s="54" t="str">
        <f t="shared" ref="H744" si="82">(F744)&amp;" - "&amp;(G744)</f>
        <v>MM-JUP-034.00 - Manual de operação da unidade de filtragem Purilib.</v>
      </c>
      <c r="I744" s="18" t="s">
        <v>12894</v>
      </c>
      <c r="J744" s="55" t="str">
        <f>VLOOKUP(D744,GM!$D$4:$G$1637,4,3)&amp;" e "&amp;C744</f>
        <v>ENGENHARIA MECÂNICA  e JUP</v>
      </c>
      <c r="K744" s="164"/>
      <c r="L744" s="164"/>
      <c r="M744" s="11" t="s">
        <v>267</v>
      </c>
    </row>
    <row r="745" spans="2:17" ht="28" hidden="1" x14ac:dyDescent="0.35">
      <c r="B745" s="50">
        <v>9</v>
      </c>
      <c r="C745" s="51" t="s">
        <v>24</v>
      </c>
      <c r="D745" s="52">
        <v>34</v>
      </c>
      <c r="E745" s="52">
        <v>1</v>
      </c>
      <c r="F745" s="53" t="s">
        <v>13298</v>
      </c>
      <c r="G745" s="18" t="s">
        <v>13296</v>
      </c>
      <c r="H745" s="54" t="str">
        <f t="shared" ref="H745:H746" si="83">(F745)&amp;" - "&amp;(G745)</f>
        <v>MM-JUP-034.01 - Manual de operação da unidade de filtragem e termovácuo FAM-45.</v>
      </c>
      <c r="I745" s="18" t="s">
        <v>12894</v>
      </c>
      <c r="J745" s="55" t="str">
        <f>VLOOKUP(D745,GM!$D$4:$G$1637,4,3)&amp;" e "&amp;C745</f>
        <v>ENGENHARIA MECÂNICA  e JUP</v>
      </c>
      <c r="K745" s="164"/>
      <c r="L745" s="164"/>
      <c r="M745" s="11" t="s">
        <v>267</v>
      </c>
    </row>
    <row r="746" spans="2:17" ht="28" hidden="1" x14ac:dyDescent="0.35">
      <c r="B746" s="50">
        <v>9</v>
      </c>
      <c r="C746" s="51" t="s">
        <v>24</v>
      </c>
      <c r="D746" s="52">
        <v>34</v>
      </c>
      <c r="E746" s="52">
        <v>2</v>
      </c>
      <c r="F746" s="53" t="s">
        <v>13299</v>
      </c>
      <c r="G746" s="18" t="s">
        <v>13297</v>
      </c>
      <c r="H746" s="54" t="str">
        <f t="shared" si="83"/>
        <v>MM-JUP-034.02 - Manual de operação da unidade de filtragem centrifuga.</v>
      </c>
      <c r="I746" s="18" t="s">
        <v>12894</v>
      </c>
      <c r="J746" s="55" t="str">
        <f>VLOOKUP(D746,GM!$D$4:$G$1637,4,3)&amp;" e "&amp;C746</f>
        <v>ENGENHARIA MECÂNICA  e JUP</v>
      </c>
      <c r="K746" s="164"/>
      <c r="L746" s="164"/>
      <c r="M746" s="11" t="s">
        <v>267</v>
      </c>
    </row>
  </sheetData>
  <autoFilter ref="B5:O746" xr:uid="{5DE174B9-FD3A-4A92-91FD-DC78D0C590AB}">
    <filterColumn colId="13">
      <filters>
        <filter val="Alerta"/>
        <filter val="Vencido"/>
      </filters>
    </filterColumn>
  </autoFilter>
  <mergeCells count="1">
    <mergeCell ref="B2:M4"/>
  </mergeCells>
  <phoneticPr fontId="11" type="noConversion"/>
  <conditionalFormatting sqref="C362">
    <cfRule type="duplicateValues" dxfId="619" priority="3206"/>
    <cfRule type="duplicateValues" dxfId="618" priority="3207"/>
    <cfRule type="duplicateValues" dxfId="617" priority="3208"/>
    <cfRule type="duplicateValues" dxfId="616" priority="3209"/>
    <cfRule type="duplicateValues" dxfId="615" priority="3205"/>
  </conditionalFormatting>
  <conditionalFormatting sqref="C390">
    <cfRule type="duplicateValues" dxfId="614" priority="442"/>
    <cfRule type="duplicateValues" dxfId="613" priority="443"/>
    <cfRule type="duplicateValues" dxfId="612" priority="441"/>
    <cfRule type="duplicateValues" dxfId="611" priority="439"/>
    <cfRule type="duplicateValues" dxfId="610" priority="440"/>
  </conditionalFormatting>
  <conditionalFormatting sqref="C391">
    <cfRule type="duplicateValues" dxfId="609" priority="696"/>
    <cfRule type="duplicateValues" dxfId="608" priority="699"/>
    <cfRule type="duplicateValues" dxfId="607" priority="698"/>
    <cfRule type="duplicateValues" dxfId="606" priority="697"/>
    <cfRule type="duplicateValues" dxfId="605" priority="695"/>
  </conditionalFormatting>
  <conditionalFormatting sqref="C392">
    <cfRule type="duplicateValues" dxfId="604" priority="722"/>
    <cfRule type="duplicateValues" dxfId="603" priority="721"/>
    <cfRule type="duplicateValues" dxfId="602" priority="720"/>
    <cfRule type="duplicateValues" dxfId="601" priority="723"/>
    <cfRule type="duplicateValues" dxfId="600" priority="724"/>
  </conditionalFormatting>
  <conditionalFormatting sqref="C393">
    <cfRule type="duplicateValues" dxfId="599" priority="719"/>
    <cfRule type="duplicateValues" dxfId="598" priority="718"/>
    <cfRule type="duplicateValues" dxfId="597" priority="716"/>
    <cfRule type="duplicateValues" dxfId="596" priority="715"/>
    <cfRule type="duplicateValues" dxfId="595" priority="717"/>
  </conditionalFormatting>
  <conditionalFormatting sqref="C396">
    <cfRule type="duplicateValues" dxfId="594" priority="694"/>
    <cfRule type="duplicateValues" dxfId="593" priority="693"/>
    <cfRule type="duplicateValues" dxfId="592" priority="692"/>
    <cfRule type="duplicateValues" dxfId="591" priority="691"/>
    <cfRule type="duplicateValues" dxfId="590" priority="690"/>
  </conditionalFormatting>
  <conditionalFormatting sqref="C449">
    <cfRule type="duplicateValues" dxfId="589" priority="686"/>
    <cfRule type="duplicateValues" dxfId="588" priority="685"/>
    <cfRule type="duplicateValues" dxfId="587" priority="687"/>
    <cfRule type="duplicateValues" dxfId="586" priority="689"/>
    <cfRule type="duplicateValues" dxfId="585" priority="688"/>
  </conditionalFormatting>
  <conditionalFormatting sqref="C455">
    <cfRule type="duplicateValues" dxfId="584" priority="683"/>
    <cfRule type="duplicateValues" dxfId="583" priority="684"/>
    <cfRule type="duplicateValues" dxfId="582" priority="680"/>
    <cfRule type="duplicateValues" dxfId="581" priority="681"/>
    <cfRule type="duplicateValues" dxfId="580" priority="682"/>
  </conditionalFormatting>
  <conditionalFormatting sqref="C462">
    <cfRule type="duplicateValues" dxfId="579" priority="373"/>
    <cfRule type="duplicateValues" dxfId="578" priority="372"/>
    <cfRule type="duplicateValues" dxfId="577" priority="375"/>
    <cfRule type="duplicateValues" dxfId="576" priority="376"/>
    <cfRule type="duplicateValues" dxfId="575" priority="374"/>
  </conditionalFormatting>
  <conditionalFormatting sqref="C463">
    <cfRule type="duplicateValues" dxfId="574" priority="341"/>
    <cfRule type="duplicateValues" dxfId="573" priority="340"/>
    <cfRule type="duplicateValues" dxfId="572" priority="339"/>
    <cfRule type="duplicateValues" dxfId="571" priority="338"/>
    <cfRule type="duplicateValues" dxfId="570" priority="337"/>
  </conditionalFormatting>
  <conditionalFormatting sqref="C464">
    <cfRule type="duplicateValues" dxfId="569" priority="335"/>
    <cfRule type="duplicateValues" dxfId="568" priority="334"/>
    <cfRule type="duplicateValues" dxfId="567" priority="336"/>
    <cfRule type="duplicateValues" dxfId="566" priority="333"/>
    <cfRule type="duplicateValues" dxfId="565" priority="332"/>
  </conditionalFormatting>
  <conditionalFormatting sqref="C465">
    <cfRule type="duplicateValues" dxfId="564" priority="317"/>
    <cfRule type="duplicateValues" dxfId="563" priority="321"/>
    <cfRule type="duplicateValues" dxfId="562" priority="320"/>
    <cfRule type="duplicateValues" dxfId="561" priority="319"/>
    <cfRule type="duplicateValues" dxfId="560" priority="318"/>
  </conditionalFormatting>
  <conditionalFormatting sqref="C466">
    <cfRule type="duplicateValues" dxfId="559" priority="162"/>
    <cfRule type="duplicateValues" dxfId="558" priority="161"/>
    <cfRule type="duplicateValues" dxfId="557" priority="158"/>
    <cfRule type="duplicateValues" dxfId="556" priority="159"/>
    <cfRule type="duplicateValues" dxfId="555" priority="160"/>
  </conditionalFormatting>
  <conditionalFormatting sqref="C467">
    <cfRule type="duplicateValues" dxfId="554" priority="213"/>
    <cfRule type="duplicateValues" dxfId="553" priority="212"/>
    <cfRule type="duplicateValues" dxfId="552" priority="214"/>
    <cfRule type="duplicateValues" dxfId="551" priority="215"/>
    <cfRule type="duplicateValues" dxfId="550" priority="216"/>
  </conditionalFormatting>
  <conditionalFormatting sqref="C468">
    <cfRule type="duplicateValues" dxfId="549" priority="211"/>
    <cfRule type="duplicateValues" dxfId="548" priority="208"/>
    <cfRule type="duplicateValues" dxfId="547" priority="209"/>
    <cfRule type="duplicateValues" dxfId="546" priority="210"/>
    <cfRule type="duplicateValues" dxfId="545" priority="207"/>
  </conditionalFormatting>
  <conditionalFormatting sqref="C469">
    <cfRule type="duplicateValues" dxfId="544" priority="288"/>
    <cfRule type="duplicateValues" dxfId="543" priority="287"/>
    <cfRule type="duplicateValues" dxfId="542" priority="291"/>
    <cfRule type="duplicateValues" dxfId="541" priority="290"/>
    <cfRule type="duplicateValues" dxfId="540" priority="289"/>
  </conditionalFormatting>
  <conditionalFormatting sqref="C474">
    <cfRule type="duplicateValues" dxfId="539" priority="267"/>
    <cfRule type="duplicateValues" dxfId="538" priority="268"/>
    <cfRule type="duplicateValues" dxfId="537" priority="271"/>
    <cfRule type="duplicateValues" dxfId="536" priority="270"/>
    <cfRule type="duplicateValues" dxfId="535" priority="269"/>
  </conditionalFormatting>
  <conditionalFormatting sqref="C476">
    <cfRule type="duplicateValues" dxfId="534" priority="260"/>
    <cfRule type="duplicateValues" dxfId="533" priority="259"/>
    <cfRule type="duplicateValues" dxfId="532" priority="258"/>
    <cfRule type="duplicateValues" dxfId="531" priority="257"/>
    <cfRule type="duplicateValues" dxfId="530" priority="261"/>
  </conditionalFormatting>
  <conditionalFormatting sqref="C477">
    <cfRule type="duplicateValues" dxfId="529" priority="197"/>
    <cfRule type="duplicateValues" dxfId="528" priority="199"/>
    <cfRule type="duplicateValues" dxfId="527" priority="200"/>
    <cfRule type="duplicateValues" dxfId="526" priority="201"/>
    <cfRule type="duplicateValues" dxfId="525" priority="198"/>
  </conditionalFormatting>
  <conditionalFormatting sqref="C478">
    <cfRule type="duplicateValues" dxfId="524" priority="181"/>
    <cfRule type="duplicateValues" dxfId="523" priority="177"/>
    <cfRule type="duplicateValues" dxfId="522" priority="179"/>
    <cfRule type="duplicateValues" dxfId="521" priority="178"/>
    <cfRule type="duplicateValues" dxfId="520" priority="180"/>
  </conditionalFormatting>
  <conditionalFormatting sqref="C479">
    <cfRule type="duplicateValues" dxfId="519" priority="424"/>
    <cfRule type="duplicateValues" dxfId="518" priority="425"/>
    <cfRule type="duplicateValues" dxfId="517" priority="423"/>
    <cfRule type="duplicateValues" dxfId="516" priority="422"/>
    <cfRule type="duplicateValues" dxfId="515" priority="426"/>
  </conditionalFormatting>
  <conditionalFormatting sqref="C480">
    <cfRule type="duplicateValues" dxfId="514" priority="226"/>
    <cfRule type="duplicateValues" dxfId="513" priority="225"/>
    <cfRule type="duplicateValues" dxfId="512" priority="224"/>
    <cfRule type="duplicateValues" dxfId="511" priority="223"/>
    <cfRule type="duplicateValues" dxfId="510" priority="222"/>
  </conditionalFormatting>
  <conditionalFormatting sqref="C481">
    <cfRule type="duplicateValues" dxfId="509" priority="365"/>
    <cfRule type="duplicateValues" dxfId="508" priority="364"/>
    <cfRule type="duplicateValues" dxfId="507" priority="363"/>
    <cfRule type="duplicateValues" dxfId="506" priority="362"/>
    <cfRule type="duplicateValues" dxfId="505" priority="366"/>
  </conditionalFormatting>
  <conditionalFormatting sqref="C482">
    <cfRule type="duplicateValues" dxfId="504" priority="357"/>
    <cfRule type="duplicateValues" dxfId="503" priority="360"/>
    <cfRule type="duplicateValues" dxfId="502" priority="359"/>
    <cfRule type="duplicateValues" dxfId="501" priority="358"/>
    <cfRule type="duplicateValues" dxfId="500" priority="361"/>
  </conditionalFormatting>
  <conditionalFormatting sqref="C483">
    <cfRule type="duplicateValues" dxfId="499" priority="352"/>
    <cfRule type="duplicateValues" dxfId="498" priority="356"/>
    <cfRule type="duplicateValues" dxfId="497" priority="355"/>
    <cfRule type="duplicateValues" dxfId="496" priority="354"/>
    <cfRule type="duplicateValues" dxfId="495" priority="353"/>
  </conditionalFormatting>
  <conditionalFormatting sqref="C484">
    <cfRule type="duplicateValues" dxfId="494" priority="348"/>
    <cfRule type="duplicateValues" dxfId="493" priority="349"/>
    <cfRule type="duplicateValues" dxfId="492" priority="350"/>
    <cfRule type="duplicateValues" dxfId="491" priority="351"/>
    <cfRule type="duplicateValues" dxfId="490" priority="347"/>
  </conditionalFormatting>
  <conditionalFormatting sqref="C485">
    <cfRule type="duplicateValues" dxfId="489" priority="345"/>
    <cfRule type="duplicateValues" dxfId="488" priority="342"/>
    <cfRule type="duplicateValues" dxfId="487" priority="343"/>
    <cfRule type="duplicateValues" dxfId="486" priority="344"/>
    <cfRule type="duplicateValues" dxfId="485" priority="346"/>
  </conditionalFormatting>
  <conditionalFormatting sqref="C486">
    <cfRule type="duplicateValues" dxfId="484" priority="252"/>
    <cfRule type="duplicateValues" dxfId="483" priority="253"/>
    <cfRule type="duplicateValues" dxfId="482" priority="254"/>
    <cfRule type="duplicateValues" dxfId="481" priority="255"/>
    <cfRule type="duplicateValues" dxfId="480" priority="256"/>
  </conditionalFormatting>
  <conditionalFormatting sqref="C487">
    <cfRule type="duplicateValues" dxfId="479" priority="251"/>
    <cfRule type="duplicateValues" dxfId="478" priority="249"/>
    <cfRule type="duplicateValues" dxfId="477" priority="247"/>
    <cfRule type="duplicateValues" dxfId="476" priority="248"/>
    <cfRule type="duplicateValues" dxfId="475" priority="250"/>
  </conditionalFormatting>
  <conditionalFormatting sqref="C488">
    <cfRule type="duplicateValues" dxfId="474" priority="243"/>
    <cfRule type="duplicateValues" dxfId="473" priority="246"/>
    <cfRule type="duplicateValues" dxfId="472" priority="245"/>
    <cfRule type="duplicateValues" dxfId="471" priority="244"/>
    <cfRule type="duplicateValues" dxfId="470" priority="242"/>
  </conditionalFormatting>
  <conditionalFormatting sqref="C489">
    <cfRule type="duplicateValues" dxfId="469" priority="237"/>
    <cfRule type="duplicateValues" dxfId="468" priority="241"/>
    <cfRule type="duplicateValues" dxfId="467" priority="238"/>
    <cfRule type="duplicateValues" dxfId="466" priority="240"/>
    <cfRule type="duplicateValues" dxfId="465" priority="239"/>
  </conditionalFormatting>
  <conditionalFormatting sqref="C490">
    <cfRule type="duplicateValues" dxfId="464" priority="233"/>
    <cfRule type="duplicateValues" dxfId="463" priority="234"/>
    <cfRule type="duplicateValues" dxfId="462" priority="232"/>
    <cfRule type="duplicateValues" dxfId="461" priority="236"/>
    <cfRule type="duplicateValues" dxfId="460" priority="235"/>
  </conditionalFormatting>
  <conditionalFormatting sqref="C491">
    <cfRule type="duplicateValues" dxfId="459" priority="231"/>
    <cfRule type="duplicateValues" dxfId="458" priority="230"/>
    <cfRule type="duplicateValues" dxfId="457" priority="227"/>
    <cfRule type="duplicateValues" dxfId="456" priority="228"/>
    <cfRule type="duplicateValues" dxfId="455" priority="229"/>
  </conditionalFormatting>
  <conditionalFormatting sqref="C492">
    <cfRule type="duplicateValues" dxfId="454" priority="220"/>
    <cfRule type="duplicateValues" dxfId="453" priority="219"/>
    <cfRule type="duplicateValues" dxfId="452" priority="218"/>
    <cfRule type="duplicateValues" dxfId="451" priority="217"/>
    <cfRule type="duplicateValues" dxfId="450" priority="221"/>
  </conditionalFormatting>
  <conditionalFormatting sqref="C493">
    <cfRule type="duplicateValues" dxfId="449" priority="202"/>
    <cfRule type="duplicateValues" dxfId="448" priority="203"/>
    <cfRule type="duplicateValues" dxfId="447" priority="204"/>
    <cfRule type="duplicateValues" dxfId="446" priority="205"/>
    <cfRule type="duplicateValues" dxfId="445" priority="206"/>
  </conditionalFormatting>
  <conditionalFormatting sqref="C494">
    <cfRule type="duplicateValues" dxfId="444" priority="384"/>
    <cfRule type="duplicateValues" dxfId="443" priority="383"/>
    <cfRule type="duplicateValues" dxfId="442" priority="382"/>
    <cfRule type="duplicateValues" dxfId="441" priority="385"/>
    <cfRule type="duplicateValues" dxfId="440" priority="386"/>
  </conditionalFormatting>
  <conditionalFormatting sqref="C495">
    <cfRule type="duplicateValues" dxfId="439" priority="380"/>
    <cfRule type="duplicateValues" dxfId="438" priority="379"/>
    <cfRule type="duplicateValues" dxfId="437" priority="378"/>
    <cfRule type="duplicateValues" dxfId="436" priority="381"/>
    <cfRule type="duplicateValues" dxfId="435" priority="377"/>
  </conditionalFormatting>
  <conditionalFormatting sqref="C496">
    <cfRule type="duplicateValues" dxfId="434" priority="394"/>
    <cfRule type="duplicateValues" dxfId="433" priority="393"/>
    <cfRule type="duplicateValues" dxfId="432" priority="392"/>
    <cfRule type="duplicateValues" dxfId="431" priority="395"/>
    <cfRule type="duplicateValues" dxfId="430" priority="396"/>
  </conditionalFormatting>
  <conditionalFormatting sqref="C497">
    <cfRule type="duplicateValues" dxfId="429" priority="390"/>
    <cfRule type="duplicateValues" dxfId="428" priority="391"/>
    <cfRule type="duplicateValues" dxfId="427" priority="387"/>
    <cfRule type="duplicateValues" dxfId="426" priority="388"/>
    <cfRule type="duplicateValues" dxfId="425" priority="389"/>
  </conditionalFormatting>
  <conditionalFormatting sqref="C498">
    <cfRule type="duplicateValues" dxfId="424" priority="285"/>
    <cfRule type="duplicateValues" dxfId="423" priority="282"/>
    <cfRule type="duplicateValues" dxfId="422" priority="283"/>
    <cfRule type="duplicateValues" dxfId="421" priority="284"/>
    <cfRule type="duplicateValues" dxfId="420" priority="286"/>
  </conditionalFormatting>
  <conditionalFormatting sqref="C499">
    <cfRule type="duplicateValues" dxfId="419" priority="415"/>
    <cfRule type="duplicateValues" dxfId="418" priority="416"/>
    <cfRule type="duplicateValues" dxfId="417" priority="414"/>
    <cfRule type="duplicateValues" dxfId="416" priority="413"/>
    <cfRule type="duplicateValues" dxfId="415" priority="412"/>
  </conditionalFormatting>
  <conditionalFormatting sqref="C500">
    <cfRule type="duplicateValues" dxfId="414" priority="151"/>
    <cfRule type="duplicateValues" dxfId="413" priority="152"/>
    <cfRule type="duplicateValues" dxfId="412" priority="150"/>
    <cfRule type="duplicateValues" dxfId="411" priority="149"/>
    <cfRule type="duplicateValues" dxfId="410" priority="148"/>
  </conditionalFormatting>
  <conditionalFormatting sqref="C501">
    <cfRule type="duplicateValues" dxfId="409" priority="157"/>
    <cfRule type="duplicateValues" dxfId="408" priority="155"/>
    <cfRule type="duplicateValues" dxfId="407" priority="154"/>
    <cfRule type="duplicateValues" dxfId="406" priority="156"/>
    <cfRule type="duplicateValues" dxfId="405" priority="153"/>
  </conditionalFormatting>
  <conditionalFormatting sqref="C502">
    <cfRule type="duplicateValues" dxfId="404" priority="369"/>
    <cfRule type="duplicateValues" dxfId="403" priority="371"/>
    <cfRule type="duplicateValues" dxfId="402" priority="370"/>
    <cfRule type="duplicateValues" dxfId="401" priority="367"/>
    <cfRule type="duplicateValues" dxfId="400" priority="368"/>
  </conditionalFormatting>
  <conditionalFormatting sqref="C503">
    <cfRule type="duplicateValues" dxfId="399" priority="294"/>
    <cfRule type="duplicateValues" dxfId="398" priority="295"/>
    <cfRule type="duplicateValues" dxfId="397" priority="293"/>
    <cfRule type="duplicateValues" dxfId="396" priority="292"/>
    <cfRule type="duplicateValues" dxfId="395" priority="296"/>
  </conditionalFormatting>
  <conditionalFormatting sqref="C504">
    <cfRule type="duplicateValues" dxfId="394" priority="297"/>
    <cfRule type="duplicateValues" dxfId="393" priority="298"/>
    <cfRule type="duplicateValues" dxfId="392" priority="299"/>
    <cfRule type="duplicateValues" dxfId="391" priority="300"/>
    <cfRule type="duplicateValues" dxfId="390" priority="301"/>
  </conditionalFormatting>
  <conditionalFormatting sqref="C505">
    <cfRule type="duplicateValues" dxfId="389" priority="145"/>
    <cfRule type="duplicateValues" dxfId="388" priority="146"/>
    <cfRule type="duplicateValues" dxfId="387" priority="143"/>
    <cfRule type="duplicateValues" dxfId="386" priority="144"/>
    <cfRule type="duplicateValues" dxfId="385" priority="147"/>
  </conditionalFormatting>
  <conditionalFormatting sqref="C506">
    <cfRule type="duplicateValues" dxfId="384" priority="183"/>
    <cfRule type="duplicateValues" dxfId="383" priority="182"/>
    <cfRule type="duplicateValues" dxfId="382" priority="185"/>
    <cfRule type="duplicateValues" dxfId="381" priority="186"/>
    <cfRule type="duplicateValues" dxfId="380" priority="184"/>
  </conditionalFormatting>
  <conditionalFormatting sqref="C508">
    <cfRule type="duplicateValues" dxfId="379" priority="195"/>
    <cfRule type="duplicateValues" dxfId="378" priority="196"/>
    <cfRule type="duplicateValues" dxfId="377" priority="194"/>
    <cfRule type="duplicateValues" dxfId="376" priority="192"/>
    <cfRule type="duplicateValues" dxfId="375" priority="193"/>
  </conditionalFormatting>
  <conditionalFormatting sqref="C509">
    <cfRule type="duplicateValues" dxfId="374" priority="188"/>
    <cfRule type="duplicateValues" dxfId="373" priority="187"/>
    <cfRule type="duplicateValues" dxfId="372" priority="191"/>
    <cfRule type="duplicateValues" dxfId="371" priority="190"/>
    <cfRule type="duplicateValues" dxfId="370" priority="189"/>
  </conditionalFormatting>
  <conditionalFormatting sqref="C510">
    <cfRule type="duplicateValues" dxfId="369" priority="142"/>
    <cfRule type="duplicateValues" dxfId="368" priority="139"/>
    <cfRule type="duplicateValues" dxfId="367" priority="138"/>
    <cfRule type="duplicateValues" dxfId="366" priority="141"/>
    <cfRule type="duplicateValues" dxfId="365" priority="140"/>
  </conditionalFormatting>
  <conditionalFormatting sqref="C511">
    <cfRule type="duplicateValues" dxfId="364" priority="176"/>
    <cfRule type="duplicateValues" dxfId="363" priority="175"/>
    <cfRule type="duplicateValues" dxfId="362" priority="174"/>
    <cfRule type="duplicateValues" dxfId="361" priority="173"/>
    <cfRule type="duplicateValues" dxfId="360" priority="172"/>
  </conditionalFormatting>
  <conditionalFormatting sqref="C514">
    <cfRule type="duplicateValues" dxfId="359" priority="264"/>
    <cfRule type="duplicateValues" dxfId="358" priority="265"/>
    <cfRule type="duplicateValues" dxfId="357" priority="266"/>
    <cfRule type="duplicateValues" dxfId="356" priority="262"/>
    <cfRule type="duplicateValues" dxfId="355" priority="263"/>
  </conditionalFormatting>
  <conditionalFormatting sqref="C515">
    <cfRule type="duplicateValues" dxfId="354" priority="402"/>
    <cfRule type="duplicateValues" dxfId="353" priority="406"/>
    <cfRule type="duplicateValues" dxfId="352" priority="405"/>
    <cfRule type="duplicateValues" dxfId="351" priority="404"/>
    <cfRule type="duplicateValues" dxfId="350" priority="403"/>
  </conditionalFormatting>
  <conditionalFormatting sqref="C516">
    <cfRule type="duplicateValues" dxfId="349" priority="400"/>
    <cfRule type="duplicateValues" dxfId="348" priority="401"/>
    <cfRule type="duplicateValues" dxfId="347" priority="397"/>
    <cfRule type="duplicateValues" dxfId="346" priority="398"/>
    <cfRule type="duplicateValues" dxfId="345" priority="399"/>
  </conditionalFormatting>
  <conditionalFormatting sqref="C517">
    <cfRule type="duplicateValues" dxfId="344" priority="329"/>
    <cfRule type="duplicateValues" dxfId="343" priority="327"/>
    <cfRule type="duplicateValues" dxfId="342" priority="328"/>
    <cfRule type="duplicateValues" dxfId="341" priority="331"/>
    <cfRule type="duplicateValues" dxfId="340" priority="330"/>
  </conditionalFormatting>
  <conditionalFormatting sqref="C518">
    <cfRule type="duplicateValues" dxfId="339" priority="322"/>
    <cfRule type="duplicateValues" dxfId="338" priority="323"/>
    <cfRule type="duplicateValues" dxfId="337" priority="324"/>
    <cfRule type="duplicateValues" dxfId="336" priority="325"/>
    <cfRule type="duplicateValues" dxfId="335" priority="326"/>
  </conditionalFormatting>
  <conditionalFormatting sqref="C519">
    <cfRule type="duplicateValues" dxfId="334" priority="307"/>
    <cfRule type="duplicateValues" dxfId="333" priority="308"/>
    <cfRule type="duplicateValues" dxfId="332" priority="310"/>
    <cfRule type="duplicateValues" dxfId="331" priority="311"/>
    <cfRule type="duplicateValues" dxfId="330" priority="309"/>
  </conditionalFormatting>
  <conditionalFormatting sqref="C520">
    <cfRule type="duplicateValues" dxfId="329" priority="427"/>
    <cfRule type="duplicateValues" dxfId="328" priority="429"/>
    <cfRule type="duplicateValues" dxfId="327" priority="430"/>
    <cfRule type="duplicateValues" dxfId="326" priority="428"/>
    <cfRule type="duplicateValues" dxfId="325" priority="431"/>
  </conditionalFormatting>
  <conditionalFormatting sqref="C665">
    <cfRule type="duplicateValues" dxfId="324" priority="98"/>
    <cfRule type="duplicateValues" dxfId="323" priority="99"/>
    <cfRule type="duplicateValues" dxfId="322" priority="100"/>
    <cfRule type="duplicateValues" dxfId="321" priority="97"/>
    <cfRule type="duplicateValues" dxfId="320" priority="96"/>
  </conditionalFormatting>
  <conditionalFormatting sqref="C673">
    <cfRule type="duplicateValues" dxfId="319" priority="84"/>
    <cfRule type="duplicateValues" dxfId="318" priority="85"/>
    <cfRule type="duplicateValues" dxfId="317" priority="81"/>
    <cfRule type="duplicateValues" dxfId="316" priority="82"/>
    <cfRule type="duplicateValues" dxfId="315" priority="83"/>
  </conditionalFormatting>
  <conditionalFormatting sqref="C678:C679">
    <cfRule type="duplicateValues" dxfId="314" priority="72"/>
    <cfRule type="duplicateValues" dxfId="313" priority="73"/>
    <cfRule type="duplicateValues" dxfId="312" priority="74"/>
    <cfRule type="duplicateValues" dxfId="311" priority="75"/>
    <cfRule type="duplicateValues" dxfId="310" priority="76"/>
  </conditionalFormatting>
  <conditionalFormatting sqref="C735">
    <cfRule type="duplicateValues" dxfId="309" priority="30"/>
    <cfRule type="duplicateValues" dxfId="308" priority="33"/>
    <cfRule type="duplicateValues" dxfId="307" priority="32"/>
    <cfRule type="duplicateValues" dxfId="306" priority="31"/>
    <cfRule type="duplicateValues" dxfId="305" priority="29"/>
  </conditionalFormatting>
  <conditionalFormatting sqref="C736">
    <cfRule type="duplicateValues" dxfId="304" priority="24"/>
    <cfRule type="duplicateValues" dxfId="303" priority="23"/>
    <cfRule type="duplicateValues" dxfId="302" priority="25"/>
    <cfRule type="duplicateValues" dxfId="301" priority="26"/>
    <cfRule type="duplicateValues" dxfId="300" priority="27"/>
  </conditionalFormatting>
  <conditionalFormatting sqref="C737">
    <cfRule type="duplicateValues" dxfId="299" priority="21"/>
    <cfRule type="duplicateValues" dxfId="298" priority="20"/>
    <cfRule type="duplicateValues" dxfId="297" priority="19"/>
    <cfRule type="duplicateValues" dxfId="296" priority="18"/>
    <cfRule type="duplicateValues" dxfId="295" priority="17"/>
  </conditionalFormatting>
  <conditionalFormatting sqref="D20:D21">
    <cfRule type="duplicateValues" dxfId="294" priority="565"/>
    <cfRule type="duplicateValues" dxfId="293" priority="564"/>
  </conditionalFormatting>
  <conditionalFormatting sqref="D39:D42">
    <cfRule type="duplicateValues" dxfId="292" priority="659"/>
    <cfRule type="duplicateValues" dxfId="291" priority="658"/>
  </conditionalFormatting>
  <conditionalFormatting sqref="D51">
    <cfRule type="duplicateValues" dxfId="290" priority="539"/>
    <cfRule type="duplicateValues" dxfId="289" priority="538"/>
  </conditionalFormatting>
  <conditionalFormatting sqref="D52">
    <cfRule type="duplicateValues" dxfId="288" priority="536"/>
    <cfRule type="duplicateValues" dxfId="287" priority="537"/>
  </conditionalFormatting>
  <conditionalFormatting sqref="D57 D50">
    <cfRule type="duplicateValues" dxfId="286" priority="4280"/>
    <cfRule type="duplicateValues" dxfId="285" priority="4281"/>
  </conditionalFormatting>
  <conditionalFormatting sqref="D59:D61 D53:D55">
    <cfRule type="duplicateValues" dxfId="284" priority="553"/>
    <cfRule type="duplicateValues" dxfId="283" priority="552"/>
  </conditionalFormatting>
  <conditionalFormatting sqref="D66">
    <cfRule type="duplicateValues" dxfId="282" priority="545"/>
    <cfRule type="duplicateValues" dxfId="281" priority="544"/>
  </conditionalFormatting>
  <conditionalFormatting sqref="D67">
    <cfRule type="duplicateValues" dxfId="280" priority="543"/>
    <cfRule type="duplicateValues" dxfId="279" priority="542"/>
  </conditionalFormatting>
  <conditionalFormatting sqref="D72:D76 D70">
    <cfRule type="duplicateValues" dxfId="278" priority="4418"/>
    <cfRule type="duplicateValues" dxfId="277" priority="4419"/>
  </conditionalFormatting>
  <conditionalFormatting sqref="D78">
    <cfRule type="duplicateValues" dxfId="276" priority="550"/>
    <cfRule type="duplicateValues" dxfId="275" priority="551"/>
  </conditionalFormatting>
  <conditionalFormatting sqref="D80">
    <cfRule type="duplicateValues" dxfId="274" priority="534"/>
    <cfRule type="duplicateValues" dxfId="273" priority="535"/>
  </conditionalFormatting>
  <conditionalFormatting sqref="D81">
    <cfRule type="duplicateValues" dxfId="272" priority="2465"/>
    <cfRule type="duplicateValues" dxfId="271" priority="2466"/>
  </conditionalFormatting>
  <conditionalFormatting sqref="D86 D84">
    <cfRule type="duplicateValues" dxfId="270" priority="4420"/>
    <cfRule type="duplicateValues" dxfId="269" priority="4421"/>
  </conditionalFormatting>
  <conditionalFormatting sqref="D89:D92 D104:D110 D112:D113 D117:D118 D120:D124 D100">
    <cfRule type="duplicateValues" dxfId="268" priority="2480"/>
    <cfRule type="duplicateValues" dxfId="267" priority="2479"/>
  </conditionalFormatting>
  <conditionalFormatting sqref="D93:D96">
    <cfRule type="duplicateValues" dxfId="266" priority="2477"/>
    <cfRule type="duplicateValues" dxfId="265" priority="2478"/>
  </conditionalFormatting>
  <conditionalFormatting sqref="D101:D103">
    <cfRule type="duplicateValues" dxfId="264" priority="505"/>
    <cfRule type="duplicateValues" dxfId="263" priority="504"/>
  </conditionalFormatting>
  <conditionalFormatting sqref="D111">
    <cfRule type="duplicateValues" dxfId="262" priority="512"/>
    <cfRule type="duplicateValues" dxfId="261" priority="513"/>
  </conditionalFormatting>
  <conditionalFormatting sqref="D114 D97:D99">
    <cfRule type="duplicateValues" dxfId="260" priority="514"/>
    <cfRule type="duplicateValues" dxfId="259" priority="515"/>
  </conditionalFormatting>
  <conditionalFormatting sqref="D115:D116">
    <cfRule type="duplicateValues" dxfId="258" priority="506"/>
    <cfRule type="duplicateValues" dxfId="257" priority="507"/>
  </conditionalFormatting>
  <conditionalFormatting sqref="D119">
    <cfRule type="duplicateValues" dxfId="256" priority="511"/>
    <cfRule type="duplicateValues" dxfId="255" priority="510"/>
  </conditionalFormatting>
  <conditionalFormatting sqref="D130">
    <cfRule type="duplicateValues" dxfId="254" priority="637"/>
    <cfRule type="duplicateValues" dxfId="253" priority="636"/>
  </conditionalFormatting>
  <conditionalFormatting sqref="D131">
    <cfRule type="duplicateValues" dxfId="252" priority="634"/>
    <cfRule type="duplicateValues" dxfId="251" priority="635"/>
  </conditionalFormatting>
  <conditionalFormatting sqref="D132:D133">
    <cfRule type="duplicateValues" dxfId="250" priority="633"/>
    <cfRule type="duplicateValues" dxfId="249" priority="632"/>
  </conditionalFormatting>
  <conditionalFormatting sqref="D138:D140">
    <cfRule type="duplicateValues" dxfId="248" priority="631"/>
    <cfRule type="duplicateValues" dxfId="247" priority="630"/>
  </conditionalFormatting>
  <conditionalFormatting sqref="D146">
    <cfRule type="duplicateValues" dxfId="246" priority="645"/>
    <cfRule type="duplicateValues" dxfId="245" priority="644"/>
  </conditionalFormatting>
  <conditionalFormatting sqref="D150">
    <cfRule type="duplicateValues" dxfId="244" priority="640"/>
    <cfRule type="duplicateValues" dxfId="243" priority="641"/>
  </conditionalFormatting>
  <conditionalFormatting sqref="D153 D147">
    <cfRule type="duplicateValues" dxfId="242" priority="2481"/>
    <cfRule type="duplicateValues" dxfId="241" priority="2482"/>
  </conditionalFormatting>
  <conditionalFormatting sqref="D154">
    <cfRule type="duplicateValues" dxfId="240" priority="628"/>
    <cfRule type="duplicateValues" dxfId="239" priority="629"/>
  </conditionalFormatting>
  <conditionalFormatting sqref="D155">
    <cfRule type="duplicateValues" dxfId="238" priority="626"/>
    <cfRule type="duplicateValues" dxfId="237" priority="627"/>
  </conditionalFormatting>
  <conditionalFormatting sqref="D159 D134:D136">
    <cfRule type="duplicateValues" dxfId="236" priority="639"/>
    <cfRule type="duplicateValues" dxfId="235" priority="638"/>
  </conditionalFormatting>
  <conditionalFormatting sqref="D173">
    <cfRule type="duplicateValues" dxfId="234" priority="625"/>
    <cfRule type="duplicateValues" dxfId="233" priority="624"/>
  </conditionalFormatting>
  <conditionalFormatting sqref="D176">
    <cfRule type="duplicateValues" dxfId="232" priority="621"/>
    <cfRule type="duplicateValues" dxfId="231" priority="620"/>
  </conditionalFormatting>
  <conditionalFormatting sqref="D177">
    <cfRule type="duplicateValues" dxfId="230" priority="618"/>
    <cfRule type="duplicateValues" dxfId="229" priority="619"/>
  </conditionalFormatting>
  <conditionalFormatting sqref="D178">
    <cfRule type="duplicateValues" dxfId="228" priority="616"/>
    <cfRule type="duplicateValues" dxfId="227" priority="617"/>
  </conditionalFormatting>
  <conditionalFormatting sqref="D203">
    <cfRule type="duplicateValues" dxfId="226" priority="623"/>
    <cfRule type="duplicateValues" dxfId="225" priority="622"/>
  </conditionalFormatting>
  <conditionalFormatting sqref="D210:D211">
    <cfRule type="duplicateValues" dxfId="224" priority="458"/>
    <cfRule type="duplicateValues" dxfId="223" priority="459"/>
  </conditionalFormatting>
  <conditionalFormatting sqref="D225">
    <cfRule type="duplicateValues" dxfId="222" priority="477"/>
    <cfRule type="duplicateValues" dxfId="221" priority="476"/>
  </conditionalFormatting>
  <conditionalFormatting sqref="D226">
    <cfRule type="duplicateValues" dxfId="220" priority="475"/>
    <cfRule type="duplicateValues" dxfId="219" priority="474"/>
  </conditionalFormatting>
  <conditionalFormatting sqref="D228">
    <cfRule type="duplicateValues" dxfId="218" priority="484"/>
    <cfRule type="duplicateValues" dxfId="217" priority="485"/>
  </conditionalFormatting>
  <conditionalFormatting sqref="D229">
    <cfRule type="duplicateValues" dxfId="216" priority="490"/>
    <cfRule type="duplicateValues" dxfId="215" priority="491"/>
  </conditionalFormatting>
  <conditionalFormatting sqref="D230">
    <cfRule type="duplicateValues" dxfId="214" priority="481"/>
    <cfRule type="duplicateValues" dxfId="213" priority="480"/>
  </conditionalFormatting>
  <conditionalFormatting sqref="D240">
    <cfRule type="duplicateValues" dxfId="212" priority="444"/>
    <cfRule type="duplicateValues" dxfId="211" priority="445"/>
  </conditionalFormatting>
  <conditionalFormatting sqref="D249">
    <cfRule type="duplicateValues" dxfId="210" priority="453"/>
    <cfRule type="duplicateValues" dxfId="209" priority="452"/>
  </conditionalFormatting>
  <conditionalFormatting sqref="D250">
    <cfRule type="duplicateValues" dxfId="208" priority="450"/>
    <cfRule type="duplicateValues" dxfId="207" priority="451"/>
  </conditionalFormatting>
  <conditionalFormatting sqref="D274">
    <cfRule type="duplicateValues" dxfId="206" priority="486"/>
    <cfRule type="duplicateValues" dxfId="205" priority="487"/>
  </conditionalFormatting>
  <conditionalFormatting sqref="D275">
    <cfRule type="duplicateValues" dxfId="204" priority="449"/>
    <cfRule type="duplicateValues" dxfId="203" priority="448"/>
  </conditionalFormatting>
  <conditionalFormatting sqref="D277">
    <cfRule type="duplicateValues" dxfId="202" priority="456"/>
    <cfRule type="duplicateValues" dxfId="201" priority="457"/>
  </conditionalFormatting>
  <conditionalFormatting sqref="D279:D281 D262:D263">
    <cfRule type="duplicateValues" dxfId="200" priority="492"/>
    <cfRule type="duplicateValues" dxfId="199" priority="493"/>
  </conditionalFormatting>
  <conditionalFormatting sqref="D282">
    <cfRule type="duplicateValues" dxfId="198" priority="482"/>
    <cfRule type="duplicateValues" dxfId="197" priority="483"/>
  </conditionalFormatting>
  <conditionalFormatting sqref="D284">
    <cfRule type="duplicateValues" dxfId="196" priority="472"/>
    <cfRule type="duplicateValues" dxfId="195" priority="473"/>
  </conditionalFormatting>
  <conditionalFormatting sqref="D285:D286">
    <cfRule type="duplicateValues" dxfId="194" priority="467"/>
    <cfRule type="duplicateValues" dxfId="193" priority="466"/>
  </conditionalFormatting>
  <conditionalFormatting sqref="D287:D288">
    <cfRule type="duplicateValues" dxfId="192" priority="462"/>
    <cfRule type="duplicateValues" dxfId="191" priority="463"/>
  </conditionalFormatting>
  <conditionalFormatting sqref="D291:D292 D289">
    <cfRule type="duplicateValues" dxfId="190" priority="468"/>
    <cfRule type="duplicateValues" dxfId="189" priority="469"/>
  </conditionalFormatting>
  <conditionalFormatting sqref="D294">
    <cfRule type="duplicateValues" dxfId="188" priority="488"/>
    <cfRule type="duplicateValues" dxfId="187" priority="489"/>
  </conditionalFormatting>
  <conditionalFormatting sqref="D295:D296">
    <cfRule type="duplicateValues" dxfId="186" priority="446"/>
    <cfRule type="duplicateValues" dxfId="185" priority="447"/>
  </conditionalFormatting>
  <conditionalFormatting sqref="D297 D273">
    <cfRule type="duplicateValues" dxfId="184" priority="455"/>
    <cfRule type="duplicateValues" dxfId="183" priority="454"/>
  </conditionalFormatting>
  <conditionalFormatting sqref="D301">
    <cfRule type="duplicateValues" dxfId="182" priority="471"/>
    <cfRule type="duplicateValues" dxfId="181" priority="470"/>
  </conditionalFormatting>
  <conditionalFormatting sqref="D303:D304">
    <cfRule type="duplicateValues" dxfId="180" priority="465"/>
    <cfRule type="duplicateValues" dxfId="179" priority="464"/>
  </conditionalFormatting>
  <conditionalFormatting sqref="D305 D299:D300 D231:D232 D293">
    <cfRule type="duplicateValues" dxfId="178" priority="479"/>
    <cfRule type="duplicateValues" dxfId="177" priority="478"/>
  </conditionalFormatting>
  <conditionalFormatting sqref="D306">
    <cfRule type="duplicateValues" dxfId="176" priority="461"/>
    <cfRule type="duplicateValues" dxfId="175" priority="460"/>
  </conditionalFormatting>
  <conditionalFormatting sqref="D311">
    <cfRule type="duplicateValues" dxfId="174" priority="662"/>
    <cfRule type="duplicateValues" dxfId="173" priority="663"/>
  </conditionalFormatting>
  <conditionalFormatting sqref="D329">
    <cfRule type="duplicateValues" dxfId="172" priority="3295"/>
    <cfRule type="duplicateValues" dxfId="171" priority="3294"/>
  </conditionalFormatting>
  <conditionalFormatting sqref="D347 D343">
    <cfRule type="duplicateValues" dxfId="170" priority="3297"/>
    <cfRule type="duplicateValues" dxfId="169" priority="3296"/>
  </conditionalFormatting>
  <conditionalFormatting sqref="D349">
    <cfRule type="duplicateValues" dxfId="168" priority="668"/>
    <cfRule type="duplicateValues" dxfId="167" priority="669"/>
  </conditionalFormatting>
  <conditionalFormatting sqref="D350">
    <cfRule type="duplicateValues" dxfId="166" priority="666"/>
    <cfRule type="duplicateValues" dxfId="165" priority="667"/>
  </conditionalFormatting>
  <conditionalFormatting sqref="D351">
    <cfRule type="duplicateValues" dxfId="164" priority="671"/>
    <cfRule type="duplicateValues" dxfId="163" priority="670"/>
  </conditionalFormatting>
  <conditionalFormatting sqref="D352">
    <cfRule type="duplicateValues" dxfId="162" priority="673"/>
    <cfRule type="duplicateValues" dxfId="161" priority="672"/>
  </conditionalFormatting>
  <conditionalFormatting sqref="D388:D389">
    <cfRule type="duplicateValues" dxfId="160" priority="679"/>
    <cfRule type="duplicateValues" dxfId="159" priority="678"/>
  </conditionalFormatting>
  <conditionalFormatting sqref="D457">
    <cfRule type="duplicateValues" dxfId="158" priority="677"/>
    <cfRule type="duplicateValues" dxfId="157" priority="676"/>
  </conditionalFormatting>
  <conditionalFormatting sqref="D512">
    <cfRule type="duplicateValues" dxfId="156" priority="170"/>
    <cfRule type="duplicateValues" dxfId="155" priority="171"/>
  </conditionalFormatting>
  <conditionalFormatting sqref="D513:D521 D458:D506 D508:D511">
    <cfRule type="duplicateValues" dxfId="154" priority="432"/>
  </conditionalFormatting>
  <conditionalFormatting sqref="D513:D521">
    <cfRule type="duplicateValues" dxfId="153" priority="433"/>
  </conditionalFormatting>
  <conditionalFormatting sqref="D533:D534">
    <cfRule type="duplicateValues" dxfId="152" priority="562"/>
    <cfRule type="duplicateValues" dxfId="151" priority="563"/>
  </conditionalFormatting>
  <conditionalFormatting sqref="D548">
    <cfRule type="duplicateValues" dxfId="150" priority="560"/>
    <cfRule type="duplicateValues" dxfId="149" priority="561"/>
  </conditionalFormatting>
  <conditionalFormatting sqref="D549">
    <cfRule type="duplicateValues" dxfId="148" priority="558"/>
    <cfRule type="duplicateValues" dxfId="147" priority="559"/>
  </conditionalFormatting>
  <conditionalFormatting sqref="D568">
    <cfRule type="duplicateValues" dxfId="146" priority="554"/>
    <cfRule type="duplicateValues" dxfId="145" priority="555"/>
  </conditionalFormatting>
  <conditionalFormatting sqref="D587">
    <cfRule type="duplicateValues" dxfId="144" priority="557"/>
    <cfRule type="duplicateValues" dxfId="143" priority="556"/>
  </conditionalFormatting>
  <conditionalFormatting sqref="D620">
    <cfRule type="duplicateValues" dxfId="142" priority="530"/>
    <cfRule type="duplicateValues" dxfId="141" priority="531"/>
  </conditionalFormatting>
  <conditionalFormatting sqref="D621 D618:D619">
    <cfRule type="duplicateValues" dxfId="140" priority="529"/>
    <cfRule type="duplicateValues" dxfId="139" priority="528"/>
  </conditionalFormatting>
  <conditionalFormatting sqref="D622:D623 D626:D627 D631:D635 D639:D640 D569:D586 D588:D617 D550:D567 D522:D532 D535:D547 D174:D175 D179:D202 D312:D328 D344:D346 D348 D307:D310 D5:D19 D22:D38 D43:D49 D62:D65 D68:D69 D71 D77 D82:D83 D79 D87:D88 D85 D56 D58 D148:D149 D151:D152 D156:D158 D160:D172 D125:D129 D141:D145 D137 D302 D233:D239 D241:D248 D204:D209 D264:D272 D298 D290 D283 D276 D278 D251:D261 D227 D212:D224 D390:D456 D353:D387 D330:D342">
    <cfRule type="duplicateValues" dxfId="138" priority="4532"/>
  </conditionalFormatting>
  <conditionalFormatting sqref="D622:D623 D626:D627 D631:D635 D639:D640 D569:D586 D588:D617 D550:D567 D522:D532 D535:D547 D174:D175 D179:D202 D312:D328 D344:D346 D348 D307:D310 D6:D19 D22:D38 D43:D49 D62:D65 D68:D69 D71 D77 D82:D83 D79 D87:D88 D85 D56 D58 D148:D149 D151:D152 D156:D158 D160:D172 D125:D129 D141:D145 D137 D302 D233:D239 D241:D248 D204:D209 D264:D272 D298 D290 D283 D276 D278 D251:D261 D227 D212:D224 D390:D456 D353:D387 D330:D342">
    <cfRule type="duplicateValues" dxfId="137" priority="4587"/>
  </conditionalFormatting>
  <conditionalFormatting sqref="D628">
    <cfRule type="duplicateValues" dxfId="136" priority="527"/>
    <cfRule type="duplicateValues" dxfId="135" priority="526"/>
  </conditionalFormatting>
  <conditionalFormatting sqref="D629">
    <cfRule type="duplicateValues" dxfId="134" priority="525"/>
    <cfRule type="duplicateValues" dxfId="133" priority="524"/>
  </conditionalFormatting>
  <conditionalFormatting sqref="D636:D638 D624:D625 D630">
    <cfRule type="duplicateValues" dxfId="132" priority="4643"/>
    <cfRule type="duplicateValues" dxfId="131" priority="4642"/>
  </conditionalFormatting>
  <conditionalFormatting sqref="D641">
    <cfRule type="duplicateValues" dxfId="130" priority="496"/>
    <cfRule type="duplicateValues" dxfId="129" priority="497"/>
  </conditionalFormatting>
  <conditionalFormatting sqref="D642">
    <cfRule type="duplicateValues" dxfId="128" priority="495"/>
    <cfRule type="duplicateValues" dxfId="127" priority="494"/>
  </conditionalFormatting>
  <conditionalFormatting sqref="D643">
    <cfRule type="duplicateValues" dxfId="126" priority="137"/>
    <cfRule type="duplicateValues" dxfId="125" priority="136"/>
  </conditionalFormatting>
  <conditionalFormatting sqref="D644">
    <cfRule type="duplicateValues" dxfId="124" priority="134"/>
    <cfRule type="duplicateValues" dxfId="123" priority="135"/>
  </conditionalFormatting>
  <conditionalFormatting sqref="D645:D646">
    <cfRule type="duplicateValues" dxfId="122" priority="132"/>
    <cfRule type="duplicateValues" dxfId="121" priority="133"/>
  </conditionalFormatting>
  <conditionalFormatting sqref="D647">
    <cfRule type="duplicateValues" dxfId="120" priority="130"/>
    <cfRule type="duplicateValues" dxfId="119" priority="131"/>
  </conditionalFormatting>
  <conditionalFormatting sqref="D648">
    <cfRule type="duplicateValues" dxfId="118" priority="128"/>
    <cfRule type="duplicateValues" dxfId="117" priority="129"/>
  </conditionalFormatting>
  <conditionalFormatting sqref="D649">
    <cfRule type="duplicateValues" dxfId="116" priority="127"/>
    <cfRule type="duplicateValues" dxfId="115" priority="126"/>
  </conditionalFormatting>
  <conditionalFormatting sqref="D650">
    <cfRule type="duplicateValues" dxfId="114" priority="125"/>
    <cfRule type="duplicateValues" dxfId="113" priority="124"/>
  </conditionalFormatting>
  <conditionalFormatting sqref="D651">
    <cfRule type="duplicateValues" dxfId="112" priority="122"/>
    <cfRule type="duplicateValues" dxfId="111" priority="123"/>
  </conditionalFormatting>
  <conditionalFormatting sqref="D652">
    <cfRule type="duplicateValues" dxfId="110" priority="121"/>
    <cfRule type="duplicateValues" dxfId="109" priority="120"/>
  </conditionalFormatting>
  <conditionalFormatting sqref="D653">
    <cfRule type="duplicateValues" dxfId="108" priority="118"/>
    <cfRule type="duplicateValues" dxfId="107" priority="119"/>
  </conditionalFormatting>
  <conditionalFormatting sqref="D655">
    <cfRule type="duplicateValues" dxfId="106" priority="116"/>
    <cfRule type="duplicateValues" dxfId="105" priority="117"/>
  </conditionalFormatting>
  <conditionalFormatting sqref="D656">
    <cfRule type="duplicateValues" dxfId="104" priority="114"/>
    <cfRule type="duplicateValues" dxfId="103" priority="115"/>
  </conditionalFormatting>
  <conditionalFormatting sqref="D657:D660">
    <cfRule type="duplicateValues" dxfId="102" priority="112"/>
    <cfRule type="duplicateValues" dxfId="101" priority="113"/>
  </conditionalFormatting>
  <conditionalFormatting sqref="D661">
    <cfRule type="duplicateValues" dxfId="100" priority="110"/>
    <cfRule type="duplicateValues" dxfId="99" priority="111"/>
  </conditionalFormatting>
  <conditionalFormatting sqref="D662">
    <cfRule type="duplicateValues" dxfId="98" priority="108"/>
    <cfRule type="duplicateValues" dxfId="97" priority="109"/>
  </conditionalFormatting>
  <conditionalFormatting sqref="D663">
    <cfRule type="duplicateValues" dxfId="96" priority="105"/>
    <cfRule type="duplicateValues" dxfId="95" priority="104"/>
  </conditionalFormatting>
  <conditionalFormatting sqref="D664">
    <cfRule type="duplicateValues" dxfId="94" priority="103"/>
    <cfRule type="duplicateValues" dxfId="93" priority="102"/>
  </conditionalFormatting>
  <conditionalFormatting sqref="D665">
    <cfRule type="duplicateValues" dxfId="92" priority="101"/>
  </conditionalFormatting>
  <conditionalFormatting sqref="D666:D667">
    <cfRule type="duplicateValues" dxfId="91" priority="94"/>
    <cfRule type="duplicateValues" dxfId="90" priority="95"/>
  </conditionalFormatting>
  <conditionalFormatting sqref="D668">
    <cfRule type="duplicateValues" dxfId="89" priority="92"/>
    <cfRule type="duplicateValues" dxfId="88" priority="93"/>
  </conditionalFormatting>
  <conditionalFormatting sqref="D669">
    <cfRule type="duplicateValues" dxfId="87" priority="90"/>
    <cfRule type="duplicateValues" dxfId="86" priority="91"/>
  </conditionalFormatting>
  <conditionalFormatting sqref="D670:D672">
    <cfRule type="duplicateValues" dxfId="85" priority="89"/>
    <cfRule type="duplicateValues" dxfId="84" priority="88"/>
  </conditionalFormatting>
  <conditionalFormatting sqref="D673">
    <cfRule type="duplicateValues" dxfId="83" priority="87"/>
    <cfRule type="duplicateValues" dxfId="82" priority="86"/>
  </conditionalFormatting>
  <conditionalFormatting sqref="D674:D677">
    <cfRule type="duplicateValues" dxfId="81" priority="80"/>
    <cfRule type="duplicateValues" dxfId="80" priority="79"/>
  </conditionalFormatting>
  <conditionalFormatting sqref="D678:D679">
    <cfRule type="duplicateValues" dxfId="79" priority="78"/>
    <cfRule type="duplicateValues" dxfId="78" priority="77"/>
  </conditionalFormatting>
  <conditionalFormatting sqref="D680:D681">
    <cfRule type="duplicateValues" dxfId="77" priority="71"/>
    <cfRule type="duplicateValues" dxfId="76" priority="70"/>
  </conditionalFormatting>
  <conditionalFormatting sqref="D682:D684">
    <cfRule type="duplicateValues" dxfId="75" priority="69"/>
    <cfRule type="duplicateValues" dxfId="74" priority="68"/>
  </conditionalFormatting>
  <conditionalFormatting sqref="D685">
    <cfRule type="duplicateValues" dxfId="73" priority="67"/>
    <cfRule type="duplicateValues" dxfId="72" priority="66"/>
  </conditionalFormatting>
  <conditionalFormatting sqref="D686:D690">
    <cfRule type="duplicateValues" dxfId="71" priority="65"/>
    <cfRule type="duplicateValues" dxfId="70" priority="64"/>
  </conditionalFormatting>
  <conditionalFormatting sqref="D691">
    <cfRule type="duplicateValues" dxfId="69" priority="63"/>
    <cfRule type="duplicateValues" dxfId="68" priority="62"/>
  </conditionalFormatting>
  <conditionalFormatting sqref="D692:D693">
    <cfRule type="duplicateValues" dxfId="67" priority="61"/>
    <cfRule type="duplicateValues" dxfId="66" priority="60"/>
  </conditionalFormatting>
  <conditionalFormatting sqref="D694">
    <cfRule type="duplicateValues" dxfId="65" priority="59"/>
    <cfRule type="duplicateValues" dxfId="64" priority="58"/>
  </conditionalFormatting>
  <conditionalFormatting sqref="D695">
    <cfRule type="duplicateValues" dxfId="63" priority="57"/>
  </conditionalFormatting>
  <conditionalFormatting sqref="D696">
    <cfRule type="duplicateValues" dxfId="62" priority="55"/>
    <cfRule type="duplicateValues" dxfId="61" priority="56"/>
  </conditionalFormatting>
  <conditionalFormatting sqref="D697">
    <cfRule type="duplicateValues" dxfId="60" priority="51"/>
    <cfRule type="duplicateValues" dxfId="59" priority="52"/>
  </conditionalFormatting>
  <conditionalFormatting sqref="D698">
    <cfRule type="duplicateValues" dxfId="58" priority="49"/>
    <cfRule type="duplicateValues" dxfId="57" priority="50"/>
  </conditionalFormatting>
  <conditionalFormatting sqref="D699:D707">
    <cfRule type="duplicateValues" dxfId="56" priority="4989"/>
    <cfRule type="duplicateValues" dxfId="55" priority="4990"/>
  </conditionalFormatting>
  <conditionalFormatting sqref="D708:D714">
    <cfRule type="duplicateValues" dxfId="54" priority="45"/>
    <cfRule type="duplicateValues" dxfId="53" priority="46"/>
  </conditionalFormatting>
  <conditionalFormatting sqref="D715:D722">
    <cfRule type="duplicateValues" dxfId="52" priority="4991"/>
  </conditionalFormatting>
  <conditionalFormatting sqref="D723">
    <cfRule type="duplicateValues" dxfId="51" priority="41"/>
    <cfRule type="duplicateValues" dxfId="50" priority="42"/>
  </conditionalFormatting>
  <conditionalFormatting sqref="D724">
    <cfRule type="duplicateValues" dxfId="49" priority="39"/>
    <cfRule type="duplicateValues" dxfId="48" priority="40"/>
  </conditionalFormatting>
  <conditionalFormatting sqref="D725:D733">
    <cfRule type="duplicateValues" dxfId="47" priority="38"/>
    <cfRule type="duplicateValues" dxfId="46" priority="37"/>
  </conditionalFormatting>
  <conditionalFormatting sqref="D734">
    <cfRule type="duplicateValues" dxfId="45" priority="35"/>
    <cfRule type="duplicateValues" dxfId="44" priority="36"/>
  </conditionalFormatting>
  <conditionalFormatting sqref="D735">
    <cfRule type="duplicateValues" dxfId="43" priority="34"/>
  </conditionalFormatting>
  <conditionalFormatting sqref="D736">
    <cfRule type="duplicateValues" dxfId="42" priority="28"/>
  </conditionalFormatting>
  <conditionalFormatting sqref="D737">
    <cfRule type="duplicateValues" dxfId="41" priority="22"/>
  </conditionalFormatting>
  <conditionalFormatting sqref="D738">
    <cfRule type="duplicateValues" dxfId="40" priority="16"/>
    <cfRule type="duplicateValues" dxfId="39" priority="15"/>
  </conditionalFormatting>
  <conditionalFormatting sqref="D739">
    <cfRule type="duplicateValues" dxfId="38" priority="13"/>
    <cfRule type="duplicateValues" dxfId="37" priority="14"/>
  </conditionalFormatting>
  <conditionalFormatting sqref="D740">
    <cfRule type="duplicateValues" dxfId="36" priority="7"/>
  </conditionalFormatting>
  <conditionalFormatting sqref="D741:D746">
    <cfRule type="duplicateValues" dxfId="35" priority="1"/>
  </conditionalFormatting>
  <conditionalFormatting sqref="N740">
    <cfRule type="containsText" dxfId="34" priority="5" operator="containsText" text="Vencido">
      <formula>NOT(ISERROR(SEARCH("Vencido",N740)))</formula>
    </cfRule>
    <cfRule type="containsText" dxfId="33" priority="4" operator="containsText" text="Alerta">
      <formula>NOT(ISERROR(SEARCH("Alerta",N740)))</formula>
    </cfRule>
    <cfRule type="containsText" dxfId="32" priority="3" operator="containsText" text="Comunicado ">
      <formula>NOT(ISERROR(SEARCH("Comunicado ",N740)))</formula>
    </cfRule>
    <cfRule type="containsText" dxfId="31" priority="2" operator="containsText" text="Aviso ">
      <formula>NOT(ISERROR(SEARCH("Aviso ",N740)))</formula>
    </cfRule>
    <cfRule type="containsText" dxfId="30" priority="6" operator="containsText" text="Em dia">
      <formula>NOT(ISERROR(SEARCH("Em dia",N740)))</formula>
    </cfRule>
  </conditionalFormatting>
  <conditionalFormatting sqref="O6:P739">
    <cfRule type="containsText" dxfId="29" priority="9" operator="containsText" text="Comunicado ">
      <formula>NOT(ISERROR(SEARCH("Comunicado ",O6)))</formula>
    </cfRule>
    <cfRule type="containsText" dxfId="28" priority="8" operator="containsText" text="Aviso ">
      <formula>NOT(ISERROR(SEARCH("Aviso ",O6)))</formula>
    </cfRule>
    <cfRule type="containsText" dxfId="27" priority="12" operator="containsText" text="Em dia">
      <formula>NOT(ISERROR(SEARCH("Em dia",O6)))</formula>
    </cfRule>
    <cfRule type="containsText" dxfId="26" priority="11" operator="containsText" text="Vencido">
      <formula>NOT(ISERROR(SEARCH("Vencido",O6)))</formula>
    </cfRule>
    <cfRule type="containsText" dxfId="25" priority="10" operator="containsText" text="Alerta">
      <formula>NOT(ISERROR(SEARCH("Alerta",O6)))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</customProperties>
  <ignoredErrors>
    <ignoredError sqref="L6" unlockedFormula="1"/>
  </ignoredError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2BAF-6BCA-4328-AEE5-BD3D4CC5B554}">
  <sheetPr codeName="Planilha9"/>
  <dimension ref="B1:I148"/>
  <sheetViews>
    <sheetView showGridLines="0" zoomScale="90" zoomScaleNormal="90" workbookViewId="0">
      <pane xSplit="1" ySplit="4" topLeftCell="B15" activePane="bottomRight" state="frozen"/>
      <selection pane="topRight" activeCell="B1" sqref="B1"/>
      <selection pane="bottomLeft" activeCell="A5" sqref="A5"/>
      <selection pane="bottomRight" activeCell="H103" sqref="H103"/>
    </sheetView>
  </sheetViews>
  <sheetFormatPr defaultRowHeight="14.5" x14ac:dyDescent="0.35"/>
  <cols>
    <col min="1" max="1" width="1" customWidth="1"/>
    <col min="2" max="2" width="34.26953125" customWidth="1"/>
    <col min="3" max="3" width="16.26953125" style="6" customWidth="1"/>
    <col min="4" max="4" width="48.81640625" style="25" customWidth="1"/>
    <col min="5" max="5" width="51.1796875" style="25" customWidth="1"/>
    <col min="6" max="6" width="10.54296875" style="25" customWidth="1"/>
    <col min="7" max="7" width="9.453125" style="25" customWidth="1"/>
    <col min="8" max="8" width="12.453125" style="25" bestFit="1" customWidth="1"/>
    <col min="9" max="9" width="28.54296875" style="25" bestFit="1" customWidth="1"/>
  </cols>
  <sheetData>
    <row r="1" spans="2:9" ht="7.5" customHeight="1" thickBot="1" x14ac:dyDescent="0.4"/>
    <row r="2" spans="2:9" ht="38.5" customHeight="1" thickBot="1" x14ac:dyDescent="0.4">
      <c r="B2" s="207" t="s">
        <v>11374</v>
      </c>
      <c r="C2" s="208"/>
      <c r="D2" s="208"/>
      <c r="E2" s="208"/>
      <c r="F2" s="208"/>
      <c r="G2" s="208"/>
      <c r="H2" s="208"/>
      <c r="I2" s="209"/>
    </row>
    <row r="3" spans="2:9" x14ac:dyDescent="0.35">
      <c r="B3" s="31"/>
      <c r="C3" s="31"/>
      <c r="D3" s="32"/>
      <c r="E3" s="32"/>
      <c r="F3" s="33">
        <f>COUNTIF(F4:F300,"X")</f>
        <v>84</v>
      </c>
      <c r="G3" s="37">
        <f>COUNTIF(G4:G300,"X")</f>
        <v>69</v>
      </c>
      <c r="H3" s="43"/>
      <c r="I3" s="31"/>
    </row>
    <row r="4" spans="2:9" ht="28" x14ac:dyDescent="0.35">
      <c r="B4" s="35" t="s">
        <v>47</v>
      </c>
      <c r="C4" s="35" t="s">
        <v>48</v>
      </c>
      <c r="D4" s="35" t="s">
        <v>49</v>
      </c>
      <c r="E4" s="35" t="s">
        <v>50</v>
      </c>
      <c r="F4" s="36" t="s">
        <v>51</v>
      </c>
      <c r="G4" s="37" t="s">
        <v>52</v>
      </c>
      <c r="H4" s="34"/>
      <c r="I4" s="38" t="s">
        <v>54</v>
      </c>
    </row>
    <row r="5" spans="2:9" ht="16" customHeight="1" x14ac:dyDescent="0.35">
      <c r="B5" s="114" t="s">
        <v>10</v>
      </c>
      <c r="C5" s="167" t="s">
        <v>11375</v>
      </c>
      <c r="D5" s="26" t="s">
        <v>11376</v>
      </c>
      <c r="E5" s="26" t="s">
        <v>11377</v>
      </c>
      <c r="F5" s="28" t="s">
        <v>61</v>
      </c>
      <c r="G5" s="27"/>
      <c r="H5" s="27" t="s">
        <v>11378</v>
      </c>
      <c r="I5" s="10" t="s">
        <v>62</v>
      </c>
    </row>
    <row r="6" spans="2:9" ht="16" customHeight="1" x14ac:dyDescent="0.35">
      <c r="B6" s="114" t="s">
        <v>10</v>
      </c>
      <c r="C6" s="167" t="s">
        <v>11379</v>
      </c>
      <c r="D6" s="26" t="s">
        <v>11376</v>
      </c>
      <c r="E6" s="26" t="s">
        <v>11377</v>
      </c>
      <c r="F6" s="28" t="s">
        <v>61</v>
      </c>
      <c r="G6" s="27" t="s">
        <v>61</v>
      </c>
      <c r="H6" s="99">
        <v>45499</v>
      </c>
      <c r="I6" s="10" t="s">
        <v>62</v>
      </c>
    </row>
    <row r="7" spans="2:9" ht="15.5" x14ac:dyDescent="0.35">
      <c r="B7" s="114" t="s">
        <v>10</v>
      </c>
      <c r="C7" s="167" t="s">
        <v>11380</v>
      </c>
      <c r="D7" s="26" t="s">
        <v>11381</v>
      </c>
      <c r="E7" s="26"/>
      <c r="F7" s="28" t="s">
        <v>61</v>
      </c>
      <c r="G7" s="27"/>
      <c r="H7" s="99">
        <v>45098</v>
      </c>
      <c r="I7" s="10" t="s">
        <v>62</v>
      </c>
    </row>
    <row r="8" spans="2:9" ht="15.5" x14ac:dyDescent="0.35">
      <c r="B8" s="114" t="s">
        <v>10</v>
      </c>
      <c r="C8" s="167" t="s">
        <v>11382</v>
      </c>
      <c r="D8" s="26" t="s">
        <v>11383</v>
      </c>
      <c r="E8" s="26" t="s">
        <v>11384</v>
      </c>
      <c r="F8" s="28" t="s">
        <v>61</v>
      </c>
      <c r="G8" s="27" t="s">
        <v>61</v>
      </c>
      <c r="H8" s="99">
        <v>45462</v>
      </c>
      <c r="I8" s="10" t="s">
        <v>62</v>
      </c>
    </row>
    <row r="9" spans="2:9" ht="15.5" x14ac:dyDescent="0.35">
      <c r="B9" s="114" t="s">
        <v>10</v>
      </c>
      <c r="C9" s="167" t="s">
        <v>11385</v>
      </c>
      <c r="D9" s="26" t="s">
        <v>11386</v>
      </c>
      <c r="E9" s="26" t="s">
        <v>11387</v>
      </c>
      <c r="F9" s="28" t="s">
        <v>61</v>
      </c>
      <c r="G9" s="27" t="s">
        <v>61</v>
      </c>
      <c r="H9" s="99">
        <v>45743</v>
      </c>
      <c r="I9" s="10" t="s">
        <v>62</v>
      </c>
    </row>
    <row r="10" spans="2:9" ht="15.5" x14ac:dyDescent="0.35">
      <c r="B10" s="114" t="s">
        <v>10</v>
      </c>
      <c r="C10" s="167" t="s">
        <v>11388</v>
      </c>
      <c r="D10" s="26" t="s">
        <v>11386</v>
      </c>
      <c r="E10" s="26" t="s">
        <v>11387</v>
      </c>
      <c r="F10" s="28" t="s">
        <v>61</v>
      </c>
      <c r="G10" s="27" t="s">
        <v>61</v>
      </c>
      <c r="H10" s="99">
        <v>45743</v>
      </c>
      <c r="I10" s="10" t="s">
        <v>62</v>
      </c>
    </row>
    <row r="11" spans="2:9" ht="15.5" x14ac:dyDescent="0.35">
      <c r="B11" s="114" t="s">
        <v>10</v>
      </c>
      <c r="C11" s="167" t="s">
        <v>11389</v>
      </c>
      <c r="D11" s="26" t="s">
        <v>11386</v>
      </c>
      <c r="E11" s="26" t="s">
        <v>11387</v>
      </c>
      <c r="F11" s="28" t="s">
        <v>61</v>
      </c>
      <c r="G11" s="27" t="s">
        <v>61</v>
      </c>
      <c r="H11" s="99">
        <v>45462</v>
      </c>
      <c r="I11" s="10" t="s">
        <v>62</v>
      </c>
    </row>
    <row r="12" spans="2:9" ht="15.5" x14ac:dyDescent="0.35">
      <c r="B12" s="22" t="s">
        <v>11</v>
      </c>
      <c r="C12" s="7" t="s">
        <v>11390</v>
      </c>
      <c r="D12" s="26" t="s">
        <v>11376</v>
      </c>
      <c r="E12" s="26" t="s">
        <v>11391</v>
      </c>
      <c r="F12" s="28" t="s">
        <v>61</v>
      </c>
      <c r="G12" s="27" t="s">
        <v>61</v>
      </c>
      <c r="H12" s="99">
        <v>45775</v>
      </c>
      <c r="I12" s="10" t="s">
        <v>62</v>
      </c>
    </row>
    <row r="13" spans="2:9" ht="15.5" x14ac:dyDescent="0.35">
      <c r="B13" s="22" t="s">
        <v>11</v>
      </c>
      <c r="C13" s="7" t="s">
        <v>11392</v>
      </c>
      <c r="D13" s="26" t="s">
        <v>11393</v>
      </c>
      <c r="E13" s="26"/>
      <c r="F13" s="28"/>
      <c r="G13" s="27"/>
      <c r="H13" s="27"/>
      <c r="I13" s="113" t="s">
        <v>11394</v>
      </c>
    </row>
    <row r="14" spans="2:9" ht="15.5" x14ac:dyDescent="0.35">
      <c r="B14" s="22" t="s">
        <v>11</v>
      </c>
      <c r="C14" s="7" t="s">
        <v>11395</v>
      </c>
      <c r="D14" s="26" t="s">
        <v>11396</v>
      </c>
      <c r="E14" s="26" t="s">
        <v>11397</v>
      </c>
      <c r="F14" s="28" t="s">
        <v>61</v>
      </c>
      <c r="G14" s="27" t="s">
        <v>61</v>
      </c>
      <c r="H14" s="99">
        <v>45743</v>
      </c>
      <c r="I14" s="10" t="s">
        <v>62</v>
      </c>
    </row>
    <row r="15" spans="2:9" ht="15.5" x14ac:dyDescent="0.35">
      <c r="B15" s="22" t="s">
        <v>11</v>
      </c>
      <c r="C15" s="7" t="s">
        <v>11398</v>
      </c>
      <c r="D15" s="26" t="s">
        <v>11399</v>
      </c>
      <c r="E15" s="26"/>
      <c r="F15" s="28" t="s">
        <v>61</v>
      </c>
      <c r="G15" s="27"/>
      <c r="H15" s="99">
        <v>44882</v>
      </c>
      <c r="I15" s="10" t="s">
        <v>62</v>
      </c>
    </row>
    <row r="16" spans="2:9" ht="15.5" x14ac:dyDescent="0.35">
      <c r="B16" s="22" t="s">
        <v>11</v>
      </c>
      <c r="C16" s="7" t="s">
        <v>11400</v>
      </c>
      <c r="D16" s="26" t="s">
        <v>11401</v>
      </c>
      <c r="E16" s="26"/>
      <c r="F16" s="28" t="s">
        <v>61</v>
      </c>
      <c r="G16" s="27"/>
      <c r="H16" s="99">
        <v>44067</v>
      </c>
      <c r="I16" s="10" t="s">
        <v>62</v>
      </c>
    </row>
    <row r="17" spans="2:9" ht="15.5" x14ac:dyDescent="0.35">
      <c r="B17" s="22" t="s">
        <v>11</v>
      </c>
      <c r="C17" s="7" t="s">
        <v>11402</v>
      </c>
      <c r="D17" s="26" t="s">
        <v>11403</v>
      </c>
      <c r="E17" s="26" t="s">
        <v>11404</v>
      </c>
      <c r="F17" s="28" t="s">
        <v>61</v>
      </c>
      <c r="G17" s="27" t="s">
        <v>61</v>
      </c>
      <c r="H17" s="99">
        <v>45462</v>
      </c>
      <c r="I17" s="10" t="s">
        <v>62</v>
      </c>
    </row>
    <row r="18" spans="2:9" ht="15.5" x14ac:dyDescent="0.35">
      <c r="B18" s="22" t="s">
        <v>11</v>
      </c>
      <c r="C18" s="7" t="s">
        <v>11405</v>
      </c>
      <c r="D18" s="26" t="s">
        <v>11406</v>
      </c>
      <c r="E18" s="26" t="s">
        <v>11407</v>
      </c>
      <c r="F18" s="28" t="s">
        <v>61</v>
      </c>
      <c r="G18" s="27" t="s">
        <v>61</v>
      </c>
      <c r="H18" s="99">
        <v>45499</v>
      </c>
      <c r="I18" s="10" t="s">
        <v>62</v>
      </c>
    </row>
    <row r="19" spans="2:9" ht="15.5" x14ac:dyDescent="0.35">
      <c r="B19" s="22" t="s">
        <v>11</v>
      </c>
      <c r="C19" s="7" t="s">
        <v>11408</v>
      </c>
      <c r="D19" s="26" t="s">
        <v>11409</v>
      </c>
      <c r="E19" s="26" t="s">
        <v>11410</v>
      </c>
      <c r="F19" s="28" t="s">
        <v>61</v>
      </c>
      <c r="G19" s="27" t="s">
        <v>61</v>
      </c>
      <c r="H19" s="99">
        <v>45743</v>
      </c>
      <c r="I19" s="10" t="s">
        <v>62</v>
      </c>
    </row>
    <row r="20" spans="2:9" ht="15.5" x14ac:dyDescent="0.35">
      <c r="B20" s="22" t="s">
        <v>11</v>
      </c>
      <c r="C20" s="7" t="s">
        <v>11411</v>
      </c>
      <c r="D20" s="26" t="s">
        <v>11412</v>
      </c>
      <c r="E20" s="26"/>
      <c r="F20" s="28"/>
      <c r="G20" s="27"/>
      <c r="H20" s="27"/>
      <c r="I20" s="113" t="s">
        <v>11394</v>
      </c>
    </row>
    <row r="21" spans="2:9" ht="29" x14ac:dyDescent="0.35">
      <c r="B21" s="22" t="s">
        <v>11</v>
      </c>
      <c r="C21" s="7" t="s">
        <v>11413</v>
      </c>
      <c r="D21" s="26" t="s">
        <v>11414</v>
      </c>
      <c r="E21" s="26"/>
      <c r="F21" s="28" t="s">
        <v>61</v>
      </c>
      <c r="G21" s="27"/>
      <c r="H21" s="99">
        <v>44774</v>
      </c>
      <c r="I21" s="10" t="s">
        <v>62</v>
      </c>
    </row>
    <row r="22" spans="2:9" ht="15.5" x14ac:dyDescent="0.35">
      <c r="B22" s="22" t="s">
        <v>11</v>
      </c>
      <c r="C22" s="7" t="s">
        <v>11415</v>
      </c>
      <c r="D22" s="26" t="s">
        <v>11416</v>
      </c>
      <c r="E22" s="26" t="s">
        <v>11417</v>
      </c>
      <c r="F22" s="28" t="s">
        <v>61</v>
      </c>
      <c r="G22" s="27" t="s">
        <v>61</v>
      </c>
      <c r="H22" s="99">
        <v>45743</v>
      </c>
      <c r="I22" s="10" t="s">
        <v>62</v>
      </c>
    </row>
    <row r="23" spans="2:9" ht="15.5" x14ac:dyDescent="0.35">
      <c r="B23" s="22" t="s">
        <v>11</v>
      </c>
      <c r="C23" s="7" t="s">
        <v>11418</v>
      </c>
      <c r="D23" s="26" t="s">
        <v>11419</v>
      </c>
      <c r="E23" s="26"/>
      <c r="F23" s="28" t="s">
        <v>61</v>
      </c>
      <c r="G23" s="27"/>
      <c r="H23" s="99">
        <v>44914</v>
      </c>
      <c r="I23" s="10" t="s">
        <v>62</v>
      </c>
    </row>
    <row r="24" spans="2:9" ht="29" x14ac:dyDescent="0.35">
      <c r="B24" s="22" t="s">
        <v>11</v>
      </c>
      <c r="C24" s="7" t="s">
        <v>11420</v>
      </c>
      <c r="D24" s="26" t="s">
        <v>11421</v>
      </c>
      <c r="E24" s="26" t="s">
        <v>11422</v>
      </c>
      <c r="F24" s="27" t="s">
        <v>61</v>
      </c>
      <c r="G24" s="27" t="s">
        <v>61</v>
      </c>
      <c r="H24" s="99">
        <v>45743</v>
      </c>
      <c r="I24" s="10" t="s">
        <v>62</v>
      </c>
    </row>
    <row r="25" spans="2:9" ht="15.5" x14ac:dyDescent="0.35">
      <c r="B25" s="22" t="s">
        <v>11</v>
      </c>
      <c r="C25" s="7" t="s">
        <v>11423</v>
      </c>
      <c r="D25" s="26" t="s">
        <v>11424</v>
      </c>
      <c r="E25" s="26"/>
      <c r="F25" s="28"/>
      <c r="G25" s="27"/>
      <c r="H25" s="27"/>
      <c r="I25" s="113" t="s">
        <v>11394</v>
      </c>
    </row>
    <row r="26" spans="2:9" ht="15.5" x14ac:dyDescent="0.35">
      <c r="B26" s="22" t="s">
        <v>11</v>
      </c>
      <c r="C26" s="7" t="s">
        <v>11425</v>
      </c>
      <c r="D26" s="26" t="s">
        <v>11426</v>
      </c>
      <c r="E26" s="26"/>
      <c r="F26" s="28"/>
      <c r="G26" s="27"/>
      <c r="H26" s="27"/>
      <c r="I26" s="113" t="s">
        <v>11394</v>
      </c>
    </row>
    <row r="27" spans="2:9" ht="15.5" x14ac:dyDescent="0.35">
      <c r="B27" s="22" t="s">
        <v>11</v>
      </c>
      <c r="C27" s="7" t="s">
        <v>11427</v>
      </c>
      <c r="D27" s="26" t="s">
        <v>11428</v>
      </c>
      <c r="E27" s="26"/>
      <c r="F27" s="28"/>
      <c r="G27" s="27"/>
      <c r="H27" s="27"/>
      <c r="I27" s="113" t="s">
        <v>11394</v>
      </c>
    </row>
    <row r="28" spans="2:9" ht="15.5" x14ac:dyDescent="0.35">
      <c r="B28" s="22" t="s">
        <v>11</v>
      </c>
      <c r="C28" s="7" t="s">
        <v>11429</v>
      </c>
      <c r="D28" s="26" t="s">
        <v>11430</v>
      </c>
      <c r="E28" s="26"/>
      <c r="F28" s="28"/>
      <c r="G28" s="27"/>
      <c r="H28" s="27"/>
      <c r="I28" s="113" t="s">
        <v>11394</v>
      </c>
    </row>
    <row r="29" spans="2:9" ht="15.5" x14ac:dyDescent="0.35">
      <c r="B29" s="22" t="s">
        <v>11</v>
      </c>
      <c r="C29" s="7" t="s">
        <v>11431</v>
      </c>
      <c r="D29" s="26" t="s">
        <v>11432</v>
      </c>
      <c r="E29" s="26"/>
      <c r="F29" s="28"/>
      <c r="G29" s="27"/>
      <c r="H29" s="27"/>
      <c r="I29" s="113" t="s">
        <v>11394</v>
      </c>
    </row>
    <row r="30" spans="2:9" ht="15.5" x14ac:dyDescent="0.35">
      <c r="B30" s="22" t="s">
        <v>11</v>
      </c>
      <c r="C30" s="7" t="s">
        <v>11433</v>
      </c>
      <c r="D30" s="26" t="s">
        <v>11434</v>
      </c>
      <c r="E30" s="26" t="s">
        <v>11435</v>
      </c>
      <c r="F30" s="28" t="s">
        <v>61</v>
      </c>
      <c r="G30" s="27" t="s">
        <v>61</v>
      </c>
      <c r="H30" s="99">
        <v>45743</v>
      </c>
      <c r="I30" s="10" t="s">
        <v>62</v>
      </c>
    </row>
    <row r="31" spans="2:9" ht="29" x14ac:dyDescent="0.35">
      <c r="B31" s="22" t="s">
        <v>11</v>
      </c>
      <c r="C31" s="7" t="s">
        <v>11436</v>
      </c>
      <c r="D31" s="26" t="s">
        <v>11437</v>
      </c>
      <c r="E31" s="26" t="s">
        <v>11438</v>
      </c>
      <c r="F31" s="27" t="s">
        <v>61</v>
      </c>
      <c r="G31" s="27" t="s">
        <v>61</v>
      </c>
      <c r="H31" s="99">
        <v>45656</v>
      </c>
      <c r="I31" s="10" t="s">
        <v>62</v>
      </c>
    </row>
    <row r="32" spans="2:9" ht="15.5" x14ac:dyDescent="0.35">
      <c r="B32" s="22" t="s">
        <v>11</v>
      </c>
      <c r="C32" s="7" t="s">
        <v>11439</v>
      </c>
      <c r="D32" s="26" t="s">
        <v>11440</v>
      </c>
      <c r="E32" s="26"/>
      <c r="F32" s="28"/>
      <c r="G32" s="27"/>
      <c r="H32" s="27"/>
      <c r="I32" s="113" t="s">
        <v>11394</v>
      </c>
    </row>
    <row r="33" spans="2:9" ht="15.5" x14ac:dyDescent="0.35">
      <c r="B33" s="22" t="s">
        <v>11</v>
      </c>
      <c r="C33" s="7" t="s">
        <v>11441</v>
      </c>
      <c r="D33" s="26" t="s">
        <v>11442</v>
      </c>
      <c r="E33" s="26" t="s">
        <v>11443</v>
      </c>
      <c r="F33" s="28" t="s">
        <v>61</v>
      </c>
      <c r="G33" s="27" t="s">
        <v>61</v>
      </c>
      <c r="H33" s="99">
        <v>45743</v>
      </c>
      <c r="I33" s="10" t="s">
        <v>62</v>
      </c>
    </row>
    <row r="34" spans="2:9" ht="15.5" x14ac:dyDescent="0.35">
      <c r="B34" s="22" t="s">
        <v>11</v>
      </c>
      <c r="C34" s="7" t="s">
        <v>11444</v>
      </c>
      <c r="D34" s="26" t="s">
        <v>11445</v>
      </c>
      <c r="E34" s="26"/>
      <c r="F34" s="28"/>
      <c r="G34" s="27"/>
      <c r="H34" s="27"/>
      <c r="I34" s="113" t="s">
        <v>11394</v>
      </c>
    </row>
    <row r="35" spans="2:9" ht="15.5" x14ac:dyDescent="0.35">
      <c r="B35" s="22" t="s">
        <v>11</v>
      </c>
      <c r="C35" s="7" t="s">
        <v>11446</v>
      </c>
      <c r="D35" s="26" t="s">
        <v>11447</v>
      </c>
      <c r="E35" s="26" t="s">
        <v>11448</v>
      </c>
      <c r="F35" s="28" t="s">
        <v>61</v>
      </c>
      <c r="G35" s="27" t="s">
        <v>61</v>
      </c>
      <c r="H35" s="99">
        <v>45743</v>
      </c>
      <c r="I35" s="10" t="s">
        <v>62</v>
      </c>
    </row>
    <row r="36" spans="2:9" ht="15.5" x14ac:dyDescent="0.35">
      <c r="B36" s="22" t="s">
        <v>11</v>
      </c>
      <c r="C36" s="7" t="s">
        <v>11449</v>
      </c>
      <c r="D36" s="26" t="s">
        <v>11450</v>
      </c>
      <c r="E36" s="26"/>
      <c r="F36" s="28"/>
      <c r="G36" s="27"/>
      <c r="H36" s="27"/>
      <c r="I36" s="113" t="s">
        <v>11394</v>
      </c>
    </row>
    <row r="37" spans="2:9" ht="15.5" x14ac:dyDescent="0.35">
      <c r="B37" s="22" t="s">
        <v>11</v>
      </c>
      <c r="C37" s="7" t="s">
        <v>11451</v>
      </c>
      <c r="D37" s="26" t="s">
        <v>11452</v>
      </c>
      <c r="E37" s="26" t="s">
        <v>11453</v>
      </c>
      <c r="F37" s="28" t="s">
        <v>61</v>
      </c>
      <c r="G37" s="27" t="s">
        <v>61</v>
      </c>
      <c r="H37" s="99">
        <v>44914</v>
      </c>
      <c r="I37" s="10" t="s">
        <v>62</v>
      </c>
    </row>
    <row r="38" spans="2:9" ht="15.5" x14ac:dyDescent="0.35">
      <c r="B38" s="22" t="s">
        <v>11</v>
      </c>
      <c r="C38" s="7" t="s">
        <v>11454</v>
      </c>
      <c r="D38" s="26" t="s">
        <v>11455</v>
      </c>
      <c r="E38" s="26" t="s">
        <v>11456</v>
      </c>
      <c r="F38" s="28" t="s">
        <v>61</v>
      </c>
      <c r="G38" s="27" t="s">
        <v>61</v>
      </c>
      <c r="H38" s="99">
        <v>45743</v>
      </c>
      <c r="I38" s="10" t="s">
        <v>62</v>
      </c>
    </row>
    <row r="39" spans="2:9" ht="15.5" x14ac:dyDescent="0.35">
      <c r="B39" s="22" t="s">
        <v>11</v>
      </c>
      <c r="C39" s="7" t="s">
        <v>11457</v>
      </c>
      <c r="D39" s="26" t="s">
        <v>11458</v>
      </c>
      <c r="E39" s="26" t="s">
        <v>11459</v>
      </c>
      <c r="F39" s="28" t="s">
        <v>61</v>
      </c>
      <c r="G39" s="27" t="s">
        <v>61</v>
      </c>
      <c r="H39" s="99">
        <v>45743</v>
      </c>
      <c r="I39" s="10" t="s">
        <v>62</v>
      </c>
    </row>
    <row r="40" spans="2:9" ht="15.5" x14ac:dyDescent="0.35">
      <c r="B40" s="22" t="s">
        <v>11</v>
      </c>
      <c r="C40" s="7" t="s">
        <v>11460</v>
      </c>
      <c r="D40" s="26" t="s">
        <v>11461</v>
      </c>
      <c r="E40" s="26" t="s">
        <v>11462</v>
      </c>
      <c r="F40" s="28" t="s">
        <v>61</v>
      </c>
      <c r="G40" s="27" t="s">
        <v>61</v>
      </c>
      <c r="H40" s="99">
        <v>45656</v>
      </c>
      <c r="I40" s="10" t="s">
        <v>62</v>
      </c>
    </row>
    <row r="41" spans="2:9" ht="15.5" x14ac:dyDescent="0.35">
      <c r="B41" s="22" t="s">
        <v>11</v>
      </c>
      <c r="C41" s="7" t="s">
        <v>11463</v>
      </c>
      <c r="D41" s="26" t="s">
        <v>11464</v>
      </c>
      <c r="E41" s="26"/>
      <c r="F41" s="28" t="s">
        <v>61</v>
      </c>
      <c r="G41" s="27"/>
      <c r="H41" s="99">
        <v>44914</v>
      </c>
      <c r="I41" s="10" t="s">
        <v>62</v>
      </c>
    </row>
    <row r="42" spans="2:9" ht="29" x14ac:dyDescent="0.35">
      <c r="B42" s="22" t="s">
        <v>11</v>
      </c>
      <c r="C42" s="7" t="s">
        <v>11465</v>
      </c>
      <c r="D42" s="26" t="s">
        <v>11466</v>
      </c>
      <c r="E42" s="26" t="s">
        <v>11467</v>
      </c>
      <c r="F42" s="28" t="s">
        <v>61</v>
      </c>
      <c r="G42" s="27" t="s">
        <v>61</v>
      </c>
      <c r="H42" s="99">
        <v>45792</v>
      </c>
      <c r="I42" s="10" t="s">
        <v>62</v>
      </c>
    </row>
    <row r="43" spans="2:9" ht="15.5" x14ac:dyDescent="0.35">
      <c r="B43" s="22" t="s">
        <v>11</v>
      </c>
      <c r="C43" s="7" t="s">
        <v>11468</v>
      </c>
      <c r="D43" s="26" t="s">
        <v>11469</v>
      </c>
      <c r="E43" s="26" t="s">
        <v>11470</v>
      </c>
      <c r="F43" s="28" t="s">
        <v>61</v>
      </c>
      <c r="G43" s="27" t="s">
        <v>61</v>
      </c>
      <c r="H43" s="99">
        <v>45743</v>
      </c>
      <c r="I43" s="10" t="s">
        <v>62</v>
      </c>
    </row>
    <row r="44" spans="2:9" ht="15.5" x14ac:dyDescent="0.35">
      <c r="B44" s="22" t="s">
        <v>11</v>
      </c>
      <c r="C44" s="7" t="s">
        <v>11471</v>
      </c>
      <c r="D44" s="26" t="s">
        <v>11472</v>
      </c>
      <c r="E44" s="26"/>
      <c r="F44" s="28" t="s">
        <v>61</v>
      </c>
      <c r="G44" s="27"/>
      <c r="H44" s="99">
        <v>45098</v>
      </c>
      <c r="I44" s="10" t="s">
        <v>62</v>
      </c>
    </row>
    <row r="45" spans="2:9" ht="15.5" x14ac:dyDescent="0.35">
      <c r="B45" s="22" t="s">
        <v>11</v>
      </c>
      <c r="C45" s="7" t="s">
        <v>11473</v>
      </c>
      <c r="D45" s="26" t="s">
        <v>11474</v>
      </c>
      <c r="E45" s="26" t="s">
        <v>11475</v>
      </c>
      <c r="F45" s="28" t="s">
        <v>61</v>
      </c>
      <c r="G45" s="27" t="s">
        <v>61</v>
      </c>
      <c r="H45" s="99">
        <v>45792</v>
      </c>
      <c r="I45" s="10" t="s">
        <v>62</v>
      </c>
    </row>
    <row r="46" spans="2:9" ht="15.5" x14ac:dyDescent="0.35">
      <c r="B46" s="22" t="s">
        <v>11</v>
      </c>
      <c r="C46" s="7" t="s">
        <v>11476</v>
      </c>
      <c r="D46" s="26" t="s">
        <v>11477</v>
      </c>
      <c r="E46" s="26" t="s">
        <v>11478</v>
      </c>
      <c r="F46" s="28" t="s">
        <v>61</v>
      </c>
      <c r="G46" s="27" t="s">
        <v>61</v>
      </c>
      <c r="H46" s="99">
        <v>45743</v>
      </c>
      <c r="I46" s="10" t="s">
        <v>62</v>
      </c>
    </row>
    <row r="47" spans="2:9" ht="15.5" x14ac:dyDescent="0.35">
      <c r="B47" s="22" t="s">
        <v>11</v>
      </c>
      <c r="C47" s="7" t="s">
        <v>11479</v>
      </c>
      <c r="D47" s="26" t="s">
        <v>11480</v>
      </c>
      <c r="E47" s="26" t="s">
        <v>11481</v>
      </c>
      <c r="F47" s="28" t="s">
        <v>61</v>
      </c>
      <c r="G47" s="27" t="s">
        <v>61</v>
      </c>
      <c r="H47" s="99">
        <v>45743</v>
      </c>
      <c r="I47" s="10" t="s">
        <v>62</v>
      </c>
    </row>
    <row r="48" spans="2:9" ht="15.5" x14ac:dyDescent="0.35">
      <c r="B48" s="22" t="s">
        <v>11</v>
      </c>
      <c r="C48" s="7" t="s">
        <v>11482</v>
      </c>
      <c r="D48" s="26" t="s">
        <v>11483</v>
      </c>
      <c r="E48" s="26" t="s">
        <v>11484</v>
      </c>
      <c r="F48" s="28" t="s">
        <v>61</v>
      </c>
      <c r="G48" s="27" t="s">
        <v>61</v>
      </c>
      <c r="H48" s="99">
        <v>45743</v>
      </c>
      <c r="I48" s="10" t="s">
        <v>62</v>
      </c>
    </row>
    <row r="49" spans="2:9" ht="29" x14ac:dyDescent="0.35">
      <c r="B49" s="22" t="s">
        <v>11</v>
      </c>
      <c r="C49" s="7" t="s">
        <v>11485</v>
      </c>
      <c r="D49" s="26" t="s">
        <v>11486</v>
      </c>
      <c r="E49" s="26"/>
      <c r="F49" s="27"/>
      <c r="G49" s="27"/>
      <c r="H49" s="27"/>
      <c r="I49" s="113" t="s">
        <v>11394</v>
      </c>
    </row>
    <row r="50" spans="2:9" ht="15.5" x14ac:dyDescent="0.35">
      <c r="B50" s="22" t="s">
        <v>11</v>
      </c>
      <c r="C50" s="7" t="s">
        <v>11487</v>
      </c>
      <c r="D50" s="26" t="s">
        <v>11488</v>
      </c>
      <c r="E50" s="26" t="s">
        <v>13096</v>
      </c>
      <c r="F50" s="28"/>
      <c r="G50" s="27"/>
      <c r="H50" s="27"/>
      <c r="I50" s="113" t="s">
        <v>11394</v>
      </c>
    </row>
    <row r="51" spans="2:9" ht="15.5" x14ac:dyDescent="0.35">
      <c r="B51" s="22" t="s">
        <v>11</v>
      </c>
      <c r="C51" s="7" t="s">
        <v>11489</v>
      </c>
      <c r="D51" s="26" t="s">
        <v>11490</v>
      </c>
      <c r="E51" s="26" t="s">
        <v>13278</v>
      </c>
      <c r="F51" s="28"/>
      <c r="G51" s="27"/>
      <c r="H51" s="27"/>
      <c r="I51" s="113" t="s">
        <v>11394</v>
      </c>
    </row>
    <row r="52" spans="2:9" ht="15.5" x14ac:dyDescent="0.35">
      <c r="B52" s="22" t="s">
        <v>11</v>
      </c>
      <c r="C52" s="7" t="s">
        <v>11491</v>
      </c>
      <c r="D52" s="26" t="s">
        <v>11492</v>
      </c>
      <c r="E52" s="26"/>
      <c r="F52" s="28"/>
      <c r="G52" s="27"/>
      <c r="H52" s="27"/>
      <c r="I52" s="113" t="s">
        <v>11394</v>
      </c>
    </row>
    <row r="53" spans="2:9" ht="15.5" x14ac:dyDescent="0.35">
      <c r="B53" s="22" t="s">
        <v>11</v>
      </c>
      <c r="C53" s="7" t="s">
        <v>11493</v>
      </c>
      <c r="D53" s="26" t="s">
        <v>11494</v>
      </c>
      <c r="E53" s="26"/>
      <c r="F53" s="28"/>
      <c r="G53" s="27"/>
      <c r="H53" s="27"/>
      <c r="I53" s="113" t="s">
        <v>11394</v>
      </c>
    </row>
    <row r="54" spans="2:9" ht="15.5" x14ac:dyDescent="0.35">
      <c r="B54" s="22" t="s">
        <v>11</v>
      </c>
      <c r="C54" s="7" t="s">
        <v>11495</v>
      </c>
      <c r="D54" s="26" t="s">
        <v>11496</v>
      </c>
      <c r="E54" s="26"/>
      <c r="F54" s="28"/>
      <c r="G54" s="27"/>
      <c r="H54" s="27"/>
      <c r="I54" s="113" t="s">
        <v>11394</v>
      </c>
    </row>
    <row r="55" spans="2:9" ht="15.5" x14ac:dyDescent="0.35">
      <c r="B55" s="22" t="s">
        <v>11</v>
      </c>
      <c r="C55" s="7" t="s">
        <v>11497</v>
      </c>
      <c r="D55" s="26" t="s">
        <v>11498</v>
      </c>
      <c r="E55" s="26"/>
      <c r="F55" s="28"/>
      <c r="G55" s="27"/>
      <c r="H55" s="27"/>
      <c r="I55" s="113" t="s">
        <v>11394</v>
      </c>
    </row>
    <row r="56" spans="2:9" ht="29" x14ac:dyDescent="0.35">
      <c r="B56" s="22" t="s">
        <v>11</v>
      </c>
      <c r="C56" s="7" t="s">
        <v>11499</v>
      </c>
      <c r="D56" s="26" t="s">
        <v>11500</v>
      </c>
      <c r="E56" s="26"/>
      <c r="F56" s="28"/>
      <c r="G56" s="27"/>
      <c r="H56" s="27"/>
      <c r="I56" s="113" t="s">
        <v>11394</v>
      </c>
    </row>
    <row r="57" spans="2:9" ht="29" x14ac:dyDescent="0.35">
      <c r="B57" s="22" t="s">
        <v>11</v>
      </c>
      <c r="C57" s="7" t="s">
        <v>11501</v>
      </c>
      <c r="D57" s="26" t="s">
        <v>11502</v>
      </c>
      <c r="E57" s="26"/>
      <c r="F57" s="28"/>
      <c r="G57" s="27"/>
      <c r="H57" s="27"/>
      <c r="I57" s="113" t="s">
        <v>11394</v>
      </c>
    </row>
    <row r="58" spans="2:9" ht="15.5" x14ac:dyDescent="0.35">
      <c r="B58" s="22" t="s">
        <v>11</v>
      </c>
      <c r="C58" s="7" t="s">
        <v>11503</v>
      </c>
      <c r="D58" s="26" t="s">
        <v>11504</v>
      </c>
      <c r="E58" s="26" t="s">
        <v>11505</v>
      </c>
      <c r="F58" s="28" t="s">
        <v>61</v>
      </c>
      <c r="G58" s="27" t="s">
        <v>61</v>
      </c>
      <c r="H58" s="99">
        <v>45656</v>
      </c>
      <c r="I58" s="10" t="s">
        <v>62</v>
      </c>
    </row>
    <row r="59" spans="2:9" ht="15.5" x14ac:dyDescent="0.35">
      <c r="B59" s="22" t="s">
        <v>11</v>
      </c>
      <c r="C59" s="7" t="s">
        <v>11506</v>
      </c>
      <c r="D59" s="26" t="s">
        <v>11507</v>
      </c>
      <c r="E59" s="26"/>
      <c r="F59" s="28"/>
      <c r="G59" s="27"/>
      <c r="H59" s="27"/>
      <c r="I59" s="113" t="s">
        <v>11394</v>
      </c>
    </row>
    <row r="60" spans="2:9" ht="15.5" x14ac:dyDescent="0.35">
      <c r="B60" s="22" t="s">
        <v>11</v>
      </c>
      <c r="C60" s="7" t="s">
        <v>11508</v>
      </c>
      <c r="D60" s="26" t="s">
        <v>11509</v>
      </c>
      <c r="E60" s="26"/>
      <c r="F60" s="28"/>
      <c r="G60" s="27"/>
      <c r="H60" s="27"/>
      <c r="I60" s="113" t="s">
        <v>11394</v>
      </c>
    </row>
    <row r="61" spans="2:9" ht="15.5" x14ac:dyDescent="0.35">
      <c r="B61" s="22" t="s">
        <v>11</v>
      </c>
      <c r="C61" s="7" t="s">
        <v>11510</v>
      </c>
      <c r="D61" s="26" t="s">
        <v>11511</v>
      </c>
      <c r="E61" s="26"/>
      <c r="F61" s="28"/>
      <c r="G61" s="27"/>
      <c r="H61" s="27"/>
      <c r="I61" s="113" t="s">
        <v>11394</v>
      </c>
    </row>
    <row r="62" spans="2:9" ht="15.5" x14ac:dyDescent="0.35">
      <c r="B62" s="22" t="s">
        <v>11</v>
      </c>
      <c r="C62" s="7" t="s">
        <v>11512</v>
      </c>
      <c r="D62" s="26" t="s">
        <v>11513</v>
      </c>
      <c r="E62" s="26"/>
      <c r="F62" s="28"/>
      <c r="G62" s="27"/>
      <c r="H62" s="27"/>
      <c r="I62" s="113" t="s">
        <v>11394</v>
      </c>
    </row>
    <row r="63" spans="2:9" ht="15.5" x14ac:dyDescent="0.35">
      <c r="B63" s="22" t="s">
        <v>11</v>
      </c>
      <c r="C63" s="7" t="s">
        <v>11514</v>
      </c>
      <c r="D63" s="26" t="s">
        <v>11515</v>
      </c>
      <c r="E63" s="26"/>
      <c r="F63" s="28"/>
      <c r="G63" s="27"/>
      <c r="H63" s="27"/>
      <c r="I63" s="113" t="s">
        <v>11394</v>
      </c>
    </row>
    <row r="64" spans="2:9" ht="15.5" x14ac:dyDescent="0.35">
      <c r="B64" s="22" t="s">
        <v>11</v>
      </c>
      <c r="C64" s="7" t="s">
        <v>11516</v>
      </c>
      <c r="D64" s="26" t="s">
        <v>11517</v>
      </c>
      <c r="E64" s="26"/>
      <c r="F64" s="28"/>
      <c r="G64" s="27"/>
      <c r="H64" s="27"/>
      <c r="I64" s="113" t="s">
        <v>11394</v>
      </c>
    </row>
    <row r="65" spans="2:9" ht="15.5" x14ac:dyDescent="0.35">
      <c r="B65" s="22" t="s">
        <v>11</v>
      </c>
      <c r="C65" s="7" t="s">
        <v>11518</v>
      </c>
      <c r="D65" s="26" t="s">
        <v>11519</v>
      </c>
      <c r="E65" s="26" t="s">
        <v>11520</v>
      </c>
      <c r="F65" s="28" t="s">
        <v>61</v>
      </c>
      <c r="G65" s="27" t="s">
        <v>61</v>
      </c>
      <c r="H65" s="99">
        <v>45743</v>
      </c>
      <c r="I65" s="10" t="s">
        <v>62</v>
      </c>
    </row>
    <row r="66" spans="2:9" ht="15.5" x14ac:dyDescent="0.35">
      <c r="B66" s="22" t="s">
        <v>11</v>
      </c>
      <c r="C66" s="7" t="s">
        <v>11521</v>
      </c>
      <c r="D66" s="26" t="s">
        <v>11522</v>
      </c>
      <c r="E66" s="26" t="s">
        <v>11523</v>
      </c>
      <c r="F66" s="28" t="s">
        <v>61</v>
      </c>
      <c r="G66" s="27" t="s">
        <v>61</v>
      </c>
      <c r="H66" s="99">
        <v>45743</v>
      </c>
      <c r="I66" s="10" t="s">
        <v>62</v>
      </c>
    </row>
    <row r="67" spans="2:9" ht="15.5" x14ac:dyDescent="0.35">
      <c r="B67" s="22" t="s">
        <v>11</v>
      </c>
      <c r="C67" s="7" t="s">
        <v>11524</v>
      </c>
      <c r="D67" s="26" t="s">
        <v>11525</v>
      </c>
      <c r="E67" s="26"/>
      <c r="F67" s="28"/>
      <c r="G67" s="27"/>
      <c r="H67" s="27"/>
      <c r="I67" s="113" t="s">
        <v>11394</v>
      </c>
    </row>
    <row r="68" spans="2:9" ht="15.5" x14ac:dyDescent="0.35">
      <c r="B68" s="22" t="s">
        <v>11</v>
      </c>
      <c r="C68" s="7" t="s">
        <v>11526</v>
      </c>
      <c r="D68" s="26" t="s">
        <v>11527</v>
      </c>
      <c r="E68" s="26"/>
      <c r="F68" s="28"/>
      <c r="G68" s="27"/>
      <c r="H68" s="27"/>
      <c r="I68" s="113" t="s">
        <v>11394</v>
      </c>
    </row>
    <row r="69" spans="2:9" ht="15.5" x14ac:dyDescent="0.35">
      <c r="B69" s="22" t="s">
        <v>11</v>
      </c>
      <c r="C69" s="7" t="s">
        <v>11528</v>
      </c>
      <c r="D69" s="26" t="s">
        <v>11529</v>
      </c>
      <c r="E69" s="26"/>
      <c r="F69" s="28"/>
      <c r="G69" s="27"/>
      <c r="H69" s="27"/>
      <c r="I69" s="113" t="s">
        <v>11394</v>
      </c>
    </row>
    <row r="70" spans="2:9" ht="15.5" x14ac:dyDescent="0.35">
      <c r="B70" s="22" t="s">
        <v>11</v>
      </c>
      <c r="C70" s="7" t="s">
        <v>11530</v>
      </c>
      <c r="D70" s="26" t="s">
        <v>11531</v>
      </c>
      <c r="E70" s="26"/>
      <c r="F70" s="28"/>
      <c r="G70" s="27"/>
      <c r="H70" s="27"/>
      <c r="I70" s="113" t="s">
        <v>11394</v>
      </c>
    </row>
    <row r="71" spans="2:9" ht="15.5" x14ac:dyDescent="0.35">
      <c r="B71" s="22" t="s">
        <v>11</v>
      </c>
      <c r="C71" s="7" t="s">
        <v>11532</v>
      </c>
      <c r="D71" s="26" t="s">
        <v>11533</v>
      </c>
      <c r="E71" s="26"/>
      <c r="F71" s="28"/>
      <c r="G71" s="27"/>
      <c r="H71" s="27"/>
      <c r="I71" s="113" t="s">
        <v>11394</v>
      </c>
    </row>
    <row r="72" spans="2:9" ht="29" x14ac:dyDescent="0.35">
      <c r="B72" s="22" t="s">
        <v>11</v>
      </c>
      <c r="C72" s="7" t="s">
        <v>11534</v>
      </c>
      <c r="D72" s="26" t="s">
        <v>11535</v>
      </c>
      <c r="E72" s="26" t="s">
        <v>11536</v>
      </c>
      <c r="F72" s="27" t="s">
        <v>61</v>
      </c>
      <c r="G72" s="27" t="s">
        <v>61</v>
      </c>
      <c r="H72" s="99">
        <v>45743</v>
      </c>
      <c r="I72" s="10" t="s">
        <v>62</v>
      </c>
    </row>
    <row r="73" spans="2:9" ht="15.5" x14ac:dyDescent="0.35">
      <c r="B73" s="22" t="s">
        <v>11</v>
      </c>
      <c r="C73" s="7" t="s">
        <v>11537</v>
      </c>
      <c r="D73" s="26" t="s">
        <v>11538</v>
      </c>
      <c r="E73" s="26"/>
      <c r="F73" s="28"/>
      <c r="G73" s="27"/>
      <c r="H73" s="27"/>
      <c r="I73" s="113" t="s">
        <v>11394</v>
      </c>
    </row>
    <row r="74" spans="2:9" ht="15.5" x14ac:dyDescent="0.35">
      <c r="B74" s="22" t="s">
        <v>11</v>
      </c>
      <c r="C74" s="7" t="s">
        <v>11539</v>
      </c>
      <c r="D74" s="26" t="s">
        <v>11540</v>
      </c>
      <c r="E74" s="26"/>
      <c r="F74" s="28"/>
      <c r="G74" s="27"/>
      <c r="H74" s="27"/>
      <c r="I74" s="113" t="s">
        <v>11394</v>
      </c>
    </row>
    <row r="75" spans="2:9" ht="15.5" x14ac:dyDescent="0.35">
      <c r="B75" s="22" t="s">
        <v>11</v>
      </c>
      <c r="C75" s="7" t="s">
        <v>11541</v>
      </c>
      <c r="D75" s="26" t="s">
        <v>11542</v>
      </c>
      <c r="E75" s="26"/>
      <c r="F75" s="28"/>
      <c r="G75" s="27"/>
      <c r="H75" s="27"/>
      <c r="I75" s="113" t="s">
        <v>11394</v>
      </c>
    </row>
    <row r="76" spans="2:9" ht="15.5" x14ac:dyDescent="0.35">
      <c r="B76" s="22" t="s">
        <v>11</v>
      </c>
      <c r="C76" s="7" t="s">
        <v>11543</v>
      </c>
      <c r="D76" s="26" t="s">
        <v>11544</v>
      </c>
      <c r="E76" s="26" t="s">
        <v>11545</v>
      </c>
      <c r="F76" s="28" t="s">
        <v>61</v>
      </c>
      <c r="G76" s="27" t="s">
        <v>61</v>
      </c>
      <c r="H76" s="99">
        <v>45743</v>
      </c>
      <c r="I76" s="10" t="s">
        <v>62</v>
      </c>
    </row>
    <row r="77" spans="2:9" ht="15.5" x14ac:dyDescent="0.35">
      <c r="B77" s="22" t="s">
        <v>11</v>
      </c>
      <c r="C77" s="7" t="s">
        <v>11546</v>
      </c>
      <c r="D77" s="26" t="s">
        <v>11547</v>
      </c>
      <c r="E77" s="26"/>
      <c r="F77" s="28"/>
      <c r="G77" s="27"/>
      <c r="H77" s="27"/>
      <c r="I77" s="113" t="s">
        <v>11394</v>
      </c>
    </row>
    <row r="78" spans="2:9" ht="15.5" x14ac:dyDescent="0.35">
      <c r="B78" s="22" t="s">
        <v>11</v>
      </c>
      <c r="C78" s="7" t="s">
        <v>11548</v>
      </c>
      <c r="D78" s="26" t="s">
        <v>11549</v>
      </c>
      <c r="E78" s="26"/>
      <c r="F78" s="28"/>
      <c r="G78" s="27"/>
      <c r="H78" s="27"/>
      <c r="I78" s="113" t="s">
        <v>11394</v>
      </c>
    </row>
    <row r="79" spans="2:9" ht="15.5" x14ac:dyDescent="0.35">
      <c r="B79" s="22" t="s">
        <v>11</v>
      </c>
      <c r="C79" s="7" t="s">
        <v>11550</v>
      </c>
      <c r="D79" s="26" t="s">
        <v>11551</v>
      </c>
      <c r="E79" s="26"/>
      <c r="F79" s="28"/>
      <c r="G79" s="27"/>
      <c r="H79" s="27"/>
      <c r="I79" s="113" t="s">
        <v>11394</v>
      </c>
    </row>
    <row r="80" spans="2:9" ht="15.5" x14ac:dyDescent="0.35">
      <c r="B80" s="22" t="s">
        <v>11</v>
      </c>
      <c r="C80" s="7" t="s">
        <v>11552</v>
      </c>
      <c r="D80" s="26" t="s">
        <v>11553</v>
      </c>
      <c r="E80" s="26"/>
      <c r="F80" s="28"/>
      <c r="G80" s="27"/>
      <c r="H80" s="27"/>
      <c r="I80" s="113" t="s">
        <v>11394</v>
      </c>
    </row>
    <row r="81" spans="2:9" ht="15.5" x14ac:dyDescent="0.35">
      <c r="B81" s="22" t="s">
        <v>11</v>
      </c>
      <c r="C81" s="7" t="s">
        <v>11554</v>
      </c>
      <c r="D81" s="26" t="s">
        <v>11555</v>
      </c>
      <c r="E81" s="26" t="s">
        <v>11556</v>
      </c>
      <c r="F81" s="28" t="s">
        <v>61</v>
      </c>
      <c r="G81" s="27" t="s">
        <v>61</v>
      </c>
      <c r="H81" s="99">
        <v>45743</v>
      </c>
      <c r="I81" s="10" t="s">
        <v>62</v>
      </c>
    </row>
    <row r="82" spans="2:9" ht="15.5" x14ac:dyDescent="0.35">
      <c r="B82" s="22" t="s">
        <v>11</v>
      </c>
      <c r="C82" s="7" t="s">
        <v>11557</v>
      </c>
      <c r="D82" s="26" t="s">
        <v>11558</v>
      </c>
      <c r="E82" s="26"/>
      <c r="F82" s="28"/>
      <c r="G82" s="27"/>
      <c r="H82" s="27"/>
      <c r="I82" s="113" t="s">
        <v>11394</v>
      </c>
    </row>
    <row r="83" spans="2:9" ht="15.5" x14ac:dyDescent="0.35">
      <c r="B83" s="22" t="s">
        <v>11</v>
      </c>
      <c r="C83" s="7" t="s">
        <v>11559</v>
      </c>
      <c r="D83" s="26" t="s">
        <v>11560</v>
      </c>
      <c r="E83" s="26"/>
      <c r="F83" s="28"/>
      <c r="G83" s="27"/>
      <c r="H83" s="27"/>
      <c r="I83" s="113" t="s">
        <v>11394</v>
      </c>
    </row>
    <row r="84" spans="2:9" ht="15.5" x14ac:dyDescent="0.35">
      <c r="B84" s="22" t="s">
        <v>11</v>
      </c>
      <c r="C84" s="7" t="s">
        <v>11561</v>
      </c>
      <c r="D84" s="26" t="s">
        <v>11562</v>
      </c>
      <c r="E84" s="26"/>
      <c r="F84" s="28"/>
      <c r="G84" s="27"/>
      <c r="H84" s="27"/>
      <c r="I84" s="113" t="s">
        <v>11394</v>
      </c>
    </row>
    <row r="85" spans="2:9" ht="15.5" x14ac:dyDescent="0.35">
      <c r="B85" s="22" t="s">
        <v>11</v>
      </c>
      <c r="C85" s="7" t="s">
        <v>11563</v>
      </c>
      <c r="D85" s="26" t="s">
        <v>11564</v>
      </c>
      <c r="E85" s="26" t="s">
        <v>11565</v>
      </c>
      <c r="F85" s="28" t="s">
        <v>61</v>
      </c>
      <c r="G85" s="27" t="s">
        <v>61</v>
      </c>
      <c r="H85" s="99">
        <v>45743</v>
      </c>
      <c r="I85" s="10" t="s">
        <v>62</v>
      </c>
    </row>
    <row r="86" spans="2:9" ht="15.5" x14ac:dyDescent="0.35">
      <c r="B86" s="22" t="s">
        <v>11</v>
      </c>
      <c r="C86" s="7" t="s">
        <v>11566</v>
      </c>
      <c r="D86" s="26" t="s">
        <v>11567</v>
      </c>
      <c r="E86" s="26" t="s">
        <v>11568</v>
      </c>
      <c r="F86" s="28" t="s">
        <v>61</v>
      </c>
      <c r="G86" s="27" t="s">
        <v>61</v>
      </c>
      <c r="H86" s="99">
        <v>45743</v>
      </c>
      <c r="I86" s="10" t="s">
        <v>62</v>
      </c>
    </row>
    <row r="87" spans="2:9" ht="15.5" x14ac:dyDescent="0.35">
      <c r="B87" s="22" t="s">
        <v>11</v>
      </c>
      <c r="C87" s="7" t="s">
        <v>11569</v>
      </c>
      <c r="D87" s="26" t="s">
        <v>11570</v>
      </c>
      <c r="E87" s="26" t="s">
        <v>11571</v>
      </c>
      <c r="F87" s="28" t="s">
        <v>61</v>
      </c>
      <c r="G87" s="27" t="s">
        <v>61</v>
      </c>
      <c r="H87" s="99">
        <v>45656</v>
      </c>
      <c r="I87" s="10" t="s">
        <v>62</v>
      </c>
    </row>
    <row r="88" spans="2:9" ht="15.5" x14ac:dyDescent="0.35">
      <c r="B88" s="22" t="s">
        <v>11</v>
      </c>
      <c r="C88" s="7" t="s">
        <v>11572</v>
      </c>
      <c r="D88" s="26" t="s">
        <v>11573</v>
      </c>
      <c r="E88" s="26"/>
      <c r="F88" s="28"/>
      <c r="G88" s="27"/>
      <c r="H88" s="27"/>
      <c r="I88" s="113" t="s">
        <v>11394</v>
      </c>
    </row>
    <row r="89" spans="2:9" ht="15.5" x14ac:dyDescent="0.35">
      <c r="B89" s="22" t="s">
        <v>11</v>
      </c>
      <c r="C89" s="7" t="s">
        <v>11574</v>
      </c>
      <c r="D89" s="26" t="s">
        <v>11575</v>
      </c>
      <c r="E89" s="26"/>
      <c r="F89" s="28"/>
      <c r="G89" s="27"/>
      <c r="H89" s="27"/>
      <c r="I89" s="113" t="s">
        <v>11394</v>
      </c>
    </row>
    <row r="90" spans="2:9" ht="15.5" x14ac:dyDescent="0.35">
      <c r="B90" s="22" t="s">
        <v>11</v>
      </c>
      <c r="C90" s="7" t="s">
        <v>11576</v>
      </c>
      <c r="D90" s="26" t="s">
        <v>11577</v>
      </c>
      <c r="E90" s="26"/>
      <c r="F90" s="28"/>
      <c r="G90" s="27"/>
      <c r="H90" s="27"/>
      <c r="I90" s="113" t="s">
        <v>11394</v>
      </c>
    </row>
    <row r="91" spans="2:9" ht="15.5" x14ac:dyDescent="0.35">
      <c r="B91" s="22" t="s">
        <v>11</v>
      </c>
      <c r="C91" s="7" t="s">
        <v>11578</v>
      </c>
      <c r="D91" s="26" t="s">
        <v>11579</v>
      </c>
      <c r="E91" s="26" t="s">
        <v>11580</v>
      </c>
      <c r="F91" s="28" t="s">
        <v>61</v>
      </c>
      <c r="G91" s="27" t="s">
        <v>61</v>
      </c>
      <c r="H91" s="99">
        <v>45743</v>
      </c>
      <c r="I91" s="10" t="s">
        <v>62</v>
      </c>
    </row>
    <row r="92" spans="2:9" ht="15.5" x14ac:dyDescent="0.35">
      <c r="B92" s="22" t="s">
        <v>11</v>
      </c>
      <c r="C92" s="7" t="s">
        <v>11581</v>
      </c>
      <c r="D92" s="26" t="s">
        <v>11582</v>
      </c>
      <c r="E92" s="26"/>
      <c r="F92" s="28"/>
      <c r="G92" s="27"/>
      <c r="H92" s="27"/>
      <c r="I92" s="113" t="s">
        <v>11394</v>
      </c>
    </row>
    <row r="93" spans="2:9" ht="15.5" x14ac:dyDescent="0.35">
      <c r="B93" s="22" t="s">
        <v>11</v>
      </c>
      <c r="C93" s="7" t="s">
        <v>11583</v>
      </c>
      <c r="D93" s="26" t="s">
        <v>11584</v>
      </c>
      <c r="E93" s="26"/>
      <c r="F93" s="28"/>
      <c r="G93" s="27"/>
      <c r="H93" s="27"/>
      <c r="I93" s="113" t="s">
        <v>11394</v>
      </c>
    </row>
    <row r="94" spans="2:9" ht="15.5" x14ac:dyDescent="0.35">
      <c r="B94" s="22" t="s">
        <v>11</v>
      </c>
      <c r="C94" s="7" t="s">
        <v>11585</v>
      </c>
      <c r="D94" s="26" t="s">
        <v>11586</v>
      </c>
      <c r="E94" s="26" t="s">
        <v>11587</v>
      </c>
      <c r="F94" s="28" t="s">
        <v>61</v>
      </c>
      <c r="G94" s="27" t="s">
        <v>61</v>
      </c>
      <c r="H94" s="99">
        <v>45743</v>
      </c>
      <c r="I94" s="10" t="s">
        <v>62</v>
      </c>
    </row>
    <row r="95" spans="2:9" ht="15.5" x14ac:dyDescent="0.35">
      <c r="B95" s="22" t="s">
        <v>11</v>
      </c>
      <c r="C95" s="7" t="s">
        <v>11588</v>
      </c>
      <c r="D95" s="26" t="s">
        <v>11589</v>
      </c>
      <c r="E95" s="26"/>
      <c r="F95" s="28"/>
      <c r="G95" s="27"/>
      <c r="H95" s="27"/>
      <c r="I95" s="113" t="s">
        <v>11394</v>
      </c>
    </row>
    <row r="96" spans="2:9" ht="15.5" x14ac:dyDescent="0.35">
      <c r="B96" s="22" t="s">
        <v>11</v>
      </c>
      <c r="C96" s="7" t="s">
        <v>11590</v>
      </c>
      <c r="D96" s="26" t="s">
        <v>11591</v>
      </c>
      <c r="E96" s="26"/>
      <c r="F96" s="28"/>
      <c r="G96" s="27"/>
      <c r="H96" s="27"/>
      <c r="I96" s="113" t="s">
        <v>11394</v>
      </c>
    </row>
    <row r="97" spans="2:9" ht="15.5" x14ac:dyDescent="0.35">
      <c r="B97" s="22" t="s">
        <v>11</v>
      </c>
      <c r="C97" s="7" t="s">
        <v>11592</v>
      </c>
      <c r="D97" s="26" t="s">
        <v>11593</v>
      </c>
      <c r="E97" s="26"/>
      <c r="F97" s="28" t="s">
        <v>61</v>
      </c>
      <c r="G97" s="27"/>
      <c r="H97" s="99">
        <v>44914</v>
      </c>
      <c r="I97" s="10" t="s">
        <v>62</v>
      </c>
    </row>
    <row r="98" spans="2:9" ht="29" x14ac:dyDescent="0.35">
      <c r="B98" s="22" t="s">
        <v>11</v>
      </c>
      <c r="C98" s="7" t="s">
        <v>11594</v>
      </c>
      <c r="D98" s="26" t="s">
        <v>11595</v>
      </c>
      <c r="E98" s="26"/>
      <c r="F98" s="28"/>
      <c r="G98" s="27"/>
      <c r="H98" s="27"/>
      <c r="I98" s="113" t="s">
        <v>11394</v>
      </c>
    </row>
    <row r="99" spans="2:9" ht="15.5" x14ac:dyDescent="0.35">
      <c r="B99" s="22" t="s">
        <v>11</v>
      </c>
      <c r="C99" s="7" t="s">
        <v>11596</v>
      </c>
      <c r="D99" s="26" t="s">
        <v>11597</v>
      </c>
      <c r="E99" s="26" t="s">
        <v>11598</v>
      </c>
      <c r="F99" s="28" t="s">
        <v>61</v>
      </c>
      <c r="G99" s="27" t="s">
        <v>61</v>
      </c>
      <c r="H99" s="99">
        <v>45743</v>
      </c>
      <c r="I99" s="10" t="s">
        <v>62</v>
      </c>
    </row>
    <row r="100" spans="2:9" ht="15.5" x14ac:dyDescent="0.35">
      <c r="B100" s="22" t="s">
        <v>11</v>
      </c>
      <c r="C100" s="7" t="s">
        <v>11599</v>
      </c>
      <c r="D100" s="26" t="s">
        <v>11600</v>
      </c>
      <c r="E100" s="26"/>
      <c r="F100" s="28"/>
      <c r="G100" s="27"/>
      <c r="H100" s="27"/>
      <c r="I100" s="113" t="s">
        <v>11394</v>
      </c>
    </row>
    <row r="101" spans="2:9" ht="15.5" x14ac:dyDescent="0.35">
      <c r="B101" s="22" t="s">
        <v>11</v>
      </c>
      <c r="C101" s="7" t="s">
        <v>11601</v>
      </c>
      <c r="D101" s="26" t="s">
        <v>11602</v>
      </c>
      <c r="E101" s="26" t="s">
        <v>11603</v>
      </c>
      <c r="F101" s="28" t="s">
        <v>61</v>
      </c>
      <c r="G101" s="27" t="s">
        <v>61</v>
      </c>
      <c r="H101" s="99">
        <v>45799</v>
      </c>
      <c r="I101" s="10" t="s">
        <v>62</v>
      </c>
    </row>
    <row r="102" spans="2:9" ht="15.5" x14ac:dyDescent="0.35">
      <c r="B102" s="22" t="s">
        <v>11</v>
      </c>
      <c r="C102" s="7" t="s">
        <v>11604</v>
      </c>
      <c r="D102" s="26" t="s">
        <v>11605</v>
      </c>
      <c r="E102" s="26" t="s">
        <v>11606</v>
      </c>
      <c r="F102" s="28" t="s">
        <v>61</v>
      </c>
      <c r="G102" s="27" t="s">
        <v>61</v>
      </c>
      <c r="H102" s="99">
        <v>45523</v>
      </c>
      <c r="I102" s="10" t="s">
        <v>62</v>
      </c>
    </row>
    <row r="103" spans="2:9" ht="15.5" x14ac:dyDescent="0.35">
      <c r="B103" s="22" t="s">
        <v>11</v>
      </c>
      <c r="C103" s="7" t="s">
        <v>11607</v>
      </c>
      <c r="D103" s="26" t="s">
        <v>11608</v>
      </c>
      <c r="E103" s="26"/>
      <c r="F103" s="28" t="s">
        <v>61</v>
      </c>
      <c r="G103" s="27"/>
      <c r="H103" s="99">
        <v>44914</v>
      </c>
      <c r="I103" s="10" t="s">
        <v>62</v>
      </c>
    </row>
    <row r="104" spans="2:9" ht="15.5" x14ac:dyDescent="0.35">
      <c r="B104" s="22" t="s">
        <v>11</v>
      </c>
      <c r="C104" s="7" t="s">
        <v>11609</v>
      </c>
      <c r="D104" s="26" t="s">
        <v>11610</v>
      </c>
      <c r="E104" s="26" t="s">
        <v>11611</v>
      </c>
      <c r="F104" s="28" t="s">
        <v>61</v>
      </c>
      <c r="G104" s="27" t="s">
        <v>61</v>
      </c>
      <c r="H104" s="99">
        <v>45462</v>
      </c>
      <c r="I104" s="10" t="s">
        <v>62</v>
      </c>
    </row>
    <row r="105" spans="2:9" ht="15.5" x14ac:dyDescent="0.35">
      <c r="B105" s="22" t="s">
        <v>11</v>
      </c>
      <c r="C105" s="7" t="s">
        <v>11612</v>
      </c>
      <c r="D105" s="26" t="s">
        <v>11613</v>
      </c>
      <c r="E105" s="26" t="s">
        <v>11614</v>
      </c>
      <c r="F105" s="28" t="s">
        <v>61</v>
      </c>
      <c r="G105" s="27" t="s">
        <v>61</v>
      </c>
      <c r="H105" s="99">
        <v>45462</v>
      </c>
      <c r="I105" s="10" t="s">
        <v>62</v>
      </c>
    </row>
    <row r="106" spans="2:9" ht="15.5" x14ac:dyDescent="0.35">
      <c r="B106" s="22" t="s">
        <v>11</v>
      </c>
      <c r="C106" s="7" t="s">
        <v>11615</v>
      </c>
      <c r="D106" s="26" t="s">
        <v>11616</v>
      </c>
      <c r="E106" s="26"/>
      <c r="F106" s="28" t="s">
        <v>61</v>
      </c>
      <c r="G106" s="27"/>
      <c r="H106" s="99">
        <v>44725</v>
      </c>
      <c r="I106" s="10" t="s">
        <v>62</v>
      </c>
    </row>
    <row r="107" spans="2:9" ht="15.5" x14ac:dyDescent="0.35">
      <c r="B107" s="22" t="s">
        <v>11</v>
      </c>
      <c r="C107" s="7" t="s">
        <v>11617</v>
      </c>
      <c r="D107" s="26" t="s">
        <v>11618</v>
      </c>
      <c r="E107" s="26"/>
      <c r="F107" s="28" t="s">
        <v>61</v>
      </c>
      <c r="G107" s="27"/>
      <c r="H107" s="99">
        <v>44725</v>
      </c>
      <c r="I107" s="10" t="s">
        <v>62</v>
      </c>
    </row>
    <row r="108" spans="2:9" ht="15.5" x14ac:dyDescent="0.35">
      <c r="B108" s="22" t="s">
        <v>11</v>
      </c>
      <c r="C108" s="7" t="s">
        <v>11619</v>
      </c>
      <c r="D108" s="26" t="s">
        <v>11620</v>
      </c>
      <c r="E108" s="26"/>
      <c r="F108" s="28" t="s">
        <v>61</v>
      </c>
      <c r="G108" s="27"/>
      <c r="H108" s="99">
        <v>45098</v>
      </c>
      <c r="I108" s="10" t="s">
        <v>62</v>
      </c>
    </row>
    <row r="109" spans="2:9" ht="15.5" x14ac:dyDescent="0.35">
      <c r="B109" s="22" t="s">
        <v>11</v>
      </c>
      <c r="C109" s="7" t="s">
        <v>11621</v>
      </c>
      <c r="D109" s="26" t="s">
        <v>11622</v>
      </c>
      <c r="E109" s="26"/>
      <c r="F109" s="28" t="s">
        <v>61</v>
      </c>
      <c r="G109" s="27"/>
      <c r="H109" s="99">
        <v>45202</v>
      </c>
      <c r="I109" s="10" t="s">
        <v>62</v>
      </c>
    </row>
    <row r="110" spans="2:9" ht="15.5" x14ac:dyDescent="0.35">
      <c r="B110" s="22" t="s">
        <v>11</v>
      </c>
      <c r="C110" s="7" t="s">
        <v>11623</v>
      </c>
      <c r="D110" s="26" t="s">
        <v>11624</v>
      </c>
      <c r="E110" s="26"/>
      <c r="F110" s="28"/>
      <c r="G110" s="27"/>
      <c r="H110" s="27"/>
      <c r="I110" s="113" t="s">
        <v>11394</v>
      </c>
    </row>
    <row r="111" spans="2:9" ht="15.5" x14ac:dyDescent="0.35">
      <c r="B111" s="22" t="s">
        <v>11</v>
      </c>
      <c r="C111" s="7" t="s">
        <v>11625</v>
      </c>
      <c r="D111" s="26" t="s">
        <v>11626</v>
      </c>
      <c r="E111" s="26"/>
      <c r="F111" s="28"/>
      <c r="G111" s="27"/>
      <c r="H111" s="27"/>
      <c r="I111" s="113" t="s">
        <v>11394</v>
      </c>
    </row>
    <row r="112" spans="2:9" ht="15.5" x14ac:dyDescent="0.35">
      <c r="B112" s="22" t="s">
        <v>11</v>
      </c>
      <c r="C112" s="7" t="s">
        <v>11627</v>
      </c>
      <c r="D112" s="26" t="s">
        <v>11628</v>
      </c>
      <c r="E112" s="26" t="s">
        <v>11629</v>
      </c>
      <c r="F112" s="28" t="s">
        <v>61</v>
      </c>
      <c r="G112" s="27" t="s">
        <v>61</v>
      </c>
      <c r="H112" s="99">
        <v>45743</v>
      </c>
      <c r="I112" s="10" t="s">
        <v>62</v>
      </c>
    </row>
    <row r="113" spans="2:9" ht="29" x14ac:dyDescent="0.35">
      <c r="B113" s="22" t="s">
        <v>11</v>
      </c>
      <c r="C113" s="7" t="s">
        <v>11630</v>
      </c>
      <c r="D113" s="26" t="s">
        <v>11631</v>
      </c>
      <c r="E113" s="26" t="s">
        <v>11632</v>
      </c>
      <c r="F113" s="27" t="s">
        <v>61</v>
      </c>
      <c r="G113" s="27" t="s">
        <v>61</v>
      </c>
      <c r="H113" s="99">
        <v>45743</v>
      </c>
      <c r="I113" s="10" t="s">
        <v>62</v>
      </c>
    </row>
    <row r="114" spans="2:9" ht="29" x14ac:dyDescent="0.35">
      <c r="B114" s="22" t="s">
        <v>11</v>
      </c>
      <c r="C114" s="7" t="s">
        <v>11633</v>
      </c>
      <c r="D114" s="26" t="s">
        <v>11634</v>
      </c>
      <c r="E114" s="26" t="s">
        <v>11635</v>
      </c>
      <c r="F114" s="27" t="s">
        <v>61</v>
      </c>
      <c r="G114" s="27" t="s">
        <v>61</v>
      </c>
      <c r="H114" s="99">
        <v>45743</v>
      </c>
      <c r="I114" s="10" t="s">
        <v>62</v>
      </c>
    </row>
    <row r="115" spans="2:9" ht="15.5" x14ac:dyDescent="0.35">
      <c r="B115" s="22" t="s">
        <v>11</v>
      </c>
      <c r="C115" s="7" t="s">
        <v>11636</v>
      </c>
      <c r="D115" s="26" t="s">
        <v>11637</v>
      </c>
      <c r="E115" s="26" t="s">
        <v>11638</v>
      </c>
      <c r="F115" s="28" t="s">
        <v>61</v>
      </c>
      <c r="G115" s="27" t="s">
        <v>61</v>
      </c>
      <c r="H115" s="99">
        <v>45743</v>
      </c>
      <c r="I115" s="10" t="s">
        <v>62</v>
      </c>
    </row>
    <row r="116" spans="2:9" ht="15.5" x14ac:dyDescent="0.35">
      <c r="B116" s="22" t="s">
        <v>11</v>
      </c>
      <c r="C116" s="7" t="s">
        <v>11639</v>
      </c>
      <c r="D116" s="26" t="s">
        <v>11640</v>
      </c>
      <c r="E116" s="26"/>
      <c r="F116" s="28"/>
      <c r="G116" s="27"/>
      <c r="H116" s="27"/>
      <c r="I116" s="113" t="s">
        <v>11394</v>
      </c>
    </row>
    <row r="117" spans="2:9" ht="15.5" x14ac:dyDescent="0.35">
      <c r="B117" s="22" t="s">
        <v>11</v>
      </c>
      <c r="C117" s="7" t="s">
        <v>11641</v>
      </c>
      <c r="D117" s="26" t="s">
        <v>11642</v>
      </c>
      <c r="E117" s="26" t="s">
        <v>11643</v>
      </c>
      <c r="F117" s="28" t="s">
        <v>61</v>
      </c>
      <c r="G117" s="27" t="s">
        <v>61</v>
      </c>
      <c r="H117" s="99">
        <v>45743</v>
      </c>
      <c r="I117" s="10" t="s">
        <v>62</v>
      </c>
    </row>
    <row r="118" spans="2:9" ht="15.5" x14ac:dyDescent="0.35">
      <c r="B118" s="22" t="s">
        <v>11</v>
      </c>
      <c r="C118" s="7" t="s">
        <v>11644</v>
      </c>
      <c r="D118" s="26" t="s">
        <v>11645</v>
      </c>
      <c r="E118" s="26" t="s">
        <v>11645</v>
      </c>
      <c r="F118" s="28" t="s">
        <v>61</v>
      </c>
      <c r="G118" s="27" t="s">
        <v>61</v>
      </c>
      <c r="H118" s="27"/>
      <c r="I118" s="10" t="s">
        <v>62</v>
      </c>
    </row>
    <row r="119" spans="2:9" ht="29" x14ac:dyDescent="0.35">
      <c r="B119" s="22" t="s">
        <v>11</v>
      </c>
      <c r="C119" s="7" t="s">
        <v>11646</v>
      </c>
      <c r="D119" s="26" t="s">
        <v>11647</v>
      </c>
      <c r="E119" s="26" t="s">
        <v>11648</v>
      </c>
      <c r="F119" s="27" t="s">
        <v>61</v>
      </c>
      <c r="G119" s="27" t="s">
        <v>61</v>
      </c>
      <c r="H119" s="27"/>
      <c r="I119" s="10" t="s">
        <v>62</v>
      </c>
    </row>
    <row r="120" spans="2:9" ht="15.5" x14ac:dyDescent="0.35">
      <c r="B120" s="22" t="s">
        <v>11</v>
      </c>
      <c r="C120" s="7" t="s">
        <v>11649</v>
      </c>
      <c r="D120" s="26" t="s">
        <v>11650</v>
      </c>
      <c r="E120" s="26" t="s">
        <v>11651</v>
      </c>
      <c r="F120" s="28" t="s">
        <v>61</v>
      </c>
      <c r="G120" s="27" t="s">
        <v>61</v>
      </c>
      <c r="H120" s="99">
        <v>45743</v>
      </c>
      <c r="I120" s="10" t="s">
        <v>62</v>
      </c>
    </row>
    <row r="121" spans="2:9" ht="15.5" x14ac:dyDescent="0.35">
      <c r="B121" s="22" t="s">
        <v>11</v>
      </c>
      <c r="C121" s="7" t="s">
        <v>11652</v>
      </c>
      <c r="D121" s="26" t="s">
        <v>11653</v>
      </c>
      <c r="E121" s="26" t="s">
        <v>11654</v>
      </c>
      <c r="F121" s="28" t="s">
        <v>61</v>
      </c>
      <c r="G121" s="27" t="s">
        <v>61</v>
      </c>
      <c r="H121" s="99">
        <v>45743</v>
      </c>
      <c r="I121" s="10" t="s">
        <v>62</v>
      </c>
    </row>
    <row r="122" spans="2:9" ht="15.5" x14ac:dyDescent="0.35">
      <c r="B122" s="22" t="s">
        <v>11</v>
      </c>
      <c r="C122" s="7" t="s">
        <v>11655</v>
      </c>
      <c r="D122" s="26" t="s">
        <v>11656</v>
      </c>
      <c r="E122" s="26" t="s">
        <v>11657</v>
      </c>
      <c r="F122" s="28" t="s">
        <v>61</v>
      </c>
      <c r="G122" s="27" t="s">
        <v>61</v>
      </c>
      <c r="H122" s="99">
        <v>45743</v>
      </c>
      <c r="I122" s="10" t="s">
        <v>62</v>
      </c>
    </row>
    <row r="123" spans="2:9" ht="15.5" x14ac:dyDescent="0.35">
      <c r="B123" s="22" t="s">
        <v>11</v>
      </c>
      <c r="C123" s="7" t="s">
        <v>11658</v>
      </c>
      <c r="D123" s="26" t="s">
        <v>11659</v>
      </c>
      <c r="E123" s="26" t="s">
        <v>11660</v>
      </c>
      <c r="F123" s="28" t="s">
        <v>61</v>
      </c>
      <c r="G123" s="27" t="s">
        <v>61</v>
      </c>
      <c r="H123" s="99">
        <v>45743</v>
      </c>
      <c r="I123" s="10" t="s">
        <v>62</v>
      </c>
    </row>
    <row r="124" spans="2:9" ht="16" customHeight="1" x14ac:dyDescent="0.35">
      <c r="B124" s="22" t="s">
        <v>11</v>
      </c>
      <c r="C124" s="7" t="s">
        <v>11661</v>
      </c>
      <c r="D124" s="26" t="s">
        <v>11662</v>
      </c>
      <c r="E124" s="26"/>
      <c r="F124" s="28"/>
      <c r="G124" s="27"/>
      <c r="H124" s="27"/>
      <c r="I124" s="113" t="s">
        <v>11394</v>
      </c>
    </row>
    <row r="125" spans="2:9" ht="15.5" x14ac:dyDescent="0.35">
      <c r="B125" s="22" t="s">
        <v>11</v>
      </c>
      <c r="C125" s="7" t="s">
        <v>11663</v>
      </c>
      <c r="D125" s="26" t="s">
        <v>11664</v>
      </c>
      <c r="E125" s="26"/>
      <c r="F125" s="28"/>
      <c r="G125" s="27"/>
      <c r="H125" s="27"/>
      <c r="I125" s="113" t="s">
        <v>11394</v>
      </c>
    </row>
    <row r="126" spans="2:9" ht="15.5" x14ac:dyDescent="0.35">
      <c r="B126" s="22" t="s">
        <v>11</v>
      </c>
      <c r="C126" s="7" t="s">
        <v>11665</v>
      </c>
      <c r="D126" s="26" t="s">
        <v>11666</v>
      </c>
      <c r="E126" s="26" t="s">
        <v>11667</v>
      </c>
      <c r="F126" s="28" t="s">
        <v>61</v>
      </c>
      <c r="G126" s="27" t="s">
        <v>61</v>
      </c>
      <c r="H126" s="99">
        <v>45743</v>
      </c>
      <c r="I126" s="10" t="s">
        <v>62</v>
      </c>
    </row>
    <row r="127" spans="2:9" ht="15.5" x14ac:dyDescent="0.35">
      <c r="B127" s="22" t="s">
        <v>11</v>
      </c>
      <c r="C127" s="7" t="s">
        <v>11668</v>
      </c>
      <c r="D127" s="26" t="s">
        <v>11669</v>
      </c>
      <c r="E127" s="26"/>
      <c r="F127" s="28"/>
      <c r="G127" s="27"/>
      <c r="H127" s="27"/>
      <c r="I127" s="113" t="s">
        <v>11394</v>
      </c>
    </row>
    <row r="128" spans="2:9" ht="15.5" x14ac:dyDescent="0.35">
      <c r="B128" s="22" t="s">
        <v>11</v>
      </c>
      <c r="C128" s="7" t="s">
        <v>11670</v>
      </c>
      <c r="D128" s="26" t="s">
        <v>11671</v>
      </c>
      <c r="E128" s="26" t="s">
        <v>11672</v>
      </c>
      <c r="F128" s="28" t="s">
        <v>61</v>
      </c>
      <c r="G128" s="27" t="s">
        <v>61</v>
      </c>
      <c r="H128" s="99">
        <v>45743</v>
      </c>
      <c r="I128" s="10" t="s">
        <v>62</v>
      </c>
    </row>
    <row r="129" spans="2:9" ht="29" x14ac:dyDescent="0.35">
      <c r="B129" s="22" t="s">
        <v>11</v>
      </c>
      <c r="C129" s="7" t="s">
        <v>11673</v>
      </c>
      <c r="D129" s="26" t="s">
        <v>11674</v>
      </c>
      <c r="E129" s="26" t="s">
        <v>11675</v>
      </c>
      <c r="F129" s="27" t="s">
        <v>61</v>
      </c>
      <c r="G129" s="27" t="s">
        <v>61</v>
      </c>
      <c r="H129" s="99">
        <v>45743</v>
      </c>
      <c r="I129" s="10" t="s">
        <v>62</v>
      </c>
    </row>
    <row r="130" spans="2:9" ht="15.5" x14ac:dyDescent="0.35">
      <c r="B130" s="22" t="s">
        <v>11</v>
      </c>
      <c r="C130" s="7" t="s">
        <v>11676</v>
      </c>
      <c r="D130" s="26" t="s">
        <v>11677</v>
      </c>
      <c r="E130" s="26"/>
      <c r="F130" s="28" t="s">
        <v>61</v>
      </c>
      <c r="G130" s="27"/>
      <c r="H130" s="99">
        <v>45743</v>
      </c>
      <c r="I130" s="10" t="s">
        <v>62</v>
      </c>
    </row>
    <row r="131" spans="2:9" ht="15.5" x14ac:dyDescent="0.35">
      <c r="B131" s="22" t="s">
        <v>11</v>
      </c>
      <c r="C131" s="7" t="s">
        <v>11678</v>
      </c>
      <c r="D131" s="26" t="s">
        <v>11679</v>
      </c>
      <c r="E131" s="26"/>
      <c r="F131" s="28"/>
      <c r="G131" s="27"/>
      <c r="H131" s="27"/>
      <c r="I131" s="113" t="s">
        <v>11394</v>
      </c>
    </row>
    <row r="132" spans="2:9" ht="43.5" x14ac:dyDescent="0.35">
      <c r="B132" s="22" t="s">
        <v>11</v>
      </c>
      <c r="C132" s="7" t="s">
        <v>11680</v>
      </c>
      <c r="D132" s="26" t="s">
        <v>11681</v>
      </c>
      <c r="E132" s="26" t="s">
        <v>11682</v>
      </c>
      <c r="F132" s="27" t="s">
        <v>61</v>
      </c>
      <c r="G132" s="27" t="s">
        <v>61</v>
      </c>
      <c r="H132" s="99">
        <v>45743</v>
      </c>
      <c r="I132" s="10" t="s">
        <v>62</v>
      </c>
    </row>
    <row r="133" spans="2:9" ht="29" x14ac:dyDescent="0.35">
      <c r="B133" s="22" t="s">
        <v>11</v>
      </c>
      <c r="C133" s="7" t="s">
        <v>11683</v>
      </c>
      <c r="D133" s="26" t="s">
        <v>11684</v>
      </c>
      <c r="E133" s="26" t="s">
        <v>11685</v>
      </c>
      <c r="F133" s="27" t="s">
        <v>61</v>
      </c>
      <c r="G133" s="27" t="s">
        <v>61</v>
      </c>
      <c r="H133" s="99">
        <v>45743</v>
      </c>
      <c r="I133" s="10" t="s">
        <v>62</v>
      </c>
    </row>
    <row r="134" spans="2:9" ht="29" x14ac:dyDescent="0.35">
      <c r="B134" s="22" t="s">
        <v>11</v>
      </c>
      <c r="C134" s="7" t="s">
        <v>11686</v>
      </c>
      <c r="D134" s="26" t="s">
        <v>11687</v>
      </c>
      <c r="E134" s="26" t="s">
        <v>11688</v>
      </c>
      <c r="F134" s="27" t="s">
        <v>61</v>
      </c>
      <c r="G134" s="27" t="s">
        <v>61</v>
      </c>
      <c r="H134" s="99">
        <v>45743</v>
      </c>
      <c r="I134" s="10" t="s">
        <v>62</v>
      </c>
    </row>
    <row r="135" spans="2:9" ht="29" x14ac:dyDescent="0.35">
      <c r="B135" s="22" t="s">
        <v>11</v>
      </c>
      <c r="C135" s="7" t="s">
        <v>11689</v>
      </c>
      <c r="D135" s="26" t="s">
        <v>11690</v>
      </c>
      <c r="E135" s="26" t="s">
        <v>11691</v>
      </c>
      <c r="F135" s="27" t="s">
        <v>61</v>
      </c>
      <c r="G135" s="27" t="s">
        <v>61</v>
      </c>
      <c r="H135" s="99">
        <v>45743</v>
      </c>
      <c r="I135" s="10" t="s">
        <v>62</v>
      </c>
    </row>
    <row r="136" spans="2:9" ht="15.5" x14ac:dyDescent="0.35">
      <c r="B136" s="22" t="s">
        <v>11</v>
      </c>
      <c r="C136" s="7" t="s">
        <v>11692</v>
      </c>
      <c r="D136" s="26" t="s">
        <v>11693</v>
      </c>
      <c r="E136" s="26" t="s">
        <v>11694</v>
      </c>
      <c r="F136" s="28" t="s">
        <v>61</v>
      </c>
      <c r="G136" s="27" t="s">
        <v>61</v>
      </c>
      <c r="H136" s="99">
        <v>45656</v>
      </c>
      <c r="I136" s="10" t="s">
        <v>62</v>
      </c>
    </row>
    <row r="137" spans="2:9" ht="15.5" x14ac:dyDescent="0.35">
      <c r="B137" s="22" t="s">
        <v>11</v>
      </c>
      <c r="C137" s="7" t="s">
        <v>11695</v>
      </c>
      <c r="D137" s="26" t="s">
        <v>11696</v>
      </c>
      <c r="E137" s="26" t="s">
        <v>11697</v>
      </c>
      <c r="F137" s="28" t="s">
        <v>61</v>
      </c>
      <c r="G137" s="27" t="s">
        <v>61</v>
      </c>
      <c r="H137" s="99">
        <v>45656</v>
      </c>
      <c r="I137" s="10" t="s">
        <v>62</v>
      </c>
    </row>
    <row r="138" spans="2:9" ht="15.5" x14ac:dyDescent="0.35">
      <c r="B138" s="22" t="s">
        <v>11</v>
      </c>
      <c r="C138" s="7" t="s">
        <v>11698</v>
      </c>
      <c r="D138" s="26" t="s">
        <v>11699</v>
      </c>
      <c r="E138" s="26" t="s">
        <v>11700</v>
      </c>
      <c r="F138" s="28" t="s">
        <v>61</v>
      </c>
      <c r="G138" s="27" t="s">
        <v>61</v>
      </c>
      <c r="H138" s="99">
        <v>45656</v>
      </c>
      <c r="I138" s="10" t="s">
        <v>62</v>
      </c>
    </row>
    <row r="139" spans="2:9" ht="15.5" x14ac:dyDescent="0.35">
      <c r="B139" s="22" t="s">
        <v>11</v>
      </c>
      <c r="C139" s="7" t="s">
        <v>11701</v>
      </c>
      <c r="D139" s="26" t="s">
        <v>11702</v>
      </c>
      <c r="E139" s="26" t="s">
        <v>11703</v>
      </c>
      <c r="F139" s="28" t="s">
        <v>61</v>
      </c>
      <c r="G139" s="27" t="s">
        <v>61</v>
      </c>
      <c r="H139" s="99">
        <v>45656</v>
      </c>
      <c r="I139" s="10" t="s">
        <v>62</v>
      </c>
    </row>
    <row r="140" spans="2:9" ht="15.5" x14ac:dyDescent="0.35">
      <c r="B140" s="22" t="s">
        <v>11</v>
      </c>
      <c r="C140" s="7" t="s">
        <v>11704</v>
      </c>
      <c r="D140" s="26" t="s">
        <v>11705</v>
      </c>
      <c r="E140" s="26" t="s">
        <v>11706</v>
      </c>
      <c r="F140" s="28" t="s">
        <v>61</v>
      </c>
      <c r="G140" s="27" t="s">
        <v>61</v>
      </c>
      <c r="H140" s="99">
        <v>45656</v>
      </c>
      <c r="I140" s="10" t="s">
        <v>62</v>
      </c>
    </row>
    <row r="141" spans="2:9" ht="15.5" x14ac:dyDescent="0.35">
      <c r="B141" s="22" t="s">
        <v>11</v>
      </c>
      <c r="C141" s="7" t="s">
        <v>11707</v>
      </c>
      <c r="D141" s="26" t="s">
        <v>11708</v>
      </c>
      <c r="E141" s="26" t="s">
        <v>11709</v>
      </c>
      <c r="F141" s="28" t="s">
        <v>61</v>
      </c>
      <c r="G141" s="27" t="s">
        <v>61</v>
      </c>
      <c r="H141" s="99">
        <v>45656</v>
      </c>
      <c r="I141" s="10" t="s">
        <v>62</v>
      </c>
    </row>
    <row r="142" spans="2:9" ht="15.5" x14ac:dyDescent="0.35">
      <c r="B142" s="22" t="s">
        <v>11</v>
      </c>
      <c r="C142" s="7" t="s">
        <v>11710</v>
      </c>
      <c r="D142" s="26" t="s">
        <v>11711</v>
      </c>
      <c r="E142" s="26" t="s">
        <v>11712</v>
      </c>
      <c r="F142" s="28" t="s">
        <v>61</v>
      </c>
      <c r="G142" s="27" t="s">
        <v>61</v>
      </c>
      <c r="H142" s="99">
        <v>45656</v>
      </c>
      <c r="I142" s="10" t="s">
        <v>62</v>
      </c>
    </row>
    <row r="143" spans="2:9" ht="15.5" x14ac:dyDescent="0.35">
      <c r="B143" s="22" t="s">
        <v>11</v>
      </c>
      <c r="C143" s="7" t="s">
        <v>11713</v>
      </c>
      <c r="D143" s="26" t="s">
        <v>11714</v>
      </c>
      <c r="E143" s="26" t="s">
        <v>11715</v>
      </c>
      <c r="F143" s="28" t="s">
        <v>61</v>
      </c>
      <c r="G143" s="27" t="s">
        <v>61</v>
      </c>
      <c r="H143" s="99">
        <v>45656</v>
      </c>
      <c r="I143" s="10" t="s">
        <v>62</v>
      </c>
    </row>
    <row r="148" spans="2:9" ht="15.5" x14ac:dyDescent="0.35">
      <c r="B148" s="114" t="s">
        <v>10</v>
      </c>
      <c r="C148" s="167" t="s">
        <v>11716</v>
      </c>
      <c r="D148" s="26" t="s">
        <v>11376</v>
      </c>
      <c r="E148" s="26" t="s">
        <v>11377</v>
      </c>
      <c r="F148" s="28" t="s">
        <v>61</v>
      </c>
      <c r="G148" s="27" t="s">
        <v>61</v>
      </c>
      <c r="H148" s="99">
        <v>45799</v>
      </c>
      <c r="I148" s="10" t="s">
        <v>62</v>
      </c>
    </row>
  </sheetData>
  <autoFilter ref="B4:I148" xr:uid="{544CB63E-3D3F-4A95-A24E-3A7879ACECB7}"/>
  <mergeCells count="1">
    <mergeCell ref="B2:I2"/>
  </mergeCells>
  <phoneticPr fontId="11" type="noConversion"/>
  <conditionalFormatting sqref="C5:C143">
    <cfRule type="duplicateValues" dxfId="24" priority="4510"/>
  </conditionalFormatting>
  <conditionalFormatting sqref="C12">
    <cfRule type="duplicateValues" dxfId="23" priority="2"/>
  </conditionalFormatting>
  <conditionalFormatting sqref="C148">
    <cfRule type="duplicateValues" dxfId="22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</customPropertie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BF20-15B9-426A-BFE7-FF68FC93042D}">
  <sheetPr codeName="Planilha10" filterMode="1"/>
  <dimension ref="B1:J222"/>
  <sheetViews>
    <sheetView showGridLines="0" topLeftCell="A99" zoomScale="145" zoomScaleNormal="145" workbookViewId="0">
      <selection activeCell="E104" sqref="E104"/>
    </sheetView>
  </sheetViews>
  <sheetFormatPr defaultRowHeight="14.5" x14ac:dyDescent="0.35"/>
  <cols>
    <col min="1" max="1" width="1.54296875" customWidth="1"/>
    <col min="2" max="2" width="9.1796875" style="1" customWidth="1"/>
    <col min="3" max="3" width="8.81640625" style="1"/>
    <col min="4" max="4" width="19" style="1" customWidth="1"/>
    <col min="5" max="5" width="84.1796875" customWidth="1"/>
    <col min="6" max="6" width="58.81640625" customWidth="1"/>
    <col min="7" max="8" width="8.81640625" style="1"/>
    <col min="9" max="9" width="20.54296875" style="1" customWidth="1"/>
    <col min="10" max="10" width="22.7265625" customWidth="1"/>
  </cols>
  <sheetData>
    <row r="1" spans="2:10" ht="7.5" customHeight="1" thickBot="1" x14ac:dyDescent="0.4"/>
    <row r="2" spans="2:10" ht="37.5" customHeight="1" thickBot="1" x14ac:dyDescent="0.4">
      <c r="B2" s="234" t="s">
        <v>11717</v>
      </c>
      <c r="C2" s="235"/>
      <c r="D2" s="235"/>
      <c r="E2" s="235"/>
      <c r="F2" s="235"/>
      <c r="G2" s="235"/>
      <c r="H2" s="235"/>
      <c r="I2" s="235"/>
      <c r="J2" s="236"/>
    </row>
    <row r="3" spans="2:10" x14ac:dyDescent="0.35">
      <c r="B3" s="39"/>
      <c r="C3" s="40"/>
      <c r="D3" s="40"/>
      <c r="E3" s="41"/>
      <c r="F3" s="41"/>
      <c r="G3" s="42">
        <f>COUNTIF(G4:G929,"X")</f>
        <v>212</v>
      </c>
      <c r="H3" s="43">
        <f>COUNTIF(H4:H929,"X")</f>
        <v>83</v>
      </c>
      <c r="I3" s="159"/>
      <c r="J3" s="44"/>
    </row>
    <row r="4" spans="2:10" ht="14.5" customHeight="1" x14ac:dyDescent="0.35">
      <c r="B4" s="45" t="s">
        <v>11718</v>
      </c>
      <c r="C4" s="46" t="s">
        <v>379</v>
      </c>
      <c r="D4" s="46" t="s">
        <v>48</v>
      </c>
      <c r="E4" s="47" t="s">
        <v>49</v>
      </c>
      <c r="F4" s="47" t="s">
        <v>50</v>
      </c>
      <c r="G4" s="48" t="s">
        <v>51</v>
      </c>
      <c r="H4" s="48" t="s">
        <v>52</v>
      </c>
      <c r="I4" s="160"/>
      <c r="J4" s="49" t="s">
        <v>54</v>
      </c>
    </row>
    <row r="5" spans="2:10" ht="14.5" hidden="1" customHeight="1" x14ac:dyDescent="0.35">
      <c r="B5" s="29">
        <v>1</v>
      </c>
      <c r="C5" s="29" t="s">
        <v>13</v>
      </c>
      <c r="D5" s="30">
        <v>10</v>
      </c>
      <c r="E5" s="66" t="s">
        <v>11719</v>
      </c>
      <c r="F5" s="66" t="s">
        <v>11720</v>
      </c>
      <c r="G5" s="29" t="s">
        <v>61</v>
      </c>
      <c r="H5" s="29" t="s">
        <v>61</v>
      </c>
      <c r="I5" s="98">
        <v>45462</v>
      </c>
      <c r="J5" s="10" t="s">
        <v>62</v>
      </c>
    </row>
    <row r="6" spans="2:10" ht="14.5" hidden="1" customHeight="1" x14ac:dyDescent="0.35">
      <c r="B6" s="29">
        <v>1</v>
      </c>
      <c r="C6" s="29" t="s">
        <v>13</v>
      </c>
      <c r="D6" s="30">
        <v>20</v>
      </c>
      <c r="E6" s="66" t="s">
        <v>11721</v>
      </c>
      <c r="F6" s="66"/>
      <c r="G6" s="29" t="s">
        <v>61</v>
      </c>
      <c r="H6" s="29"/>
      <c r="I6" s="98">
        <v>45839</v>
      </c>
      <c r="J6" s="10" t="s">
        <v>62</v>
      </c>
    </row>
    <row r="7" spans="2:10" ht="14.5" hidden="1" customHeight="1" x14ac:dyDescent="0.35">
      <c r="B7" s="29">
        <v>1</v>
      </c>
      <c r="C7" s="29" t="s">
        <v>13</v>
      </c>
      <c r="D7" s="30">
        <v>30</v>
      </c>
      <c r="E7" s="66" t="s">
        <v>11722</v>
      </c>
      <c r="F7" s="66" t="s">
        <v>11723</v>
      </c>
      <c r="G7" s="29" t="s">
        <v>61</v>
      </c>
      <c r="H7" s="29" t="s">
        <v>61</v>
      </c>
      <c r="I7" s="98">
        <v>45839</v>
      </c>
      <c r="J7" s="10" t="s">
        <v>62</v>
      </c>
    </row>
    <row r="8" spans="2:10" ht="14.5" hidden="1" customHeight="1" x14ac:dyDescent="0.35">
      <c r="B8" s="29">
        <v>1</v>
      </c>
      <c r="C8" s="29" t="s">
        <v>13</v>
      </c>
      <c r="D8" s="30">
        <v>40</v>
      </c>
      <c r="E8" s="66" t="s">
        <v>11724</v>
      </c>
      <c r="F8" s="65"/>
      <c r="G8" s="29" t="s">
        <v>61</v>
      </c>
      <c r="H8" s="29"/>
      <c r="I8" s="98">
        <v>44067</v>
      </c>
      <c r="J8" s="10" t="s">
        <v>62</v>
      </c>
    </row>
    <row r="9" spans="2:10" ht="14.5" hidden="1" customHeight="1" x14ac:dyDescent="0.35">
      <c r="B9" s="29">
        <v>1</v>
      </c>
      <c r="C9" s="29" t="s">
        <v>13</v>
      </c>
      <c r="D9" s="30">
        <v>50</v>
      </c>
      <c r="E9" s="66" t="s">
        <v>11725</v>
      </c>
      <c r="F9" s="66"/>
      <c r="G9" s="29" t="s">
        <v>61</v>
      </c>
      <c r="H9" s="29"/>
      <c r="I9" s="98">
        <v>44067</v>
      </c>
      <c r="J9" s="10" t="s">
        <v>62</v>
      </c>
    </row>
    <row r="10" spans="2:10" ht="14.5" hidden="1" customHeight="1" x14ac:dyDescent="0.35">
      <c r="B10" s="29">
        <v>1</v>
      </c>
      <c r="C10" s="29" t="s">
        <v>13</v>
      </c>
      <c r="D10" s="30">
        <v>70</v>
      </c>
      <c r="E10" s="66" t="s">
        <v>11726</v>
      </c>
      <c r="F10" s="66" t="s">
        <v>11727</v>
      </c>
      <c r="G10" s="29" t="s">
        <v>61</v>
      </c>
      <c r="H10" s="29" t="s">
        <v>61</v>
      </c>
      <c r="I10" s="98">
        <v>45462</v>
      </c>
      <c r="J10" s="10" t="s">
        <v>62</v>
      </c>
    </row>
    <row r="11" spans="2:10" ht="14.5" hidden="1" customHeight="1" x14ac:dyDescent="0.35">
      <c r="B11" s="29">
        <v>1</v>
      </c>
      <c r="C11" s="29" t="s">
        <v>13</v>
      </c>
      <c r="D11" s="30">
        <v>320</v>
      </c>
      <c r="E11" s="66" t="s">
        <v>11728</v>
      </c>
      <c r="F11" s="66" t="s">
        <v>11729</v>
      </c>
      <c r="G11" s="29" t="s">
        <v>61</v>
      </c>
      <c r="H11" s="29" t="s">
        <v>61</v>
      </c>
      <c r="I11" s="98">
        <v>45743</v>
      </c>
      <c r="J11" s="10" t="s">
        <v>62</v>
      </c>
    </row>
    <row r="12" spans="2:10" ht="14.5" hidden="1" customHeight="1" x14ac:dyDescent="0.35">
      <c r="B12" s="29">
        <v>1</v>
      </c>
      <c r="C12" s="29" t="s">
        <v>13</v>
      </c>
      <c r="D12" s="30">
        <v>330</v>
      </c>
      <c r="E12" s="66" t="s">
        <v>11730</v>
      </c>
      <c r="F12" s="66"/>
      <c r="G12" s="29" t="s">
        <v>61</v>
      </c>
      <c r="H12" s="29"/>
      <c r="I12" s="98">
        <v>45314</v>
      </c>
      <c r="J12" s="10" t="s">
        <v>62</v>
      </c>
    </row>
    <row r="13" spans="2:10" ht="14.5" hidden="1" customHeight="1" x14ac:dyDescent="0.35">
      <c r="B13" s="29">
        <v>2</v>
      </c>
      <c r="C13" s="29" t="s">
        <v>14</v>
      </c>
      <c r="D13" s="29">
        <v>10</v>
      </c>
      <c r="E13" s="67" t="s">
        <v>11731</v>
      </c>
      <c r="F13" s="66" t="s">
        <v>11720</v>
      </c>
      <c r="G13" s="29" t="s">
        <v>61</v>
      </c>
      <c r="H13" s="29" t="s">
        <v>61</v>
      </c>
      <c r="I13" s="98">
        <v>45792</v>
      </c>
      <c r="J13" s="10" t="s">
        <v>62</v>
      </c>
    </row>
    <row r="14" spans="2:10" ht="14.5" hidden="1" customHeight="1" x14ac:dyDescent="0.35">
      <c r="B14" s="29"/>
      <c r="C14" s="29" t="s">
        <v>14</v>
      </c>
      <c r="D14" s="29">
        <v>20</v>
      </c>
      <c r="E14" s="67" t="s">
        <v>11732</v>
      </c>
      <c r="F14" s="66" t="s">
        <v>11733</v>
      </c>
      <c r="G14" s="29" t="s">
        <v>61</v>
      </c>
      <c r="H14" s="29" t="s">
        <v>61</v>
      </c>
      <c r="I14" s="98">
        <v>45839</v>
      </c>
      <c r="J14" s="10" t="s">
        <v>62</v>
      </c>
    </row>
    <row r="15" spans="2:10" ht="14.5" hidden="1" customHeight="1" x14ac:dyDescent="0.35">
      <c r="B15" s="29">
        <v>2</v>
      </c>
      <c r="C15" s="29" t="s">
        <v>14</v>
      </c>
      <c r="D15" s="29">
        <v>30</v>
      </c>
      <c r="E15" s="67" t="s">
        <v>11734</v>
      </c>
      <c r="F15" s="66" t="s">
        <v>11735</v>
      </c>
      <c r="G15" s="29" t="s">
        <v>61</v>
      </c>
      <c r="H15" s="29" t="s">
        <v>61</v>
      </c>
      <c r="I15" s="98">
        <v>45839</v>
      </c>
      <c r="J15" s="10" t="s">
        <v>62</v>
      </c>
    </row>
    <row r="16" spans="2:10" ht="15" hidden="1" customHeight="1" x14ac:dyDescent="0.35">
      <c r="B16" s="29">
        <v>2</v>
      </c>
      <c r="C16" s="29" t="s">
        <v>14</v>
      </c>
      <c r="D16" s="30">
        <v>40</v>
      </c>
      <c r="E16" s="65" t="s">
        <v>11736</v>
      </c>
      <c r="F16" s="65"/>
      <c r="G16" s="29" t="s">
        <v>61</v>
      </c>
      <c r="H16" s="29"/>
      <c r="I16" s="98">
        <v>44067</v>
      </c>
      <c r="J16" s="10" t="s">
        <v>62</v>
      </c>
    </row>
    <row r="17" spans="2:10" ht="15" hidden="1" customHeight="1" x14ac:dyDescent="0.35">
      <c r="B17" s="29">
        <v>2</v>
      </c>
      <c r="C17" s="29" t="s">
        <v>14</v>
      </c>
      <c r="D17" s="30">
        <v>50</v>
      </c>
      <c r="E17" s="66" t="s">
        <v>11737</v>
      </c>
      <c r="F17" s="66"/>
      <c r="G17" s="29" t="s">
        <v>61</v>
      </c>
      <c r="H17" s="29"/>
      <c r="I17" s="98">
        <v>44067</v>
      </c>
      <c r="J17" s="10" t="s">
        <v>62</v>
      </c>
    </row>
    <row r="18" spans="2:10" ht="15" hidden="1" customHeight="1" x14ac:dyDescent="0.35">
      <c r="B18" s="29">
        <v>2</v>
      </c>
      <c r="C18" s="29" t="s">
        <v>14</v>
      </c>
      <c r="D18" s="30">
        <v>70</v>
      </c>
      <c r="E18" s="66" t="s">
        <v>11726</v>
      </c>
      <c r="F18" s="66" t="s">
        <v>11727</v>
      </c>
      <c r="G18" s="29" t="s">
        <v>61</v>
      </c>
      <c r="H18" s="29" t="s">
        <v>61</v>
      </c>
      <c r="I18" s="98">
        <v>45792</v>
      </c>
      <c r="J18" s="10" t="s">
        <v>62</v>
      </c>
    </row>
    <row r="19" spans="2:10" ht="15" hidden="1" customHeight="1" x14ac:dyDescent="0.35">
      <c r="B19" s="29">
        <v>2</v>
      </c>
      <c r="C19" s="29" t="s">
        <v>14</v>
      </c>
      <c r="D19" s="30">
        <v>320</v>
      </c>
      <c r="E19" s="66" t="s">
        <v>11728</v>
      </c>
      <c r="F19" s="66" t="s">
        <v>11729</v>
      </c>
      <c r="G19" s="29" t="s">
        <v>61</v>
      </c>
      <c r="H19" s="29" t="s">
        <v>61</v>
      </c>
      <c r="I19" s="98">
        <v>45743</v>
      </c>
      <c r="J19" s="10" t="s">
        <v>62</v>
      </c>
    </row>
    <row r="20" spans="2:10" ht="15" hidden="1" customHeight="1" x14ac:dyDescent="0.35">
      <c r="B20" s="29">
        <v>2</v>
      </c>
      <c r="C20" s="29" t="s">
        <v>14</v>
      </c>
      <c r="D20" s="30">
        <v>330</v>
      </c>
      <c r="E20" s="66" t="s">
        <v>11730</v>
      </c>
      <c r="F20" s="66"/>
      <c r="G20" s="29" t="s">
        <v>61</v>
      </c>
      <c r="H20" s="29"/>
      <c r="I20" s="98">
        <v>44973</v>
      </c>
      <c r="J20" s="10" t="s">
        <v>62</v>
      </c>
    </row>
    <row r="21" spans="2:10" ht="15" hidden="1" customHeight="1" x14ac:dyDescent="0.35">
      <c r="B21" s="29">
        <v>3</v>
      </c>
      <c r="C21" s="29" t="s">
        <v>15</v>
      </c>
      <c r="D21" s="29" t="s">
        <v>11738</v>
      </c>
      <c r="E21" s="67" t="s">
        <v>11739</v>
      </c>
      <c r="F21" s="66" t="s">
        <v>11740</v>
      </c>
      <c r="G21" s="29" t="s">
        <v>61</v>
      </c>
      <c r="H21" s="29" t="s">
        <v>61</v>
      </c>
      <c r="I21" s="98">
        <v>45462</v>
      </c>
      <c r="J21" s="10" t="s">
        <v>62</v>
      </c>
    </row>
    <row r="22" spans="2:10" ht="15" hidden="1" customHeight="1" x14ac:dyDescent="0.35">
      <c r="B22" s="29">
        <v>3</v>
      </c>
      <c r="C22" s="29" t="s">
        <v>15</v>
      </c>
      <c r="D22" s="29">
        <v>30</v>
      </c>
      <c r="E22" s="67" t="s">
        <v>11741</v>
      </c>
      <c r="F22" s="66" t="s">
        <v>11742</v>
      </c>
      <c r="G22" s="29" t="s">
        <v>61</v>
      </c>
      <c r="H22" s="29" t="s">
        <v>61</v>
      </c>
      <c r="I22" s="98">
        <v>45839</v>
      </c>
      <c r="J22" s="10" t="s">
        <v>62</v>
      </c>
    </row>
    <row r="23" spans="2:10" ht="15" hidden="1" customHeight="1" x14ac:dyDescent="0.35">
      <c r="B23" s="29">
        <v>3</v>
      </c>
      <c r="C23" s="29" t="s">
        <v>15</v>
      </c>
      <c r="D23" s="30">
        <v>40</v>
      </c>
      <c r="E23" s="66" t="s">
        <v>11743</v>
      </c>
      <c r="F23" s="66"/>
      <c r="G23" s="29" t="s">
        <v>61</v>
      </c>
      <c r="H23" s="29"/>
      <c r="I23" s="98">
        <v>44067</v>
      </c>
      <c r="J23" s="10" t="s">
        <v>62</v>
      </c>
    </row>
    <row r="24" spans="2:10" ht="15" hidden="1" customHeight="1" x14ac:dyDescent="0.35">
      <c r="B24" s="29">
        <v>3</v>
      </c>
      <c r="C24" s="29" t="s">
        <v>15</v>
      </c>
      <c r="D24" s="30">
        <v>50</v>
      </c>
      <c r="E24" s="66" t="s">
        <v>11744</v>
      </c>
      <c r="F24" s="66"/>
      <c r="G24" s="29" t="s">
        <v>61</v>
      </c>
      <c r="H24" s="29"/>
      <c r="I24" s="98">
        <v>44067</v>
      </c>
      <c r="J24" s="10" t="s">
        <v>62</v>
      </c>
    </row>
    <row r="25" spans="2:10" ht="15" hidden="1" customHeight="1" x14ac:dyDescent="0.35">
      <c r="B25" s="29">
        <v>3</v>
      </c>
      <c r="C25" s="29" t="s">
        <v>15</v>
      </c>
      <c r="D25" s="30">
        <v>70</v>
      </c>
      <c r="E25" s="66" t="s">
        <v>11745</v>
      </c>
      <c r="F25" s="66" t="s">
        <v>11727</v>
      </c>
      <c r="G25" s="29" t="s">
        <v>61</v>
      </c>
      <c r="H25" s="29" t="s">
        <v>61</v>
      </c>
      <c r="I25" s="98">
        <v>44067</v>
      </c>
      <c r="J25" s="10" t="s">
        <v>62</v>
      </c>
    </row>
    <row r="26" spans="2:10" ht="15" hidden="1" customHeight="1" x14ac:dyDescent="0.35">
      <c r="B26" s="29">
        <v>3</v>
      </c>
      <c r="C26" s="29" t="s">
        <v>15</v>
      </c>
      <c r="D26" s="30">
        <v>80</v>
      </c>
      <c r="E26" s="66" t="s">
        <v>11746</v>
      </c>
      <c r="F26" s="66"/>
      <c r="G26" s="29" t="s">
        <v>61</v>
      </c>
      <c r="H26" s="29"/>
      <c r="I26" s="98">
        <v>45225</v>
      </c>
      <c r="J26" s="10" t="s">
        <v>62</v>
      </c>
    </row>
    <row r="27" spans="2:10" ht="15" hidden="1" customHeight="1" x14ac:dyDescent="0.35">
      <c r="B27" s="29">
        <v>3</v>
      </c>
      <c r="C27" s="29" t="s">
        <v>15</v>
      </c>
      <c r="D27" s="30">
        <v>320</v>
      </c>
      <c r="E27" s="66" t="s">
        <v>11728</v>
      </c>
      <c r="F27" s="66" t="s">
        <v>11729</v>
      </c>
      <c r="G27" s="29" t="s">
        <v>61</v>
      </c>
      <c r="H27" s="29" t="s">
        <v>61</v>
      </c>
      <c r="I27" s="98">
        <v>45743</v>
      </c>
      <c r="J27" s="10" t="s">
        <v>62</v>
      </c>
    </row>
    <row r="28" spans="2:10" ht="15" hidden="1" customHeight="1" x14ac:dyDescent="0.35">
      <c r="B28" s="29">
        <v>3</v>
      </c>
      <c r="C28" s="29" t="s">
        <v>15</v>
      </c>
      <c r="D28" s="30">
        <v>330</v>
      </c>
      <c r="E28" s="66" t="s">
        <v>11747</v>
      </c>
      <c r="F28" s="66"/>
      <c r="G28" s="29" t="s">
        <v>61</v>
      </c>
      <c r="H28" s="29"/>
      <c r="I28" s="98">
        <v>44973</v>
      </c>
      <c r="J28" s="10" t="s">
        <v>62</v>
      </c>
    </row>
    <row r="29" spans="2:10" ht="15" hidden="1" customHeight="1" x14ac:dyDescent="0.35">
      <c r="B29" s="29">
        <v>4</v>
      </c>
      <c r="C29" s="29" t="s">
        <v>16</v>
      </c>
      <c r="D29" s="30">
        <v>10</v>
      </c>
      <c r="E29" s="66" t="s">
        <v>11731</v>
      </c>
      <c r="F29" s="66" t="s">
        <v>11720</v>
      </c>
      <c r="G29" s="29" t="s">
        <v>61</v>
      </c>
      <c r="H29" s="29" t="s">
        <v>61</v>
      </c>
      <c r="I29" s="98">
        <v>45462</v>
      </c>
      <c r="J29" s="10" t="s">
        <v>62</v>
      </c>
    </row>
    <row r="30" spans="2:10" ht="15" hidden="1" customHeight="1" x14ac:dyDescent="0.35">
      <c r="B30" s="29">
        <v>4</v>
      </c>
      <c r="C30" s="29" t="s">
        <v>16</v>
      </c>
      <c r="D30" s="29">
        <v>30</v>
      </c>
      <c r="E30" s="67" t="s">
        <v>11734</v>
      </c>
      <c r="F30" s="66" t="s">
        <v>11735</v>
      </c>
      <c r="G30" s="29" t="s">
        <v>61</v>
      </c>
      <c r="H30" s="29" t="s">
        <v>61</v>
      </c>
      <c r="I30" s="98">
        <v>45839</v>
      </c>
      <c r="J30" s="10" t="s">
        <v>62</v>
      </c>
    </row>
    <row r="31" spans="2:10" ht="15" hidden="1" customHeight="1" x14ac:dyDescent="0.35">
      <c r="B31" s="29">
        <v>4</v>
      </c>
      <c r="C31" s="29" t="s">
        <v>16</v>
      </c>
      <c r="D31" s="30">
        <v>40</v>
      </c>
      <c r="E31" s="66" t="s">
        <v>11748</v>
      </c>
      <c r="F31" s="66"/>
      <c r="G31" s="29" t="s">
        <v>61</v>
      </c>
      <c r="H31" s="29"/>
      <c r="I31" s="98">
        <v>44067</v>
      </c>
      <c r="J31" s="10" t="s">
        <v>62</v>
      </c>
    </row>
    <row r="32" spans="2:10" ht="15" hidden="1" customHeight="1" x14ac:dyDescent="0.35">
      <c r="B32" s="29">
        <v>4</v>
      </c>
      <c r="C32" s="29" t="s">
        <v>16</v>
      </c>
      <c r="D32" s="30">
        <v>50</v>
      </c>
      <c r="E32" s="66" t="s">
        <v>11744</v>
      </c>
      <c r="F32" s="66"/>
      <c r="G32" s="29" t="s">
        <v>61</v>
      </c>
      <c r="H32" s="29"/>
      <c r="I32" s="98">
        <v>44067</v>
      </c>
      <c r="J32" s="10" t="s">
        <v>62</v>
      </c>
    </row>
    <row r="33" spans="2:10" ht="15" hidden="1" customHeight="1" x14ac:dyDescent="0.35">
      <c r="B33" s="29">
        <v>4</v>
      </c>
      <c r="C33" s="29" t="s">
        <v>16</v>
      </c>
      <c r="D33" s="30">
        <v>70</v>
      </c>
      <c r="E33" s="66" t="s">
        <v>11726</v>
      </c>
      <c r="F33" s="66" t="s">
        <v>11727</v>
      </c>
      <c r="G33" s="29" t="s">
        <v>61</v>
      </c>
      <c r="H33" s="29" t="s">
        <v>61</v>
      </c>
      <c r="I33" s="98">
        <v>45462</v>
      </c>
      <c r="J33" s="10" t="s">
        <v>62</v>
      </c>
    </row>
    <row r="34" spans="2:10" ht="15" hidden="1" customHeight="1" x14ac:dyDescent="0.35">
      <c r="B34" s="29">
        <v>4</v>
      </c>
      <c r="C34" s="29" t="s">
        <v>16</v>
      </c>
      <c r="D34" s="30">
        <v>320</v>
      </c>
      <c r="E34" s="66" t="s">
        <v>11728</v>
      </c>
      <c r="F34" s="66" t="s">
        <v>11729</v>
      </c>
      <c r="G34" s="29" t="s">
        <v>61</v>
      </c>
      <c r="H34" s="29" t="s">
        <v>61</v>
      </c>
      <c r="I34" s="98">
        <v>45743</v>
      </c>
      <c r="J34" s="10" t="s">
        <v>62</v>
      </c>
    </row>
    <row r="35" spans="2:10" ht="15" hidden="1" customHeight="1" x14ac:dyDescent="0.35">
      <c r="B35" s="29">
        <v>4</v>
      </c>
      <c r="C35" s="29" t="s">
        <v>16</v>
      </c>
      <c r="D35" s="30">
        <v>330</v>
      </c>
      <c r="E35" s="66" t="s">
        <v>11730</v>
      </c>
      <c r="F35" s="66"/>
      <c r="G35" s="29" t="s">
        <v>61</v>
      </c>
      <c r="H35" s="29"/>
      <c r="I35" s="98">
        <v>45008</v>
      </c>
      <c r="J35" s="10" t="s">
        <v>62</v>
      </c>
    </row>
    <row r="36" spans="2:10" ht="15" hidden="1" customHeight="1" x14ac:dyDescent="0.35">
      <c r="B36" s="29">
        <v>5</v>
      </c>
      <c r="C36" s="29" t="s">
        <v>17</v>
      </c>
      <c r="D36" s="30">
        <v>10</v>
      </c>
      <c r="E36" s="66" t="s">
        <v>11731</v>
      </c>
      <c r="F36" s="66" t="s">
        <v>11720</v>
      </c>
      <c r="G36" s="29" t="s">
        <v>61</v>
      </c>
      <c r="H36" s="29" t="s">
        <v>61</v>
      </c>
      <c r="I36" s="98">
        <v>45462</v>
      </c>
      <c r="J36" s="10" t="s">
        <v>62</v>
      </c>
    </row>
    <row r="37" spans="2:10" ht="15" hidden="1" customHeight="1" x14ac:dyDescent="0.35">
      <c r="B37" s="29">
        <v>5</v>
      </c>
      <c r="C37" s="29" t="s">
        <v>17</v>
      </c>
      <c r="D37" s="29">
        <v>30</v>
      </c>
      <c r="E37" s="67" t="s">
        <v>11734</v>
      </c>
      <c r="F37" s="66" t="s">
        <v>11735</v>
      </c>
      <c r="G37" s="29" t="s">
        <v>61</v>
      </c>
      <c r="H37" s="29" t="s">
        <v>61</v>
      </c>
      <c r="I37" s="98">
        <v>45839</v>
      </c>
      <c r="J37" s="10" t="s">
        <v>62</v>
      </c>
    </row>
    <row r="38" spans="2:10" ht="15" hidden="1" customHeight="1" x14ac:dyDescent="0.35">
      <c r="B38" s="29">
        <v>5</v>
      </c>
      <c r="C38" s="29" t="s">
        <v>17</v>
      </c>
      <c r="D38" s="30">
        <v>40</v>
      </c>
      <c r="E38" s="66" t="s">
        <v>11749</v>
      </c>
      <c r="F38" s="66"/>
      <c r="G38" s="29" t="s">
        <v>61</v>
      </c>
      <c r="H38" s="29"/>
      <c r="I38" s="98">
        <v>44067</v>
      </c>
      <c r="J38" s="10" t="s">
        <v>62</v>
      </c>
    </row>
    <row r="39" spans="2:10" ht="15" hidden="1" customHeight="1" x14ac:dyDescent="0.35">
      <c r="B39" s="29">
        <v>5</v>
      </c>
      <c r="C39" s="29" t="s">
        <v>17</v>
      </c>
      <c r="D39" s="30">
        <v>50</v>
      </c>
      <c r="E39" s="66" t="s">
        <v>11744</v>
      </c>
      <c r="F39" s="66"/>
      <c r="G39" s="29" t="s">
        <v>61</v>
      </c>
      <c r="H39" s="29"/>
      <c r="I39" s="98">
        <v>44067</v>
      </c>
      <c r="J39" s="10" t="s">
        <v>62</v>
      </c>
    </row>
    <row r="40" spans="2:10" ht="15" hidden="1" customHeight="1" x14ac:dyDescent="0.35">
      <c r="B40" s="29">
        <v>5</v>
      </c>
      <c r="C40" s="29" t="s">
        <v>17</v>
      </c>
      <c r="D40" s="30">
        <v>70</v>
      </c>
      <c r="E40" s="66" t="s">
        <v>11726</v>
      </c>
      <c r="F40" s="66" t="s">
        <v>11727</v>
      </c>
      <c r="G40" s="29" t="s">
        <v>61</v>
      </c>
      <c r="H40" s="29" t="s">
        <v>61</v>
      </c>
      <c r="I40" s="98">
        <v>45462</v>
      </c>
      <c r="J40" s="10" t="s">
        <v>62</v>
      </c>
    </row>
    <row r="41" spans="2:10" ht="15" hidden="1" customHeight="1" x14ac:dyDescent="0.35">
      <c r="B41" s="29">
        <v>5</v>
      </c>
      <c r="C41" s="29" t="s">
        <v>17</v>
      </c>
      <c r="D41" s="30">
        <v>320</v>
      </c>
      <c r="E41" s="66" t="s">
        <v>11728</v>
      </c>
      <c r="F41" s="66" t="s">
        <v>11729</v>
      </c>
      <c r="G41" s="29" t="s">
        <v>61</v>
      </c>
      <c r="H41" s="29" t="s">
        <v>61</v>
      </c>
      <c r="I41" s="98">
        <v>45743</v>
      </c>
      <c r="J41" s="10" t="s">
        <v>62</v>
      </c>
    </row>
    <row r="42" spans="2:10" ht="15" hidden="1" customHeight="1" x14ac:dyDescent="0.35">
      <c r="B42" s="29">
        <v>5</v>
      </c>
      <c r="C42" s="29" t="s">
        <v>17</v>
      </c>
      <c r="D42" s="30">
        <v>330</v>
      </c>
      <c r="E42" s="66" t="s">
        <v>11730</v>
      </c>
      <c r="F42" s="66"/>
      <c r="G42" s="29" t="s">
        <v>61</v>
      </c>
      <c r="H42" s="29"/>
      <c r="I42" s="98">
        <v>45008</v>
      </c>
      <c r="J42" s="10" t="s">
        <v>62</v>
      </c>
    </row>
    <row r="43" spans="2:10" ht="15" hidden="1" customHeight="1" x14ac:dyDescent="0.35">
      <c r="B43" s="29">
        <v>6</v>
      </c>
      <c r="C43" s="29" t="s">
        <v>18</v>
      </c>
      <c r="D43" s="30">
        <v>10</v>
      </c>
      <c r="E43" s="66" t="s">
        <v>11750</v>
      </c>
      <c r="F43" s="66" t="s">
        <v>11720</v>
      </c>
      <c r="G43" s="29" t="s">
        <v>61</v>
      </c>
      <c r="H43" s="29" t="s">
        <v>61</v>
      </c>
      <c r="I43" s="98">
        <v>45792</v>
      </c>
      <c r="J43" s="10" t="s">
        <v>62</v>
      </c>
    </row>
    <row r="44" spans="2:10" ht="15" hidden="1" customHeight="1" x14ac:dyDescent="0.35">
      <c r="B44" s="29">
        <v>6</v>
      </c>
      <c r="C44" s="29" t="s">
        <v>18</v>
      </c>
      <c r="D44" s="30">
        <v>20</v>
      </c>
      <c r="E44" s="66" t="s">
        <v>11751</v>
      </c>
      <c r="F44" s="66"/>
      <c r="G44" s="29" t="s">
        <v>61</v>
      </c>
      <c r="H44" s="29"/>
      <c r="I44" s="98">
        <v>44067</v>
      </c>
      <c r="J44" s="10" t="s">
        <v>62</v>
      </c>
    </row>
    <row r="45" spans="2:10" ht="15" hidden="1" customHeight="1" x14ac:dyDescent="0.35">
      <c r="B45" s="29">
        <v>6</v>
      </c>
      <c r="C45" s="29" t="s">
        <v>18</v>
      </c>
      <c r="D45" s="30">
        <v>40</v>
      </c>
      <c r="E45" s="66" t="s">
        <v>11752</v>
      </c>
      <c r="F45" s="66"/>
      <c r="G45" s="29" t="s">
        <v>61</v>
      </c>
      <c r="H45" s="29"/>
      <c r="I45" s="98">
        <v>44067</v>
      </c>
      <c r="J45" s="10" t="s">
        <v>62</v>
      </c>
    </row>
    <row r="46" spans="2:10" ht="15" hidden="1" customHeight="1" x14ac:dyDescent="0.35">
      <c r="B46" s="29">
        <v>6</v>
      </c>
      <c r="C46" s="29" t="s">
        <v>18</v>
      </c>
      <c r="D46" s="30">
        <v>50</v>
      </c>
      <c r="E46" s="66" t="s">
        <v>11753</v>
      </c>
      <c r="F46" s="66"/>
      <c r="G46" s="29" t="s">
        <v>61</v>
      </c>
      <c r="H46" s="29"/>
      <c r="I46" s="98">
        <v>44067</v>
      </c>
      <c r="J46" s="10" t="s">
        <v>62</v>
      </c>
    </row>
    <row r="47" spans="2:10" ht="15" hidden="1" customHeight="1" x14ac:dyDescent="0.35">
      <c r="B47" s="29">
        <v>6</v>
      </c>
      <c r="C47" s="29" t="s">
        <v>18</v>
      </c>
      <c r="D47" s="30">
        <v>60</v>
      </c>
      <c r="E47" s="66" t="s">
        <v>11754</v>
      </c>
      <c r="F47" s="66"/>
      <c r="G47" s="29" t="s">
        <v>61</v>
      </c>
      <c r="H47" s="29"/>
      <c r="I47" s="98">
        <v>44067</v>
      </c>
      <c r="J47" s="10" t="s">
        <v>62</v>
      </c>
    </row>
    <row r="48" spans="2:10" ht="15" hidden="1" customHeight="1" x14ac:dyDescent="0.35">
      <c r="B48" s="29">
        <v>6</v>
      </c>
      <c r="C48" s="29" t="s">
        <v>18</v>
      </c>
      <c r="D48" s="30">
        <v>70</v>
      </c>
      <c r="E48" s="66" t="s">
        <v>11726</v>
      </c>
      <c r="F48" s="66" t="s">
        <v>11727</v>
      </c>
      <c r="G48" s="29" t="s">
        <v>61</v>
      </c>
      <c r="H48" s="29" t="s">
        <v>61</v>
      </c>
      <c r="I48" s="98">
        <v>45792</v>
      </c>
      <c r="J48" s="10" t="s">
        <v>62</v>
      </c>
    </row>
    <row r="49" spans="2:10" ht="15" hidden="1" customHeight="1" x14ac:dyDescent="0.35">
      <c r="B49" s="29">
        <v>6</v>
      </c>
      <c r="C49" s="29" t="s">
        <v>18</v>
      </c>
      <c r="D49" s="30">
        <v>320</v>
      </c>
      <c r="E49" s="66" t="s">
        <v>11728</v>
      </c>
      <c r="F49" s="66" t="s">
        <v>11729</v>
      </c>
      <c r="G49" s="29" t="s">
        <v>61</v>
      </c>
      <c r="H49" s="29" t="s">
        <v>61</v>
      </c>
      <c r="I49" s="98">
        <v>45716</v>
      </c>
      <c r="J49" s="10" t="s">
        <v>62</v>
      </c>
    </row>
    <row r="50" spans="2:10" ht="15" hidden="1" customHeight="1" x14ac:dyDescent="0.35">
      <c r="B50" s="29">
        <v>6</v>
      </c>
      <c r="C50" s="29" t="s">
        <v>18</v>
      </c>
      <c r="D50" s="30">
        <v>330</v>
      </c>
      <c r="E50" s="66" t="s">
        <v>11730</v>
      </c>
      <c r="F50" s="66"/>
      <c r="G50" s="29" t="s">
        <v>61</v>
      </c>
      <c r="H50" s="29"/>
      <c r="I50" s="98">
        <v>44931</v>
      </c>
      <c r="J50" s="10" t="s">
        <v>62</v>
      </c>
    </row>
    <row r="51" spans="2:10" ht="15" hidden="1" customHeight="1" x14ac:dyDescent="0.35">
      <c r="B51" s="29">
        <v>7</v>
      </c>
      <c r="C51" s="29" t="s">
        <v>26</v>
      </c>
      <c r="D51" s="29">
        <v>10</v>
      </c>
      <c r="E51" s="67" t="s">
        <v>11731</v>
      </c>
      <c r="F51" s="66" t="s">
        <v>11720</v>
      </c>
      <c r="G51" s="29" t="s">
        <v>61</v>
      </c>
      <c r="H51" s="29" t="s">
        <v>61</v>
      </c>
      <c r="I51" s="98">
        <v>45462</v>
      </c>
      <c r="J51" s="10" t="s">
        <v>62</v>
      </c>
    </row>
    <row r="52" spans="2:10" ht="15" hidden="1" customHeight="1" x14ac:dyDescent="0.35">
      <c r="B52" s="29">
        <v>7</v>
      </c>
      <c r="C52" s="29" t="s">
        <v>26</v>
      </c>
      <c r="D52" s="29">
        <v>70</v>
      </c>
      <c r="E52" s="67" t="s">
        <v>11755</v>
      </c>
      <c r="F52" s="66" t="s">
        <v>11727</v>
      </c>
      <c r="G52" s="29" t="s">
        <v>61</v>
      </c>
      <c r="H52" s="29" t="s">
        <v>61</v>
      </c>
      <c r="I52" s="98">
        <v>45462</v>
      </c>
      <c r="J52" s="10" t="s">
        <v>62</v>
      </c>
    </row>
    <row r="53" spans="2:10" ht="15" hidden="1" customHeight="1" x14ac:dyDescent="0.35">
      <c r="B53" s="29">
        <v>7</v>
      </c>
      <c r="C53" s="29" t="s">
        <v>26</v>
      </c>
      <c r="D53" s="30">
        <v>320</v>
      </c>
      <c r="E53" s="66" t="s">
        <v>11728</v>
      </c>
      <c r="F53" s="66" t="s">
        <v>11729</v>
      </c>
      <c r="G53" s="29" t="s">
        <v>61</v>
      </c>
      <c r="H53" s="29" t="s">
        <v>61</v>
      </c>
      <c r="I53" s="98">
        <v>45716</v>
      </c>
      <c r="J53" s="10" t="s">
        <v>62</v>
      </c>
    </row>
    <row r="54" spans="2:10" ht="15" hidden="1" customHeight="1" x14ac:dyDescent="0.35">
      <c r="B54" s="29">
        <v>7</v>
      </c>
      <c r="C54" s="29" t="s">
        <v>26</v>
      </c>
      <c r="D54" s="30">
        <v>330</v>
      </c>
      <c r="E54" s="66" t="s">
        <v>11730</v>
      </c>
      <c r="F54" s="66" t="s">
        <v>11756</v>
      </c>
      <c r="G54" s="29" t="s">
        <v>61</v>
      </c>
      <c r="H54" s="29" t="s">
        <v>61</v>
      </c>
      <c r="I54" s="98">
        <v>45839</v>
      </c>
      <c r="J54" s="10" t="s">
        <v>62</v>
      </c>
    </row>
    <row r="55" spans="2:10" ht="15" customHeight="1" x14ac:dyDescent="0.35">
      <c r="B55" s="29">
        <v>8</v>
      </c>
      <c r="C55" s="29" t="s">
        <v>23</v>
      </c>
      <c r="D55" s="30" t="s">
        <v>11757</v>
      </c>
      <c r="E55" s="66" t="s">
        <v>11758</v>
      </c>
      <c r="F55" s="66"/>
      <c r="G55" s="29" t="s">
        <v>61</v>
      </c>
      <c r="H55" s="29"/>
      <c r="I55" s="98">
        <v>44067</v>
      </c>
      <c r="J55" s="10" t="s">
        <v>62</v>
      </c>
    </row>
    <row r="56" spans="2:10" ht="15" customHeight="1" x14ac:dyDescent="0.35">
      <c r="B56" s="29">
        <v>8</v>
      </c>
      <c r="C56" s="29" t="s">
        <v>23</v>
      </c>
      <c r="D56" s="30" t="s">
        <v>11759</v>
      </c>
      <c r="E56" s="66" t="s">
        <v>11760</v>
      </c>
      <c r="F56" s="66"/>
      <c r="G56" s="29" t="s">
        <v>61</v>
      </c>
      <c r="H56" s="29"/>
      <c r="I56" s="98">
        <v>44067</v>
      </c>
      <c r="J56" s="10" t="s">
        <v>62</v>
      </c>
    </row>
    <row r="57" spans="2:10" ht="15" customHeight="1" x14ac:dyDescent="0.35">
      <c r="B57" s="29">
        <v>8</v>
      </c>
      <c r="C57" s="29" t="s">
        <v>23</v>
      </c>
      <c r="D57" s="30" t="s">
        <v>11761</v>
      </c>
      <c r="E57" s="66" t="s">
        <v>11762</v>
      </c>
      <c r="F57" s="66"/>
      <c r="G57" s="29" t="s">
        <v>61</v>
      </c>
      <c r="H57" s="29"/>
      <c r="I57" s="98">
        <v>44067</v>
      </c>
      <c r="J57" s="10" t="s">
        <v>62</v>
      </c>
    </row>
    <row r="58" spans="2:10" ht="15" customHeight="1" x14ac:dyDescent="0.35">
      <c r="B58" s="29">
        <v>8</v>
      </c>
      <c r="C58" s="29" t="s">
        <v>23</v>
      </c>
      <c r="D58" s="30" t="s">
        <v>11763</v>
      </c>
      <c r="E58" s="66" t="s">
        <v>11764</v>
      </c>
      <c r="F58" s="66"/>
      <c r="G58" s="29" t="s">
        <v>61</v>
      </c>
      <c r="H58" s="29"/>
      <c r="I58" s="98">
        <v>44067</v>
      </c>
      <c r="J58" s="10" t="s">
        <v>62</v>
      </c>
    </row>
    <row r="59" spans="2:10" ht="15" customHeight="1" x14ac:dyDescent="0.35">
      <c r="B59" s="29">
        <v>8</v>
      </c>
      <c r="C59" s="29" t="s">
        <v>23</v>
      </c>
      <c r="D59" s="30" t="s">
        <v>11765</v>
      </c>
      <c r="E59" s="66" t="s">
        <v>11766</v>
      </c>
      <c r="F59" s="66"/>
      <c r="G59" s="29" t="s">
        <v>61</v>
      </c>
      <c r="H59" s="29"/>
      <c r="I59" s="98">
        <v>44067</v>
      </c>
      <c r="J59" s="10" t="s">
        <v>62</v>
      </c>
    </row>
    <row r="60" spans="2:10" ht="15" customHeight="1" x14ac:dyDescent="0.35">
      <c r="B60" s="29">
        <v>8</v>
      </c>
      <c r="C60" s="29" t="s">
        <v>23</v>
      </c>
      <c r="D60" s="30" t="s">
        <v>11767</v>
      </c>
      <c r="E60" s="66" t="s">
        <v>11768</v>
      </c>
      <c r="F60" s="66"/>
      <c r="G60" s="29" t="s">
        <v>61</v>
      </c>
      <c r="H60" s="29"/>
      <c r="I60" s="98">
        <v>44067</v>
      </c>
      <c r="J60" s="10" t="s">
        <v>62</v>
      </c>
    </row>
    <row r="61" spans="2:10" ht="15" customHeight="1" x14ac:dyDescent="0.35">
      <c r="B61" s="29">
        <v>8</v>
      </c>
      <c r="C61" s="29" t="s">
        <v>23</v>
      </c>
      <c r="D61" s="30" t="s">
        <v>11769</v>
      </c>
      <c r="E61" s="66" t="s">
        <v>11770</v>
      </c>
      <c r="F61" s="66"/>
      <c r="G61" s="29" t="s">
        <v>61</v>
      </c>
      <c r="H61" s="29"/>
      <c r="I61" s="98">
        <v>44067</v>
      </c>
      <c r="J61" s="10" t="s">
        <v>62</v>
      </c>
    </row>
    <row r="62" spans="2:10" ht="15" customHeight="1" x14ac:dyDescent="0.35">
      <c r="B62" s="29">
        <v>8</v>
      </c>
      <c r="C62" s="29" t="s">
        <v>23</v>
      </c>
      <c r="D62" s="30" t="s">
        <v>11771</v>
      </c>
      <c r="E62" s="66" t="s">
        <v>11772</v>
      </c>
      <c r="F62" s="66"/>
      <c r="G62" s="29" t="s">
        <v>61</v>
      </c>
      <c r="H62" s="29"/>
      <c r="I62" s="98">
        <v>44067</v>
      </c>
      <c r="J62" s="10" t="s">
        <v>62</v>
      </c>
    </row>
    <row r="63" spans="2:10" ht="15" customHeight="1" x14ac:dyDescent="0.35">
      <c r="B63" s="29">
        <v>8</v>
      </c>
      <c r="C63" s="29" t="s">
        <v>23</v>
      </c>
      <c r="D63" s="30" t="s">
        <v>11773</v>
      </c>
      <c r="E63" s="66" t="s">
        <v>11774</v>
      </c>
      <c r="F63" s="66"/>
      <c r="G63" s="29" t="s">
        <v>61</v>
      </c>
      <c r="H63" s="29"/>
      <c r="I63" s="98">
        <v>44067</v>
      </c>
      <c r="J63" s="10" t="s">
        <v>62</v>
      </c>
    </row>
    <row r="64" spans="2:10" ht="15" customHeight="1" x14ac:dyDescent="0.35">
      <c r="B64" s="29">
        <v>8</v>
      </c>
      <c r="C64" s="29" t="s">
        <v>23</v>
      </c>
      <c r="D64" s="30" t="s">
        <v>11775</v>
      </c>
      <c r="E64" s="66" t="s">
        <v>11776</v>
      </c>
      <c r="F64" s="66"/>
      <c r="G64" s="29" t="s">
        <v>61</v>
      </c>
      <c r="H64" s="29"/>
      <c r="I64" s="98">
        <v>44067</v>
      </c>
      <c r="J64" s="10" t="s">
        <v>62</v>
      </c>
    </row>
    <row r="65" spans="2:10" ht="15" customHeight="1" x14ac:dyDescent="0.35">
      <c r="B65" s="29">
        <v>8</v>
      </c>
      <c r="C65" s="29" t="s">
        <v>23</v>
      </c>
      <c r="D65" s="30" t="s">
        <v>11777</v>
      </c>
      <c r="E65" s="66" t="s">
        <v>11778</v>
      </c>
      <c r="F65" s="66"/>
      <c r="G65" s="29" t="s">
        <v>61</v>
      </c>
      <c r="H65" s="29"/>
      <c r="I65" s="98">
        <v>44067</v>
      </c>
      <c r="J65" s="10" t="s">
        <v>62</v>
      </c>
    </row>
    <row r="66" spans="2:10" ht="15" customHeight="1" x14ac:dyDescent="0.35">
      <c r="B66" s="29">
        <v>8</v>
      </c>
      <c r="C66" s="29" t="s">
        <v>23</v>
      </c>
      <c r="D66" s="30" t="s">
        <v>11779</v>
      </c>
      <c r="E66" s="66" t="s">
        <v>11780</v>
      </c>
      <c r="F66" s="66"/>
      <c r="G66" s="29" t="s">
        <v>61</v>
      </c>
      <c r="H66" s="29"/>
      <c r="I66" s="98">
        <v>44067</v>
      </c>
      <c r="J66" s="10" t="s">
        <v>62</v>
      </c>
    </row>
    <row r="67" spans="2:10" ht="15" customHeight="1" x14ac:dyDescent="0.35">
      <c r="B67" s="29">
        <v>8</v>
      </c>
      <c r="C67" s="29" t="s">
        <v>23</v>
      </c>
      <c r="D67" s="30" t="s">
        <v>11781</v>
      </c>
      <c r="E67" s="66" t="s">
        <v>11782</v>
      </c>
      <c r="F67" s="66"/>
      <c r="G67" s="29" t="s">
        <v>61</v>
      </c>
      <c r="H67" s="29"/>
      <c r="I67" s="98">
        <v>44067</v>
      </c>
      <c r="J67" s="10" t="s">
        <v>62</v>
      </c>
    </row>
    <row r="68" spans="2:10" ht="15" customHeight="1" x14ac:dyDescent="0.35">
      <c r="B68" s="29">
        <v>8</v>
      </c>
      <c r="C68" s="29" t="s">
        <v>23</v>
      </c>
      <c r="D68" s="30" t="s">
        <v>11783</v>
      </c>
      <c r="E68" s="66" t="s">
        <v>11784</v>
      </c>
      <c r="F68" s="66"/>
      <c r="G68" s="29" t="s">
        <v>61</v>
      </c>
      <c r="H68" s="29"/>
      <c r="I68" s="98">
        <v>44067</v>
      </c>
      <c r="J68" s="10" t="s">
        <v>62</v>
      </c>
    </row>
    <row r="69" spans="2:10" ht="15" customHeight="1" x14ac:dyDescent="0.35">
      <c r="B69" s="29">
        <v>8</v>
      </c>
      <c r="C69" s="29" t="s">
        <v>23</v>
      </c>
      <c r="D69" s="30" t="s">
        <v>11785</v>
      </c>
      <c r="E69" s="66" t="s">
        <v>11786</v>
      </c>
      <c r="F69" s="66"/>
      <c r="G69" s="29" t="s">
        <v>61</v>
      </c>
      <c r="H69" s="29"/>
      <c r="I69" s="98">
        <v>44067</v>
      </c>
      <c r="J69" s="10" t="s">
        <v>62</v>
      </c>
    </row>
    <row r="70" spans="2:10" ht="15" customHeight="1" x14ac:dyDescent="0.35">
      <c r="B70" s="29">
        <v>8</v>
      </c>
      <c r="C70" s="29" t="s">
        <v>23</v>
      </c>
      <c r="D70" s="30" t="s">
        <v>11787</v>
      </c>
      <c r="E70" s="66" t="s">
        <v>11788</v>
      </c>
      <c r="F70" s="66"/>
      <c r="G70" s="29" t="s">
        <v>61</v>
      </c>
      <c r="H70" s="29"/>
      <c r="I70" s="98">
        <v>44067</v>
      </c>
      <c r="J70" s="10" t="s">
        <v>62</v>
      </c>
    </row>
    <row r="71" spans="2:10" ht="15" customHeight="1" x14ac:dyDescent="0.35">
      <c r="B71" s="29">
        <v>8</v>
      </c>
      <c r="C71" s="29" t="s">
        <v>23</v>
      </c>
      <c r="D71" s="30" t="s">
        <v>11789</v>
      </c>
      <c r="E71" s="66" t="s">
        <v>11790</v>
      </c>
      <c r="F71" s="66"/>
      <c r="G71" s="29" t="s">
        <v>61</v>
      </c>
      <c r="H71" s="29"/>
      <c r="I71" s="98">
        <v>44067</v>
      </c>
      <c r="J71" s="10" t="s">
        <v>62</v>
      </c>
    </row>
    <row r="72" spans="2:10" ht="15" customHeight="1" x14ac:dyDescent="0.35">
      <c r="B72" s="29">
        <v>8</v>
      </c>
      <c r="C72" s="29" t="s">
        <v>23</v>
      </c>
      <c r="D72" s="30" t="s">
        <v>11791</v>
      </c>
      <c r="E72" s="66" t="s">
        <v>11792</v>
      </c>
      <c r="F72" s="66"/>
      <c r="G72" s="29" t="s">
        <v>61</v>
      </c>
      <c r="H72" s="29"/>
      <c r="I72" s="98">
        <v>44067</v>
      </c>
      <c r="J72" s="10" t="s">
        <v>62</v>
      </c>
    </row>
    <row r="73" spans="2:10" ht="15" customHeight="1" x14ac:dyDescent="0.35">
      <c r="B73" s="29">
        <v>8</v>
      </c>
      <c r="C73" s="29" t="s">
        <v>23</v>
      </c>
      <c r="D73" s="30" t="s">
        <v>11793</v>
      </c>
      <c r="E73" s="66" t="s">
        <v>11794</v>
      </c>
      <c r="F73" s="66"/>
      <c r="G73" s="29" t="s">
        <v>61</v>
      </c>
      <c r="H73" s="29"/>
      <c r="I73" s="98">
        <v>44067</v>
      </c>
      <c r="J73" s="10" t="s">
        <v>62</v>
      </c>
    </row>
    <row r="74" spans="2:10" ht="15" customHeight="1" x14ac:dyDescent="0.35">
      <c r="B74" s="29">
        <v>8</v>
      </c>
      <c r="C74" s="29" t="s">
        <v>23</v>
      </c>
      <c r="D74" s="30" t="s">
        <v>11795</v>
      </c>
      <c r="E74" s="66" t="s">
        <v>11796</v>
      </c>
      <c r="F74" s="66"/>
      <c r="G74" s="29" t="s">
        <v>61</v>
      </c>
      <c r="H74" s="29"/>
      <c r="I74" s="98">
        <v>43975</v>
      </c>
      <c r="J74" s="10" t="s">
        <v>62</v>
      </c>
    </row>
    <row r="75" spans="2:10" ht="15" customHeight="1" x14ac:dyDescent="0.35">
      <c r="B75" s="29">
        <v>8</v>
      </c>
      <c r="C75" s="29" t="s">
        <v>23</v>
      </c>
      <c r="D75" s="30" t="s">
        <v>11797</v>
      </c>
      <c r="E75" s="66" t="s">
        <v>11798</v>
      </c>
      <c r="F75" s="66"/>
      <c r="G75" s="29" t="s">
        <v>61</v>
      </c>
      <c r="H75" s="29"/>
      <c r="I75" s="98">
        <v>44067</v>
      </c>
      <c r="J75" s="10" t="s">
        <v>62</v>
      </c>
    </row>
    <row r="76" spans="2:10" ht="15" customHeight="1" x14ac:dyDescent="0.35">
      <c r="B76" s="29">
        <v>8</v>
      </c>
      <c r="C76" s="29" t="s">
        <v>23</v>
      </c>
      <c r="D76" s="30" t="s">
        <v>11799</v>
      </c>
      <c r="E76" s="66" t="s">
        <v>11800</v>
      </c>
      <c r="F76" s="66"/>
      <c r="G76" s="29" t="s">
        <v>61</v>
      </c>
      <c r="H76" s="29"/>
      <c r="I76" s="98">
        <v>44067</v>
      </c>
      <c r="J76" s="10" t="s">
        <v>62</v>
      </c>
    </row>
    <row r="77" spans="2:10" ht="15" customHeight="1" x14ac:dyDescent="0.35">
      <c r="B77" s="29">
        <v>8</v>
      </c>
      <c r="C77" s="29" t="s">
        <v>23</v>
      </c>
      <c r="D77" s="30" t="s">
        <v>11801</v>
      </c>
      <c r="E77" s="66" t="s">
        <v>11802</v>
      </c>
      <c r="F77" s="66"/>
      <c r="G77" s="29" t="s">
        <v>61</v>
      </c>
      <c r="H77" s="29"/>
      <c r="I77" s="98">
        <v>44067</v>
      </c>
      <c r="J77" s="10" t="s">
        <v>62</v>
      </c>
    </row>
    <row r="78" spans="2:10" ht="15" customHeight="1" x14ac:dyDescent="0.35">
      <c r="B78" s="29">
        <v>8</v>
      </c>
      <c r="C78" s="29" t="s">
        <v>23</v>
      </c>
      <c r="D78" s="30" t="s">
        <v>11803</v>
      </c>
      <c r="E78" s="66" t="s">
        <v>11804</v>
      </c>
      <c r="F78" s="66"/>
      <c r="G78" s="29" t="s">
        <v>61</v>
      </c>
      <c r="H78" s="29"/>
      <c r="I78" s="98">
        <v>44067</v>
      </c>
      <c r="J78" s="10" t="s">
        <v>62</v>
      </c>
    </row>
    <row r="79" spans="2:10" ht="15" customHeight="1" x14ac:dyDescent="0.35">
      <c r="B79" s="29">
        <v>8</v>
      </c>
      <c r="C79" s="29" t="s">
        <v>23</v>
      </c>
      <c r="D79" s="30" t="s">
        <v>11805</v>
      </c>
      <c r="E79" s="66" t="s">
        <v>11806</v>
      </c>
      <c r="F79" s="66"/>
      <c r="G79" s="29" t="s">
        <v>61</v>
      </c>
      <c r="H79" s="29"/>
      <c r="I79" s="98">
        <v>44067</v>
      </c>
      <c r="J79" s="10" t="s">
        <v>62</v>
      </c>
    </row>
    <row r="80" spans="2:10" ht="15" customHeight="1" x14ac:dyDescent="0.35">
      <c r="B80" s="29">
        <v>8</v>
      </c>
      <c r="C80" s="29" t="s">
        <v>23</v>
      </c>
      <c r="D80" s="30" t="s">
        <v>11807</v>
      </c>
      <c r="E80" s="66" t="s">
        <v>11808</v>
      </c>
      <c r="F80" s="66"/>
      <c r="G80" s="29" t="s">
        <v>61</v>
      </c>
      <c r="H80" s="29"/>
      <c r="I80" s="98">
        <v>44128</v>
      </c>
      <c r="J80" s="10" t="s">
        <v>62</v>
      </c>
    </row>
    <row r="81" spans="2:10" ht="15" customHeight="1" x14ac:dyDescent="0.35">
      <c r="B81" s="29">
        <v>8</v>
      </c>
      <c r="C81" s="29" t="s">
        <v>23</v>
      </c>
      <c r="D81" s="30" t="s">
        <v>11809</v>
      </c>
      <c r="E81" s="66" t="s">
        <v>11810</v>
      </c>
      <c r="F81" s="66"/>
      <c r="G81" s="29" t="s">
        <v>61</v>
      </c>
      <c r="H81" s="29"/>
      <c r="I81" s="98">
        <v>44067</v>
      </c>
      <c r="J81" s="10" t="s">
        <v>62</v>
      </c>
    </row>
    <row r="82" spans="2:10" ht="15" customHeight="1" x14ac:dyDescent="0.35">
      <c r="B82" s="29">
        <v>8</v>
      </c>
      <c r="C82" s="29" t="s">
        <v>23</v>
      </c>
      <c r="D82" s="30" t="s">
        <v>11811</v>
      </c>
      <c r="E82" s="66" t="s">
        <v>11812</v>
      </c>
      <c r="F82" s="66"/>
      <c r="G82" s="29" t="s">
        <v>61</v>
      </c>
      <c r="H82" s="29"/>
      <c r="I82" s="98">
        <v>44067</v>
      </c>
      <c r="J82" s="10" t="s">
        <v>62</v>
      </c>
    </row>
    <row r="83" spans="2:10" ht="15" customHeight="1" x14ac:dyDescent="0.35">
      <c r="B83" s="29">
        <v>8</v>
      </c>
      <c r="C83" s="29" t="s">
        <v>23</v>
      </c>
      <c r="D83" s="30" t="s">
        <v>11813</v>
      </c>
      <c r="E83" s="66" t="s">
        <v>11814</v>
      </c>
      <c r="F83" s="66"/>
      <c r="G83" s="29" t="s">
        <v>61</v>
      </c>
      <c r="H83" s="29"/>
      <c r="I83" s="98">
        <v>44067</v>
      </c>
      <c r="J83" s="10" t="s">
        <v>62</v>
      </c>
    </row>
    <row r="84" spans="2:10" ht="15" customHeight="1" x14ac:dyDescent="0.35">
      <c r="B84" s="29">
        <v>8</v>
      </c>
      <c r="C84" s="29" t="s">
        <v>23</v>
      </c>
      <c r="D84" s="30" t="s">
        <v>11815</v>
      </c>
      <c r="E84" s="66" t="s">
        <v>11816</v>
      </c>
      <c r="F84" s="66"/>
      <c r="G84" s="29" t="s">
        <v>61</v>
      </c>
      <c r="H84" s="29"/>
      <c r="I84" s="98">
        <v>44067</v>
      </c>
      <c r="J84" s="10" t="s">
        <v>62</v>
      </c>
    </row>
    <row r="85" spans="2:10" ht="15" customHeight="1" x14ac:dyDescent="0.35">
      <c r="B85" s="29">
        <v>8</v>
      </c>
      <c r="C85" s="29" t="s">
        <v>23</v>
      </c>
      <c r="D85" s="30" t="s">
        <v>11817</v>
      </c>
      <c r="E85" s="66" t="s">
        <v>11818</v>
      </c>
      <c r="F85" s="66"/>
      <c r="G85" s="29" t="s">
        <v>61</v>
      </c>
      <c r="H85" s="29"/>
      <c r="I85" s="98">
        <v>44067</v>
      </c>
      <c r="J85" s="10" t="s">
        <v>62</v>
      </c>
    </row>
    <row r="86" spans="2:10" ht="15" customHeight="1" x14ac:dyDescent="0.35">
      <c r="B86" s="29">
        <v>8</v>
      </c>
      <c r="C86" s="29" t="s">
        <v>23</v>
      </c>
      <c r="D86" s="30" t="s">
        <v>11819</v>
      </c>
      <c r="E86" s="66" t="s">
        <v>11820</v>
      </c>
      <c r="F86" s="66"/>
      <c r="G86" s="29" t="s">
        <v>61</v>
      </c>
      <c r="H86" s="29"/>
      <c r="I86" s="98">
        <v>44067</v>
      </c>
      <c r="J86" s="10" t="s">
        <v>62</v>
      </c>
    </row>
    <row r="87" spans="2:10" ht="15" customHeight="1" x14ac:dyDescent="0.35">
      <c r="B87" s="29">
        <v>8</v>
      </c>
      <c r="C87" s="29" t="s">
        <v>23</v>
      </c>
      <c r="D87" s="29" t="s">
        <v>11821</v>
      </c>
      <c r="E87" s="67" t="s">
        <v>11822</v>
      </c>
      <c r="F87" s="66" t="s">
        <v>11823</v>
      </c>
      <c r="G87" s="29" t="s">
        <v>61</v>
      </c>
      <c r="H87" s="29" t="s">
        <v>61</v>
      </c>
      <c r="I87" s="98">
        <v>45462</v>
      </c>
      <c r="J87" s="10" t="s">
        <v>62</v>
      </c>
    </row>
    <row r="88" spans="2:10" ht="15" customHeight="1" x14ac:dyDescent="0.35">
      <c r="B88" s="29">
        <v>8</v>
      </c>
      <c r="C88" s="29" t="s">
        <v>23</v>
      </c>
      <c r="D88" s="30" t="s">
        <v>11824</v>
      </c>
      <c r="E88" s="66" t="s">
        <v>11825</v>
      </c>
      <c r="F88" s="66"/>
      <c r="G88" s="29" t="s">
        <v>61</v>
      </c>
      <c r="H88" s="29"/>
      <c r="I88" s="98">
        <v>44067</v>
      </c>
      <c r="J88" s="10" t="s">
        <v>62</v>
      </c>
    </row>
    <row r="89" spans="2:10" ht="15" customHeight="1" x14ac:dyDescent="0.35">
      <c r="B89" s="29">
        <v>8</v>
      </c>
      <c r="C89" s="29" t="s">
        <v>23</v>
      </c>
      <c r="D89" s="30" t="s">
        <v>11826</v>
      </c>
      <c r="E89" s="66" t="s">
        <v>11827</v>
      </c>
      <c r="F89" s="66" t="s">
        <v>11828</v>
      </c>
      <c r="G89" s="29" t="s">
        <v>61</v>
      </c>
      <c r="H89" s="29" t="s">
        <v>61</v>
      </c>
      <c r="I89" s="98">
        <v>45839</v>
      </c>
      <c r="J89" s="10" t="s">
        <v>62</v>
      </c>
    </row>
    <row r="90" spans="2:10" ht="15" customHeight="1" x14ac:dyDescent="0.35">
      <c r="B90" s="29">
        <v>8</v>
      </c>
      <c r="C90" s="29" t="s">
        <v>23</v>
      </c>
      <c r="D90" s="30" t="s">
        <v>11829</v>
      </c>
      <c r="E90" s="66" t="s">
        <v>11830</v>
      </c>
      <c r="F90" s="66"/>
      <c r="G90" s="29" t="s">
        <v>61</v>
      </c>
      <c r="H90" s="29"/>
      <c r="I90" s="98">
        <v>44067</v>
      </c>
      <c r="J90" s="10" t="s">
        <v>62</v>
      </c>
    </row>
    <row r="91" spans="2:10" ht="15" customHeight="1" x14ac:dyDescent="0.35">
      <c r="B91" s="29">
        <v>8</v>
      </c>
      <c r="C91" s="29" t="s">
        <v>23</v>
      </c>
      <c r="D91" s="30" t="s">
        <v>11831</v>
      </c>
      <c r="E91" s="66" t="s">
        <v>11832</v>
      </c>
      <c r="F91" s="66"/>
      <c r="G91" s="29" t="s">
        <v>61</v>
      </c>
      <c r="H91" s="29"/>
      <c r="I91" s="98">
        <v>44067</v>
      </c>
      <c r="J91" s="10" t="s">
        <v>62</v>
      </c>
    </row>
    <row r="92" spans="2:10" ht="15" customHeight="1" x14ac:dyDescent="0.35">
      <c r="B92" s="29">
        <v>8</v>
      </c>
      <c r="C92" s="29" t="s">
        <v>23</v>
      </c>
      <c r="D92" s="30" t="s">
        <v>11833</v>
      </c>
      <c r="E92" s="66" t="s">
        <v>11834</v>
      </c>
      <c r="F92" s="66"/>
      <c r="G92" s="29" t="s">
        <v>61</v>
      </c>
      <c r="H92" s="29"/>
      <c r="I92" s="98">
        <v>44067</v>
      </c>
      <c r="J92" s="10" t="s">
        <v>62</v>
      </c>
    </row>
    <row r="93" spans="2:10" ht="15" customHeight="1" x14ac:dyDescent="0.35">
      <c r="B93" s="29">
        <v>8</v>
      </c>
      <c r="C93" s="29" t="s">
        <v>23</v>
      </c>
      <c r="D93" s="30">
        <v>30</v>
      </c>
      <c r="E93" s="66" t="s">
        <v>11835</v>
      </c>
      <c r="F93" s="66"/>
      <c r="G93" s="29" t="s">
        <v>61</v>
      </c>
      <c r="H93" s="29"/>
      <c r="I93" s="98">
        <v>44067</v>
      </c>
      <c r="J93" s="10" t="s">
        <v>62</v>
      </c>
    </row>
    <row r="94" spans="2:10" ht="15" customHeight="1" x14ac:dyDescent="0.35">
      <c r="B94" s="29">
        <v>8</v>
      </c>
      <c r="C94" s="29" t="s">
        <v>23</v>
      </c>
      <c r="D94" s="30" t="s">
        <v>11836</v>
      </c>
      <c r="E94" s="66" t="s">
        <v>11837</v>
      </c>
      <c r="F94" s="66"/>
      <c r="G94" s="29"/>
      <c r="H94" s="29"/>
      <c r="I94" s="29"/>
      <c r="J94" s="11" t="s">
        <v>11838</v>
      </c>
    </row>
    <row r="95" spans="2:10" ht="15" customHeight="1" x14ac:dyDescent="0.35">
      <c r="B95" s="29">
        <v>8</v>
      </c>
      <c r="C95" s="29" t="s">
        <v>23</v>
      </c>
      <c r="D95" s="30">
        <v>40</v>
      </c>
      <c r="E95" s="66" t="s">
        <v>11839</v>
      </c>
      <c r="F95" s="66"/>
      <c r="G95" s="29" t="s">
        <v>61</v>
      </c>
      <c r="H95" s="29"/>
      <c r="I95" s="98">
        <v>44067</v>
      </c>
      <c r="J95" s="10" t="s">
        <v>62</v>
      </c>
    </row>
    <row r="96" spans="2:10" ht="15" customHeight="1" x14ac:dyDescent="0.35">
      <c r="B96" s="29">
        <v>8</v>
      </c>
      <c r="C96" s="29" t="s">
        <v>23</v>
      </c>
      <c r="D96" s="29">
        <v>60</v>
      </c>
      <c r="E96" s="67" t="s">
        <v>11840</v>
      </c>
      <c r="F96" s="66" t="s">
        <v>11841</v>
      </c>
      <c r="G96" s="29" t="s">
        <v>61</v>
      </c>
      <c r="H96" s="29" t="s">
        <v>61</v>
      </c>
      <c r="I96" s="98">
        <v>45462</v>
      </c>
      <c r="J96" s="10" t="s">
        <v>62</v>
      </c>
    </row>
    <row r="97" spans="2:10" ht="15" customHeight="1" x14ac:dyDescent="0.35">
      <c r="B97" s="29">
        <v>8</v>
      </c>
      <c r="C97" s="29" t="s">
        <v>23</v>
      </c>
      <c r="D97" s="30" t="s">
        <v>11842</v>
      </c>
      <c r="E97" s="66" t="s">
        <v>11843</v>
      </c>
      <c r="F97" s="66"/>
      <c r="G97" s="29"/>
      <c r="H97" s="29"/>
      <c r="I97" s="29"/>
      <c r="J97" s="11" t="s">
        <v>11838</v>
      </c>
    </row>
    <row r="98" spans="2:10" ht="15" customHeight="1" x14ac:dyDescent="0.35">
      <c r="B98" s="29">
        <v>8</v>
      </c>
      <c r="C98" s="29" t="s">
        <v>23</v>
      </c>
      <c r="D98" s="30" t="s">
        <v>11844</v>
      </c>
      <c r="E98" s="66" t="s">
        <v>11845</v>
      </c>
      <c r="F98" s="66"/>
      <c r="G98" s="29"/>
      <c r="H98" s="29"/>
      <c r="I98" s="29"/>
      <c r="J98" s="11" t="s">
        <v>11838</v>
      </c>
    </row>
    <row r="99" spans="2:10" ht="15" customHeight="1" x14ac:dyDescent="0.35">
      <c r="B99" s="29">
        <v>8</v>
      </c>
      <c r="C99" s="29" t="s">
        <v>23</v>
      </c>
      <c r="D99" s="30">
        <v>70</v>
      </c>
      <c r="E99" s="66" t="s">
        <v>11846</v>
      </c>
      <c r="F99" s="66" t="s">
        <v>11727</v>
      </c>
      <c r="G99" s="29" t="s">
        <v>61</v>
      </c>
      <c r="H99" s="29" t="s">
        <v>61</v>
      </c>
      <c r="I99" s="98">
        <v>45462</v>
      </c>
      <c r="J99" s="10" t="s">
        <v>62</v>
      </c>
    </row>
    <row r="100" spans="2:10" ht="15" customHeight="1" x14ac:dyDescent="0.35">
      <c r="B100" s="29">
        <v>8</v>
      </c>
      <c r="C100" s="29" t="s">
        <v>23</v>
      </c>
      <c r="D100" s="30" t="s">
        <v>11847</v>
      </c>
      <c r="E100" s="66" t="s">
        <v>11848</v>
      </c>
      <c r="F100" s="66" t="s">
        <v>11849</v>
      </c>
      <c r="G100" s="29" t="s">
        <v>61</v>
      </c>
      <c r="H100" s="29" t="s">
        <v>61</v>
      </c>
      <c r="I100" s="98">
        <v>45839</v>
      </c>
      <c r="J100" s="10" t="s">
        <v>62</v>
      </c>
    </row>
    <row r="101" spans="2:10" ht="15" customHeight="1" x14ac:dyDescent="0.35">
      <c r="B101" s="29">
        <v>8</v>
      </c>
      <c r="C101" s="29" t="s">
        <v>23</v>
      </c>
      <c r="D101" s="30" t="s">
        <v>11850</v>
      </c>
      <c r="E101" s="66" t="s">
        <v>11851</v>
      </c>
      <c r="F101" s="66" t="s">
        <v>11852</v>
      </c>
      <c r="G101" s="29" t="s">
        <v>61</v>
      </c>
      <c r="H101" s="29" t="s">
        <v>61</v>
      </c>
      <c r="I101" s="98">
        <v>45839</v>
      </c>
      <c r="J101" s="10" t="s">
        <v>62</v>
      </c>
    </row>
    <row r="102" spans="2:10" ht="15" customHeight="1" x14ac:dyDescent="0.35">
      <c r="B102" s="29">
        <v>8</v>
      </c>
      <c r="C102" s="29" t="s">
        <v>23</v>
      </c>
      <c r="D102" s="29" t="s">
        <v>11853</v>
      </c>
      <c r="E102" s="67" t="s">
        <v>11854</v>
      </c>
      <c r="F102" s="66" t="s">
        <v>11855</v>
      </c>
      <c r="G102" s="29" t="s">
        <v>61</v>
      </c>
      <c r="H102" s="29" t="s">
        <v>61</v>
      </c>
      <c r="I102" s="98">
        <v>45462</v>
      </c>
      <c r="J102" s="10" t="s">
        <v>62</v>
      </c>
    </row>
    <row r="103" spans="2:10" ht="15" customHeight="1" x14ac:dyDescent="0.35">
      <c r="B103" s="29">
        <v>8</v>
      </c>
      <c r="C103" s="29" t="s">
        <v>23</v>
      </c>
      <c r="D103" s="29" t="s">
        <v>11856</v>
      </c>
      <c r="E103" s="67" t="s">
        <v>11857</v>
      </c>
      <c r="F103" s="66" t="s">
        <v>11858</v>
      </c>
      <c r="G103" s="29" t="s">
        <v>61</v>
      </c>
      <c r="H103" s="29" t="s">
        <v>61</v>
      </c>
      <c r="I103" s="98">
        <v>45462</v>
      </c>
      <c r="J103" s="10" t="s">
        <v>62</v>
      </c>
    </row>
    <row r="104" spans="2:10" ht="15" customHeight="1" x14ac:dyDescent="0.35">
      <c r="B104" s="29">
        <v>8</v>
      </c>
      <c r="C104" s="29" t="s">
        <v>23</v>
      </c>
      <c r="D104" s="30" t="s">
        <v>11859</v>
      </c>
      <c r="E104" s="66" t="s">
        <v>11860</v>
      </c>
      <c r="F104" s="66"/>
      <c r="G104" s="29" t="s">
        <v>61</v>
      </c>
      <c r="H104" s="29"/>
      <c r="I104" s="98">
        <v>44067</v>
      </c>
      <c r="J104" s="10" t="s">
        <v>62</v>
      </c>
    </row>
    <row r="105" spans="2:10" ht="15" customHeight="1" x14ac:dyDescent="0.35">
      <c r="B105" s="29">
        <v>8</v>
      </c>
      <c r="C105" s="29" t="s">
        <v>23</v>
      </c>
      <c r="D105" s="30" t="s">
        <v>11861</v>
      </c>
      <c r="E105" s="66" t="s">
        <v>11862</v>
      </c>
      <c r="F105" s="66" t="s">
        <v>11863</v>
      </c>
      <c r="G105" s="29" t="s">
        <v>61</v>
      </c>
      <c r="H105" s="29" t="s">
        <v>61</v>
      </c>
      <c r="I105" s="98">
        <v>45839</v>
      </c>
      <c r="J105" s="10" t="s">
        <v>62</v>
      </c>
    </row>
    <row r="106" spans="2:10" ht="15" customHeight="1" x14ac:dyDescent="0.35">
      <c r="B106" s="29">
        <v>8</v>
      </c>
      <c r="C106" s="29" t="s">
        <v>23</v>
      </c>
      <c r="D106" s="30" t="s">
        <v>11864</v>
      </c>
      <c r="E106" s="66" t="s">
        <v>11865</v>
      </c>
      <c r="F106" s="66"/>
      <c r="G106" s="29"/>
      <c r="H106" s="29"/>
      <c r="I106" s="98"/>
      <c r="J106" s="11" t="s">
        <v>11866</v>
      </c>
    </row>
    <row r="107" spans="2:10" ht="15" customHeight="1" x14ac:dyDescent="0.35">
      <c r="B107" s="29">
        <v>8</v>
      </c>
      <c r="C107" s="29" t="s">
        <v>23</v>
      </c>
      <c r="D107" s="30" t="s">
        <v>11867</v>
      </c>
      <c r="E107" s="66" t="s">
        <v>11868</v>
      </c>
      <c r="F107" s="66" t="s">
        <v>11869</v>
      </c>
      <c r="G107" s="29" t="s">
        <v>61</v>
      </c>
      <c r="H107" s="29" t="s">
        <v>61</v>
      </c>
      <c r="I107" s="98">
        <v>45839</v>
      </c>
      <c r="J107" s="10" t="s">
        <v>62</v>
      </c>
    </row>
    <row r="108" spans="2:10" ht="15" customHeight="1" x14ac:dyDescent="0.35">
      <c r="B108" s="29">
        <v>8</v>
      </c>
      <c r="C108" s="29" t="s">
        <v>23</v>
      </c>
      <c r="D108" s="30" t="s">
        <v>11870</v>
      </c>
      <c r="E108" s="66" t="s">
        <v>11871</v>
      </c>
      <c r="F108" s="66"/>
      <c r="G108" s="29" t="s">
        <v>61</v>
      </c>
      <c r="H108" s="29"/>
      <c r="I108" s="98">
        <v>44067</v>
      </c>
      <c r="J108" s="10" t="s">
        <v>62</v>
      </c>
    </row>
    <row r="109" spans="2:10" ht="15" customHeight="1" x14ac:dyDescent="0.35">
      <c r="B109" s="29">
        <v>8</v>
      </c>
      <c r="C109" s="29" t="s">
        <v>23</v>
      </c>
      <c r="D109" s="30" t="s">
        <v>11872</v>
      </c>
      <c r="E109" s="66" t="s">
        <v>11873</v>
      </c>
      <c r="F109" s="66"/>
      <c r="G109" s="29" t="s">
        <v>61</v>
      </c>
      <c r="H109" s="29"/>
      <c r="I109" s="98">
        <v>44067</v>
      </c>
      <c r="J109" s="10" t="s">
        <v>62</v>
      </c>
    </row>
    <row r="110" spans="2:10" ht="15" customHeight="1" x14ac:dyDescent="0.35">
      <c r="B110" s="29">
        <v>8</v>
      </c>
      <c r="C110" s="29" t="s">
        <v>23</v>
      </c>
      <c r="D110" s="30" t="s">
        <v>11874</v>
      </c>
      <c r="E110" s="66" t="s">
        <v>11875</v>
      </c>
      <c r="F110" s="66" t="s">
        <v>11876</v>
      </c>
      <c r="G110" s="29" t="s">
        <v>61</v>
      </c>
      <c r="H110" s="29" t="s">
        <v>61</v>
      </c>
      <c r="I110" s="98">
        <v>45839</v>
      </c>
      <c r="J110" s="10" t="s">
        <v>62</v>
      </c>
    </row>
    <row r="111" spans="2:10" ht="15" customHeight="1" x14ac:dyDescent="0.35">
      <c r="B111" s="29">
        <v>8</v>
      </c>
      <c r="C111" s="29" t="s">
        <v>23</v>
      </c>
      <c r="D111" s="30" t="s">
        <v>11877</v>
      </c>
      <c r="E111" s="66" t="s">
        <v>11878</v>
      </c>
      <c r="F111" s="66" t="s">
        <v>11879</v>
      </c>
      <c r="G111" s="29" t="s">
        <v>61</v>
      </c>
      <c r="H111" s="29" t="s">
        <v>61</v>
      </c>
      <c r="I111" s="98">
        <v>45839</v>
      </c>
      <c r="J111" s="10" t="s">
        <v>62</v>
      </c>
    </row>
    <row r="112" spans="2:10" ht="15" customHeight="1" x14ac:dyDescent="0.35">
      <c r="B112" s="29">
        <v>8</v>
      </c>
      <c r="C112" s="29" t="s">
        <v>23</v>
      </c>
      <c r="D112" s="30" t="s">
        <v>11880</v>
      </c>
      <c r="E112" s="66" t="s">
        <v>11881</v>
      </c>
      <c r="F112" s="66"/>
      <c r="G112" s="29" t="s">
        <v>61</v>
      </c>
      <c r="H112" s="29"/>
      <c r="I112" s="98">
        <v>44067</v>
      </c>
      <c r="J112" s="10" t="s">
        <v>62</v>
      </c>
    </row>
    <row r="113" spans="2:10" ht="15" customHeight="1" x14ac:dyDescent="0.35">
      <c r="B113" s="29">
        <v>8</v>
      </c>
      <c r="C113" s="29" t="s">
        <v>23</v>
      </c>
      <c r="D113" s="30" t="s">
        <v>11882</v>
      </c>
      <c r="E113" s="66" t="s">
        <v>11883</v>
      </c>
      <c r="F113" s="66" t="s">
        <v>11884</v>
      </c>
      <c r="G113" s="29" t="s">
        <v>61</v>
      </c>
      <c r="H113" s="29" t="s">
        <v>61</v>
      </c>
      <c r="I113" s="98">
        <v>45839</v>
      </c>
      <c r="J113" s="10" t="s">
        <v>62</v>
      </c>
    </row>
    <row r="114" spans="2:10" ht="15" customHeight="1" x14ac:dyDescent="0.35">
      <c r="B114" s="29">
        <v>8</v>
      </c>
      <c r="C114" s="29" t="s">
        <v>23</v>
      </c>
      <c r="D114" s="30" t="s">
        <v>11885</v>
      </c>
      <c r="E114" s="66" t="s">
        <v>11886</v>
      </c>
      <c r="F114" s="66"/>
      <c r="G114" s="29" t="s">
        <v>61</v>
      </c>
      <c r="H114" s="29"/>
      <c r="I114" s="98">
        <v>44067</v>
      </c>
      <c r="J114" s="10" t="s">
        <v>62</v>
      </c>
    </row>
    <row r="115" spans="2:10" ht="15" customHeight="1" x14ac:dyDescent="0.35">
      <c r="B115" s="29">
        <v>8</v>
      </c>
      <c r="C115" s="29" t="s">
        <v>23</v>
      </c>
      <c r="D115" s="30">
        <v>150</v>
      </c>
      <c r="E115" s="66" t="s">
        <v>11887</v>
      </c>
      <c r="F115" s="66"/>
      <c r="G115" s="29" t="s">
        <v>61</v>
      </c>
      <c r="H115" s="29"/>
      <c r="I115" s="98">
        <v>44067</v>
      </c>
      <c r="J115" s="10" t="s">
        <v>62</v>
      </c>
    </row>
    <row r="116" spans="2:10" ht="15" customHeight="1" x14ac:dyDescent="0.35">
      <c r="B116" s="29">
        <v>8</v>
      </c>
      <c r="C116" s="29" t="s">
        <v>23</v>
      </c>
      <c r="D116" s="30">
        <v>160</v>
      </c>
      <c r="E116" s="66" t="s">
        <v>11888</v>
      </c>
      <c r="F116" s="66"/>
      <c r="G116" s="29" t="s">
        <v>61</v>
      </c>
      <c r="H116" s="29"/>
      <c r="I116" s="98">
        <v>44067</v>
      </c>
      <c r="J116" s="10" t="s">
        <v>62</v>
      </c>
    </row>
    <row r="117" spans="2:10" ht="15" customHeight="1" x14ac:dyDescent="0.35">
      <c r="B117" s="29">
        <v>8</v>
      </c>
      <c r="C117" s="29" t="s">
        <v>23</v>
      </c>
      <c r="D117" s="30" t="s">
        <v>11889</v>
      </c>
      <c r="E117" s="66" t="s">
        <v>11890</v>
      </c>
      <c r="F117" s="66"/>
      <c r="G117" s="29" t="s">
        <v>61</v>
      </c>
      <c r="H117" s="29"/>
      <c r="I117" s="98">
        <v>44067</v>
      </c>
      <c r="J117" s="10" t="s">
        <v>62</v>
      </c>
    </row>
    <row r="118" spans="2:10" ht="15" customHeight="1" x14ac:dyDescent="0.35">
      <c r="B118" s="29">
        <v>8</v>
      </c>
      <c r="C118" s="29" t="s">
        <v>23</v>
      </c>
      <c r="D118" s="30" t="s">
        <v>11891</v>
      </c>
      <c r="E118" s="66" t="s">
        <v>11892</v>
      </c>
      <c r="F118" s="66"/>
      <c r="G118" s="29" t="s">
        <v>61</v>
      </c>
      <c r="H118" s="29"/>
      <c r="I118" s="29" t="s">
        <v>11893</v>
      </c>
      <c r="J118" s="10" t="s">
        <v>62</v>
      </c>
    </row>
    <row r="119" spans="2:10" ht="15" customHeight="1" x14ac:dyDescent="0.35">
      <c r="B119" s="29">
        <v>8</v>
      </c>
      <c r="C119" s="29" t="s">
        <v>23</v>
      </c>
      <c r="D119" s="30" t="s">
        <v>11894</v>
      </c>
      <c r="E119" s="66" t="s">
        <v>11895</v>
      </c>
      <c r="F119" s="66" t="s">
        <v>11896</v>
      </c>
      <c r="G119" s="29" t="s">
        <v>61</v>
      </c>
      <c r="H119" s="29" t="s">
        <v>61</v>
      </c>
      <c r="I119" s="98">
        <v>45839</v>
      </c>
      <c r="J119" s="10" t="s">
        <v>62</v>
      </c>
    </row>
    <row r="120" spans="2:10" ht="15" customHeight="1" x14ac:dyDescent="0.35">
      <c r="B120" s="29">
        <v>8</v>
      </c>
      <c r="C120" s="29" t="s">
        <v>23</v>
      </c>
      <c r="D120" s="30" t="s">
        <v>11897</v>
      </c>
      <c r="E120" s="66" t="s">
        <v>11898</v>
      </c>
      <c r="F120" s="66" t="s">
        <v>11899</v>
      </c>
      <c r="G120" s="29" t="s">
        <v>61</v>
      </c>
      <c r="H120" s="29" t="s">
        <v>61</v>
      </c>
      <c r="I120" s="98">
        <v>45839</v>
      </c>
      <c r="J120" s="10" t="s">
        <v>62</v>
      </c>
    </row>
    <row r="121" spans="2:10" ht="15" customHeight="1" x14ac:dyDescent="0.35">
      <c r="B121" s="29">
        <v>8</v>
      </c>
      <c r="C121" s="29" t="s">
        <v>23</v>
      </c>
      <c r="D121" s="30" t="s">
        <v>11900</v>
      </c>
      <c r="E121" s="66" t="s">
        <v>11901</v>
      </c>
      <c r="F121" s="66"/>
      <c r="G121" s="29" t="s">
        <v>61</v>
      </c>
      <c r="H121" s="29"/>
      <c r="I121" s="98">
        <v>44067</v>
      </c>
      <c r="J121" s="10" t="s">
        <v>62</v>
      </c>
    </row>
    <row r="122" spans="2:10" ht="15" customHeight="1" x14ac:dyDescent="0.35">
      <c r="B122" s="29">
        <v>8</v>
      </c>
      <c r="C122" s="29" t="s">
        <v>23</v>
      </c>
      <c r="D122" s="30" t="s">
        <v>11902</v>
      </c>
      <c r="E122" s="66" t="s">
        <v>11903</v>
      </c>
      <c r="F122" s="66" t="s">
        <v>11904</v>
      </c>
      <c r="G122" s="29" t="s">
        <v>61</v>
      </c>
      <c r="H122" s="29" t="s">
        <v>61</v>
      </c>
      <c r="I122" s="98">
        <v>45839</v>
      </c>
      <c r="J122" s="10" t="s">
        <v>62</v>
      </c>
    </row>
    <row r="123" spans="2:10" ht="15" customHeight="1" x14ac:dyDescent="0.35">
      <c r="B123" s="29">
        <v>8</v>
      </c>
      <c r="C123" s="29" t="s">
        <v>23</v>
      </c>
      <c r="D123" s="30" t="s">
        <v>11905</v>
      </c>
      <c r="E123" s="66" t="s">
        <v>11906</v>
      </c>
      <c r="F123" s="66" t="s">
        <v>11907</v>
      </c>
      <c r="G123" s="29" t="s">
        <v>61</v>
      </c>
      <c r="H123" s="29" t="s">
        <v>61</v>
      </c>
      <c r="I123" s="98">
        <v>45839</v>
      </c>
      <c r="J123" s="10" t="s">
        <v>62</v>
      </c>
    </row>
    <row r="124" spans="2:10" ht="15" customHeight="1" x14ac:dyDescent="0.35">
      <c r="B124" s="29">
        <v>8</v>
      </c>
      <c r="C124" s="29" t="s">
        <v>23</v>
      </c>
      <c r="D124" s="30">
        <v>200</v>
      </c>
      <c r="E124" s="66" t="s">
        <v>11908</v>
      </c>
      <c r="F124" s="66"/>
      <c r="G124" s="29" t="s">
        <v>61</v>
      </c>
      <c r="H124" s="29"/>
      <c r="I124" s="98">
        <v>44067</v>
      </c>
      <c r="J124" s="10" t="s">
        <v>62</v>
      </c>
    </row>
    <row r="125" spans="2:10" ht="15" customHeight="1" x14ac:dyDescent="0.35">
      <c r="B125" s="29">
        <v>8</v>
      </c>
      <c r="C125" s="29" t="s">
        <v>23</v>
      </c>
      <c r="D125" s="30" t="s">
        <v>11909</v>
      </c>
      <c r="E125" s="66" t="s">
        <v>11910</v>
      </c>
      <c r="F125" s="66" t="s">
        <v>11911</v>
      </c>
      <c r="G125" s="29" t="s">
        <v>61</v>
      </c>
      <c r="H125" s="29" t="s">
        <v>61</v>
      </c>
      <c r="I125" s="98">
        <v>45839</v>
      </c>
      <c r="J125" s="10" t="s">
        <v>62</v>
      </c>
    </row>
    <row r="126" spans="2:10" ht="15" customHeight="1" x14ac:dyDescent="0.35">
      <c r="B126" s="29">
        <v>8</v>
      </c>
      <c r="C126" s="29" t="s">
        <v>23</v>
      </c>
      <c r="D126" s="30" t="s">
        <v>11912</v>
      </c>
      <c r="E126" s="66" t="s">
        <v>11913</v>
      </c>
      <c r="F126" s="66"/>
      <c r="G126" s="29" t="s">
        <v>61</v>
      </c>
      <c r="H126" s="29"/>
      <c r="I126" s="98">
        <v>44067</v>
      </c>
      <c r="J126" s="10" t="s">
        <v>62</v>
      </c>
    </row>
    <row r="127" spans="2:10" ht="15" customHeight="1" x14ac:dyDescent="0.35">
      <c r="B127" s="29">
        <v>8</v>
      </c>
      <c r="C127" s="29" t="s">
        <v>23</v>
      </c>
      <c r="D127" s="30">
        <v>210</v>
      </c>
      <c r="E127" s="66" t="s">
        <v>11914</v>
      </c>
      <c r="F127" s="66"/>
      <c r="G127" s="29"/>
      <c r="H127" s="29"/>
      <c r="I127" s="29"/>
      <c r="J127" s="11" t="s">
        <v>11838</v>
      </c>
    </row>
    <row r="128" spans="2:10" ht="15" customHeight="1" x14ac:dyDescent="0.35">
      <c r="B128" s="29">
        <v>8</v>
      </c>
      <c r="C128" s="29" t="s">
        <v>23</v>
      </c>
      <c r="D128" s="30">
        <v>230</v>
      </c>
      <c r="E128" s="66" t="s">
        <v>11915</v>
      </c>
      <c r="F128" s="66"/>
      <c r="G128" s="29"/>
      <c r="H128" s="29"/>
      <c r="I128" s="98"/>
      <c r="J128" s="11" t="s">
        <v>11838</v>
      </c>
    </row>
    <row r="129" spans="2:10" ht="15" customHeight="1" x14ac:dyDescent="0.35">
      <c r="B129" s="29">
        <v>8</v>
      </c>
      <c r="C129" s="29" t="s">
        <v>23</v>
      </c>
      <c r="D129" s="30">
        <v>240</v>
      </c>
      <c r="E129" s="66" t="s">
        <v>11916</v>
      </c>
      <c r="F129" s="66" t="s">
        <v>11917</v>
      </c>
      <c r="G129" s="29" t="s">
        <v>61</v>
      </c>
      <c r="H129" s="29" t="s">
        <v>61</v>
      </c>
      <c r="I129" s="98">
        <v>45595</v>
      </c>
      <c r="J129" s="10" t="s">
        <v>62</v>
      </c>
    </row>
    <row r="130" spans="2:10" ht="15" customHeight="1" x14ac:dyDescent="0.35">
      <c r="B130" s="29">
        <v>8</v>
      </c>
      <c r="C130" s="29" t="s">
        <v>23</v>
      </c>
      <c r="D130" s="30" t="s">
        <v>11918</v>
      </c>
      <c r="E130" s="66" t="s">
        <v>11919</v>
      </c>
      <c r="F130" s="66" t="s">
        <v>11920</v>
      </c>
      <c r="G130" s="29" t="s">
        <v>61</v>
      </c>
      <c r="H130" s="29" t="s">
        <v>61</v>
      </c>
      <c r="I130" s="98">
        <v>45839</v>
      </c>
      <c r="J130" s="10" t="s">
        <v>62</v>
      </c>
    </row>
    <row r="131" spans="2:10" ht="15" customHeight="1" x14ac:dyDescent="0.35">
      <c r="B131" s="29">
        <v>8</v>
      </c>
      <c r="C131" s="29" t="s">
        <v>23</v>
      </c>
      <c r="D131" s="30" t="s">
        <v>11921</v>
      </c>
      <c r="E131" s="66" t="s">
        <v>11922</v>
      </c>
      <c r="F131" s="66" t="s">
        <v>11923</v>
      </c>
      <c r="G131" s="29" t="s">
        <v>61</v>
      </c>
      <c r="H131" s="29" t="s">
        <v>61</v>
      </c>
      <c r="I131" s="98">
        <v>45462</v>
      </c>
      <c r="J131" s="10" t="s">
        <v>62</v>
      </c>
    </row>
    <row r="132" spans="2:10" ht="15" customHeight="1" x14ac:dyDescent="0.35">
      <c r="B132" s="29">
        <v>8</v>
      </c>
      <c r="C132" s="29" t="s">
        <v>23</v>
      </c>
      <c r="D132" s="30">
        <v>320</v>
      </c>
      <c r="E132" s="66" t="s">
        <v>11728</v>
      </c>
      <c r="F132" s="66" t="s">
        <v>11729</v>
      </c>
      <c r="G132" s="29" t="s">
        <v>61</v>
      </c>
      <c r="H132" s="29" t="s">
        <v>61</v>
      </c>
      <c r="I132" s="98">
        <v>45716</v>
      </c>
      <c r="J132" s="10" t="s">
        <v>62</v>
      </c>
    </row>
    <row r="133" spans="2:10" ht="15" customHeight="1" x14ac:dyDescent="0.35">
      <c r="B133" s="29">
        <v>8</v>
      </c>
      <c r="C133" s="29" t="s">
        <v>23</v>
      </c>
      <c r="D133" s="30">
        <v>330</v>
      </c>
      <c r="E133" s="66" t="s">
        <v>11924</v>
      </c>
      <c r="F133" s="66"/>
      <c r="G133" s="29" t="s">
        <v>61</v>
      </c>
      <c r="H133" s="29"/>
      <c r="I133" s="98">
        <v>44875</v>
      </c>
      <c r="J133" s="10" t="s">
        <v>62</v>
      </c>
    </row>
    <row r="134" spans="2:10" ht="15" hidden="1" customHeight="1" x14ac:dyDescent="0.35">
      <c r="B134" s="29">
        <v>9</v>
      </c>
      <c r="C134" s="29" t="s">
        <v>24</v>
      </c>
      <c r="D134" s="30" t="s">
        <v>11757</v>
      </c>
      <c r="E134" s="66" t="s">
        <v>11925</v>
      </c>
      <c r="F134" s="66"/>
      <c r="G134" s="29" t="s">
        <v>61</v>
      </c>
      <c r="H134" s="29"/>
      <c r="I134" s="98">
        <v>44188</v>
      </c>
      <c r="J134" s="10" t="s">
        <v>62</v>
      </c>
    </row>
    <row r="135" spans="2:10" ht="15" hidden="1" customHeight="1" x14ac:dyDescent="0.35">
      <c r="B135" s="29">
        <v>9</v>
      </c>
      <c r="C135" s="29" t="s">
        <v>24</v>
      </c>
      <c r="D135" s="30" t="s">
        <v>11759</v>
      </c>
      <c r="E135" s="66" t="s">
        <v>11926</v>
      </c>
      <c r="F135" s="66"/>
      <c r="G135" s="29" t="s">
        <v>61</v>
      </c>
      <c r="H135" s="29"/>
      <c r="I135" s="98">
        <v>44188</v>
      </c>
      <c r="J135" s="10" t="s">
        <v>62</v>
      </c>
    </row>
    <row r="136" spans="2:10" ht="15" hidden="1" customHeight="1" x14ac:dyDescent="0.35">
      <c r="B136" s="29">
        <v>9</v>
      </c>
      <c r="C136" s="29" t="s">
        <v>24</v>
      </c>
      <c r="D136" s="30" t="s">
        <v>11927</v>
      </c>
      <c r="E136" s="66" t="s">
        <v>11928</v>
      </c>
      <c r="F136" s="66"/>
      <c r="G136" s="29" t="s">
        <v>61</v>
      </c>
      <c r="H136" s="29"/>
      <c r="I136" s="98">
        <v>44188</v>
      </c>
      <c r="J136" s="10" t="s">
        <v>62</v>
      </c>
    </row>
    <row r="137" spans="2:10" ht="15" hidden="1" customHeight="1" x14ac:dyDescent="0.35">
      <c r="B137" s="29">
        <v>9</v>
      </c>
      <c r="C137" s="29" t="s">
        <v>24</v>
      </c>
      <c r="D137" s="30" t="s">
        <v>11761</v>
      </c>
      <c r="E137" s="66" t="s">
        <v>11929</v>
      </c>
      <c r="F137" s="66"/>
      <c r="G137" s="29" t="s">
        <v>61</v>
      </c>
      <c r="H137" s="29"/>
      <c r="I137" s="98">
        <v>44349</v>
      </c>
      <c r="J137" s="10" t="s">
        <v>62</v>
      </c>
    </row>
    <row r="138" spans="2:10" ht="15" hidden="1" customHeight="1" x14ac:dyDescent="0.35">
      <c r="B138" s="29">
        <v>9</v>
      </c>
      <c r="C138" s="29" t="s">
        <v>24</v>
      </c>
      <c r="D138" s="30" t="s">
        <v>11763</v>
      </c>
      <c r="E138" s="66" t="s">
        <v>11930</v>
      </c>
      <c r="F138" s="66"/>
      <c r="G138" s="29" t="s">
        <v>61</v>
      </c>
      <c r="H138" s="29"/>
      <c r="I138" s="98">
        <v>44349</v>
      </c>
      <c r="J138" s="10" t="s">
        <v>62</v>
      </c>
    </row>
    <row r="139" spans="2:10" ht="15" hidden="1" customHeight="1" x14ac:dyDescent="0.35">
      <c r="B139" s="29">
        <v>9</v>
      </c>
      <c r="C139" s="29" t="s">
        <v>24</v>
      </c>
      <c r="D139" s="30" t="s">
        <v>11765</v>
      </c>
      <c r="E139" s="66" t="s">
        <v>11931</v>
      </c>
      <c r="F139" s="66"/>
      <c r="G139" s="29" t="s">
        <v>61</v>
      </c>
      <c r="H139" s="29"/>
      <c r="I139" s="98">
        <v>44349</v>
      </c>
      <c r="J139" s="10" t="s">
        <v>62</v>
      </c>
    </row>
    <row r="140" spans="2:10" ht="15" hidden="1" customHeight="1" x14ac:dyDescent="0.35">
      <c r="B140" s="29">
        <v>9</v>
      </c>
      <c r="C140" s="29" t="s">
        <v>24</v>
      </c>
      <c r="D140" s="30" t="s">
        <v>11932</v>
      </c>
      <c r="E140" s="66" t="s">
        <v>11933</v>
      </c>
      <c r="F140" s="66"/>
      <c r="G140" s="29" t="s">
        <v>61</v>
      </c>
      <c r="H140" s="29"/>
      <c r="I140" s="98">
        <v>44349</v>
      </c>
      <c r="J140" s="10" t="s">
        <v>62</v>
      </c>
    </row>
    <row r="141" spans="2:10" ht="15" hidden="1" customHeight="1" x14ac:dyDescent="0.35">
      <c r="B141" s="29">
        <v>9</v>
      </c>
      <c r="C141" s="29" t="s">
        <v>24</v>
      </c>
      <c r="D141" s="30" t="s">
        <v>11767</v>
      </c>
      <c r="E141" s="66" t="s">
        <v>11934</v>
      </c>
      <c r="F141" s="66"/>
      <c r="G141" s="29" t="s">
        <v>61</v>
      </c>
      <c r="H141" s="29"/>
      <c r="I141" s="98">
        <v>44349</v>
      </c>
      <c r="J141" s="10" t="s">
        <v>62</v>
      </c>
    </row>
    <row r="142" spans="2:10" ht="15" hidden="1" customHeight="1" x14ac:dyDescent="0.35">
      <c r="B142" s="29">
        <v>9</v>
      </c>
      <c r="C142" s="29" t="s">
        <v>24</v>
      </c>
      <c r="D142" s="30" t="s">
        <v>11935</v>
      </c>
      <c r="E142" s="66" t="s">
        <v>11936</v>
      </c>
      <c r="F142" s="66"/>
      <c r="G142" s="29" t="s">
        <v>61</v>
      </c>
      <c r="H142" s="29"/>
      <c r="I142" s="98">
        <v>44349</v>
      </c>
      <c r="J142" s="10" t="s">
        <v>62</v>
      </c>
    </row>
    <row r="143" spans="2:10" ht="15" hidden="1" customHeight="1" x14ac:dyDescent="0.35">
      <c r="B143" s="29">
        <v>9</v>
      </c>
      <c r="C143" s="29" t="s">
        <v>24</v>
      </c>
      <c r="D143" s="30" t="s">
        <v>11769</v>
      </c>
      <c r="E143" s="66" t="s">
        <v>11937</v>
      </c>
      <c r="F143" s="66"/>
      <c r="G143" s="29" t="s">
        <v>61</v>
      </c>
      <c r="H143" s="29"/>
      <c r="I143" s="98">
        <v>44349</v>
      </c>
      <c r="J143" s="10" t="s">
        <v>62</v>
      </c>
    </row>
    <row r="144" spans="2:10" ht="15" hidden="1" customHeight="1" x14ac:dyDescent="0.35">
      <c r="B144" s="29">
        <v>9</v>
      </c>
      <c r="C144" s="29" t="s">
        <v>24</v>
      </c>
      <c r="D144" s="30" t="s">
        <v>11771</v>
      </c>
      <c r="E144" s="66" t="s">
        <v>11938</v>
      </c>
      <c r="F144" s="66"/>
      <c r="G144" s="29" t="s">
        <v>61</v>
      </c>
      <c r="H144" s="29"/>
      <c r="I144" s="98">
        <v>44636</v>
      </c>
      <c r="J144" s="10" t="s">
        <v>62</v>
      </c>
    </row>
    <row r="145" spans="2:10" ht="15" hidden="1" customHeight="1" x14ac:dyDescent="0.35">
      <c r="B145" s="29">
        <v>9</v>
      </c>
      <c r="C145" s="29" t="s">
        <v>24</v>
      </c>
      <c r="D145" s="30" t="s">
        <v>11773</v>
      </c>
      <c r="E145" s="66" t="s">
        <v>11939</v>
      </c>
      <c r="F145" s="66"/>
      <c r="G145" s="29" t="s">
        <v>61</v>
      </c>
      <c r="H145" s="29"/>
      <c r="I145" s="98">
        <v>44636</v>
      </c>
      <c r="J145" s="10" t="s">
        <v>62</v>
      </c>
    </row>
    <row r="146" spans="2:10" ht="15" hidden="1" customHeight="1" x14ac:dyDescent="0.35">
      <c r="B146" s="29">
        <v>9</v>
      </c>
      <c r="C146" s="29" t="s">
        <v>24</v>
      </c>
      <c r="D146" s="29" t="s">
        <v>11779</v>
      </c>
      <c r="E146" s="67" t="s">
        <v>11940</v>
      </c>
      <c r="F146" s="66" t="s">
        <v>11823</v>
      </c>
      <c r="G146" s="29" t="s">
        <v>61</v>
      </c>
      <c r="H146" s="29" t="s">
        <v>61</v>
      </c>
      <c r="I146" s="98">
        <v>45462</v>
      </c>
      <c r="J146" s="10" t="s">
        <v>62</v>
      </c>
    </row>
    <row r="147" spans="2:10" ht="15" hidden="1" customHeight="1" x14ac:dyDescent="0.35">
      <c r="B147" s="29">
        <v>9</v>
      </c>
      <c r="C147" s="29" t="s">
        <v>24</v>
      </c>
      <c r="D147" s="30" t="s">
        <v>11826</v>
      </c>
      <c r="E147" s="66" t="s">
        <v>11941</v>
      </c>
      <c r="F147" s="66"/>
      <c r="G147" s="29" t="s">
        <v>61</v>
      </c>
      <c r="H147" s="29"/>
      <c r="I147" s="98">
        <v>44067</v>
      </c>
      <c r="J147" s="10" t="s">
        <v>62</v>
      </c>
    </row>
    <row r="148" spans="2:10" ht="15" hidden="1" customHeight="1" x14ac:dyDescent="0.35">
      <c r="B148" s="29">
        <v>9</v>
      </c>
      <c r="C148" s="29" t="s">
        <v>24</v>
      </c>
      <c r="D148" s="30" t="s">
        <v>11829</v>
      </c>
      <c r="E148" s="66" t="s">
        <v>11942</v>
      </c>
      <c r="F148" s="66"/>
      <c r="G148" s="29" t="s">
        <v>61</v>
      </c>
      <c r="H148" s="29"/>
      <c r="I148" s="98">
        <v>44067</v>
      </c>
      <c r="J148" s="10" t="s">
        <v>62</v>
      </c>
    </row>
    <row r="149" spans="2:10" ht="15" hidden="1" customHeight="1" x14ac:dyDescent="0.35">
      <c r="B149" s="29">
        <v>9</v>
      </c>
      <c r="C149" s="29" t="s">
        <v>24</v>
      </c>
      <c r="D149" s="30" t="s">
        <v>11831</v>
      </c>
      <c r="E149" s="66" t="s">
        <v>11943</v>
      </c>
      <c r="F149" s="66"/>
      <c r="G149" s="29" t="s">
        <v>61</v>
      </c>
      <c r="H149" s="29"/>
      <c r="I149" s="98">
        <v>44067</v>
      </c>
      <c r="J149" s="10" t="s">
        <v>62</v>
      </c>
    </row>
    <row r="150" spans="2:10" ht="15" hidden="1" customHeight="1" x14ac:dyDescent="0.35">
      <c r="B150" s="29">
        <v>9</v>
      </c>
      <c r="C150" s="29" t="s">
        <v>24</v>
      </c>
      <c r="D150" s="30" t="s">
        <v>11833</v>
      </c>
      <c r="E150" s="66" t="s">
        <v>11944</v>
      </c>
      <c r="F150" s="66"/>
      <c r="G150" s="29" t="s">
        <v>61</v>
      </c>
      <c r="H150" s="29"/>
      <c r="I150" s="98">
        <v>44067</v>
      </c>
      <c r="J150" s="10" t="s">
        <v>62</v>
      </c>
    </row>
    <row r="151" spans="2:10" ht="15" hidden="1" customHeight="1" x14ac:dyDescent="0.35">
      <c r="B151" s="29">
        <v>9</v>
      </c>
      <c r="C151" s="29" t="s">
        <v>24</v>
      </c>
      <c r="D151" s="30" t="s">
        <v>11945</v>
      </c>
      <c r="E151" s="66" t="s">
        <v>11946</v>
      </c>
      <c r="F151" s="66"/>
      <c r="G151" s="29" t="s">
        <v>61</v>
      </c>
      <c r="H151" s="29"/>
      <c r="I151" s="98">
        <v>44067</v>
      </c>
      <c r="J151" s="10" t="s">
        <v>62</v>
      </c>
    </row>
    <row r="152" spans="2:10" ht="15" hidden="1" customHeight="1" x14ac:dyDescent="0.35">
      <c r="B152" s="29">
        <v>9</v>
      </c>
      <c r="C152" s="29" t="s">
        <v>24</v>
      </c>
      <c r="D152" s="30" t="s">
        <v>11947</v>
      </c>
      <c r="E152" s="66" t="s">
        <v>11948</v>
      </c>
      <c r="F152" s="66"/>
      <c r="G152" s="29" t="s">
        <v>61</v>
      </c>
      <c r="H152" s="29"/>
      <c r="I152" s="98">
        <v>44067</v>
      </c>
      <c r="J152" s="10" t="s">
        <v>62</v>
      </c>
    </row>
    <row r="153" spans="2:10" ht="15" hidden="1" customHeight="1" x14ac:dyDescent="0.35">
      <c r="B153" s="29">
        <v>9</v>
      </c>
      <c r="C153" s="29" t="s">
        <v>24</v>
      </c>
      <c r="D153" s="30" t="s">
        <v>11949</v>
      </c>
      <c r="E153" s="66" t="s">
        <v>11950</v>
      </c>
      <c r="F153" s="66"/>
      <c r="G153" s="29" t="s">
        <v>61</v>
      </c>
      <c r="H153" s="29"/>
      <c r="I153" s="98">
        <v>44067</v>
      </c>
      <c r="J153" s="10" t="s">
        <v>62</v>
      </c>
    </row>
    <row r="154" spans="2:10" ht="15" hidden="1" customHeight="1" x14ac:dyDescent="0.35">
      <c r="B154" s="29">
        <v>9</v>
      </c>
      <c r="C154" s="29" t="s">
        <v>24</v>
      </c>
      <c r="D154" s="30" t="s">
        <v>11951</v>
      </c>
      <c r="E154" s="66" t="s">
        <v>11952</v>
      </c>
      <c r="F154" s="66"/>
      <c r="G154" s="29" t="s">
        <v>61</v>
      </c>
      <c r="H154" s="29"/>
      <c r="I154" s="98">
        <v>44067</v>
      </c>
      <c r="J154" s="10" t="s">
        <v>62</v>
      </c>
    </row>
    <row r="155" spans="2:10" ht="15" hidden="1" customHeight="1" x14ac:dyDescent="0.35">
      <c r="B155" s="29">
        <v>9</v>
      </c>
      <c r="C155" s="29" t="s">
        <v>24</v>
      </c>
      <c r="D155" s="30" t="s">
        <v>11953</v>
      </c>
      <c r="E155" s="66" t="s">
        <v>11954</v>
      </c>
      <c r="F155" s="66"/>
      <c r="G155" s="29" t="s">
        <v>61</v>
      </c>
      <c r="H155" s="29"/>
      <c r="I155" s="98">
        <v>44067</v>
      </c>
      <c r="J155" s="10" t="s">
        <v>62</v>
      </c>
    </row>
    <row r="156" spans="2:10" ht="15" hidden="1" customHeight="1" x14ac:dyDescent="0.35">
      <c r="B156" s="29">
        <v>9</v>
      </c>
      <c r="C156" s="29" t="s">
        <v>24</v>
      </c>
      <c r="D156" s="30" t="s">
        <v>11955</v>
      </c>
      <c r="E156" s="66" t="s">
        <v>11956</v>
      </c>
      <c r="F156" s="66"/>
      <c r="G156" s="29" t="s">
        <v>61</v>
      </c>
      <c r="H156" s="29"/>
      <c r="I156" s="98">
        <v>44067</v>
      </c>
      <c r="J156" s="10" t="s">
        <v>62</v>
      </c>
    </row>
    <row r="157" spans="2:10" ht="15" hidden="1" customHeight="1" x14ac:dyDescent="0.35">
      <c r="B157" s="29">
        <v>9</v>
      </c>
      <c r="C157" s="29" t="s">
        <v>24</v>
      </c>
      <c r="D157" s="30" t="s">
        <v>11957</v>
      </c>
      <c r="E157" s="66" t="s">
        <v>11958</v>
      </c>
      <c r="F157" s="66"/>
      <c r="G157" s="29" t="s">
        <v>61</v>
      </c>
      <c r="H157" s="29"/>
      <c r="I157" s="98">
        <v>44067</v>
      </c>
      <c r="J157" s="10" t="s">
        <v>62</v>
      </c>
    </row>
    <row r="158" spans="2:10" ht="15" hidden="1" customHeight="1" x14ac:dyDescent="0.35">
      <c r="B158" s="29">
        <v>9</v>
      </c>
      <c r="C158" s="29" t="s">
        <v>24</v>
      </c>
      <c r="D158" s="30" t="s">
        <v>11959</v>
      </c>
      <c r="E158" s="66" t="s">
        <v>11960</v>
      </c>
      <c r="F158" s="66"/>
      <c r="G158" s="29" t="s">
        <v>61</v>
      </c>
      <c r="H158" s="29"/>
      <c r="I158" s="98">
        <v>44067</v>
      </c>
      <c r="J158" s="10" t="s">
        <v>62</v>
      </c>
    </row>
    <row r="159" spans="2:10" ht="15" hidden="1" customHeight="1" x14ac:dyDescent="0.35">
      <c r="B159" s="29">
        <v>9</v>
      </c>
      <c r="C159" s="29" t="s">
        <v>24</v>
      </c>
      <c r="D159" s="30" t="s">
        <v>11961</v>
      </c>
      <c r="E159" s="66" t="s">
        <v>11962</v>
      </c>
      <c r="F159" s="66"/>
      <c r="G159" s="29" t="s">
        <v>61</v>
      </c>
      <c r="H159" s="29"/>
      <c r="I159" s="98">
        <v>44188</v>
      </c>
      <c r="J159" s="10" t="s">
        <v>62</v>
      </c>
    </row>
    <row r="160" spans="2:10" ht="15" hidden="1" customHeight="1" x14ac:dyDescent="0.35">
      <c r="B160" s="29">
        <v>9</v>
      </c>
      <c r="C160" s="29" t="s">
        <v>24</v>
      </c>
      <c r="D160" s="30" t="s">
        <v>11963</v>
      </c>
      <c r="E160" s="66" t="s">
        <v>11964</v>
      </c>
      <c r="F160" s="66"/>
      <c r="G160" s="29" t="s">
        <v>61</v>
      </c>
      <c r="H160" s="29"/>
      <c r="I160" s="98">
        <v>44188</v>
      </c>
      <c r="J160" s="10" t="s">
        <v>62</v>
      </c>
    </row>
    <row r="161" spans="2:10" ht="15" hidden="1" customHeight="1" x14ac:dyDescent="0.35">
      <c r="B161" s="29">
        <v>9</v>
      </c>
      <c r="C161" s="29" t="s">
        <v>24</v>
      </c>
      <c r="D161" s="30" t="s">
        <v>11965</v>
      </c>
      <c r="E161" s="66" t="s">
        <v>11966</v>
      </c>
      <c r="F161" s="65"/>
      <c r="G161" s="29" t="s">
        <v>61</v>
      </c>
      <c r="H161" s="29"/>
      <c r="I161" s="98">
        <v>44188</v>
      </c>
      <c r="J161" s="10" t="s">
        <v>62</v>
      </c>
    </row>
    <row r="162" spans="2:10" ht="15" hidden="1" customHeight="1" x14ac:dyDescent="0.35">
      <c r="B162" s="29">
        <v>9</v>
      </c>
      <c r="C162" s="29" t="s">
        <v>24</v>
      </c>
      <c r="D162" s="30" t="s">
        <v>11967</v>
      </c>
      <c r="E162" s="66" t="s">
        <v>11968</v>
      </c>
      <c r="F162" s="66"/>
      <c r="G162" s="29" t="s">
        <v>61</v>
      </c>
      <c r="H162" s="29"/>
      <c r="I162" s="98">
        <v>44188</v>
      </c>
      <c r="J162" s="10" t="s">
        <v>62</v>
      </c>
    </row>
    <row r="163" spans="2:10" ht="15" hidden="1" customHeight="1" x14ac:dyDescent="0.35">
      <c r="B163" s="29">
        <v>9</v>
      </c>
      <c r="C163" s="29" t="s">
        <v>24</v>
      </c>
      <c r="D163" s="30" t="s">
        <v>11969</v>
      </c>
      <c r="E163" s="66" t="s">
        <v>11970</v>
      </c>
      <c r="F163" s="66"/>
      <c r="G163" s="29" t="s">
        <v>61</v>
      </c>
      <c r="H163" s="29"/>
      <c r="I163" s="98">
        <v>44188</v>
      </c>
      <c r="J163" s="10" t="s">
        <v>62</v>
      </c>
    </row>
    <row r="164" spans="2:10" ht="15" hidden="1" customHeight="1" x14ac:dyDescent="0.35">
      <c r="B164" s="29">
        <v>9</v>
      </c>
      <c r="C164" s="29" t="s">
        <v>24</v>
      </c>
      <c r="D164" s="30" t="s">
        <v>11971</v>
      </c>
      <c r="E164" s="66" t="s">
        <v>11972</v>
      </c>
      <c r="F164" s="66"/>
      <c r="G164" s="29" t="s">
        <v>61</v>
      </c>
      <c r="H164" s="29"/>
      <c r="I164" s="98">
        <v>44188</v>
      </c>
      <c r="J164" s="10" t="s">
        <v>62</v>
      </c>
    </row>
    <row r="165" spans="2:10" ht="15" hidden="1" customHeight="1" x14ac:dyDescent="0.35">
      <c r="B165" s="29">
        <v>9</v>
      </c>
      <c r="C165" s="29" t="s">
        <v>24</v>
      </c>
      <c r="D165" s="30" t="s">
        <v>11973</v>
      </c>
      <c r="E165" s="66" t="s">
        <v>11974</v>
      </c>
      <c r="F165" s="66"/>
      <c r="G165" s="29" t="s">
        <v>61</v>
      </c>
      <c r="H165" s="29"/>
      <c r="I165" s="98">
        <v>44188</v>
      </c>
      <c r="J165" s="10" t="s">
        <v>62</v>
      </c>
    </row>
    <row r="166" spans="2:10" ht="15" hidden="1" customHeight="1" x14ac:dyDescent="0.35">
      <c r="B166" s="29">
        <v>9</v>
      </c>
      <c r="C166" s="29" t="s">
        <v>24</v>
      </c>
      <c r="D166" s="30" t="s">
        <v>11975</v>
      </c>
      <c r="E166" s="66" t="s">
        <v>11976</v>
      </c>
      <c r="F166" s="66"/>
      <c r="G166" s="29" t="s">
        <v>61</v>
      </c>
      <c r="H166" s="29"/>
      <c r="I166" s="98">
        <v>44188</v>
      </c>
      <c r="J166" s="10" t="s">
        <v>62</v>
      </c>
    </row>
    <row r="167" spans="2:10" ht="15" hidden="1" customHeight="1" x14ac:dyDescent="0.35">
      <c r="B167" s="29">
        <v>9</v>
      </c>
      <c r="C167" s="29" t="s">
        <v>24</v>
      </c>
      <c r="D167" s="30">
        <v>40</v>
      </c>
      <c r="E167" s="66" t="s">
        <v>11977</v>
      </c>
      <c r="F167" s="66"/>
      <c r="G167" s="29" t="s">
        <v>61</v>
      </c>
      <c r="H167" s="29"/>
      <c r="I167" s="98">
        <v>44347</v>
      </c>
      <c r="J167" s="10" t="s">
        <v>62</v>
      </c>
    </row>
    <row r="168" spans="2:10" ht="15" hidden="1" customHeight="1" x14ac:dyDescent="0.35">
      <c r="B168" s="29">
        <v>9</v>
      </c>
      <c r="C168" s="29" t="s">
        <v>24</v>
      </c>
      <c r="D168" s="30">
        <v>70</v>
      </c>
      <c r="E168" s="66" t="s">
        <v>11978</v>
      </c>
      <c r="F168" s="66" t="s">
        <v>11727</v>
      </c>
      <c r="G168" s="29" t="s">
        <v>61</v>
      </c>
      <c r="H168" s="29" t="s">
        <v>61</v>
      </c>
      <c r="I168" s="98">
        <v>45462</v>
      </c>
      <c r="J168" s="10" t="s">
        <v>62</v>
      </c>
    </row>
    <row r="169" spans="2:10" ht="15" hidden="1" customHeight="1" x14ac:dyDescent="0.35">
      <c r="B169" s="29">
        <v>9</v>
      </c>
      <c r="C169" s="29" t="s">
        <v>24</v>
      </c>
      <c r="D169" s="30" t="s">
        <v>11979</v>
      </c>
      <c r="E169" s="66" t="s">
        <v>11980</v>
      </c>
      <c r="F169" s="66"/>
      <c r="G169" s="29" t="s">
        <v>61</v>
      </c>
      <c r="H169" s="29"/>
      <c r="I169" s="98">
        <v>44188</v>
      </c>
      <c r="J169" s="10" t="s">
        <v>62</v>
      </c>
    </row>
    <row r="170" spans="2:10" ht="15" hidden="1" customHeight="1" x14ac:dyDescent="0.35">
      <c r="B170" s="29">
        <v>9</v>
      </c>
      <c r="C170" s="29" t="s">
        <v>24</v>
      </c>
      <c r="D170" s="30" t="s">
        <v>11981</v>
      </c>
      <c r="E170" s="66" t="s">
        <v>11982</v>
      </c>
      <c r="F170" s="66"/>
      <c r="G170" s="29" t="s">
        <v>61</v>
      </c>
      <c r="H170" s="29"/>
      <c r="I170" s="98">
        <v>44188</v>
      </c>
      <c r="J170" s="10" t="s">
        <v>62</v>
      </c>
    </row>
    <row r="171" spans="2:10" ht="15" hidden="1" customHeight="1" x14ac:dyDescent="0.35">
      <c r="B171" s="29">
        <v>9</v>
      </c>
      <c r="C171" s="29" t="s">
        <v>24</v>
      </c>
      <c r="D171" s="30">
        <v>310</v>
      </c>
      <c r="E171" s="66" t="s">
        <v>11983</v>
      </c>
      <c r="F171" s="66"/>
      <c r="G171" s="29" t="s">
        <v>61</v>
      </c>
      <c r="H171" s="29"/>
      <c r="I171" s="98">
        <v>44347</v>
      </c>
      <c r="J171" s="10" t="s">
        <v>62</v>
      </c>
    </row>
    <row r="172" spans="2:10" ht="15" hidden="1" customHeight="1" x14ac:dyDescent="0.35">
      <c r="B172" s="29">
        <v>9</v>
      </c>
      <c r="C172" s="29" t="s">
        <v>24</v>
      </c>
      <c r="D172" s="30">
        <v>320</v>
      </c>
      <c r="E172" s="66" t="s">
        <v>11728</v>
      </c>
      <c r="F172" s="66" t="s">
        <v>11729</v>
      </c>
      <c r="G172" s="29" t="s">
        <v>61</v>
      </c>
      <c r="H172" s="29" t="s">
        <v>61</v>
      </c>
      <c r="I172" s="98">
        <v>45716</v>
      </c>
      <c r="J172" s="10" t="s">
        <v>62</v>
      </c>
    </row>
    <row r="173" spans="2:10" ht="15" hidden="1" customHeight="1" x14ac:dyDescent="0.35">
      <c r="B173" s="29">
        <v>9</v>
      </c>
      <c r="C173" s="29" t="s">
        <v>24</v>
      </c>
      <c r="D173" s="30">
        <v>330</v>
      </c>
      <c r="E173" s="66" t="s">
        <v>11984</v>
      </c>
      <c r="F173" s="66"/>
      <c r="G173" s="29" t="s">
        <v>61</v>
      </c>
      <c r="H173" s="29"/>
      <c r="I173" s="98">
        <v>44875</v>
      </c>
      <c r="J173" s="10" t="s">
        <v>62</v>
      </c>
    </row>
    <row r="174" spans="2:10" ht="15" hidden="1" customHeight="1" x14ac:dyDescent="0.35">
      <c r="B174" s="29">
        <v>9</v>
      </c>
      <c r="C174" s="29" t="s">
        <v>24</v>
      </c>
      <c r="D174" s="30" t="s">
        <v>11985</v>
      </c>
      <c r="E174" s="66" t="s">
        <v>11986</v>
      </c>
      <c r="F174" s="66"/>
      <c r="G174" s="29" t="s">
        <v>61</v>
      </c>
      <c r="H174" s="29"/>
      <c r="I174" s="98">
        <v>45058</v>
      </c>
      <c r="J174" s="10" t="s">
        <v>62</v>
      </c>
    </row>
    <row r="175" spans="2:10" ht="15" hidden="1" customHeight="1" x14ac:dyDescent="0.35">
      <c r="B175" s="29">
        <v>10</v>
      </c>
      <c r="C175" s="29" t="s">
        <v>21</v>
      </c>
      <c r="D175" s="29">
        <v>10</v>
      </c>
      <c r="E175" s="67" t="s">
        <v>11731</v>
      </c>
      <c r="F175" s="66" t="s">
        <v>11720</v>
      </c>
      <c r="G175" s="29" t="s">
        <v>61</v>
      </c>
      <c r="H175" s="29" t="s">
        <v>61</v>
      </c>
      <c r="I175" s="98">
        <v>45462</v>
      </c>
      <c r="J175" s="10" t="s">
        <v>62</v>
      </c>
    </row>
    <row r="176" spans="2:10" ht="15" hidden="1" customHeight="1" x14ac:dyDescent="0.35">
      <c r="B176" s="29">
        <v>10</v>
      </c>
      <c r="C176" s="29" t="s">
        <v>21</v>
      </c>
      <c r="D176" s="29">
        <v>20</v>
      </c>
      <c r="E176" s="67" t="s">
        <v>11987</v>
      </c>
      <c r="F176" s="66" t="s">
        <v>11988</v>
      </c>
      <c r="G176" s="29" t="s">
        <v>61</v>
      </c>
      <c r="H176" s="29" t="s">
        <v>61</v>
      </c>
      <c r="I176" s="98">
        <v>45839</v>
      </c>
      <c r="J176" s="10" t="s">
        <v>62</v>
      </c>
    </row>
    <row r="177" spans="2:10" ht="15" hidden="1" customHeight="1" x14ac:dyDescent="0.35">
      <c r="B177" s="29">
        <v>10</v>
      </c>
      <c r="C177" s="29" t="s">
        <v>21</v>
      </c>
      <c r="D177" s="30">
        <v>40</v>
      </c>
      <c r="E177" s="66" t="s">
        <v>11989</v>
      </c>
      <c r="F177" s="66"/>
      <c r="G177" s="29" t="s">
        <v>61</v>
      </c>
      <c r="H177" s="29"/>
      <c r="I177" s="98">
        <v>44067</v>
      </c>
      <c r="J177" s="10" t="s">
        <v>62</v>
      </c>
    </row>
    <row r="178" spans="2:10" ht="15" hidden="1" customHeight="1" x14ac:dyDescent="0.35">
      <c r="B178" s="29">
        <v>10</v>
      </c>
      <c r="C178" s="29" t="s">
        <v>21</v>
      </c>
      <c r="D178" s="30">
        <v>50</v>
      </c>
      <c r="E178" s="66" t="s">
        <v>11990</v>
      </c>
      <c r="F178" s="66"/>
      <c r="G178" s="29" t="s">
        <v>61</v>
      </c>
      <c r="H178" s="29"/>
      <c r="I178" s="98">
        <v>44067</v>
      </c>
      <c r="J178" s="10" t="s">
        <v>62</v>
      </c>
    </row>
    <row r="179" spans="2:10" ht="15" hidden="1" customHeight="1" x14ac:dyDescent="0.35">
      <c r="B179" s="29">
        <v>10</v>
      </c>
      <c r="C179" s="29" t="s">
        <v>21</v>
      </c>
      <c r="D179" s="30">
        <v>70</v>
      </c>
      <c r="E179" s="66" t="s">
        <v>11991</v>
      </c>
      <c r="F179" s="66" t="s">
        <v>11727</v>
      </c>
      <c r="G179" s="29" t="s">
        <v>61</v>
      </c>
      <c r="H179" s="29" t="s">
        <v>61</v>
      </c>
      <c r="I179" s="98">
        <v>45462</v>
      </c>
      <c r="J179" s="10" t="s">
        <v>62</v>
      </c>
    </row>
    <row r="180" spans="2:10" ht="15" hidden="1" customHeight="1" x14ac:dyDescent="0.35">
      <c r="B180" s="29">
        <v>10</v>
      </c>
      <c r="C180" s="29" t="s">
        <v>21</v>
      </c>
      <c r="D180" s="30">
        <v>80</v>
      </c>
      <c r="E180" s="66" t="s">
        <v>11992</v>
      </c>
      <c r="F180" s="66"/>
      <c r="G180" s="29" t="s">
        <v>61</v>
      </c>
      <c r="H180" s="29"/>
      <c r="I180" s="98">
        <v>45225</v>
      </c>
      <c r="J180" s="10" t="s">
        <v>62</v>
      </c>
    </row>
    <row r="181" spans="2:10" ht="15" hidden="1" customHeight="1" x14ac:dyDescent="0.35">
      <c r="B181" s="29">
        <v>10</v>
      </c>
      <c r="C181" s="29" t="s">
        <v>21</v>
      </c>
      <c r="D181" s="30">
        <v>320</v>
      </c>
      <c r="E181" s="66" t="s">
        <v>11728</v>
      </c>
      <c r="F181" s="66" t="s">
        <v>11729</v>
      </c>
      <c r="G181" s="29" t="s">
        <v>61</v>
      </c>
      <c r="H181" s="29" t="s">
        <v>61</v>
      </c>
      <c r="I181" s="98">
        <v>45743</v>
      </c>
      <c r="J181" s="10" t="s">
        <v>62</v>
      </c>
    </row>
    <row r="182" spans="2:10" ht="15" hidden="1" customHeight="1" x14ac:dyDescent="0.35">
      <c r="B182" s="29">
        <v>10</v>
      </c>
      <c r="C182" s="29" t="s">
        <v>21</v>
      </c>
      <c r="D182" s="30">
        <v>330</v>
      </c>
      <c r="E182" s="66" t="s">
        <v>11993</v>
      </c>
      <c r="F182" s="66"/>
      <c r="G182" s="29" t="s">
        <v>61</v>
      </c>
      <c r="H182" s="29"/>
      <c r="I182" s="98">
        <v>44973</v>
      </c>
      <c r="J182" s="10" t="s">
        <v>62</v>
      </c>
    </row>
    <row r="183" spans="2:10" ht="15" hidden="1" customHeight="1" x14ac:dyDescent="0.35">
      <c r="B183" s="29">
        <v>11</v>
      </c>
      <c r="C183" s="29" t="s">
        <v>22</v>
      </c>
      <c r="D183" s="29">
        <v>10</v>
      </c>
      <c r="E183" s="67" t="s">
        <v>11731</v>
      </c>
      <c r="F183" s="66" t="s">
        <v>11720</v>
      </c>
      <c r="G183" s="29" t="s">
        <v>61</v>
      </c>
      <c r="H183" s="29" t="s">
        <v>61</v>
      </c>
      <c r="I183" s="98">
        <v>45462</v>
      </c>
      <c r="J183" s="10" t="s">
        <v>62</v>
      </c>
    </row>
    <row r="184" spans="2:10" ht="15" hidden="1" customHeight="1" x14ac:dyDescent="0.35">
      <c r="B184" s="29">
        <v>11</v>
      </c>
      <c r="C184" s="29" t="s">
        <v>22</v>
      </c>
      <c r="D184" s="29">
        <v>20</v>
      </c>
      <c r="E184" s="67" t="s">
        <v>11721</v>
      </c>
      <c r="F184" s="66" t="s">
        <v>11988</v>
      </c>
      <c r="G184" s="29" t="s">
        <v>61</v>
      </c>
      <c r="H184" s="29" t="s">
        <v>61</v>
      </c>
      <c r="I184" s="98">
        <v>45839</v>
      </c>
      <c r="J184" s="10"/>
    </row>
    <row r="185" spans="2:10" ht="15" hidden="1" customHeight="1" x14ac:dyDescent="0.35">
      <c r="B185" s="29">
        <v>11</v>
      </c>
      <c r="C185" s="29" t="s">
        <v>22</v>
      </c>
      <c r="D185" s="30">
        <v>40</v>
      </c>
      <c r="E185" s="66" t="s">
        <v>11989</v>
      </c>
      <c r="F185" s="65"/>
      <c r="G185" s="29" t="s">
        <v>61</v>
      </c>
      <c r="H185" s="29"/>
      <c r="I185" s="98">
        <v>44067</v>
      </c>
      <c r="J185" s="10" t="s">
        <v>62</v>
      </c>
    </row>
    <row r="186" spans="2:10" ht="15" hidden="1" customHeight="1" x14ac:dyDescent="0.35">
      <c r="B186" s="29">
        <v>11</v>
      </c>
      <c r="C186" s="29" t="s">
        <v>22</v>
      </c>
      <c r="D186" s="30">
        <v>50</v>
      </c>
      <c r="E186" s="66" t="s">
        <v>11990</v>
      </c>
      <c r="F186" s="66"/>
      <c r="G186" s="29" t="s">
        <v>61</v>
      </c>
      <c r="H186" s="29"/>
      <c r="I186" s="98">
        <v>44067</v>
      </c>
      <c r="J186" s="10" t="s">
        <v>62</v>
      </c>
    </row>
    <row r="187" spans="2:10" ht="15" hidden="1" customHeight="1" x14ac:dyDescent="0.35">
      <c r="B187" s="29">
        <v>11</v>
      </c>
      <c r="C187" s="29" t="s">
        <v>22</v>
      </c>
      <c r="D187" s="30">
        <v>70</v>
      </c>
      <c r="E187" s="66" t="s">
        <v>11994</v>
      </c>
      <c r="F187" s="66" t="s">
        <v>11727</v>
      </c>
      <c r="G187" s="29" t="s">
        <v>61</v>
      </c>
      <c r="H187" s="29" t="s">
        <v>61</v>
      </c>
      <c r="I187" s="98">
        <v>45462</v>
      </c>
      <c r="J187" s="10" t="s">
        <v>62</v>
      </c>
    </row>
    <row r="188" spans="2:10" ht="15" hidden="1" customHeight="1" x14ac:dyDescent="0.35">
      <c r="B188" s="29">
        <v>11</v>
      </c>
      <c r="C188" s="29" t="s">
        <v>22</v>
      </c>
      <c r="D188" s="30">
        <v>80</v>
      </c>
      <c r="E188" s="66" t="s">
        <v>11995</v>
      </c>
      <c r="F188" s="66"/>
      <c r="G188" s="29" t="s">
        <v>61</v>
      </c>
      <c r="H188" s="29"/>
      <c r="I188" s="98">
        <v>45225</v>
      </c>
      <c r="J188" s="10" t="s">
        <v>62</v>
      </c>
    </row>
    <row r="189" spans="2:10" ht="15" hidden="1" customHeight="1" x14ac:dyDescent="0.35">
      <c r="B189" s="29">
        <v>11</v>
      </c>
      <c r="C189" s="29" t="s">
        <v>22</v>
      </c>
      <c r="D189" s="30">
        <v>320</v>
      </c>
      <c r="E189" s="66" t="s">
        <v>11728</v>
      </c>
      <c r="F189" s="66" t="s">
        <v>11729</v>
      </c>
      <c r="G189" s="29" t="s">
        <v>61</v>
      </c>
      <c r="H189" s="29" t="s">
        <v>61</v>
      </c>
      <c r="I189" s="98">
        <v>45743</v>
      </c>
      <c r="J189" s="10" t="s">
        <v>62</v>
      </c>
    </row>
    <row r="190" spans="2:10" ht="15" hidden="1" customHeight="1" x14ac:dyDescent="0.35">
      <c r="B190" s="29">
        <v>11</v>
      </c>
      <c r="C190" s="29" t="s">
        <v>22</v>
      </c>
      <c r="D190" s="30">
        <v>330</v>
      </c>
      <c r="E190" s="66" t="s">
        <v>11996</v>
      </c>
      <c r="F190" s="66"/>
      <c r="G190" s="29" t="s">
        <v>61</v>
      </c>
      <c r="H190" s="29"/>
      <c r="I190" s="98">
        <v>44973</v>
      </c>
      <c r="J190" s="10" t="s">
        <v>62</v>
      </c>
    </row>
    <row r="191" spans="2:10" ht="15" hidden="1" customHeight="1" x14ac:dyDescent="0.35">
      <c r="B191" s="29">
        <v>12</v>
      </c>
      <c r="C191" s="29" t="s">
        <v>20</v>
      </c>
      <c r="D191" s="30">
        <v>10</v>
      </c>
      <c r="E191" s="66" t="s">
        <v>11719</v>
      </c>
      <c r="F191" s="66" t="s">
        <v>11720</v>
      </c>
      <c r="G191" s="29" t="s">
        <v>61</v>
      </c>
      <c r="H191" s="29" t="s">
        <v>61</v>
      </c>
      <c r="I191" s="98">
        <v>45462</v>
      </c>
      <c r="J191" s="10" t="s">
        <v>62</v>
      </c>
    </row>
    <row r="192" spans="2:10" ht="15" hidden="1" customHeight="1" x14ac:dyDescent="0.35">
      <c r="B192" s="29">
        <v>12</v>
      </c>
      <c r="C192" s="29" t="s">
        <v>20</v>
      </c>
      <c r="D192" s="30">
        <v>20</v>
      </c>
      <c r="E192" s="66" t="s">
        <v>11997</v>
      </c>
      <c r="F192" s="66"/>
      <c r="G192" s="29" t="s">
        <v>61</v>
      </c>
      <c r="H192" s="29"/>
      <c r="I192" s="98">
        <v>44067</v>
      </c>
      <c r="J192" s="10" t="s">
        <v>62</v>
      </c>
    </row>
    <row r="193" spans="2:10" ht="15" hidden="1" customHeight="1" x14ac:dyDescent="0.35">
      <c r="B193" s="29">
        <v>12</v>
      </c>
      <c r="C193" s="29" t="s">
        <v>20</v>
      </c>
      <c r="D193" s="30">
        <v>30</v>
      </c>
      <c r="E193" s="66" t="s">
        <v>11998</v>
      </c>
      <c r="F193" s="66" t="s">
        <v>11999</v>
      </c>
      <c r="G193" s="29" t="s">
        <v>61</v>
      </c>
      <c r="H193" s="29" t="s">
        <v>61</v>
      </c>
      <c r="I193" s="98">
        <v>45839</v>
      </c>
      <c r="J193" s="10" t="s">
        <v>62</v>
      </c>
    </row>
    <row r="194" spans="2:10" ht="15" hidden="1" customHeight="1" x14ac:dyDescent="0.35">
      <c r="B194" s="29">
        <v>12</v>
      </c>
      <c r="C194" s="29" t="s">
        <v>20</v>
      </c>
      <c r="D194" s="30">
        <v>40</v>
      </c>
      <c r="E194" s="66" t="s">
        <v>12000</v>
      </c>
      <c r="F194" s="66"/>
      <c r="G194" s="29" t="s">
        <v>61</v>
      </c>
      <c r="H194" s="29"/>
      <c r="I194" s="98">
        <v>44067</v>
      </c>
      <c r="J194" s="10" t="s">
        <v>62</v>
      </c>
    </row>
    <row r="195" spans="2:10" ht="15" hidden="1" customHeight="1" x14ac:dyDescent="0.35">
      <c r="B195" s="29">
        <v>12</v>
      </c>
      <c r="C195" s="29" t="s">
        <v>20</v>
      </c>
      <c r="D195" s="30">
        <v>50</v>
      </c>
      <c r="E195" s="66" t="s">
        <v>12001</v>
      </c>
      <c r="F195" s="66"/>
      <c r="G195" s="29" t="s">
        <v>61</v>
      </c>
      <c r="H195" s="29"/>
      <c r="I195" s="98">
        <v>44067</v>
      </c>
      <c r="J195" s="10" t="s">
        <v>62</v>
      </c>
    </row>
    <row r="196" spans="2:10" ht="15" hidden="1" customHeight="1" x14ac:dyDescent="0.35">
      <c r="B196" s="29">
        <v>12</v>
      </c>
      <c r="C196" s="29" t="s">
        <v>20</v>
      </c>
      <c r="D196" s="30">
        <v>60</v>
      </c>
      <c r="E196" s="66" t="s">
        <v>12002</v>
      </c>
      <c r="F196" s="66"/>
      <c r="G196" s="29" t="s">
        <v>61</v>
      </c>
      <c r="H196" s="29"/>
      <c r="I196" s="98">
        <v>44067</v>
      </c>
      <c r="J196" s="10" t="s">
        <v>62</v>
      </c>
    </row>
    <row r="197" spans="2:10" ht="15" hidden="1" customHeight="1" x14ac:dyDescent="0.35">
      <c r="B197" s="29">
        <v>12</v>
      </c>
      <c r="C197" s="29" t="s">
        <v>20</v>
      </c>
      <c r="D197" s="29">
        <v>70</v>
      </c>
      <c r="E197" s="67" t="s">
        <v>11726</v>
      </c>
      <c r="F197" s="66" t="s">
        <v>11727</v>
      </c>
      <c r="G197" s="29" t="s">
        <v>61</v>
      </c>
      <c r="H197" s="29" t="s">
        <v>61</v>
      </c>
      <c r="I197" s="98">
        <v>45462</v>
      </c>
      <c r="J197" s="10" t="s">
        <v>62</v>
      </c>
    </row>
    <row r="198" spans="2:10" ht="15" hidden="1" customHeight="1" x14ac:dyDescent="0.35">
      <c r="B198" s="29">
        <v>12</v>
      </c>
      <c r="C198" s="29" t="s">
        <v>20</v>
      </c>
      <c r="D198" s="30">
        <v>320</v>
      </c>
      <c r="E198" s="66" t="s">
        <v>11728</v>
      </c>
      <c r="F198" s="66" t="s">
        <v>11729</v>
      </c>
      <c r="G198" s="29" t="s">
        <v>61</v>
      </c>
      <c r="H198" s="29" t="s">
        <v>61</v>
      </c>
      <c r="I198" s="98">
        <v>45743</v>
      </c>
      <c r="J198" s="10" t="s">
        <v>62</v>
      </c>
    </row>
    <row r="199" spans="2:10" ht="15" hidden="1" customHeight="1" x14ac:dyDescent="0.35">
      <c r="B199" s="29">
        <v>12</v>
      </c>
      <c r="C199" s="29" t="s">
        <v>20</v>
      </c>
      <c r="D199" s="30">
        <v>330</v>
      </c>
      <c r="E199" s="66" t="s">
        <v>12003</v>
      </c>
      <c r="F199" s="66"/>
      <c r="G199" s="29" t="s">
        <v>61</v>
      </c>
      <c r="H199" s="29"/>
      <c r="I199" s="98">
        <v>44931</v>
      </c>
      <c r="J199" s="10" t="s">
        <v>62</v>
      </c>
    </row>
    <row r="200" spans="2:10" ht="15" hidden="1" customHeight="1" x14ac:dyDescent="0.35">
      <c r="B200" s="29">
        <v>13</v>
      </c>
      <c r="C200" s="29" t="s">
        <v>25</v>
      </c>
      <c r="D200" s="30">
        <v>10</v>
      </c>
      <c r="E200" s="66" t="s">
        <v>12004</v>
      </c>
      <c r="F200" s="66" t="s">
        <v>11720</v>
      </c>
      <c r="G200" s="29" t="s">
        <v>61</v>
      </c>
      <c r="H200" s="29" t="s">
        <v>61</v>
      </c>
      <c r="I200" s="98">
        <v>45595</v>
      </c>
      <c r="J200" s="10" t="s">
        <v>62</v>
      </c>
    </row>
    <row r="201" spans="2:10" ht="15" hidden="1" customHeight="1" x14ac:dyDescent="0.35">
      <c r="B201" s="29">
        <v>13</v>
      </c>
      <c r="C201" s="29" t="s">
        <v>25</v>
      </c>
      <c r="D201" s="30">
        <v>30</v>
      </c>
      <c r="E201" s="66" t="s">
        <v>11741</v>
      </c>
      <c r="F201" s="66" t="s">
        <v>11723</v>
      </c>
      <c r="G201" s="29" t="s">
        <v>61</v>
      </c>
      <c r="H201" s="29" t="s">
        <v>61</v>
      </c>
      <c r="I201" s="98">
        <v>45839</v>
      </c>
      <c r="J201" s="10" t="s">
        <v>62</v>
      </c>
    </row>
    <row r="202" spans="2:10" ht="15" hidden="1" customHeight="1" x14ac:dyDescent="0.35">
      <c r="B202" s="29">
        <v>13</v>
      </c>
      <c r="C202" s="29" t="s">
        <v>25</v>
      </c>
      <c r="D202" s="29">
        <v>70</v>
      </c>
      <c r="E202" s="67" t="s">
        <v>11726</v>
      </c>
      <c r="F202" s="66" t="s">
        <v>11727</v>
      </c>
      <c r="G202" s="29" t="s">
        <v>61</v>
      </c>
      <c r="H202" s="29" t="s">
        <v>61</v>
      </c>
      <c r="I202" s="98">
        <v>45462</v>
      </c>
      <c r="J202" s="10" t="s">
        <v>62</v>
      </c>
    </row>
    <row r="203" spans="2:10" ht="15" hidden="1" customHeight="1" x14ac:dyDescent="0.35">
      <c r="B203" s="29">
        <v>13</v>
      </c>
      <c r="C203" s="29" t="s">
        <v>25</v>
      </c>
      <c r="D203" s="29">
        <v>100</v>
      </c>
      <c r="E203" s="67" t="s">
        <v>12005</v>
      </c>
      <c r="F203" s="66" t="s">
        <v>12006</v>
      </c>
      <c r="G203" s="29" t="s">
        <v>61</v>
      </c>
      <c r="H203" s="29" t="s">
        <v>61</v>
      </c>
      <c r="I203" s="98">
        <v>45626</v>
      </c>
      <c r="J203" s="10" t="s">
        <v>62</v>
      </c>
    </row>
    <row r="204" spans="2:10" ht="15" hidden="1" customHeight="1" x14ac:dyDescent="0.35">
      <c r="B204" s="29">
        <v>13</v>
      </c>
      <c r="C204" s="29" t="s">
        <v>25</v>
      </c>
      <c r="D204" s="29">
        <v>110</v>
      </c>
      <c r="E204" s="67" t="s">
        <v>12007</v>
      </c>
      <c r="F204" s="66" t="s">
        <v>12008</v>
      </c>
      <c r="G204" s="29" t="s">
        <v>61</v>
      </c>
      <c r="H204" s="29" t="s">
        <v>61</v>
      </c>
      <c r="I204" s="98">
        <v>45626</v>
      </c>
      <c r="J204" s="10" t="s">
        <v>62</v>
      </c>
    </row>
    <row r="205" spans="2:10" ht="15" hidden="1" customHeight="1" x14ac:dyDescent="0.35">
      <c r="B205" s="29">
        <v>13</v>
      </c>
      <c r="C205" s="29" t="s">
        <v>25</v>
      </c>
      <c r="D205" s="29">
        <v>220</v>
      </c>
      <c r="E205" s="67" t="s">
        <v>12009</v>
      </c>
      <c r="F205" s="66" t="s">
        <v>12010</v>
      </c>
      <c r="G205" s="29" t="s">
        <v>61</v>
      </c>
      <c r="H205" s="29" t="s">
        <v>61</v>
      </c>
      <c r="I205" s="98">
        <v>45626</v>
      </c>
      <c r="J205" s="10" t="s">
        <v>62</v>
      </c>
    </row>
    <row r="206" spans="2:10" ht="15" hidden="1" customHeight="1" x14ac:dyDescent="0.35">
      <c r="B206" s="29">
        <v>13</v>
      </c>
      <c r="C206" s="29" t="s">
        <v>25</v>
      </c>
      <c r="D206" s="29">
        <v>310</v>
      </c>
      <c r="E206" s="67" t="s">
        <v>12011</v>
      </c>
      <c r="F206" s="66" t="s">
        <v>12012</v>
      </c>
      <c r="G206" s="29" t="s">
        <v>61</v>
      </c>
      <c r="H206" s="29" t="s">
        <v>61</v>
      </c>
      <c r="I206" s="98">
        <v>45595</v>
      </c>
      <c r="J206" s="10" t="s">
        <v>62</v>
      </c>
    </row>
    <row r="207" spans="2:10" ht="15" hidden="1" customHeight="1" x14ac:dyDescent="0.35">
      <c r="B207" s="29">
        <v>13</v>
      </c>
      <c r="C207" s="29" t="s">
        <v>25</v>
      </c>
      <c r="D207" s="30">
        <v>320</v>
      </c>
      <c r="E207" s="66" t="s">
        <v>11728</v>
      </c>
      <c r="F207" s="66" t="s">
        <v>11729</v>
      </c>
      <c r="G207" s="29" t="s">
        <v>61</v>
      </c>
      <c r="H207" s="29" t="s">
        <v>61</v>
      </c>
      <c r="I207" s="98">
        <v>45743</v>
      </c>
      <c r="J207" s="10" t="s">
        <v>62</v>
      </c>
    </row>
    <row r="208" spans="2:10" ht="15" hidden="1" customHeight="1" x14ac:dyDescent="0.35">
      <c r="B208" s="29">
        <v>13</v>
      </c>
      <c r="C208" s="29" t="s">
        <v>25</v>
      </c>
      <c r="D208" s="29">
        <v>330</v>
      </c>
      <c r="E208" s="67" t="s">
        <v>12013</v>
      </c>
      <c r="F208" s="66" t="s">
        <v>12014</v>
      </c>
      <c r="G208" s="29" t="s">
        <v>61</v>
      </c>
      <c r="H208" s="29" t="s">
        <v>61</v>
      </c>
      <c r="I208" s="98">
        <v>45595</v>
      </c>
      <c r="J208" s="10" t="s">
        <v>62</v>
      </c>
    </row>
    <row r="209" spans="2:10" ht="15" hidden="1" customHeight="1" x14ac:dyDescent="0.35">
      <c r="B209" s="128">
        <v>14</v>
      </c>
      <c r="C209" s="128" t="s">
        <v>19</v>
      </c>
      <c r="D209" s="129">
        <v>10</v>
      </c>
      <c r="E209" s="130" t="s">
        <v>11719</v>
      </c>
      <c r="F209" s="66" t="s">
        <v>11720</v>
      </c>
      <c r="G209" s="128" t="s">
        <v>61</v>
      </c>
      <c r="H209" s="128" t="s">
        <v>61</v>
      </c>
      <c r="I209" s="131">
        <v>45462</v>
      </c>
      <c r="J209" s="149" t="s">
        <v>62</v>
      </c>
    </row>
    <row r="210" spans="2:10" ht="15" hidden="1" customHeight="1" x14ac:dyDescent="0.35">
      <c r="B210" s="29">
        <v>14</v>
      </c>
      <c r="C210" s="29" t="s">
        <v>19</v>
      </c>
      <c r="D210" s="30">
        <v>20</v>
      </c>
      <c r="E210" s="66" t="s">
        <v>11997</v>
      </c>
      <c r="F210" s="66"/>
      <c r="G210" s="29" t="s">
        <v>61</v>
      </c>
      <c r="H210" s="29"/>
      <c r="I210" s="98">
        <v>44067</v>
      </c>
      <c r="J210" s="10" t="s">
        <v>62</v>
      </c>
    </row>
    <row r="211" spans="2:10" ht="15" hidden="1" customHeight="1" x14ac:dyDescent="0.35">
      <c r="B211" s="29">
        <v>14</v>
      </c>
      <c r="C211" s="29" t="s">
        <v>19</v>
      </c>
      <c r="D211" s="30">
        <v>40</v>
      </c>
      <c r="E211" s="66" t="s">
        <v>12000</v>
      </c>
      <c r="F211" s="66"/>
      <c r="G211" s="29" t="s">
        <v>61</v>
      </c>
      <c r="H211" s="29"/>
      <c r="I211" s="98">
        <v>44067</v>
      </c>
      <c r="J211" s="10" t="s">
        <v>62</v>
      </c>
    </row>
    <row r="212" spans="2:10" ht="15" hidden="1" customHeight="1" x14ac:dyDescent="0.35">
      <c r="B212" s="29">
        <v>14</v>
      </c>
      <c r="C212" s="29" t="s">
        <v>19</v>
      </c>
      <c r="D212" s="30">
        <v>50</v>
      </c>
      <c r="E212" s="66" t="s">
        <v>12001</v>
      </c>
      <c r="F212" s="66"/>
      <c r="G212" s="29" t="s">
        <v>61</v>
      </c>
      <c r="H212" s="29"/>
      <c r="I212" s="98">
        <v>43831</v>
      </c>
      <c r="J212" s="10" t="s">
        <v>62</v>
      </c>
    </row>
    <row r="213" spans="2:10" ht="15" hidden="1" customHeight="1" x14ac:dyDescent="0.35">
      <c r="B213" s="29">
        <v>14</v>
      </c>
      <c r="C213" s="29" t="s">
        <v>19</v>
      </c>
      <c r="D213" s="30">
        <v>60</v>
      </c>
      <c r="E213" s="66" t="s">
        <v>12015</v>
      </c>
      <c r="F213" s="66"/>
      <c r="G213" s="29" t="s">
        <v>61</v>
      </c>
      <c r="H213" s="29"/>
      <c r="I213" s="98">
        <v>44067</v>
      </c>
      <c r="J213" s="10" t="s">
        <v>62</v>
      </c>
    </row>
    <row r="214" spans="2:10" ht="15" hidden="1" customHeight="1" x14ac:dyDescent="0.35">
      <c r="B214" s="29">
        <v>14</v>
      </c>
      <c r="C214" s="29" t="s">
        <v>19</v>
      </c>
      <c r="D214" s="30">
        <v>70</v>
      </c>
      <c r="E214" s="66" t="s">
        <v>11755</v>
      </c>
      <c r="F214" s="66" t="s">
        <v>11727</v>
      </c>
      <c r="G214" s="29" t="s">
        <v>61</v>
      </c>
      <c r="H214" s="29" t="s">
        <v>61</v>
      </c>
      <c r="I214" s="98">
        <v>45462</v>
      </c>
      <c r="J214" s="10" t="s">
        <v>62</v>
      </c>
    </row>
    <row r="215" spans="2:10" ht="15" hidden="1" customHeight="1" x14ac:dyDescent="0.35">
      <c r="B215" s="29">
        <v>14</v>
      </c>
      <c r="C215" s="29" t="s">
        <v>19</v>
      </c>
      <c r="D215" s="30">
        <v>320</v>
      </c>
      <c r="E215" s="66" t="s">
        <v>11728</v>
      </c>
      <c r="F215" s="66" t="s">
        <v>11729</v>
      </c>
      <c r="G215" s="29" t="s">
        <v>61</v>
      </c>
      <c r="H215" s="29" t="s">
        <v>61</v>
      </c>
      <c r="I215" s="98">
        <v>45743</v>
      </c>
      <c r="J215" s="10" t="s">
        <v>62</v>
      </c>
    </row>
    <row r="216" spans="2:10" ht="15.5" hidden="1" x14ac:dyDescent="0.35">
      <c r="B216" s="29">
        <v>14</v>
      </c>
      <c r="C216" s="29" t="s">
        <v>19</v>
      </c>
      <c r="D216" s="29">
        <v>330</v>
      </c>
      <c r="E216" s="67" t="s">
        <v>12016</v>
      </c>
      <c r="F216" s="67"/>
      <c r="G216" s="29" t="s">
        <v>61</v>
      </c>
      <c r="H216" s="29"/>
      <c r="I216" s="98">
        <v>44931</v>
      </c>
      <c r="J216" s="10" t="s">
        <v>62</v>
      </c>
    </row>
    <row r="217" spans="2:10" ht="15.5" hidden="1" x14ac:dyDescent="0.35">
      <c r="B217" s="29">
        <v>15</v>
      </c>
      <c r="C217" s="29" t="s">
        <v>40</v>
      </c>
      <c r="D217" s="29">
        <v>302</v>
      </c>
      <c r="E217" s="67" t="s">
        <v>12017</v>
      </c>
      <c r="F217" s="67" t="s">
        <v>12018</v>
      </c>
      <c r="G217" s="29" t="s">
        <v>61</v>
      </c>
      <c r="H217" s="29" t="s">
        <v>61</v>
      </c>
      <c r="I217" s="98">
        <v>45743</v>
      </c>
      <c r="J217" s="10" t="s">
        <v>62</v>
      </c>
    </row>
    <row r="218" spans="2:10" ht="15.5" hidden="1" x14ac:dyDescent="0.35">
      <c r="B218" s="29">
        <v>15</v>
      </c>
      <c r="C218" s="29" t="s">
        <v>40</v>
      </c>
      <c r="D218" s="29">
        <v>307</v>
      </c>
      <c r="E218" s="67" t="s">
        <v>12019</v>
      </c>
      <c r="F218" s="67" t="s">
        <v>12020</v>
      </c>
      <c r="G218" s="29" t="s">
        <v>61</v>
      </c>
      <c r="H218" s="29" t="s">
        <v>61</v>
      </c>
      <c r="I218" s="98">
        <v>45743</v>
      </c>
      <c r="J218" s="10" t="s">
        <v>62</v>
      </c>
    </row>
    <row r="219" spans="2:10" ht="15.5" hidden="1" x14ac:dyDescent="0.35">
      <c r="B219" s="29">
        <v>15</v>
      </c>
      <c r="C219" s="29" t="s">
        <v>40</v>
      </c>
      <c r="D219" s="30">
        <v>370</v>
      </c>
      <c r="E219" s="66" t="s">
        <v>12021</v>
      </c>
      <c r="F219" s="66" t="s">
        <v>11727</v>
      </c>
      <c r="G219" s="29" t="s">
        <v>61</v>
      </c>
      <c r="H219" s="29" t="s">
        <v>61</v>
      </c>
      <c r="I219" s="98">
        <v>45499</v>
      </c>
      <c r="J219" s="10" t="s">
        <v>62</v>
      </c>
    </row>
    <row r="220" spans="2:10" ht="15.5" hidden="1" x14ac:dyDescent="0.35">
      <c r="B220" s="29">
        <v>17</v>
      </c>
      <c r="C220" s="29" t="s">
        <v>42</v>
      </c>
      <c r="D220" s="29">
        <v>360</v>
      </c>
      <c r="E220" s="67" t="s">
        <v>12022</v>
      </c>
      <c r="F220" s="66" t="s">
        <v>12023</v>
      </c>
      <c r="G220" s="29" t="s">
        <v>61</v>
      </c>
      <c r="H220" s="29" t="s">
        <v>61</v>
      </c>
      <c r="I220" s="98">
        <v>45462</v>
      </c>
      <c r="J220" s="10" t="s">
        <v>62</v>
      </c>
    </row>
    <row r="221" spans="2:10" ht="15.5" hidden="1" x14ac:dyDescent="0.35">
      <c r="B221" s="29">
        <v>17</v>
      </c>
      <c r="C221" s="29" t="s">
        <v>42</v>
      </c>
      <c r="D221" s="29">
        <v>380</v>
      </c>
      <c r="E221" s="67" t="s">
        <v>12024</v>
      </c>
      <c r="F221" s="66" t="s">
        <v>12024</v>
      </c>
      <c r="G221" s="29" t="s">
        <v>61</v>
      </c>
      <c r="H221" s="29" t="s">
        <v>61</v>
      </c>
      <c r="I221" s="98">
        <v>45743</v>
      </c>
      <c r="J221" s="10" t="s">
        <v>62</v>
      </c>
    </row>
    <row r="222" spans="2:10" ht="15.5" hidden="1" x14ac:dyDescent="0.35">
      <c r="B222" s="29">
        <v>17</v>
      </c>
      <c r="C222" s="29" t="s">
        <v>42</v>
      </c>
      <c r="D222" s="29">
        <v>390</v>
      </c>
      <c r="E222" s="67" t="s">
        <v>12025</v>
      </c>
      <c r="F222" s="66" t="s">
        <v>12026</v>
      </c>
      <c r="G222" s="29" t="s">
        <v>61</v>
      </c>
      <c r="H222" s="29" t="s">
        <v>61</v>
      </c>
      <c r="I222" s="98">
        <v>45743</v>
      </c>
      <c r="J222" s="10" t="s">
        <v>62</v>
      </c>
    </row>
  </sheetData>
  <autoFilter ref="B4:J222" xr:uid="{97F6A7E8-9195-438B-96EB-6301349E06EC}">
    <filterColumn colId="1">
      <filters>
        <filter val="ILS"/>
      </filters>
    </filterColumn>
  </autoFilter>
  <mergeCells count="1">
    <mergeCell ref="B2:J2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9C0E-4464-4FF7-A250-46BB9F0B3940}">
  <sheetPr codeName="Planilha11"/>
  <dimension ref="B1:M266"/>
  <sheetViews>
    <sheetView showGridLines="0" zoomScale="90" zoomScaleNormal="90" workbookViewId="0">
      <selection activeCell="H15" sqref="H15"/>
    </sheetView>
  </sheetViews>
  <sheetFormatPr defaultRowHeight="14.5" x14ac:dyDescent="0.35"/>
  <cols>
    <col min="1" max="1" width="2.453125" customWidth="1"/>
    <col min="5" max="5" width="8.7265625" customWidth="1"/>
    <col min="6" max="6" width="16" bestFit="1" customWidth="1"/>
    <col min="7" max="7" width="39.453125" customWidth="1"/>
    <col min="8" max="9" width="72.1796875" customWidth="1"/>
    <col min="10" max="10" width="11.54296875" bestFit="1" customWidth="1"/>
    <col min="11" max="11" width="24.81640625" customWidth="1"/>
    <col min="12" max="12" width="8.81640625" customWidth="1"/>
  </cols>
  <sheetData>
    <row r="1" spans="2:13" ht="9.65" customHeight="1" thickBot="1" x14ac:dyDescent="0.4"/>
    <row r="2" spans="2:13" ht="14.5" customHeight="1" x14ac:dyDescent="0.35">
      <c r="B2" s="238" t="s">
        <v>12027</v>
      </c>
      <c r="C2" s="239"/>
      <c r="D2" s="239"/>
      <c r="E2" s="239"/>
      <c r="F2" s="239"/>
      <c r="G2" s="239"/>
      <c r="H2" s="239"/>
      <c r="I2" s="239"/>
      <c r="J2" s="239"/>
      <c r="K2" s="241"/>
    </row>
    <row r="3" spans="2:13" ht="14.5" customHeight="1" x14ac:dyDescent="0.35">
      <c r="B3" s="242"/>
      <c r="C3" s="243"/>
      <c r="D3" s="243"/>
      <c r="E3" s="243"/>
      <c r="F3" s="243"/>
      <c r="G3" s="243"/>
      <c r="H3" s="243"/>
      <c r="I3" s="243"/>
      <c r="J3" s="243"/>
      <c r="K3" s="245"/>
    </row>
    <row r="4" spans="2:13" ht="14.5" customHeight="1" thickBot="1" x14ac:dyDescent="0.4">
      <c r="B4" s="246"/>
      <c r="C4" s="247"/>
      <c r="D4" s="247"/>
      <c r="E4" s="247"/>
      <c r="F4" s="247"/>
      <c r="G4" s="247"/>
      <c r="H4" s="247"/>
      <c r="I4" s="247"/>
      <c r="J4" s="247"/>
      <c r="K4" s="249"/>
      <c r="L4" s="62">
        <f>COUNTIF(L5:L1852,"X")</f>
        <v>258</v>
      </c>
      <c r="M4" s="62">
        <f>COUNTIF(M5:M1852,"X")</f>
        <v>164</v>
      </c>
    </row>
    <row r="5" spans="2:13" ht="15" customHeight="1" x14ac:dyDescent="0.35">
      <c r="B5" s="60" t="s">
        <v>43</v>
      </c>
      <c r="C5" s="60" t="s">
        <v>43</v>
      </c>
      <c r="D5" s="60" t="s">
        <v>1963</v>
      </c>
      <c r="E5" s="61" t="s">
        <v>1964</v>
      </c>
      <c r="F5" s="60" t="s">
        <v>1965</v>
      </c>
      <c r="G5" s="60" t="s">
        <v>49</v>
      </c>
      <c r="H5" s="60" t="s">
        <v>1966</v>
      </c>
      <c r="I5" s="60" t="s">
        <v>12028</v>
      </c>
      <c r="J5" s="60"/>
      <c r="K5" s="60" t="s">
        <v>54</v>
      </c>
      <c r="L5" s="176" t="s">
        <v>51</v>
      </c>
      <c r="M5" s="172" t="s">
        <v>12029</v>
      </c>
    </row>
    <row r="6" spans="2:13" ht="15" customHeight="1" x14ac:dyDescent="0.35">
      <c r="B6" s="50">
        <v>1</v>
      </c>
      <c r="C6" s="56" t="s">
        <v>13</v>
      </c>
      <c r="D6" s="52" t="str">
        <f t="shared" ref="D6:D25" si="0">RIGHT(F6,3)</f>
        <v>001</v>
      </c>
      <c r="E6" s="56"/>
      <c r="F6" s="177" t="s">
        <v>12030</v>
      </c>
      <c r="G6" s="177" t="s">
        <v>12031</v>
      </c>
      <c r="H6" s="177" t="s">
        <v>12032</v>
      </c>
      <c r="I6" s="177" t="s">
        <v>12033</v>
      </c>
      <c r="J6" s="171">
        <v>45839</v>
      </c>
      <c r="K6" s="10" t="s">
        <v>62</v>
      </c>
      <c r="L6" s="29" t="s">
        <v>371</v>
      </c>
      <c r="M6" s="29" t="s">
        <v>371</v>
      </c>
    </row>
    <row r="7" spans="2:13" ht="15" customHeight="1" x14ac:dyDescent="0.35">
      <c r="B7" s="50">
        <v>1</v>
      </c>
      <c r="C7" s="56" t="s">
        <v>13</v>
      </c>
      <c r="D7" s="52" t="str">
        <f t="shared" si="0"/>
        <v>002</v>
      </c>
      <c r="E7" s="56"/>
      <c r="F7" s="177" t="s">
        <v>12034</v>
      </c>
      <c r="G7" s="177" t="s">
        <v>12035</v>
      </c>
      <c r="H7" s="177" t="s">
        <v>12036</v>
      </c>
      <c r="I7" s="177" t="s">
        <v>12037</v>
      </c>
      <c r="J7" s="171">
        <v>45839</v>
      </c>
      <c r="K7" s="10" t="s">
        <v>62</v>
      </c>
      <c r="L7" s="29" t="s">
        <v>371</v>
      </c>
      <c r="M7" s="29" t="s">
        <v>371</v>
      </c>
    </row>
    <row r="8" spans="2:13" ht="15" customHeight="1" x14ac:dyDescent="0.35">
      <c r="B8" s="50">
        <v>1</v>
      </c>
      <c r="C8" s="56" t="s">
        <v>13</v>
      </c>
      <c r="D8" s="52" t="str">
        <f t="shared" si="0"/>
        <v>006</v>
      </c>
      <c r="E8" s="56"/>
      <c r="F8" s="177" t="s">
        <v>12038</v>
      </c>
      <c r="G8" s="177" t="s">
        <v>12039</v>
      </c>
      <c r="H8" s="177" t="s">
        <v>12040</v>
      </c>
      <c r="I8" s="177" t="s">
        <v>12041</v>
      </c>
      <c r="J8" s="171">
        <v>45839</v>
      </c>
      <c r="K8" s="10" t="s">
        <v>62</v>
      </c>
      <c r="L8" s="29" t="s">
        <v>371</v>
      </c>
      <c r="M8" s="29" t="s">
        <v>371</v>
      </c>
    </row>
    <row r="9" spans="2:13" ht="15" customHeight="1" x14ac:dyDescent="0.35">
      <c r="B9" s="50">
        <v>1</v>
      </c>
      <c r="C9" s="56" t="s">
        <v>13</v>
      </c>
      <c r="D9" s="52" t="str">
        <f t="shared" si="0"/>
        <v>008</v>
      </c>
      <c r="E9" s="56"/>
      <c r="F9" s="177" t="s">
        <v>12042</v>
      </c>
      <c r="G9" s="177" t="s">
        <v>12043</v>
      </c>
      <c r="H9" s="177" t="s">
        <v>12044</v>
      </c>
      <c r="I9" s="177" t="s">
        <v>12045</v>
      </c>
      <c r="J9" s="171">
        <v>45839</v>
      </c>
      <c r="K9" s="10" t="s">
        <v>62</v>
      </c>
      <c r="L9" s="29" t="s">
        <v>371</v>
      </c>
      <c r="M9" s="29" t="s">
        <v>371</v>
      </c>
    </row>
    <row r="10" spans="2:13" ht="15" customHeight="1" x14ac:dyDescent="0.35">
      <c r="B10" s="50">
        <v>1</v>
      </c>
      <c r="C10" s="56" t="s">
        <v>13</v>
      </c>
      <c r="D10" s="52" t="str">
        <f t="shared" si="0"/>
        <v>014</v>
      </c>
      <c r="E10" s="56"/>
      <c r="F10" s="177" t="s">
        <v>12046</v>
      </c>
      <c r="G10" s="177" t="s">
        <v>12047</v>
      </c>
      <c r="H10" s="177" t="s">
        <v>12048</v>
      </c>
      <c r="I10" s="177" t="s">
        <v>12049</v>
      </c>
      <c r="J10" s="171">
        <v>45839</v>
      </c>
      <c r="K10" s="10" t="s">
        <v>62</v>
      </c>
      <c r="L10" s="29" t="s">
        <v>371</v>
      </c>
      <c r="M10" s="29" t="s">
        <v>371</v>
      </c>
    </row>
    <row r="11" spans="2:13" ht="15" customHeight="1" x14ac:dyDescent="0.35">
      <c r="B11" s="50">
        <v>1</v>
      </c>
      <c r="C11" s="56" t="s">
        <v>13</v>
      </c>
      <c r="D11" s="52" t="str">
        <f t="shared" si="0"/>
        <v>017</v>
      </c>
      <c r="E11" s="56"/>
      <c r="F11" s="177" t="s">
        <v>12050</v>
      </c>
      <c r="G11" s="177" t="s">
        <v>12051</v>
      </c>
      <c r="H11" s="177" t="s">
        <v>12052</v>
      </c>
      <c r="I11" s="177" t="s">
        <v>12053</v>
      </c>
      <c r="J11" s="171">
        <v>45839</v>
      </c>
      <c r="K11" s="10" t="s">
        <v>62</v>
      </c>
      <c r="L11" s="29" t="s">
        <v>371</v>
      </c>
      <c r="M11" s="29" t="s">
        <v>371</v>
      </c>
    </row>
    <row r="12" spans="2:13" ht="15" customHeight="1" x14ac:dyDescent="0.35">
      <c r="B12" s="50">
        <v>1</v>
      </c>
      <c r="C12" s="56" t="s">
        <v>13</v>
      </c>
      <c r="D12" s="52" t="str">
        <f t="shared" si="0"/>
        <v>018</v>
      </c>
      <c r="E12" s="56"/>
      <c r="F12" s="177" t="s">
        <v>12054</v>
      </c>
      <c r="G12" s="177" t="s">
        <v>12055</v>
      </c>
      <c r="H12" s="177" t="s">
        <v>12056</v>
      </c>
      <c r="I12" s="177" t="s">
        <v>12057</v>
      </c>
      <c r="J12" s="171">
        <v>45839</v>
      </c>
      <c r="K12" s="10" t="s">
        <v>62</v>
      </c>
      <c r="L12" s="29" t="s">
        <v>371</v>
      </c>
      <c r="M12" s="29" t="s">
        <v>371</v>
      </c>
    </row>
    <row r="13" spans="2:13" ht="15" customHeight="1" x14ac:dyDescent="0.35">
      <c r="B13" s="50">
        <v>1</v>
      </c>
      <c r="C13" s="56" t="s">
        <v>13</v>
      </c>
      <c r="D13" s="52" t="str">
        <f t="shared" si="0"/>
        <v>019</v>
      </c>
      <c r="E13" s="56"/>
      <c r="F13" s="177" t="s">
        <v>12058</v>
      </c>
      <c r="G13" s="177" t="s">
        <v>12059</v>
      </c>
      <c r="H13" s="177" t="s">
        <v>12060</v>
      </c>
      <c r="I13" s="177" t="s">
        <v>12061</v>
      </c>
      <c r="J13" s="171">
        <v>45839</v>
      </c>
      <c r="K13" s="10" t="s">
        <v>62</v>
      </c>
      <c r="L13" s="29" t="s">
        <v>371</v>
      </c>
      <c r="M13" s="29" t="s">
        <v>371</v>
      </c>
    </row>
    <row r="14" spans="2:13" ht="15" customHeight="1" x14ac:dyDescent="0.35">
      <c r="B14" s="50">
        <v>1</v>
      </c>
      <c r="C14" s="56" t="s">
        <v>13</v>
      </c>
      <c r="D14" s="52" t="str">
        <f t="shared" si="0"/>
        <v>021</v>
      </c>
      <c r="E14" s="56"/>
      <c r="F14" s="177" t="s">
        <v>12062</v>
      </c>
      <c r="G14" s="177" t="s">
        <v>12063</v>
      </c>
      <c r="H14" s="177" t="s">
        <v>12064</v>
      </c>
      <c r="I14" s="177" t="s">
        <v>12065</v>
      </c>
      <c r="J14" s="171">
        <v>45839</v>
      </c>
      <c r="K14" s="10" t="s">
        <v>62</v>
      </c>
      <c r="L14" s="29" t="s">
        <v>371</v>
      </c>
      <c r="M14" s="29" t="s">
        <v>371</v>
      </c>
    </row>
    <row r="15" spans="2:13" ht="15" customHeight="1" x14ac:dyDescent="0.35">
      <c r="B15" s="50">
        <v>1</v>
      </c>
      <c r="C15" s="56" t="s">
        <v>13</v>
      </c>
      <c r="D15" s="52" t="str">
        <f t="shared" si="0"/>
        <v>022</v>
      </c>
      <c r="E15" s="56"/>
      <c r="F15" s="177" t="s">
        <v>12066</v>
      </c>
      <c r="G15" s="177" t="s">
        <v>12067</v>
      </c>
      <c r="H15" s="177" t="s">
        <v>12068</v>
      </c>
      <c r="I15" s="177" t="s">
        <v>12069</v>
      </c>
      <c r="J15" s="171">
        <v>45839</v>
      </c>
      <c r="K15" s="10" t="s">
        <v>62</v>
      </c>
      <c r="L15" s="29" t="s">
        <v>371</v>
      </c>
      <c r="M15" s="29" t="s">
        <v>371</v>
      </c>
    </row>
    <row r="16" spans="2:13" ht="15" customHeight="1" x14ac:dyDescent="0.35">
      <c r="B16" s="50">
        <v>1</v>
      </c>
      <c r="C16" s="56" t="s">
        <v>13</v>
      </c>
      <c r="D16" s="52" t="str">
        <f t="shared" si="0"/>
        <v>024</v>
      </c>
      <c r="E16" s="56"/>
      <c r="F16" s="177" t="s">
        <v>12070</v>
      </c>
      <c r="G16" s="177" t="s">
        <v>12071</v>
      </c>
      <c r="H16" s="177" t="s">
        <v>12072</v>
      </c>
      <c r="I16" s="177" t="s">
        <v>12073</v>
      </c>
      <c r="J16" s="171">
        <v>45839</v>
      </c>
      <c r="K16" s="10" t="s">
        <v>62</v>
      </c>
      <c r="L16" s="29" t="s">
        <v>371</v>
      </c>
      <c r="M16" s="29" t="s">
        <v>371</v>
      </c>
    </row>
    <row r="17" spans="2:13" ht="15" customHeight="1" x14ac:dyDescent="0.35">
      <c r="B17" s="50">
        <v>1</v>
      </c>
      <c r="C17" s="56" t="s">
        <v>13</v>
      </c>
      <c r="D17" s="52" t="str">
        <f t="shared" si="0"/>
        <v>028</v>
      </c>
      <c r="E17" s="56"/>
      <c r="F17" s="177" t="s">
        <v>12074</v>
      </c>
      <c r="G17" s="177" t="s">
        <v>12075</v>
      </c>
      <c r="H17" s="177" t="s">
        <v>12076</v>
      </c>
      <c r="I17" s="177" t="s">
        <v>12077</v>
      </c>
      <c r="J17" s="171">
        <v>45839</v>
      </c>
      <c r="K17" s="10" t="s">
        <v>62</v>
      </c>
      <c r="L17" s="29" t="s">
        <v>371</v>
      </c>
      <c r="M17" s="29" t="s">
        <v>371</v>
      </c>
    </row>
    <row r="18" spans="2:13" ht="15" customHeight="1" x14ac:dyDescent="0.35">
      <c r="B18" s="50">
        <v>1</v>
      </c>
      <c r="C18" s="56" t="s">
        <v>13</v>
      </c>
      <c r="D18" s="52" t="str">
        <f t="shared" si="0"/>
        <v>029</v>
      </c>
      <c r="E18" s="56"/>
      <c r="F18" s="177" t="s">
        <v>12078</v>
      </c>
      <c r="G18" s="177" t="s">
        <v>12079</v>
      </c>
      <c r="H18" s="177" t="s">
        <v>12080</v>
      </c>
      <c r="I18" s="177" t="s">
        <v>12081</v>
      </c>
      <c r="J18" s="171">
        <v>45839</v>
      </c>
      <c r="K18" s="10" t="s">
        <v>62</v>
      </c>
      <c r="L18" s="29" t="s">
        <v>371</v>
      </c>
      <c r="M18" s="29" t="s">
        <v>371</v>
      </c>
    </row>
    <row r="19" spans="2:13" ht="15" customHeight="1" x14ac:dyDescent="0.35">
      <c r="B19" s="50">
        <v>1</v>
      </c>
      <c r="C19" s="56" t="s">
        <v>13</v>
      </c>
      <c r="D19" s="161">
        <v>30</v>
      </c>
      <c r="E19" s="52" t="str">
        <f>RIGHT(F19,2)</f>
        <v>01</v>
      </c>
      <c r="F19" s="177" t="s">
        <v>12082</v>
      </c>
      <c r="G19" s="177" t="s">
        <v>12083</v>
      </c>
      <c r="H19" s="177" t="s">
        <v>12084</v>
      </c>
      <c r="I19" s="177" t="s">
        <v>12085</v>
      </c>
      <c r="J19" s="171">
        <v>45839</v>
      </c>
      <c r="K19" s="10" t="s">
        <v>62</v>
      </c>
      <c r="L19" s="29" t="s">
        <v>371</v>
      </c>
      <c r="M19" s="29" t="s">
        <v>371</v>
      </c>
    </row>
    <row r="20" spans="2:13" ht="15" customHeight="1" x14ac:dyDescent="0.35">
      <c r="B20" s="50">
        <v>1</v>
      </c>
      <c r="C20" s="56" t="s">
        <v>13</v>
      </c>
      <c r="D20" s="161">
        <v>30</v>
      </c>
      <c r="E20" s="52" t="str">
        <f t="shared" ref="E20:E21" si="1">RIGHT(F20,2)</f>
        <v>02</v>
      </c>
      <c r="F20" s="177" t="s">
        <v>12086</v>
      </c>
      <c r="G20" s="177" t="s">
        <v>12087</v>
      </c>
      <c r="H20" s="177" t="s">
        <v>12088</v>
      </c>
      <c r="I20" s="177" t="s">
        <v>12089</v>
      </c>
      <c r="J20" s="171">
        <v>45839</v>
      </c>
      <c r="K20" s="10" t="s">
        <v>62</v>
      </c>
      <c r="L20" s="29" t="s">
        <v>371</v>
      </c>
      <c r="M20" s="29" t="s">
        <v>371</v>
      </c>
    </row>
    <row r="21" spans="2:13" ht="15" customHeight="1" x14ac:dyDescent="0.35">
      <c r="B21" s="50">
        <v>1</v>
      </c>
      <c r="C21" s="56" t="s">
        <v>13</v>
      </c>
      <c r="D21" s="161">
        <v>30</v>
      </c>
      <c r="E21" s="52" t="str">
        <f t="shared" si="1"/>
        <v>03</v>
      </c>
      <c r="F21" s="177" t="s">
        <v>12090</v>
      </c>
      <c r="G21" s="177" t="s">
        <v>12091</v>
      </c>
      <c r="H21" s="177" t="s">
        <v>12092</v>
      </c>
      <c r="I21" s="177" t="s">
        <v>12093</v>
      </c>
      <c r="J21" s="171">
        <v>45839</v>
      </c>
      <c r="K21" s="10" t="s">
        <v>62</v>
      </c>
      <c r="L21" s="29" t="s">
        <v>371</v>
      </c>
      <c r="M21" s="29" t="s">
        <v>371</v>
      </c>
    </row>
    <row r="22" spans="2:13" ht="15" customHeight="1" x14ac:dyDescent="0.35">
      <c r="B22" s="50">
        <v>1</v>
      </c>
      <c r="C22" s="56" t="s">
        <v>13</v>
      </c>
      <c r="D22" s="52" t="str">
        <f t="shared" si="0"/>
        <v>031</v>
      </c>
      <c r="E22" s="56"/>
      <c r="F22" s="177" t="s">
        <v>12094</v>
      </c>
      <c r="G22" s="177" t="s">
        <v>12095</v>
      </c>
      <c r="H22" s="177" t="s">
        <v>12096</v>
      </c>
      <c r="I22" s="177" t="s">
        <v>12097</v>
      </c>
      <c r="J22" s="171">
        <v>45839</v>
      </c>
      <c r="K22" s="10" t="s">
        <v>62</v>
      </c>
      <c r="L22" s="29" t="s">
        <v>371</v>
      </c>
      <c r="M22" s="29" t="s">
        <v>371</v>
      </c>
    </row>
    <row r="23" spans="2:13" ht="15" customHeight="1" x14ac:dyDescent="0.35">
      <c r="B23" s="50">
        <v>1</v>
      </c>
      <c r="C23" s="56" t="s">
        <v>13</v>
      </c>
      <c r="D23" s="52" t="str">
        <f t="shared" si="0"/>
        <v>058</v>
      </c>
      <c r="E23" s="56"/>
      <c r="F23" s="177" t="s">
        <v>12098</v>
      </c>
      <c r="G23" s="177" t="s">
        <v>12099</v>
      </c>
      <c r="H23" s="177" t="s">
        <v>12100</v>
      </c>
      <c r="I23" s="177" t="s">
        <v>12101</v>
      </c>
      <c r="J23" s="171">
        <v>45839</v>
      </c>
      <c r="K23" s="10" t="s">
        <v>62</v>
      </c>
      <c r="L23" s="29" t="s">
        <v>371</v>
      </c>
      <c r="M23" s="29" t="s">
        <v>371</v>
      </c>
    </row>
    <row r="24" spans="2:13" ht="15" customHeight="1" x14ac:dyDescent="0.35">
      <c r="B24" s="50">
        <v>1</v>
      </c>
      <c r="C24" s="56" t="s">
        <v>13</v>
      </c>
      <c r="D24" s="52" t="str">
        <f t="shared" si="0"/>
        <v>060</v>
      </c>
      <c r="E24" s="56"/>
      <c r="F24" s="177" t="s">
        <v>12102</v>
      </c>
      <c r="G24" s="177" t="s">
        <v>12103</v>
      </c>
      <c r="H24" s="177" t="s">
        <v>12104</v>
      </c>
      <c r="I24" s="177" t="s">
        <v>12105</v>
      </c>
      <c r="J24" s="171">
        <v>45839</v>
      </c>
      <c r="K24" s="10" t="s">
        <v>62</v>
      </c>
      <c r="L24" s="29" t="s">
        <v>371</v>
      </c>
      <c r="M24" s="29" t="s">
        <v>371</v>
      </c>
    </row>
    <row r="25" spans="2:13" ht="15" customHeight="1" x14ac:dyDescent="0.35">
      <c r="B25" s="50">
        <v>1</v>
      </c>
      <c r="C25" s="56" t="s">
        <v>13</v>
      </c>
      <c r="D25" s="52" t="str">
        <f t="shared" si="0"/>
        <v>062</v>
      </c>
      <c r="E25" s="56"/>
      <c r="F25" s="177" t="s">
        <v>12106</v>
      </c>
      <c r="G25" s="177" t="s">
        <v>12107</v>
      </c>
      <c r="H25" s="177" t="s">
        <v>12108</v>
      </c>
      <c r="I25" s="177" t="s">
        <v>12109</v>
      </c>
      <c r="J25" s="171">
        <v>45839</v>
      </c>
      <c r="K25" s="10" t="s">
        <v>62</v>
      </c>
      <c r="L25" s="29" t="s">
        <v>371</v>
      </c>
      <c r="M25" s="29" t="s">
        <v>371</v>
      </c>
    </row>
    <row r="26" spans="2:13" ht="15" customHeight="1" x14ac:dyDescent="0.35">
      <c r="B26" s="50">
        <v>2</v>
      </c>
      <c r="C26" s="51" t="s">
        <v>14</v>
      </c>
      <c r="D26" s="52" t="str">
        <f t="shared" ref="D26:D76" si="2">RIGHT(F26,3)</f>
        <v>001</v>
      </c>
      <c r="E26" s="56"/>
      <c r="F26" s="53" t="s">
        <v>12110</v>
      </c>
      <c r="G26" s="53" t="s">
        <v>12031</v>
      </c>
      <c r="H26" s="54" t="s">
        <v>12111</v>
      </c>
      <c r="I26" s="54" t="s">
        <v>12112</v>
      </c>
      <c r="J26" s="171">
        <v>45839</v>
      </c>
      <c r="K26" s="10" t="s">
        <v>62</v>
      </c>
      <c r="L26" s="29" t="s">
        <v>371</v>
      </c>
      <c r="M26" s="29" t="s">
        <v>371</v>
      </c>
    </row>
    <row r="27" spans="2:13" ht="15" customHeight="1" x14ac:dyDescent="0.35">
      <c r="B27" s="50">
        <v>2</v>
      </c>
      <c r="C27" s="51" t="s">
        <v>14</v>
      </c>
      <c r="D27" s="52" t="str">
        <f t="shared" si="2"/>
        <v>002</v>
      </c>
      <c r="E27" s="56"/>
      <c r="F27" s="53" t="s">
        <v>12113</v>
      </c>
      <c r="G27" s="53" t="s">
        <v>12114</v>
      </c>
      <c r="H27" s="54" t="s">
        <v>12115</v>
      </c>
      <c r="I27" s="54" t="s">
        <v>12115</v>
      </c>
      <c r="J27" s="171">
        <v>45839</v>
      </c>
      <c r="K27" s="10" t="s">
        <v>62</v>
      </c>
      <c r="L27" s="29" t="s">
        <v>371</v>
      </c>
      <c r="M27" s="29" t="s">
        <v>371</v>
      </c>
    </row>
    <row r="28" spans="2:13" ht="15" customHeight="1" x14ac:dyDescent="0.35">
      <c r="B28" s="50">
        <v>2</v>
      </c>
      <c r="C28" s="51" t="s">
        <v>14</v>
      </c>
      <c r="D28" s="52" t="str">
        <f t="shared" si="2"/>
        <v>006</v>
      </c>
      <c r="E28" s="56"/>
      <c r="F28" s="53" t="s">
        <v>12116</v>
      </c>
      <c r="G28" s="53" t="s">
        <v>12039</v>
      </c>
      <c r="H28" s="54" t="s">
        <v>12117</v>
      </c>
      <c r="I28" s="54" t="s">
        <v>12118</v>
      </c>
      <c r="J28" s="171">
        <v>45839</v>
      </c>
      <c r="K28" s="10" t="s">
        <v>62</v>
      </c>
      <c r="L28" s="29" t="s">
        <v>371</v>
      </c>
      <c r="M28" s="29" t="s">
        <v>371</v>
      </c>
    </row>
    <row r="29" spans="2:13" ht="15" customHeight="1" x14ac:dyDescent="0.35">
      <c r="B29" s="50">
        <v>2</v>
      </c>
      <c r="C29" s="51" t="s">
        <v>14</v>
      </c>
      <c r="D29" s="52" t="str">
        <f t="shared" si="2"/>
        <v>008</v>
      </c>
      <c r="E29" s="56"/>
      <c r="F29" s="53" t="s">
        <v>12119</v>
      </c>
      <c r="G29" s="53" t="s">
        <v>12043</v>
      </c>
      <c r="H29" s="54" t="s">
        <v>12120</v>
      </c>
      <c r="I29" s="54" t="s">
        <v>12121</v>
      </c>
      <c r="J29" s="171">
        <v>45839</v>
      </c>
      <c r="K29" s="10" t="s">
        <v>62</v>
      </c>
      <c r="L29" s="29" t="s">
        <v>371</v>
      </c>
      <c r="M29" s="29" t="s">
        <v>371</v>
      </c>
    </row>
    <row r="30" spans="2:13" ht="15" customHeight="1" x14ac:dyDescent="0.35">
      <c r="B30" s="50">
        <v>2</v>
      </c>
      <c r="C30" s="51" t="s">
        <v>14</v>
      </c>
      <c r="D30" s="52" t="str">
        <f t="shared" si="2"/>
        <v>018</v>
      </c>
      <c r="E30" s="56"/>
      <c r="F30" s="53" t="s">
        <v>12122</v>
      </c>
      <c r="G30" s="53" t="s">
        <v>12055</v>
      </c>
      <c r="H30" s="54" t="s">
        <v>12123</v>
      </c>
      <c r="I30" s="54" t="s">
        <v>12124</v>
      </c>
      <c r="J30" s="171">
        <v>45839</v>
      </c>
      <c r="K30" s="10" t="s">
        <v>62</v>
      </c>
      <c r="L30" s="29" t="s">
        <v>371</v>
      </c>
      <c r="M30" s="29" t="s">
        <v>371</v>
      </c>
    </row>
    <row r="31" spans="2:13" ht="15" customHeight="1" x14ac:dyDescent="0.35">
      <c r="B31" s="50">
        <v>2</v>
      </c>
      <c r="C31" s="51" t="s">
        <v>14</v>
      </c>
      <c r="D31" s="52" t="str">
        <f t="shared" si="2"/>
        <v>019</v>
      </c>
      <c r="E31" s="56"/>
      <c r="F31" s="53" t="s">
        <v>12125</v>
      </c>
      <c r="G31" s="53" t="s">
        <v>12059</v>
      </c>
      <c r="H31" s="54" t="s">
        <v>12126</v>
      </c>
      <c r="I31" s="54" t="s">
        <v>12127</v>
      </c>
      <c r="J31" s="171">
        <v>45839</v>
      </c>
      <c r="K31" s="10" t="s">
        <v>62</v>
      </c>
      <c r="L31" s="29" t="s">
        <v>371</v>
      </c>
      <c r="M31" s="29" t="s">
        <v>371</v>
      </c>
    </row>
    <row r="32" spans="2:13" ht="15" customHeight="1" x14ac:dyDescent="0.35">
      <c r="B32" s="50">
        <v>2</v>
      </c>
      <c r="C32" s="51" t="s">
        <v>14</v>
      </c>
      <c r="D32" s="52" t="str">
        <f t="shared" si="2"/>
        <v>022</v>
      </c>
      <c r="E32" s="56"/>
      <c r="F32" s="53" t="s">
        <v>12128</v>
      </c>
      <c r="G32" s="53" t="s">
        <v>12129</v>
      </c>
      <c r="H32" s="54" t="s">
        <v>12130</v>
      </c>
      <c r="I32" s="54" t="s">
        <v>12131</v>
      </c>
      <c r="J32" s="171">
        <v>45839</v>
      </c>
      <c r="K32" s="10" t="s">
        <v>62</v>
      </c>
      <c r="L32" s="29" t="s">
        <v>371</v>
      </c>
      <c r="M32" s="29" t="s">
        <v>371</v>
      </c>
    </row>
    <row r="33" spans="2:13" ht="15" customHeight="1" x14ac:dyDescent="0.35">
      <c r="B33" s="50">
        <v>2</v>
      </c>
      <c r="C33" s="51" t="s">
        <v>14</v>
      </c>
      <c r="D33" s="52" t="str">
        <f>RIGHT(F32,3)</f>
        <v>022</v>
      </c>
      <c r="E33" s="52" t="str">
        <f>RIGHT(F33,2)</f>
        <v>01</v>
      </c>
      <c r="F33" s="54" t="s">
        <v>12132</v>
      </c>
      <c r="G33" s="54" t="s">
        <v>12133</v>
      </c>
      <c r="H33" s="54" t="s">
        <v>12134</v>
      </c>
      <c r="I33" s="54" t="s">
        <v>12135</v>
      </c>
      <c r="J33" s="171">
        <v>45839</v>
      </c>
      <c r="K33" s="10" t="s">
        <v>62</v>
      </c>
      <c r="L33" s="29" t="s">
        <v>371</v>
      </c>
      <c r="M33" s="29" t="s">
        <v>371</v>
      </c>
    </row>
    <row r="34" spans="2:13" ht="15" customHeight="1" x14ac:dyDescent="0.35">
      <c r="B34" s="50">
        <v>2</v>
      </c>
      <c r="C34" s="51" t="s">
        <v>14</v>
      </c>
      <c r="D34" s="52" t="str">
        <f t="shared" si="2"/>
        <v>024</v>
      </c>
      <c r="E34" s="56"/>
      <c r="F34" s="53" t="s">
        <v>12136</v>
      </c>
      <c r="G34" s="53" t="s">
        <v>12137</v>
      </c>
      <c r="H34" s="54" t="s">
        <v>12138</v>
      </c>
      <c r="I34" s="54" t="s">
        <v>12139</v>
      </c>
      <c r="J34" s="171">
        <v>45839</v>
      </c>
      <c r="K34" s="10" t="s">
        <v>62</v>
      </c>
      <c r="L34" s="29" t="s">
        <v>371</v>
      </c>
      <c r="M34" s="29" t="s">
        <v>371</v>
      </c>
    </row>
    <row r="35" spans="2:13" ht="15" customHeight="1" x14ac:dyDescent="0.35">
      <c r="B35" s="50">
        <v>2</v>
      </c>
      <c r="C35" s="51" t="s">
        <v>14</v>
      </c>
      <c r="D35" s="52" t="str">
        <f>RIGHT(F34,3)</f>
        <v>024</v>
      </c>
      <c r="E35" s="52" t="str">
        <f>RIGHT(F35,2)</f>
        <v>01</v>
      </c>
      <c r="F35" s="53" t="s">
        <v>12140</v>
      </c>
      <c r="G35" s="53" t="s">
        <v>12141</v>
      </c>
      <c r="H35" s="54" t="s">
        <v>12142</v>
      </c>
      <c r="I35" s="54" t="s">
        <v>12143</v>
      </c>
      <c r="J35" s="171">
        <v>45839</v>
      </c>
      <c r="K35" s="10" t="s">
        <v>62</v>
      </c>
      <c r="L35" s="29" t="s">
        <v>371</v>
      </c>
      <c r="M35" s="29" t="s">
        <v>371</v>
      </c>
    </row>
    <row r="36" spans="2:13" ht="15" customHeight="1" x14ac:dyDescent="0.35">
      <c r="B36" s="50">
        <v>2</v>
      </c>
      <c r="C36" s="51" t="s">
        <v>14</v>
      </c>
      <c r="D36" s="52" t="str">
        <f>RIGHT(F34,3)</f>
        <v>024</v>
      </c>
      <c r="E36" s="52" t="str">
        <f>RIGHT(F36,2)</f>
        <v>02</v>
      </c>
      <c r="F36" s="54" t="s">
        <v>12144</v>
      </c>
      <c r="G36" s="54" t="s">
        <v>12145</v>
      </c>
      <c r="H36" s="54" t="s">
        <v>12146</v>
      </c>
      <c r="I36" s="54" t="s">
        <v>12147</v>
      </c>
      <c r="J36" s="171">
        <v>45839</v>
      </c>
      <c r="K36" s="10" t="s">
        <v>62</v>
      </c>
      <c r="L36" s="29" t="s">
        <v>371</v>
      </c>
      <c r="M36" s="29" t="s">
        <v>371</v>
      </c>
    </row>
    <row r="37" spans="2:13" ht="15" customHeight="1" x14ac:dyDescent="0.35">
      <c r="B37" s="50">
        <v>2</v>
      </c>
      <c r="C37" s="51" t="s">
        <v>14</v>
      </c>
      <c r="D37" s="52" t="str">
        <f t="shared" si="2"/>
        <v>026</v>
      </c>
      <c r="E37" s="52"/>
      <c r="F37" s="53" t="s">
        <v>12148</v>
      </c>
      <c r="G37" s="53" t="s">
        <v>12149</v>
      </c>
      <c r="H37" s="54" t="s">
        <v>12150</v>
      </c>
      <c r="I37" s="54" t="s">
        <v>12151</v>
      </c>
      <c r="J37" s="171">
        <v>45839</v>
      </c>
      <c r="K37" s="10" t="s">
        <v>62</v>
      </c>
      <c r="L37" s="29" t="s">
        <v>371</v>
      </c>
      <c r="M37" s="29" t="s">
        <v>371</v>
      </c>
    </row>
    <row r="38" spans="2:13" ht="15" customHeight="1" x14ac:dyDescent="0.35">
      <c r="B38" s="50">
        <v>2</v>
      </c>
      <c r="C38" s="51" t="s">
        <v>14</v>
      </c>
      <c r="D38" s="52" t="str">
        <f t="shared" si="2"/>
        <v>028</v>
      </c>
      <c r="E38" s="56"/>
      <c r="F38" s="53" t="s">
        <v>12152</v>
      </c>
      <c r="G38" s="53" t="s">
        <v>12153</v>
      </c>
      <c r="H38" s="54" t="s">
        <v>12154</v>
      </c>
      <c r="I38" s="54" t="s">
        <v>12155</v>
      </c>
      <c r="J38" s="171">
        <v>45839</v>
      </c>
      <c r="K38" s="10" t="s">
        <v>62</v>
      </c>
      <c r="L38" s="29" t="s">
        <v>371</v>
      </c>
      <c r="M38" s="29" t="s">
        <v>371</v>
      </c>
    </row>
    <row r="39" spans="2:13" ht="15" customHeight="1" x14ac:dyDescent="0.35">
      <c r="B39" s="50">
        <v>2</v>
      </c>
      <c r="C39" s="51" t="s">
        <v>14</v>
      </c>
      <c r="D39" s="52" t="str">
        <f t="shared" si="2"/>
        <v>029</v>
      </c>
      <c r="E39" s="56"/>
      <c r="F39" s="53" t="s">
        <v>12156</v>
      </c>
      <c r="G39" s="53" t="s">
        <v>12079</v>
      </c>
      <c r="H39" s="54" t="s">
        <v>12157</v>
      </c>
      <c r="I39" s="54" t="s">
        <v>12158</v>
      </c>
      <c r="J39" s="171">
        <v>45839</v>
      </c>
      <c r="K39" s="10" t="s">
        <v>62</v>
      </c>
      <c r="L39" s="29" t="s">
        <v>371</v>
      </c>
      <c r="M39" s="29" t="s">
        <v>371</v>
      </c>
    </row>
    <row r="40" spans="2:13" ht="15" customHeight="1" x14ac:dyDescent="0.35">
      <c r="B40" s="50">
        <v>2</v>
      </c>
      <c r="C40" s="51" t="s">
        <v>14</v>
      </c>
      <c r="D40" s="52" t="str">
        <f>RIGHT(F40,5)</f>
        <v>30.01</v>
      </c>
      <c r="E40" s="56"/>
      <c r="F40" s="53" t="s">
        <v>12159</v>
      </c>
      <c r="G40" s="53" t="s">
        <v>12160</v>
      </c>
      <c r="H40" s="54" t="s">
        <v>12161</v>
      </c>
      <c r="I40" s="54" t="s">
        <v>12162</v>
      </c>
      <c r="J40" s="171">
        <v>45839</v>
      </c>
      <c r="K40" s="10" t="s">
        <v>62</v>
      </c>
      <c r="L40" s="29" t="s">
        <v>371</v>
      </c>
      <c r="M40" s="29" t="s">
        <v>371</v>
      </c>
    </row>
    <row r="41" spans="2:13" ht="15" customHeight="1" x14ac:dyDescent="0.35">
      <c r="B41" s="50">
        <v>2</v>
      </c>
      <c r="C41" s="51" t="s">
        <v>14</v>
      </c>
      <c r="D41" s="52" t="str">
        <f>RIGHT(F41,5)</f>
        <v>30.02</v>
      </c>
      <c r="E41" s="56"/>
      <c r="F41" s="53" t="s">
        <v>12163</v>
      </c>
      <c r="G41" s="53" t="s">
        <v>12164</v>
      </c>
      <c r="H41" s="54" t="s">
        <v>12165</v>
      </c>
      <c r="I41" s="54" t="s">
        <v>12166</v>
      </c>
      <c r="J41" s="171">
        <v>45839</v>
      </c>
      <c r="K41" s="10" t="s">
        <v>62</v>
      </c>
      <c r="L41" s="29" t="s">
        <v>371</v>
      </c>
      <c r="M41" s="29" t="s">
        <v>371</v>
      </c>
    </row>
    <row r="42" spans="2:13" ht="15" customHeight="1" x14ac:dyDescent="0.35">
      <c r="B42" s="50">
        <v>2</v>
      </c>
      <c r="C42" s="51" t="s">
        <v>14</v>
      </c>
      <c r="D42" s="52" t="str">
        <f>RIGHT(F42,5)</f>
        <v>30.03</v>
      </c>
      <c r="E42" s="56"/>
      <c r="F42" s="53" t="s">
        <v>12167</v>
      </c>
      <c r="G42" s="53" t="s">
        <v>12168</v>
      </c>
      <c r="H42" s="54" t="s">
        <v>12169</v>
      </c>
      <c r="I42" s="54" t="s">
        <v>12170</v>
      </c>
      <c r="J42" s="171">
        <v>45839</v>
      </c>
      <c r="K42" s="10" t="s">
        <v>62</v>
      </c>
      <c r="L42" s="29" t="s">
        <v>371</v>
      </c>
      <c r="M42" s="29" t="s">
        <v>371</v>
      </c>
    </row>
    <row r="43" spans="2:13" ht="15" customHeight="1" x14ac:dyDescent="0.35">
      <c r="B43" s="50">
        <v>2</v>
      </c>
      <c r="C43" s="51" t="s">
        <v>14</v>
      </c>
      <c r="D43" s="52" t="str">
        <f t="shared" si="2"/>
        <v>031</v>
      </c>
      <c r="E43" s="56"/>
      <c r="F43" s="53" t="s">
        <v>12171</v>
      </c>
      <c r="G43" s="53" t="s">
        <v>12172</v>
      </c>
      <c r="H43" s="54" t="s">
        <v>12173</v>
      </c>
      <c r="I43" s="54" t="s">
        <v>12174</v>
      </c>
      <c r="J43" s="171">
        <v>45839</v>
      </c>
      <c r="K43" s="10" t="s">
        <v>62</v>
      </c>
      <c r="L43" s="29" t="s">
        <v>371</v>
      </c>
      <c r="M43" s="29" t="s">
        <v>371</v>
      </c>
    </row>
    <row r="44" spans="2:13" ht="15" customHeight="1" x14ac:dyDescent="0.35">
      <c r="B44" s="50">
        <v>2</v>
      </c>
      <c r="C44" s="51" t="s">
        <v>14</v>
      </c>
      <c r="D44" s="52" t="str">
        <f t="shared" ref="D44:D46" si="3">RIGHT(F44,3)</f>
        <v>032</v>
      </c>
      <c r="E44" s="56"/>
      <c r="F44" s="54" t="s">
        <v>12175</v>
      </c>
      <c r="G44" s="54" t="s">
        <v>12176</v>
      </c>
      <c r="H44" s="54" t="s">
        <v>12177</v>
      </c>
      <c r="I44" s="54" t="s">
        <v>12178</v>
      </c>
      <c r="J44" s="171">
        <v>45839</v>
      </c>
      <c r="K44" s="10" t="s">
        <v>62</v>
      </c>
      <c r="L44" s="29" t="s">
        <v>371</v>
      </c>
      <c r="M44" s="29" t="s">
        <v>371</v>
      </c>
    </row>
    <row r="45" spans="2:13" ht="15" customHeight="1" x14ac:dyDescent="0.35">
      <c r="B45" s="50">
        <v>2</v>
      </c>
      <c r="C45" s="51" t="s">
        <v>14</v>
      </c>
      <c r="D45" s="52" t="str">
        <f t="shared" si="3"/>
        <v>033</v>
      </c>
      <c r="E45" s="56"/>
      <c r="F45" s="53" t="s">
        <v>12179</v>
      </c>
      <c r="G45" s="53" t="s">
        <v>12180</v>
      </c>
      <c r="H45" s="54" t="s">
        <v>12181</v>
      </c>
      <c r="I45" s="54" t="s">
        <v>12182</v>
      </c>
      <c r="J45" s="171">
        <v>45839</v>
      </c>
      <c r="K45" s="10" t="s">
        <v>62</v>
      </c>
      <c r="L45" s="29" t="s">
        <v>371</v>
      </c>
      <c r="M45" s="29" t="s">
        <v>371</v>
      </c>
    </row>
    <row r="46" spans="2:13" ht="15" customHeight="1" x14ac:dyDescent="0.35">
      <c r="B46" s="50">
        <v>2</v>
      </c>
      <c r="C46" s="51" t="s">
        <v>14</v>
      </c>
      <c r="D46" s="52" t="str">
        <f t="shared" si="3"/>
        <v>034</v>
      </c>
      <c r="E46" s="56"/>
      <c r="F46" s="54" t="s">
        <v>12183</v>
      </c>
      <c r="G46" s="54" t="s">
        <v>12184</v>
      </c>
      <c r="H46" s="54" t="s">
        <v>12185</v>
      </c>
      <c r="I46" s="54" t="s">
        <v>12186</v>
      </c>
      <c r="J46" s="171">
        <v>45839</v>
      </c>
      <c r="K46" s="10" t="s">
        <v>62</v>
      </c>
      <c r="L46" s="29" t="s">
        <v>371</v>
      </c>
      <c r="M46" s="29" t="s">
        <v>371</v>
      </c>
    </row>
    <row r="47" spans="2:13" ht="15" customHeight="1" x14ac:dyDescent="0.35">
      <c r="B47" s="50">
        <v>2</v>
      </c>
      <c r="C47" s="51" t="s">
        <v>14</v>
      </c>
      <c r="D47" s="52" t="str">
        <f t="shared" si="2"/>
        <v>058</v>
      </c>
      <c r="E47" s="56"/>
      <c r="F47" s="53" t="s">
        <v>12187</v>
      </c>
      <c r="G47" s="53" t="s">
        <v>12099</v>
      </c>
      <c r="H47" s="54" t="s">
        <v>12188</v>
      </c>
      <c r="I47" s="54" t="s">
        <v>12189</v>
      </c>
      <c r="J47" s="171">
        <v>45839</v>
      </c>
      <c r="K47" s="10" t="s">
        <v>62</v>
      </c>
      <c r="L47" s="29" t="s">
        <v>371</v>
      </c>
      <c r="M47" s="29" t="s">
        <v>371</v>
      </c>
    </row>
    <row r="48" spans="2:13" ht="15" customHeight="1" x14ac:dyDescent="0.35">
      <c r="B48" s="50">
        <v>2</v>
      </c>
      <c r="C48" s="51" t="s">
        <v>14</v>
      </c>
      <c r="D48" s="52" t="str">
        <f t="shared" si="2"/>
        <v>060</v>
      </c>
      <c r="E48" s="56"/>
      <c r="F48" s="53" t="s">
        <v>12190</v>
      </c>
      <c r="G48" s="53" t="s">
        <v>12103</v>
      </c>
      <c r="H48" s="54" t="s">
        <v>12191</v>
      </c>
      <c r="I48" s="54" t="s">
        <v>12192</v>
      </c>
      <c r="J48" s="171">
        <v>45839</v>
      </c>
      <c r="K48" s="10" t="s">
        <v>62</v>
      </c>
      <c r="L48" s="29" t="s">
        <v>371</v>
      </c>
      <c r="M48" s="29" t="s">
        <v>371</v>
      </c>
    </row>
    <row r="49" spans="2:13" ht="15" customHeight="1" x14ac:dyDescent="0.35">
      <c r="B49" s="50">
        <v>2</v>
      </c>
      <c r="C49" s="51" t="s">
        <v>14</v>
      </c>
      <c r="D49" s="52" t="str">
        <f>RIGHT(F48,3)</f>
        <v>060</v>
      </c>
      <c r="E49" s="52" t="str">
        <f>RIGHT(F49,2)</f>
        <v>01</v>
      </c>
      <c r="F49" s="54" t="s">
        <v>12193</v>
      </c>
      <c r="G49" s="54" t="s">
        <v>12194</v>
      </c>
      <c r="H49" s="54" t="s">
        <v>12195</v>
      </c>
      <c r="I49" s="54" t="s">
        <v>12196</v>
      </c>
      <c r="J49" s="171">
        <v>45839</v>
      </c>
      <c r="K49" s="10" t="s">
        <v>62</v>
      </c>
      <c r="L49" s="29" t="s">
        <v>371</v>
      </c>
      <c r="M49" s="29" t="s">
        <v>371</v>
      </c>
    </row>
    <row r="50" spans="2:13" ht="15" customHeight="1" x14ac:dyDescent="0.35">
      <c r="B50" s="50">
        <v>2</v>
      </c>
      <c r="C50" s="51" t="s">
        <v>14</v>
      </c>
      <c r="D50" s="52" t="str">
        <f t="shared" si="2"/>
        <v>062</v>
      </c>
      <c r="E50" s="56"/>
      <c r="F50" s="53" t="s">
        <v>12197</v>
      </c>
      <c r="G50" s="53" t="s">
        <v>12198</v>
      </c>
      <c r="H50" s="54" t="s">
        <v>12199</v>
      </c>
      <c r="I50" s="54" t="s">
        <v>12200</v>
      </c>
      <c r="J50" s="171">
        <v>45839</v>
      </c>
      <c r="K50" s="10" t="s">
        <v>62</v>
      </c>
      <c r="L50" s="29" t="s">
        <v>371</v>
      </c>
      <c r="M50" s="29" t="s">
        <v>371</v>
      </c>
    </row>
    <row r="51" spans="2:13" ht="15" customHeight="1" x14ac:dyDescent="0.35">
      <c r="B51" s="50">
        <v>2</v>
      </c>
      <c r="C51" s="51" t="s">
        <v>14</v>
      </c>
      <c r="D51" s="52" t="str">
        <f t="shared" si="2"/>
        <v>063</v>
      </c>
      <c r="E51" s="56"/>
      <c r="F51" s="53" t="s">
        <v>12201</v>
      </c>
      <c r="G51" s="53" t="s">
        <v>12202</v>
      </c>
      <c r="H51" s="54" t="s">
        <v>12203</v>
      </c>
      <c r="I51" s="54" t="s">
        <v>12204</v>
      </c>
      <c r="J51" s="171">
        <v>45839</v>
      </c>
      <c r="K51" s="10" t="s">
        <v>62</v>
      </c>
      <c r="L51" s="29" t="s">
        <v>371</v>
      </c>
      <c r="M51" s="29" t="s">
        <v>371</v>
      </c>
    </row>
    <row r="52" spans="2:13" ht="15" customHeight="1" x14ac:dyDescent="0.35">
      <c r="B52" s="50">
        <v>2</v>
      </c>
      <c r="C52" s="51" t="s">
        <v>14</v>
      </c>
      <c r="D52" s="52" t="str">
        <f t="shared" si="2"/>
        <v>067</v>
      </c>
      <c r="E52" s="56"/>
      <c r="F52" s="53" t="s">
        <v>12205</v>
      </c>
      <c r="G52" s="53" t="s">
        <v>12206</v>
      </c>
      <c r="H52" s="54" t="s">
        <v>12207</v>
      </c>
      <c r="I52" s="54" t="s">
        <v>12208</v>
      </c>
      <c r="J52" s="171">
        <v>45839</v>
      </c>
      <c r="K52" s="10" t="s">
        <v>62</v>
      </c>
      <c r="L52" s="29" t="s">
        <v>371</v>
      </c>
      <c r="M52" s="29" t="s">
        <v>371</v>
      </c>
    </row>
    <row r="53" spans="2:13" ht="15" customHeight="1" x14ac:dyDescent="0.35">
      <c r="B53" s="50">
        <v>2</v>
      </c>
      <c r="C53" s="51" t="s">
        <v>14</v>
      </c>
      <c r="D53" s="52" t="str">
        <f t="shared" si="2"/>
        <v>081</v>
      </c>
      <c r="E53" s="56"/>
      <c r="F53" s="53" t="s">
        <v>12209</v>
      </c>
      <c r="G53" s="53" t="s">
        <v>12210</v>
      </c>
      <c r="H53" s="54" t="s">
        <v>12211</v>
      </c>
      <c r="I53" s="54" t="s">
        <v>12212</v>
      </c>
      <c r="J53" s="171">
        <v>45839</v>
      </c>
      <c r="K53" s="10" t="s">
        <v>62</v>
      </c>
      <c r="L53" s="29" t="s">
        <v>371</v>
      </c>
      <c r="M53" s="29" t="s">
        <v>371</v>
      </c>
    </row>
    <row r="54" spans="2:13" ht="15" customHeight="1" x14ac:dyDescent="0.35">
      <c r="B54" s="50">
        <v>3</v>
      </c>
      <c r="C54" s="51" t="s">
        <v>15</v>
      </c>
      <c r="D54" s="52" t="str">
        <f t="shared" si="2"/>
        <v>001</v>
      </c>
      <c r="E54" s="56"/>
      <c r="F54" s="54" t="s">
        <v>12213</v>
      </c>
      <c r="G54" s="54" t="s">
        <v>12214</v>
      </c>
      <c r="H54" s="54" t="s">
        <v>12215</v>
      </c>
      <c r="I54" s="54" t="s">
        <v>12216</v>
      </c>
      <c r="J54" s="171">
        <v>45839</v>
      </c>
      <c r="K54" s="10" t="s">
        <v>62</v>
      </c>
      <c r="L54" s="29" t="s">
        <v>371</v>
      </c>
      <c r="M54" s="29" t="s">
        <v>371</v>
      </c>
    </row>
    <row r="55" spans="2:13" ht="15" customHeight="1" x14ac:dyDescent="0.35">
      <c r="B55" s="50">
        <v>3</v>
      </c>
      <c r="C55" s="51" t="s">
        <v>15</v>
      </c>
      <c r="D55" s="52" t="str">
        <f t="shared" ref="D55:D74" si="4">RIGHT(F55,3)</f>
        <v>002</v>
      </c>
      <c r="E55" s="56"/>
      <c r="F55" s="54" t="s">
        <v>12217</v>
      </c>
      <c r="G55" s="54" t="s">
        <v>12218</v>
      </c>
      <c r="H55" s="54" t="s">
        <v>12219</v>
      </c>
      <c r="I55" s="54" t="s">
        <v>12220</v>
      </c>
      <c r="J55" s="171">
        <v>45839</v>
      </c>
      <c r="K55" s="10" t="s">
        <v>62</v>
      </c>
      <c r="L55" s="29" t="s">
        <v>371</v>
      </c>
      <c r="M55" s="29" t="s">
        <v>371</v>
      </c>
    </row>
    <row r="56" spans="2:13" ht="15" customHeight="1" x14ac:dyDescent="0.35">
      <c r="B56" s="50">
        <v>3</v>
      </c>
      <c r="C56" s="51" t="s">
        <v>15</v>
      </c>
      <c r="D56" s="52" t="str">
        <f t="shared" si="4"/>
        <v>006</v>
      </c>
      <c r="E56" s="56"/>
      <c r="F56" s="54" t="s">
        <v>12221</v>
      </c>
      <c r="G56" s="54" t="s">
        <v>12222</v>
      </c>
      <c r="H56" s="54" t="s">
        <v>12223</v>
      </c>
      <c r="I56" s="54" t="s">
        <v>12224</v>
      </c>
      <c r="J56" s="171">
        <v>45839</v>
      </c>
      <c r="K56" s="10" t="s">
        <v>62</v>
      </c>
      <c r="L56" s="29" t="s">
        <v>371</v>
      </c>
      <c r="M56" s="29" t="s">
        <v>371</v>
      </c>
    </row>
    <row r="57" spans="2:13" ht="15" customHeight="1" x14ac:dyDescent="0.35">
      <c r="B57" s="50">
        <v>3</v>
      </c>
      <c r="C57" s="51" t="s">
        <v>15</v>
      </c>
      <c r="D57" s="52" t="str">
        <f t="shared" si="4"/>
        <v>008</v>
      </c>
      <c r="E57" s="56"/>
      <c r="F57" s="54" t="s">
        <v>12225</v>
      </c>
      <c r="G57" s="54" t="s">
        <v>12226</v>
      </c>
      <c r="H57" s="54" t="s">
        <v>12227</v>
      </c>
      <c r="I57" s="54" t="s">
        <v>12228</v>
      </c>
      <c r="J57" s="171">
        <v>45839</v>
      </c>
      <c r="K57" s="10" t="s">
        <v>62</v>
      </c>
      <c r="L57" s="29" t="s">
        <v>371</v>
      </c>
      <c r="M57" s="29" t="s">
        <v>371</v>
      </c>
    </row>
    <row r="58" spans="2:13" ht="15" customHeight="1" x14ac:dyDescent="0.35">
      <c r="B58" s="50">
        <v>3</v>
      </c>
      <c r="C58" s="51" t="s">
        <v>15</v>
      </c>
      <c r="D58" s="52" t="str">
        <f t="shared" si="4"/>
        <v>017</v>
      </c>
      <c r="E58" s="56"/>
      <c r="F58" s="54" t="s">
        <v>12229</v>
      </c>
      <c r="G58" s="54" t="s">
        <v>12230</v>
      </c>
      <c r="H58" s="54" t="s">
        <v>12231</v>
      </c>
      <c r="I58" s="54" t="s">
        <v>12232</v>
      </c>
      <c r="J58" s="171">
        <v>45839</v>
      </c>
      <c r="K58" s="10" t="s">
        <v>62</v>
      </c>
      <c r="L58" s="29" t="s">
        <v>371</v>
      </c>
      <c r="M58" s="29" t="s">
        <v>371</v>
      </c>
    </row>
    <row r="59" spans="2:13" ht="15" customHeight="1" x14ac:dyDescent="0.35">
      <c r="B59" s="50">
        <v>3</v>
      </c>
      <c r="C59" s="51" t="s">
        <v>15</v>
      </c>
      <c r="D59" s="52" t="str">
        <f t="shared" si="4"/>
        <v>018</v>
      </c>
      <c r="E59" s="56"/>
      <c r="F59" s="54" t="s">
        <v>12233</v>
      </c>
      <c r="G59" s="54" t="s">
        <v>12234</v>
      </c>
      <c r="H59" s="54" t="s">
        <v>12235</v>
      </c>
      <c r="I59" s="54" t="s">
        <v>12236</v>
      </c>
      <c r="J59" s="171">
        <v>45839</v>
      </c>
      <c r="K59" s="10" t="s">
        <v>62</v>
      </c>
      <c r="L59" s="29" t="s">
        <v>371</v>
      </c>
      <c r="M59" s="29" t="s">
        <v>371</v>
      </c>
    </row>
    <row r="60" spans="2:13" ht="15" customHeight="1" x14ac:dyDescent="0.35">
      <c r="B60" s="50">
        <v>3</v>
      </c>
      <c r="C60" s="51" t="s">
        <v>15</v>
      </c>
      <c r="D60" s="52" t="str">
        <f t="shared" si="4"/>
        <v>019</v>
      </c>
      <c r="E60" s="56"/>
      <c r="F60" s="54" t="s">
        <v>12237</v>
      </c>
      <c r="G60" s="54" t="s">
        <v>12238</v>
      </c>
      <c r="H60" s="54" t="s">
        <v>12239</v>
      </c>
      <c r="I60" s="54" t="s">
        <v>12240</v>
      </c>
      <c r="J60" s="171">
        <v>45839</v>
      </c>
      <c r="K60" s="10" t="s">
        <v>62</v>
      </c>
      <c r="L60" s="29" t="s">
        <v>371</v>
      </c>
      <c r="M60" s="29" t="s">
        <v>371</v>
      </c>
    </row>
    <row r="61" spans="2:13" ht="15" customHeight="1" x14ac:dyDescent="0.35">
      <c r="B61" s="50">
        <v>3</v>
      </c>
      <c r="C61" s="51" t="s">
        <v>15</v>
      </c>
      <c r="D61" s="52" t="str">
        <f t="shared" si="4"/>
        <v>021</v>
      </c>
      <c r="E61" s="56"/>
      <c r="F61" s="54" t="s">
        <v>12241</v>
      </c>
      <c r="G61" s="54" t="s">
        <v>12242</v>
      </c>
      <c r="H61" s="54" t="s">
        <v>12243</v>
      </c>
      <c r="I61" s="54" t="s">
        <v>12244</v>
      </c>
      <c r="J61" s="171">
        <v>45839</v>
      </c>
      <c r="K61" s="10" t="s">
        <v>62</v>
      </c>
      <c r="L61" s="29" t="s">
        <v>371</v>
      </c>
      <c r="M61" s="29" t="s">
        <v>371</v>
      </c>
    </row>
    <row r="62" spans="2:13" ht="15" customHeight="1" x14ac:dyDescent="0.35">
      <c r="B62" s="50">
        <v>3</v>
      </c>
      <c r="C62" s="51" t="s">
        <v>15</v>
      </c>
      <c r="D62" s="52" t="str">
        <f t="shared" si="4"/>
        <v>022</v>
      </c>
      <c r="E62" s="56"/>
      <c r="F62" s="54" t="s">
        <v>12245</v>
      </c>
      <c r="G62" s="54" t="s">
        <v>12246</v>
      </c>
      <c r="H62" s="54" t="s">
        <v>12247</v>
      </c>
      <c r="I62" s="54" t="s">
        <v>12248</v>
      </c>
      <c r="J62" s="171">
        <v>45839</v>
      </c>
      <c r="K62" s="10" t="s">
        <v>62</v>
      </c>
      <c r="L62" s="29" t="s">
        <v>371</v>
      </c>
      <c r="M62" s="29" t="s">
        <v>371</v>
      </c>
    </row>
    <row r="63" spans="2:13" ht="15" customHeight="1" x14ac:dyDescent="0.35">
      <c r="B63" s="50">
        <v>3</v>
      </c>
      <c r="C63" s="51" t="s">
        <v>15</v>
      </c>
      <c r="D63" s="52" t="str">
        <f t="shared" si="4"/>
        <v>024</v>
      </c>
      <c r="E63" s="56"/>
      <c r="F63" s="54" t="s">
        <v>12249</v>
      </c>
      <c r="G63" s="54" t="s">
        <v>12250</v>
      </c>
      <c r="H63" s="54" t="s">
        <v>12251</v>
      </c>
      <c r="I63" s="54" t="s">
        <v>12252</v>
      </c>
      <c r="J63" s="171">
        <v>45839</v>
      </c>
      <c r="K63" s="10" t="s">
        <v>62</v>
      </c>
      <c r="L63" s="29" t="s">
        <v>371</v>
      </c>
      <c r="M63" s="29" t="s">
        <v>371</v>
      </c>
    </row>
    <row r="64" spans="2:13" ht="15" customHeight="1" x14ac:dyDescent="0.35">
      <c r="B64" s="50">
        <v>3</v>
      </c>
      <c r="C64" s="51" t="s">
        <v>15</v>
      </c>
      <c r="D64" s="52" t="str">
        <f t="shared" si="4"/>
        <v>026</v>
      </c>
      <c r="E64" s="56"/>
      <c r="F64" s="54" t="s">
        <v>12253</v>
      </c>
      <c r="G64" s="54" t="s">
        <v>12254</v>
      </c>
      <c r="H64" s="54" t="s">
        <v>12255</v>
      </c>
      <c r="I64" s="54" t="s">
        <v>12256</v>
      </c>
      <c r="J64" s="171">
        <v>45839</v>
      </c>
      <c r="K64" s="10" t="s">
        <v>62</v>
      </c>
      <c r="L64" s="29" t="s">
        <v>371</v>
      </c>
      <c r="M64" s="29" t="s">
        <v>371</v>
      </c>
    </row>
    <row r="65" spans="2:13" ht="15" customHeight="1" x14ac:dyDescent="0.35">
      <c r="B65" s="50">
        <v>3</v>
      </c>
      <c r="C65" s="51" t="s">
        <v>15</v>
      </c>
      <c r="D65" s="52" t="str">
        <f t="shared" si="4"/>
        <v>028</v>
      </c>
      <c r="E65" s="56"/>
      <c r="F65" s="54" t="s">
        <v>12257</v>
      </c>
      <c r="G65" s="54" t="s">
        <v>12258</v>
      </c>
      <c r="H65" s="54" t="s">
        <v>12259</v>
      </c>
      <c r="I65" s="54" t="s">
        <v>12260</v>
      </c>
      <c r="J65" s="171">
        <v>45839</v>
      </c>
      <c r="K65" s="10" t="s">
        <v>62</v>
      </c>
      <c r="L65" s="29" t="s">
        <v>371</v>
      </c>
      <c r="M65" s="29" t="s">
        <v>371</v>
      </c>
    </row>
    <row r="66" spans="2:13" ht="15" customHeight="1" x14ac:dyDescent="0.35">
      <c r="B66" s="50">
        <v>3</v>
      </c>
      <c r="C66" s="51" t="s">
        <v>15</v>
      </c>
      <c r="D66" s="52" t="str">
        <f t="shared" si="4"/>
        <v>029</v>
      </c>
      <c r="E66" s="56"/>
      <c r="F66" s="54" t="s">
        <v>12261</v>
      </c>
      <c r="G66" s="54" t="s">
        <v>12262</v>
      </c>
      <c r="H66" s="54" t="s">
        <v>12263</v>
      </c>
      <c r="I66" s="54" t="s">
        <v>12264</v>
      </c>
      <c r="J66" s="171">
        <v>45839</v>
      </c>
      <c r="K66" s="10" t="s">
        <v>62</v>
      </c>
      <c r="L66" s="29" t="s">
        <v>371</v>
      </c>
      <c r="M66" s="29" t="s">
        <v>371</v>
      </c>
    </row>
    <row r="67" spans="2:13" ht="15" customHeight="1" x14ac:dyDescent="0.35">
      <c r="B67" s="50">
        <v>3</v>
      </c>
      <c r="C67" s="51" t="s">
        <v>15</v>
      </c>
      <c r="D67" s="52" t="str">
        <f t="shared" si="4"/>
        <v>030</v>
      </c>
      <c r="E67" s="56"/>
      <c r="F67" s="54" t="s">
        <v>12265</v>
      </c>
      <c r="G67" s="54" t="s">
        <v>12266</v>
      </c>
      <c r="H67" s="54" t="s">
        <v>12267</v>
      </c>
      <c r="I67" s="54" t="s">
        <v>12268</v>
      </c>
      <c r="J67" s="171">
        <v>45839</v>
      </c>
      <c r="K67" s="10" t="s">
        <v>62</v>
      </c>
      <c r="L67" s="29" t="s">
        <v>371</v>
      </c>
      <c r="M67" s="29" t="s">
        <v>371</v>
      </c>
    </row>
    <row r="68" spans="2:13" ht="15" customHeight="1" x14ac:dyDescent="0.35">
      <c r="B68" s="50">
        <v>3</v>
      </c>
      <c r="C68" s="51" t="s">
        <v>15</v>
      </c>
      <c r="D68" s="52" t="str">
        <f>RIGHT(F67,3)</f>
        <v>030</v>
      </c>
      <c r="E68" s="56" t="str">
        <f>RIGHT(F68,2)</f>
        <v>01</v>
      </c>
      <c r="F68" s="54" t="s">
        <v>12269</v>
      </c>
      <c r="G68" s="54" t="s">
        <v>12270</v>
      </c>
      <c r="H68" s="54" t="s">
        <v>12271</v>
      </c>
      <c r="I68" s="54" t="s">
        <v>12272</v>
      </c>
      <c r="J68" s="171">
        <v>45839</v>
      </c>
      <c r="K68" s="10" t="s">
        <v>62</v>
      </c>
      <c r="L68" s="29" t="s">
        <v>371</v>
      </c>
      <c r="M68" s="29" t="s">
        <v>371</v>
      </c>
    </row>
    <row r="69" spans="2:13" ht="15" customHeight="1" x14ac:dyDescent="0.35">
      <c r="B69" s="50">
        <v>3</v>
      </c>
      <c r="C69" s="51" t="s">
        <v>15</v>
      </c>
      <c r="D69" s="52" t="str">
        <f>RIGHT(F67,3)</f>
        <v>030</v>
      </c>
      <c r="E69" s="56" t="str">
        <f>RIGHT(F69,2)</f>
        <v>02</v>
      </c>
      <c r="F69" s="54" t="s">
        <v>12273</v>
      </c>
      <c r="G69" s="54" t="s">
        <v>12274</v>
      </c>
      <c r="H69" s="54" t="s">
        <v>12275</v>
      </c>
      <c r="I69" s="54" t="s">
        <v>12276</v>
      </c>
      <c r="J69" s="171">
        <v>45839</v>
      </c>
      <c r="K69" s="10" t="s">
        <v>62</v>
      </c>
      <c r="L69" s="29" t="s">
        <v>371</v>
      </c>
      <c r="M69" s="29" t="s">
        <v>371</v>
      </c>
    </row>
    <row r="70" spans="2:13" ht="15" customHeight="1" x14ac:dyDescent="0.35">
      <c r="B70" s="50">
        <v>3</v>
      </c>
      <c r="C70" s="51" t="s">
        <v>15</v>
      </c>
      <c r="D70" s="52" t="str">
        <f>RIGHT(F67,3)</f>
        <v>030</v>
      </c>
      <c r="E70" s="56" t="str">
        <f>RIGHT(F70,2)</f>
        <v>03</v>
      </c>
      <c r="F70" s="54" t="s">
        <v>12277</v>
      </c>
      <c r="G70" s="54" t="s">
        <v>12278</v>
      </c>
      <c r="H70" s="54" t="s">
        <v>12279</v>
      </c>
      <c r="I70" s="54" t="s">
        <v>12280</v>
      </c>
      <c r="J70" s="171">
        <v>45839</v>
      </c>
      <c r="K70" s="10" t="s">
        <v>62</v>
      </c>
      <c r="L70" s="29" t="s">
        <v>371</v>
      </c>
      <c r="M70" s="29" t="s">
        <v>371</v>
      </c>
    </row>
    <row r="71" spans="2:13" ht="15" customHeight="1" x14ac:dyDescent="0.35">
      <c r="B71" s="50">
        <v>3</v>
      </c>
      <c r="C71" s="51" t="s">
        <v>15</v>
      </c>
      <c r="D71" s="52" t="str">
        <f t="shared" si="4"/>
        <v>031</v>
      </c>
      <c r="E71" s="56"/>
      <c r="F71" s="54" t="s">
        <v>12281</v>
      </c>
      <c r="G71" s="54" t="s">
        <v>12282</v>
      </c>
      <c r="H71" s="54" t="s">
        <v>12283</v>
      </c>
      <c r="I71" s="54" t="s">
        <v>12284</v>
      </c>
      <c r="J71" s="171">
        <v>45839</v>
      </c>
      <c r="K71" s="10" t="s">
        <v>62</v>
      </c>
      <c r="L71" s="29" t="s">
        <v>371</v>
      </c>
      <c r="M71" s="29" t="s">
        <v>371</v>
      </c>
    </row>
    <row r="72" spans="2:13" ht="15" customHeight="1" x14ac:dyDescent="0.35">
      <c r="B72" s="50">
        <v>3</v>
      </c>
      <c r="C72" s="51" t="s">
        <v>15</v>
      </c>
      <c r="D72" s="52" t="str">
        <f t="shared" si="4"/>
        <v>058</v>
      </c>
      <c r="E72" s="56"/>
      <c r="F72" s="54" t="s">
        <v>12285</v>
      </c>
      <c r="G72" s="54" t="s">
        <v>12286</v>
      </c>
      <c r="H72" s="54" t="s">
        <v>12287</v>
      </c>
      <c r="I72" s="54" t="s">
        <v>12288</v>
      </c>
      <c r="J72" s="171">
        <v>45839</v>
      </c>
      <c r="K72" s="10" t="s">
        <v>62</v>
      </c>
      <c r="L72" s="29" t="s">
        <v>371</v>
      </c>
      <c r="M72" s="29" t="s">
        <v>371</v>
      </c>
    </row>
    <row r="73" spans="2:13" ht="15" customHeight="1" x14ac:dyDescent="0.35">
      <c r="B73" s="50">
        <v>3</v>
      </c>
      <c r="C73" s="51" t="s">
        <v>15</v>
      </c>
      <c r="D73" s="52" t="str">
        <f t="shared" si="4"/>
        <v>060</v>
      </c>
      <c r="E73" s="56"/>
      <c r="F73" s="54" t="s">
        <v>12289</v>
      </c>
      <c r="G73" s="54" t="s">
        <v>12290</v>
      </c>
      <c r="H73" s="54" t="s">
        <v>12291</v>
      </c>
      <c r="I73" s="54" t="s">
        <v>12292</v>
      </c>
      <c r="J73" s="171">
        <v>45839</v>
      </c>
      <c r="K73" s="10" t="s">
        <v>62</v>
      </c>
      <c r="L73" s="29" t="s">
        <v>371</v>
      </c>
      <c r="M73" s="29" t="s">
        <v>371</v>
      </c>
    </row>
    <row r="74" spans="2:13" ht="15" customHeight="1" x14ac:dyDescent="0.35">
      <c r="B74" s="50">
        <v>3</v>
      </c>
      <c r="C74" s="51" t="s">
        <v>15</v>
      </c>
      <c r="D74" s="52" t="str">
        <f t="shared" si="4"/>
        <v>063</v>
      </c>
      <c r="E74" s="56"/>
      <c r="F74" s="54" t="s">
        <v>12293</v>
      </c>
      <c r="G74" s="54" t="s">
        <v>12294</v>
      </c>
      <c r="H74" s="54" t="s">
        <v>12295</v>
      </c>
      <c r="I74" s="54" t="s">
        <v>12296</v>
      </c>
      <c r="J74" s="171">
        <v>45839</v>
      </c>
      <c r="K74" s="10" t="s">
        <v>62</v>
      </c>
      <c r="L74" s="29" t="s">
        <v>371</v>
      </c>
      <c r="M74" s="29" t="s">
        <v>371</v>
      </c>
    </row>
    <row r="75" spans="2:13" ht="15" customHeight="1" x14ac:dyDescent="0.35">
      <c r="B75" s="50">
        <v>4</v>
      </c>
      <c r="C75" s="51" t="s">
        <v>16</v>
      </c>
      <c r="D75" s="52" t="str">
        <f t="shared" si="2"/>
        <v>001</v>
      </c>
      <c r="E75" s="56"/>
      <c r="F75" s="53" t="s">
        <v>12297</v>
      </c>
      <c r="G75" s="53" t="s">
        <v>12031</v>
      </c>
      <c r="H75" s="54" t="s">
        <v>12298</v>
      </c>
      <c r="I75" s="54" t="s">
        <v>12299</v>
      </c>
      <c r="J75" s="171">
        <v>45839</v>
      </c>
      <c r="K75" s="10" t="s">
        <v>62</v>
      </c>
      <c r="L75" s="29" t="s">
        <v>371</v>
      </c>
      <c r="M75" s="29" t="s">
        <v>371</v>
      </c>
    </row>
    <row r="76" spans="2:13" ht="15" customHeight="1" x14ac:dyDescent="0.35">
      <c r="B76" s="50">
        <v>4</v>
      </c>
      <c r="C76" s="51" t="s">
        <v>16</v>
      </c>
      <c r="D76" s="52" t="str">
        <f t="shared" si="2"/>
        <v>002</v>
      </c>
      <c r="E76" s="56"/>
      <c r="F76" s="53" t="s">
        <v>12300</v>
      </c>
      <c r="G76" s="53" t="s">
        <v>12301</v>
      </c>
      <c r="H76" s="54" t="s">
        <v>12302</v>
      </c>
      <c r="I76" s="54" t="s">
        <v>12303</v>
      </c>
      <c r="J76" s="171">
        <v>45839</v>
      </c>
      <c r="K76" s="10" t="s">
        <v>62</v>
      </c>
      <c r="L76" s="29" t="s">
        <v>371</v>
      </c>
      <c r="M76" s="29" t="s">
        <v>371</v>
      </c>
    </row>
    <row r="77" spans="2:13" ht="15" customHeight="1" x14ac:dyDescent="0.35">
      <c r="B77" s="50">
        <v>4</v>
      </c>
      <c r="C77" s="51" t="s">
        <v>16</v>
      </c>
      <c r="D77" s="52" t="str">
        <f t="shared" ref="D77:D94" si="5">RIGHT(F77,3)</f>
        <v>006</v>
      </c>
      <c r="E77" s="56"/>
      <c r="F77" s="54" t="s">
        <v>12304</v>
      </c>
      <c r="G77" s="54" t="s">
        <v>12039</v>
      </c>
      <c r="H77" s="54" t="s">
        <v>12305</v>
      </c>
      <c r="I77" s="54" t="s">
        <v>12306</v>
      </c>
      <c r="J77" s="171">
        <v>45839</v>
      </c>
      <c r="K77" s="10" t="s">
        <v>62</v>
      </c>
      <c r="L77" s="29" t="s">
        <v>371</v>
      </c>
      <c r="M77" s="29" t="s">
        <v>371</v>
      </c>
    </row>
    <row r="78" spans="2:13" ht="15" customHeight="1" x14ac:dyDescent="0.35">
      <c r="B78" s="50">
        <v>4</v>
      </c>
      <c r="C78" s="51" t="s">
        <v>16</v>
      </c>
      <c r="D78" s="52" t="str">
        <f t="shared" si="5"/>
        <v>008</v>
      </c>
      <c r="E78" s="56"/>
      <c r="F78" s="54" t="s">
        <v>12307</v>
      </c>
      <c r="G78" s="54" t="s">
        <v>12043</v>
      </c>
      <c r="H78" s="54" t="s">
        <v>12308</v>
      </c>
      <c r="I78" s="54" t="s">
        <v>12309</v>
      </c>
      <c r="J78" s="171">
        <v>45839</v>
      </c>
      <c r="K78" s="10" t="s">
        <v>62</v>
      </c>
      <c r="L78" s="29" t="s">
        <v>371</v>
      </c>
      <c r="M78" s="29" t="s">
        <v>371</v>
      </c>
    </row>
    <row r="79" spans="2:13" ht="15" customHeight="1" x14ac:dyDescent="0.35">
      <c r="B79" s="50">
        <v>4</v>
      </c>
      <c r="C79" s="51" t="s">
        <v>16</v>
      </c>
      <c r="D79" s="52" t="str">
        <f t="shared" si="5"/>
        <v>017</v>
      </c>
      <c r="E79" s="56"/>
      <c r="F79" s="54" t="s">
        <v>12310</v>
      </c>
      <c r="G79" s="54" t="s">
        <v>12051</v>
      </c>
      <c r="H79" s="54" t="s">
        <v>12311</v>
      </c>
      <c r="I79" s="54" t="s">
        <v>12312</v>
      </c>
      <c r="J79" s="171">
        <v>45839</v>
      </c>
      <c r="K79" s="10" t="s">
        <v>62</v>
      </c>
      <c r="L79" s="29" t="s">
        <v>371</v>
      </c>
      <c r="M79" s="29" t="s">
        <v>371</v>
      </c>
    </row>
    <row r="80" spans="2:13" ht="15" customHeight="1" x14ac:dyDescent="0.35">
      <c r="B80" s="50">
        <v>4</v>
      </c>
      <c r="C80" s="51" t="s">
        <v>16</v>
      </c>
      <c r="D80" s="52" t="str">
        <f t="shared" si="5"/>
        <v>018</v>
      </c>
      <c r="E80" s="56"/>
      <c r="F80" s="54" t="s">
        <v>12313</v>
      </c>
      <c r="G80" s="54" t="s">
        <v>12055</v>
      </c>
      <c r="H80" s="54" t="s">
        <v>12314</v>
      </c>
      <c r="I80" s="54" t="s">
        <v>12315</v>
      </c>
      <c r="J80" s="171">
        <v>45839</v>
      </c>
      <c r="K80" s="10" t="s">
        <v>62</v>
      </c>
      <c r="L80" s="29" t="s">
        <v>371</v>
      </c>
      <c r="M80" s="29" t="s">
        <v>371</v>
      </c>
    </row>
    <row r="81" spans="2:13" ht="15" customHeight="1" x14ac:dyDescent="0.35">
      <c r="B81" s="50">
        <v>4</v>
      </c>
      <c r="C81" s="51" t="s">
        <v>16</v>
      </c>
      <c r="D81" s="52" t="str">
        <f t="shared" si="5"/>
        <v>019</v>
      </c>
      <c r="E81" s="56"/>
      <c r="F81" s="54" t="s">
        <v>12316</v>
      </c>
      <c r="G81" s="54" t="s">
        <v>12059</v>
      </c>
      <c r="H81" s="54" t="s">
        <v>12317</v>
      </c>
      <c r="I81" s="54" t="s">
        <v>12318</v>
      </c>
      <c r="J81" s="171">
        <v>45839</v>
      </c>
      <c r="K81" s="10" t="s">
        <v>62</v>
      </c>
      <c r="L81" s="29" t="s">
        <v>371</v>
      </c>
      <c r="M81" s="29" t="s">
        <v>371</v>
      </c>
    </row>
    <row r="82" spans="2:13" ht="15" customHeight="1" x14ac:dyDescent="0.35">
      <c r="B82" s="50">
        <v>4</v>
      </c>
      <c r="C82" s="51" t="s">
        <v>16</v>
      </c>
      <c r="D82" s="52" t="str">
        <f t="shared" si="5"/>
        <v>021</v>
      </c>
      <c r="E82" s="56"/>
      <c r="F82" s="54" t="s">
        <v>12319</v>
      </c>
      <c r="G82" s="54" t="s">
        <v>12063</v>
      </c>
      <c r="H82" s="54" t="s">
        <v>12320</v>
      </c>
      <c r="I82" s="54" t="s">
        <v>12321</v>
      </c>
      <c r="J82" s="171">
        <v>45839</v>
      </c>
      <c r="K82" s="10" t="s">
        <v>62</v>
      </c>
      <c r="L82" s="29" t="s">
        <v>371</v>
      </c>
      <c r="M82" s="29" t="s">
        <v>371</v>
      </c>
    </row>
    <row r="83" spans="2:13" ht="15" customHeight="1" x14ac:dyDescent="0.35">
      <c r="B83" s="50">
        <v>4</v>
      </c>
      <c r="C83" s="51" t="s">
        <v>16</v>
      </c>
      <c r="D83" s="52" t="str">
        <f t="shared" si="5"/>
        <v>022</v>
      </c>
      <c r="E83" s="56"/>
      <c r="F83" s="54" t="s">
        <v>12322</v>
      </c>
      <c r="G83" s="54" t="s">
        <v>12323</v>
      </c>
      <c r="H83" s="54" t="s">
        <v>12324</v>
      </c>
      <c r="I83" s="54" t="s">
        <v>12325</v>
      </c>
      <c r="J83" s="171">
        <v>45839</v>
      </c>
      <c r="K83" s="10" t="s">
        <v>62</v>
      </c>
      <c r="L83" s="29" t="s">
        <v>371</v>
      </c>
      <c r="M83" s="29" t="s">
        <v>371</v>
      </c>
    </row>
    <row r="84" spans="2:13" ht="15" customHeight="1" x14ac:dyDescent="0.35">
      <c r="B84" s="50">
        <v>4</v>
      </c>
      <c r="C84" s="51" t="s">
        <v>16</v>
      </c>
      <c r="D84" s="52" t="str">
        <f t="shared" si="5"/>
        <v>024</v>
      </c>
      <c r="E84" s="56"/>
      <c r="F84" s="54" t="s">
        <v>12326</v>
      </c>
      <c r="G84" s="54" t="s">
        <v>12327</v>
      </c>
      <c r="H84" s="54" t="s">
        <v>12328</v>
      </c>
      <c r="I84" s="54" t="s">
        <v>12329</v>
      </c>
      <c r="J84" s="171">
        <v>45839</v>
      </c>
      <c r="K84" s="10" t="s">
        <v>62</v>
      </c>
      <c r="L84" s="29" t="s">
        <v>371</v>
      </c>
      <c r="M84" s="29" t="s">
        <v>371</v>
      </c>
    </row>
    <row r="85" spans="2:13" ht="15" customHeight="1" x14ac:dyDescent="0.35">
      <c r="B85" s="50">
        <v>4</v>
      </c>
      <c r="C85" s="51" t="s">
        <v>16</v>
      </c>
      <c r="D85" s="52" t="str">
        <f t="shared" si="5"/>
        <v>026</v>
      </c>
      <c r="E85" s="56"/>
      <c r="F85" s="54" t="s">
        <v>12330</v>
      </c>
      <c r="G85" s="54" t="s">
        <v>12149</v>
      </c>
      <c r="H85" s="54" t="s">
        <v>12331</v>
      </c>
      <c r="I85" s="54" t="s">
        <v>12332</v>
      </c>
      <c r="J85" s="171">
        <v>45839</v>
      </c>
      <c r="K85" s="10" t="s">
        <v>62</v>
      </c>
      <c r="L85" s="29" t="s">
        <v>371</v>
      </c>
      <c r="M85" s="29" t="s">
        <v>371</v>
      </c>
    </row>
    <row r="86" spans="2:13" ht="15" customHeight="1" x14ac:dyDescent="0.35">
      <c r="B86" s="50">
        <v>4</v>
      </c>
      <c r="C86" s="51" t="s">
        <v>16</v>
      </c>
      <c r="D86" s="52" t="str">
        <f t="shared" si="5"/>
        <v>028</v>
      </c>
      <c r="E86" s="56"/>
      <c r="F86" s="54" t="s">
        <v>12333</v>
      </c>
      <c r="G86" s="54" t="s">
        <v>12153</v>
      </c>
      <c r="H86" s="54" t="s">
        <v>12334</v>
      </c>
      <c r="I86" s="54" t="s">
        <v>12335</v>
      </c>
      <c r="J86" s="171">
        <v>45839</v>
      </c>
      <c r="K86" s="10" t="s">
        <v>62</v>
      </c>
      <c r="L86" s="29" t="s">
        <v>371</v>
      </c>
      <c r="M86" s="29" t="s">
        <v>371</v>
      </c>
    </row>
    <row r="87" spans="2:13" ht="15" customHeight="1" x14ac:dyDescent="0.35">
      <c r="B87" s="50">
        <v>4</v>
      </c>
      <c r="C87" s="51" t="s">
        <v>16</v>
      </c>
      <c r="D87" s="52" t="str">
        <f t="shared" si="5"/>
        <v>029</v>
      </c>
      <c r="E87" s="56"/>
      <c r="F87" s="54" t="s">
        <v>12336</v>
      </c>
      <c r="G87" s="54" t="s">
        <v>12079</v>
      </c>
      <c r="H87" s="54" t="s">
        <v>12337</v>
      </c>
      <c r="I87" s="54" t="s">
        <v>12338</v>
      </c>
      <c r="J87" s="171">
        <v>45839</v>
      </c>
      <c r="K87" s="10" t="s">
        <v>62</v>
      </c>
      <c r="L87" s="29" t="s">
        <v>371</v>
      </c>
      <c r="M87" s="29" t="s">
        <v>371</v>
      </c>
    </row>
    <row r="88" spans="2:13" ht="15" customHeight="1" x14ac:dyDescent="0.35">
      <c r="B88" s="50">
        <v>4</v>
      </c>
      <c r="C88" s="51" t="s">
        <v>16</v>
      </c>
      <c r="D88" s="52" t="str">
        <f t="shared" si="5"/>
        <v>030</v>
      </c>
      <c r="E88" s="56"/>
      <c r="F88" s="54" t="s">
        <v>12339</v>
      </c>
      <c r="G88" s="54" t="s">
        <v>12083</v>
      </c>
      <c r="H88" s="54" t="s">
        <v>12340</v>
      </c>
      <c r="I88" s="54" t="s">
        <v>12341</v>
      </c>
      <c r="J88" s="171">
        <v>45839</v>
      </c>
      <c r="K88" s="10" t="s">
        <v>62</v>
      </c>
      <c r="L88" s="29" t="s">
        <v>371</v>
      </c>
      <c r="M88" s="29" t="s">
        <v>371</v>
      </c>
    </row>
    <row r="89" spans="2:13" ht="15" customHeight="1" x14ac:dyDescent="0.35">
      <c r="B89" s="50">
        <v>4</v>
      </c>
      <c r="C89" s="51" t="s">
        <v>16</v>
      </c>
      <c r="D89" s="52" t="str">
        <f t="shared" si="5"/>
        <v>031</v>
      </c>
      <c r="E89" s="56"/>
      <c r="F89" s="54" t="s">
        <v>12342</v>
      </c>
      <c r="G89" s="54" t="s">
        <v>12343</v>
      </c>
      <c r="H89" s="54" t="s">
        <v>12344</v>
      </c>
      <c r="I89" s="54" t="s">
        <v>12345</v>
      </c>
      <c r="J89" s="171">
        <v>45839</v>
      </c>
      <c r="K89" s="10" t="s">
        <v>62</v>
      </c>
      <c r="L89" s="29" t="s">
        <v>371</v>
      </c>
      <c r="M89" s="29" t="s">
        <v>371</v>
      </c>
    </row>
    <row r="90" spans="2:13" ht="15" customHeight="1" x14ac:dyDescent="0.35">
      <c r="B90" s="50">
        <v>4</v>
      </c>
      <c r="C90" s="51" t="s">
        <v>16</v>
      </c>
      <c r="D90" s="52" t="str">
        <f t="shared" si="5"/>
        <v>058</v>
      </c>
      <c r="E90" s="56"/>
      <c r="F90" s="54" t="s">
        <v>12346</v>
      </c>
      <c r="G90" s="54" t="s">
        <v>12099</v>
      </c>
      <c r="H90" s="54" t="s">
        <v>12347</v>
      </c>
      <c r="I90" s="54" t="s">
        <v>12348</v>
      </c>
      <c r="J90" s="171">
        <v>45839</v>
      </c>
      <c r="K90" s="10" t="s">
        <v>62</v>
      </c>
      <c r="L90" s="29" t="s">
        <v>371</v>
      </c>
      <c r="M90" s="29" t="s">
        <v>371</v>
      </c>
    </row>
    <row r="91" spans="2:13" ht="15" customHeight="1" x14ac:dyDescent="0.35">
      <c r="B91" s="50">
        <v>4</v>
      </c>
      <c r="C91" s="51" t="s">
        <v>16</v>
      </c>
      <c r="D91" s="52" t="str">
        <f>RIGHT(F91,3)</f>
        <v>060</v>
      </c>
      <c r="E91" s="56"/>
      <c r="F91" s="54" t="s">
        <v>12349</v>
      </c>
      <c r="G91" s="54" t="s">
        <v>12103</v>
      </c>
      <c r="H91" s="54" t="s">
        <v>12350</v>
      </c>
      <c r="I91" s="54" t="s">
        <v>12351</v>
      </c>
      <c r="J91" s="171">
        <v>45839</v>
      </c>
      <c r="K91" s="10" t="s">
        <v>62</v>
      </c>
      <c r="L91" s="29" t="s">
        <v>371</v>
      </c>
      <c r="M91" s="29" t="s">
        <v>371</v>
      </c>
    </row>
    <row r="92" spans="2:13" ht="15" customHeight="1" x14ac:dyDescent="0.35">
      <c r="B92" s="50">
        <v>4</v>
      </c>
      <c r="C92" s="51" t="s">
        <v>16</v>
      </c>
      <c r="D92" s="52" t="str">
        <f t="shared" si="5"/>
        <v>062</v>
      </c>
      <c r="E92" s="56"/>
      <c r="F92" s="54" t="s">
        <v>12352</v>
      </c>
      <c r="G92" s="54" t="s">
        <v>12198</v>
      </c>
      <c r="H92" s="54" t="s">
        <v>12353</v>
      </c>
      <c r="I92" s="54" t="s">
        <v>12354</v>
      </c>
      <c r="J92" s="171">
        <v>45839</v>
      </c>
      <c r="K92" s="10" t="s">
        <v>62</v>
      </c>
      <c r="L92" s="29" t="s">
        <v>371</v>
      </c>
      <c r="M92" s="29" t="s">
        <v>371</v>
      </c>
    </row>
    <row r="93" spans="2:13" ht="15" customHeight="1" x14ac:dyDescent="0.35">
      <c r="B93" s="50">
        <v>4</v>
      </c>
      <c r="C93" s="51" t="s">
        <v>16</v>
      </c>
      <c r="D93" s="52" t="str">
        <f t="shared" si="5"/>
        <v>063</v>
      </c>
      <c r="E93" s="56"/>
      <c r="F93" s="54" t="s">
        <v>12355</v>
      </c>
      <c r="G93" s="54" t="s">
        <v>12356</v>
      </c>
      <c r="H93" s="54" t="s">
        <v>12357</v>
      </c>
      <c r="I93" s="54" t="s">
        <v>12358</v>
      </c>
      <c r="J93" s="171">
        <v>45839</v>
      </c>
      <c r="K93" s="10" t="s">
        <v>62</v>
      </c>
      <c r="L93" s="29" t="s">
        <v>371</v>
      </c>
      <c r="M93" s="29" t="s">
        <v>371</v>
      </c>
    </row>
    <row r="94" spans="2:13" ht="15" customHeight="1" x14ac:dyDescent="0.35">
      <c r="B94" s="50">
        <v>5</v>
      </c>
      <c r="C94" s="51" t="s">
        <v>17</v>
      </c>
      <c r="D94" s="52" t="str">
        <f t="shared" si="5"/>
        <v>001</v>
      </c>
      <c r="E94" s="56"/>
      <c r="F94" s="54" t="s">
        <v>12359</v>
      </c>
      <c r="G94" s="54" t="s">
        <v>12214</v>
      </c>
      <c r="H94" s="54" t="s">
        <v>12360</v>
      </c>
      <c r="I94" s="54" t="s">
        <v>12361</v>
      </c>
      <c r="J94" s="171">
        <v>45839</v>
      </c>
      <c r="K94" s="10" t="s">
        <v>62</v>
      </c>
      <c r="L94" s="29" t="s">
        <v>371</v>
      </c>
      <c r="M94" s="29" t="s">
        <v>371</v>
      </c>
    </row>
    <row r="95" spans="2:13" ht="15" customHeight="1" x14ac:dyDescent="0.35">
      <c r="B95" s="50">
        <v>5</v>
      </c>
      <c r="C95" s="51" t="s">
        <v>17</v>
      </c>
      <c r="D95" s="52" t="str">
        <f t="shared" ref="D95:D109" si="6">RIGHT(F95,3)</f>
        <v>002</v>
      </c>
      <c r="E95" s="56"/>
      <c r="F95" s="54" t="s">
        <v>12362</v>
      </c>
      <c r="G95" s="54" t="s">
        <v>12218</v>
      </c>
      <c r="H95" s="54" t="s">
        <v>12363</v>
      </c>
      <c r="I95" s="54" t="s">
        <v>12364</v>
      </c>
      <c r="J95" s="171">
        <v>45839</v>
      </c>
      <c r="K95" s="10" t="s">
        <v>62</v>
      </c>
      <c r="L95" s="29" t="s">
        <v>371</v>
      </c>
      <c r="M95" s="29" t="s">
        <v>371</v>
      </c>
    </row>
    <row r="96" spans="2:13" ht="15" customHeight="1" x14ac:dyDescent="0.35">
      <c r="B96" s="50">
        <v>5</v>
      </c>
      <c r="C96" s="51" t="s">
        <v>17</v>
      </c>
      <c r="D96" s="52" t="str">
        <f t="shared" si="6"/>
        <v>006</v>
      </c>
      <c r="E96" s="56"/>
      <c r="F96" s="54" t="s">
        <v>12365</v>
      </c>
      <c r="G96" s="54" t="s">
        <v>12222</v>
      </c>
      <c r="H96" s="54" t="s">
        <v>12366</v>
      </c>
      <c r="I96" s="54" t="s">
        <v>12367</v>
      </c>
      <c r="J96" s="171">
        <v>45839</v>
      </c>
      <c r="K96" s="10" t="s">
        <v>62</v>
      </c>
      <c r="L96" s="29" t="s">
        <v>371</v>
      </c>
      <c r="M96" s="29" t="s">
        <v>371</v>
      </c>
    </row>
    <row r="97" spans="2:13" ht="15" customHeight="1" x14ac:dyDescent="0.35">
      <c r="B97" s="50">
        <v>5</v>
      </c>
      <c r="C97" s="51" t="s">
        <v>17</v>
      </c>
      <c r="D97" s="52" t="str">
        <f t="shared" si="6"/>
        <v>008</v>
      </c>
      <c r="E97" s="56"/>
      <c r="F97" s="54" t="s">
        <v>12368</v>
      </c>
      <c r="G97" s="54" t="s">
        <v>12226</v>
      </c>
      <c r="H97" s="54" t="s">
        <v>12369</v>
      </c>
      <c r="I97" s="54" t="s">
        <v>12370</v>
      </c>
      <c r="J97" s="171">
        <v>45839</v>
      </c>
      <c r="K97" s="10" t="s">
        <v>62</v>
      </c>
      <c r="L97" s="29" t="s">
        <v>371</v>
      </c>
      <c r="M97" s="29" t="s">
        <v>371</v>
      </c>
    </row>
    <row r="98" spans="2:13" ht="15" customHeight="1" x14ac:dyDescent="0.35">
      <c r="B98" s="50">
        <v>5</v>
      </c>
      <c r="C98" s="51" t="s">
        <v>17</v>
      </c>
      <c r="D98" s="52" t="str">
        <f t="shared" si="6"/>
        <v>017</v>
      </c>
      <c r="E98" s="56"/>
      <c r="F98" s="54" t="s">
        <v>12371</v>
      </c>
      <c r="G98" s="54" t="s">
        <v>12230</v>
      </c>
      <c r="H98" s="54" t="s">
        <v>12372</v>
      </c>
      <c r="I98" s="54" t="s">
        <v>12373</v>
      </c>
      <c r="J98" s="171">
        <v>45839</v>
      </c>
      <c r="K98" s="10" t="s">
        <v>62</v>
      </c>
      <c r="L98" s="29" t="s">
        <v>371</v>
      </c>
      <c r="M98" s="29" t="s">
        <v>371</v>
      </c>
    </row>
    <row r="99" spans="2:13" ht="15" customHeight="1" x14ac:dyDescent="0.35">
      <c r="B99" s="50">
        <v>5</v>
      </c>
      <c r="C99" s="51" t="s">
        <v>17</v>
      </c>
      <c r="D99" s="52" t="str">
        <f t="shared" si="6"/>
        <v>018</v>
      </c>
      <c r="E99" s="56"/>
      <c r="F99" s="54" t="s">
        <v>12374</v>
      </c>
      <c r="G99" s="54" t="s">
        <v>12234</v>
      </c>
      <c r="H99" s="54" t="s">
        <v>12375</v>
      </c>
      <c r="I99" s="54" t="s">
        <v>12376</v>
      </c>
      <c r="J99" s="171">
        <v>45839</v>
      </c>
      <c r="K99" s="10" t="s">
        <v>62</v>
      </c>
      <c r="L99" s="29" t="s">
        <v>371</v>
      </c>
      <c r="M99" s="29" t="s">
        <v>371</v>
      </c>
    </row>
    <row r="100" spans="2:13" ht="15" customHeight="1" x14ac:dyDescent="0.35">
      <c r="B100" s="50">
        <v>5</v>
      </c>
      <c r="C100" s="51" t="s">
        <v>17</v>
      </c>
      <c r="D100" s="52" t="str">
        <f t="shared" si="6"/>
        <v>019</v>
      </c>
      <c r="E100" s="56"/>
      <c r="F100" s="54" t="s">
        <v>12377</v>
      </c>
      <c r="G100" s="54" t="s">
        <v>12238</v>
      </c>
      <c r="H100" s="54" t="s">
        <v>12378</v>
      </c>
      <c r="I100" s="54" t="s">
        <v>12379</v>
      </c>
      <c r="J100" s="171">
        <v>45839</v>
      </c>
      <c r="K100" s="10" t="s">
        <v>62</v>
      </c>
      <c r="L100" s="29" t="s">
        <v>371</v>
      </c>
      <c r="M100" s="29" t="s">
        <v>371</v>
      </c>
    </row>
    <row r="101" spans="2:13" ht="15" customHeight="1" x14ac:dyDescent="0.35">
      <c r="B101" s="50">
        <v>5</v>
      </c>
      <c r="C101" s="51" t="s">
        <v>17</v>
      </c>
      <c r="D101" s="52" t="str">
        <f t="shared" si="6"/>
        <v>021</v>
      </c>
      <c r="E101" s="56"/>
      <c r="F101" s="54" t="s">
        <v>12380</v>
      </c>
      <c r="G101" s="54" t="s">
        <v>12242</v>
      </c>
      <c r="H101" s="54" t="s">
        <v>12381</v>
      </c>
      <c r="I101" s="54" t="s">
        <v>12382</v>
      </c>
      <c r="J101" s="171">
        <v>45839</v>
      </c>
      <c r="K101" s="10" t="s">
        <v>62</v>
      </c>
      <c r="L101" s="29" t="s">
        <v>371</v>
      </c>
      <c r="M101" s="29" t="s">
        <v>371</v>
      </c>
    </row>
    <row r="102" spans="2:13" ht="15" customHeight="1" x14ac:dyDescent="0.35">
      <c r="B102" s="50">
        <v>5</v>
      </c>
      <c r="C102" s="51" t="s">
        <v>17</v>
      </c>
      <c r="D102" s="52" t="str">
        <f t="shared" si="6"/>
        <v>022</v>
      </c>
      <c r="E102" s="56"/>
      <c r="F102" s="54" t="s">
        <v>12383</v>
      </c>
      <c r="G102" s="54" t="s">
        <v>12384</v>
      </c>
      <c r="H102" s="54" t="s">
        <v>12385</v>
      </c>
      <c r="I102" s="54" t="s">
        <v>12386</v>
      </c>
      <c r="J102" s="171">
        <v>45839</v>
      </c>
      <c r="K102" s="10" t="s">
        <v>62</v>
      </c>
      <c r="L102" s="29" t="s">
        <v>371</v>
      </c>
      <c r="M102" s="29" t="s">
        <v>371</v>
      </c>
    </row>
    <row r="103" spans="2:13" ht="15" customHeight="1" x14ac:dyDescent="0.35">
      <c r="B103" s="50">
        <v>5</v>
      </c>
      <c r="C103" s="51" t="s">
        <v>17</v>
      </c>
      <c r="D103" s="52" t="str">
        <f t="shared" si="6"/>
        <v>024</v>
      </c>
      <c r="E103" s="56"/>
      <c r="F103" s="54" t="s">
        <v>12387</v>
      </c>
      <c r="G103" s="54" t="s">
        <v>12250</v>
      </c>
      <c r="H103" s="54" t="s">
        <v>12388</v>
      </c>
      <c r="I103" s="54" t="s">
        <v>12389</v>
      </c>
      <c r="J103" s="171">
        <v>45839</v>
      </c>
      <c r="K103" s="10" t="s">
        <v>62</v>
      </c>
      <c r="L103" s="29" t="s">
        <v>371</v>
      </c>
      <c r="M103" s="29" t="s">
        <v>371</v>
      </c>
    </row>
    <row r="104" spans="2:13" ht="15" customHeight="1" x14ac:dyDescent="0.35">
      <c r="B104" s="50">
        <v>5</v>
      </c>
      <c r="C104" s="51" t="s">
        <v>17</v>
      </c>
      <c r="D104" s="52" t="str">
        <f t="shared" si="6"/>
        <v>026</v>
      </c>
      <c r="E104" s="56"/>
      <c r="F104" s="54" t="s">
        <v>12390</v>
      </c>
      <c r="G104" s="54" t="s">
        <v>12254</v>
      </c>
      <c r="H104" s="54" t="s">
        <v>12391</v>
      </c>
      <c r="I104" s="54" t="s">
        <v>12392</v>
      </c>
      <c r="J104" s="171">
        <v>45839</v>
      </c>
      <c r="K104" s="10" t="s">
        <v>62</v>
      </c>
      <c r="L104" s="29" t="s">
        <v>371</v>
      </c>
      <c r="M104" s="29" t="s">
        <v>371</v>
      </c>
    </row>
    <row r="105" spans="2:13" ht="15" customHeight="1" x14ac:dyDescent="0.35">
      <c r="B105" s="50">
        <v>5</v>
      </c>
      <c r="C105" s="51" t="s">
        <v>17</v>
      </c>
      <c r="D105" s="52" t="str">
        <f t="shared" si="6"/>
        <v>028</v>
      </c>
      <c r="E105" s="56"/>
      <c r="F105" s="54" t="s">
        <v>12393</v>
      </c>
      <c r="G105" s="54" t="s">
        <v>12258</v>
      </c>
      <c r="H105" s="54" t="s">
        <v>12394</v>
      </c>
      <c r="I105" s="54" t="s">
        <v>12395</v>
      </c>
      <c r="J105" s="171">
        <v>45839</v>
      </c>
      <c r="K105" s="10" t="s">
        <v>62</v>
      </c>
      <c r="L105" s="29" t="s">
        <v>371</v>
      </c>
      <c r="M105" s="29" t="s">
        <v>371</v>
      </c>
    </row>
    <row r="106" spans="2:13" ht="15" customHeight="1" x14ac:dyDescent="0.35">
      <c r="B106" s="50">
        <v>5</v>
      </c>
      <c r="C106" s="51" t="s">
        <v>17</v>
      </c>
      <c r="D106" s="52" t="str">
        <f t="shared" si="6"/>
        <v>029</v>
      </c>
      <c r="E106" s="56"/>
      <c r="F106" s="54" t="s">
        <v>12396</v>
      </c>
      <c r="G106" s="54" t="s">
        <v>12262</v>
      </c>
      <c r="H106" s="54" t="s">
        <v>12397</v>
      </c>
      <c r="I106" s="54" t="s">
        <v>12398</v>
      </c>
      <c r="J106" s="171">
        <v>45839</v>
      </c>
      <c r="K106" s="10" t="s">
        <v>62</v>
      </c>
      <c r="L106" s="29" t="s">
        <v>371</v>
      </c>
      <c r="M106" s="29" t="s">
        <v>371</v>
      </c>
    </row>
    <row r="107" spans="2:13" ht="15" customHeight="1" x14ac:dyDescent="0.35">
      <c r="B107" s="50">
        <v>5</v>
      </c>
      <c r="C107" s="51" t="s">
        <v>17</v>
      </c>
      <c r="D107" s="52" t="str">
        <f t="shared" si="6"/>
        <v>030</v>
      </c>
      <c r="E107" s="56"/>
      <c r="F107" s="54" t="s">
        <v>12399</v>
      </c>
      <c r="G107" s="54" t="s">
        <v>12266</v>
      </c>
      <c r="H107" s="54" t="s">
        <v>12400</v>
      </c>
      <c r="I107" s="54" t="s">
        <v>12401</v>
      </c>
      <c r="J107" s="171">
        <v>45839</v>
      </c>
      <c r="K107" s="10" t="s">
        <v>62</v>
      </c>
      <c r="L107" s="29" t="s">
        <v>371</v>
      </c>
      <c r="M107" s="29" t="s">
        <v>371</v>
      </c>
    </row>
    <row r="108" spans="2:13" ht="15" customHeight="1" x14ac:dyDescent="0.35">
      <c r="B108" s="50">
        <v>5</v>
      </c>
      <c r="C108" s="51" t="s">
        <v>17</v>
      </c>
      <c r="D108" s="52" t="str">
        <f t="shared" si="6"/>
        <v>031</v>
      </c>
      <c r="E108" s="56"/>
      <c r="F108" s="54" t="s">
        <v>12402</v>
      </c>
      <c r="G108" s="54" t="s">
        <v>12282</v>
      </c>
      <c r="H108" s="54" t="s">
        <v>12403</v>
      </c>
      <c r="I108" s="54" t="s">
        <v>12404</v>
      </c>
      <c r="J108" s="171">
        <v>45839</v>
      </c>
      <c r="K108" s="10" t="s">
        <v>62</v>
      </c>
      <c r="L108" s="29" t="s">
        <v>371</v>
      </c>
      <c r="M108" s="29" t="s">
        <v>371</v>
      </c>
    </row>
    <row r="109" spans="2:13" ht="15" customHeight="1" x14ac:dyDescent="0.35">
      <c r="B109" s="50">
        <v>5</v>
      </c>
      <c r="C109" s="51" t="s">
        <v>17</v>
      </c>
      <c r="D109" s="52" t="str">
        <f t="shared" si="6"/>
        <v>058</v>
      </c>
      <c r="E109" s="56"/>
      <c r="F109" s="54" t="s">
        <v>12405</v>
      </c>
      <c r="G109" s="54" t="s">
        <v>12286</v>
      </c>
      <c r="H109" s="54" t="s">
        <v>12406</v>
      </c>
      <c r="I109" s="54" t="s">
        <v>12407</v>
      </c>
      <c r="J109" s="171">
        <v>45839</v>
      </c>
      <c r="K109" s="10" t="s">
        <v>62</v>
      </c>
      <c r="L109" s="29" t="s">
        <v>371</v>
      </c>
      <c r="M109" s="29" t="s">
        <v>371</v>
      </c>
    </row>
    <row r="110" spans="2:13" ht="15" customHeight="1" x14ac:dyDescent="0.35">
      <c r="B110" s="50">
        <v>6</v>
      </c>
      <c r="C110" s="51" t="s">
        <v>18</v>
      </c>
      <c r="D110" s="52" t="s">
        <v>12408</v>
      </c>
      <c r="E110" s="56"/>
      <c r="F110" s="53" t="s">
        <v>12409</v>
      </c>
      <c r="G110" s="53" t="s">
        <v>12214</v>
      </c>
      <c r="H110" s="54" t="s">
        <v>12410</v>
      </c>
      <c r="I110" s="54"/>
      <c r="J110" s="171">
        <v>45217</v>
      </c>
      <c r="K110" s="10" t="s">
        <v>62</v>
      </c>
      <c r="L110" s="29" t="s">
        <v>371</v>
      </c>
      <c r="M110" s="29"/>
    </row>
    <row r="111" spans="2:13" ht="15" customHeight="1" x14ac:dyDescent="0.35">
      <c r="B111" s="50">
        <v>6</v>
      </c>
      <c r="C111" s="51" t="s">
        <v>18</v>
      </c>
      <c r="D111" s="52" t="s">
        <v>12411</v>
      </c>
      <c r="E111" s="56"/>
      <c r="F111" s="53" t="s">
        <v>12412</v>
      </c>
      <c r="G111" s="53" t="s">
        <v>12218</v>
      </c>
      <c r="H111" s="54" t="s">
        <v>12413</v>
      </c>
      <c r="I111" s="54"/>
      <c r="J111" s="171">
        <v>45217</v>
      </c>
      <c r="K111" s="10" t="s">
        <v>62</v>
      </c>
      <c r="L111" s="29" t="s">
        <v>371</v>
      </c>
      <c r="M111" s="29"/>
    </row>
    <row r="112" spans="2:13" ht="15" customHeight="1" x14ac:dyDescent="0.35">
      <c r="B112" s="50">
        <v>6</v>
      </c>
      <c r="C112" s="51" t="s">
        <v>18</v>
      </c>
      <c r="D112" s="52" t="s">
        <v>12414</v>
      </c>
      <c r="E112" s="52"/>
      <c r="F112" s="53" t="s">
        <v>12415</v>
      </c>
      <c r="G112" s="53" t="s">
        <v>12222</v>
      </c>
      <c r="H112" s="54" t="s">
        <v>12416</v>
      </c>
      <c r="I112" s="54"/>
      <c r="J112" s="171">
        <v>44188</v>
      </c>
      <c r="K112" s="10" t="s">
        <v>62</v>
      </c>
      <c r="L112" s="29" t="s">
        <v>371</v>
      </c>
      <c r="M112" s="29"/>
    </row>
    <row r="113" spans="2:13" ht="15" customHeight="1" x14ac:dyDescent="0.35">
      <c r="B113" s="50">
        <v>6</v>
      </c>
      <c r="C113" s="51" t="s">
        <v>18</v>
      </c>
      <c r="D113" s="52" t="s">
        <v>12417</v>
      </c>
      <c r="E113" s="52"/>
      <c r="F113" s="53" t="s">
        <v>12418</v>
      </c>
      <c r="G113" s="57" t="s">
        <v>12419</v>
      </c>
      <c r="H113" s="54" t="s">
        <v>12420</v>
      </c>
      <c r="I113" s="54"/>
      <c r="J113" s="171">
        <v>44188</v>
      </c>
      <c r="K113" s="10" t="s">
        <v>62</v>
      </c>
      <c r="L113" s="29" t="s">
        <v>371</v>
      </c>
      <c r="M113" s="29"/>
    </row>
    <row r="114" spans="2:13" ht="15" customHeight="1" x14ac:dyDescent="0.35">
      <c r="B114" s="50">
        <v>6</v>
      </c>
      <c r="C114" s="51" t="s">
        <v>18</v>
      </c>
      <c r="D114" s="52" t="s">
        <v>12421</v>
      </c>
      <c r="E114" s="52"/>
      <c r="F114" s="53" t="s">
        <v>12422</v>
      </c>
      <c r="G114" s="57" t="s">
        <v>12230</v>
      </c>
      <c r="H114" s="54" t="s">
        <v>12423</v>
      </c>
      <c r="I114" s="54"/>
      <c r="J114" s="171">
        <v>44188</v>
      </c>
      <c r="K114" s="10" t="s">
        <v>62</v>
      </c>
      <c r="L114" s="29" t="s">
        <v>371</v>
      </c>
      <c r="M114" s="29"/>
    </row>
    <row r="115" spans="2:13" ht="15" customHeight="1" x14ac:dyDescent="0.35">
      <c r="B115" s="50">
        <v>6</v>
      </c>
      <c r="C115" s="51" t="s">
        <v>18</v>
      </c>
      <c r="D115" s="52" t="s">
        <v>12424</v>
      </c>
      <c r="E115" s="52"/>
      <c r="F115" s="53" t="s">
        <v>12425</v>
      </c>
      <c r="G115" s="53" t="s">
        <v>12234</v>
      </c>
      <c r="H115" s="54" t="s">
        <v>12426</v>
      </c>
      <c r="I115" s="54"/>
      <c r="J115" s="171">
        <v>44188</v>
      </c>
      <c r="K115" s="10" t="s">
        <v>62</v>
      </c>
      <c r="L115" s="29" t="s">
        <v>371</v>
      </c>
      <c r="M115" s="29"/>
    </row>
    <row r="116" spans="2:13" ht="15" customHeight="1" x14ac:dyDescent="0.35">
      <c r="B116" s="50">
        <v>6</v>
      </c>
      <c r="C116" s="51" t="s">
        <v>18</v>
      </c>
      <c r="D116" s="52" t="s">
        <v>12427</v>
      </c>
      <c r="E116" s="52"/>
      <c r="F116" s="53" t="s">
        <v>12428</v>
      </c>
      <c r="G116" s="53" t="s">
        <v>12238</v>
      </c>
      <c r="H116" s="54" t="s">
        <v>12429</v>
      </c>
      <c r="I116" s="54"/>
      <c r="J116" s="171">
        <v>44188</v>
      </c>
      <c r="K116" s="10" t="s">
        <v>62</v>
      </c>
      <c r="L116" s="29" t="s">
        <v>371</v>
      </c>
      <c r="M116" s="29"/>
    </row>
    <row r="117" spans="2:13" ht="15" customHeight="1" x14ac:dyDescent="0.35">
      <c r="B117" s="50">
        <v>6</v>
      </c>
      <c r="C117" s="51" t="s">
        <v>18</v>
      </c>
      <c r="D117" s="52" t="s">
        <v>12430</v>
      </c>
      <c r="E117" s="52"/>
      <c r="F117" s="53" t="s">
        <v>12431</v>
      </c>
      <c r="G117" s="53" t="s">
        <v>12432</v>
      </c>
      <c r="H117" s="54" t="s">
        <v>12433</v>
      </c>
      <c r="I117" s="54"/>
      <c r="J117" s="171">
        <v>44188</v>
      </c>
      <c r="K117" s="10" t="s">
        <v>62</v>
      </c>
      <c r="L117" s="29" t="s">
        <v>371</v>
      </c>
      <c r="M117" s="29"/>
    </row>
    <row r="118" spans="2:13" ht="15" customHeight="1" x14ac:dyDescent="0.35">
      <c r="B118" s="50">
        <v>6</v>
      </c>
      <c r="C118" s="51" t="s">
        <v>18</v>
      </c>
      <c r="D118" s="52" t="s">
        <v>12434</v>
      </c>
      <c r="E118" s="52"/>
      <c r="F118" s="53" t="s">
        <v>12435</v>
      </c>
      <c r="G118" s="53" t="s">
        <v>12436</v>
      </c>
      <c r="H118" s="54" t="s">
        <v>12437</v>
      </c>
      <c r="I118" s="54"/>
      <c r="J118" s="171">
        <v>44188</v>
      </c>
      <c r="K118" s="10" t="s">
        <v>62</v>
      </c>
      <c r="L118" s="29" t="s">
        <v>371</v>
      </c>
      <c r="M118" s="29"/>
    </row>
    <row r="119" spans="2:13" ht="15" customHeight="1" x14ac:dyDescent="0.35">
      <c r="B119" s="50">
        <v>6</v>
      </c>
      <c r="C119" s="51" t="s">
        <v>18</v>
      </c>
      <c r="D119" s="52" t="s">
        <v>12438</v>
      </c>
      <c r="E119" s="52"/>
      <c r="F119" s="53" t="s">
        <v>12439</v>
      </c>
      <c r="G119" s="53" t="s">
        <v>12250</v>
      </c>
      <c r="H119" s="54" t="s">
        <v>12440</v>
      </c>
      <c r="I119" s="54"/>
      <c r="J119" s="171">
        <v>44188</v>
      </c>
      <c r="K119" s="10" t="s">
        <v>62</v>
      </c>
      <c r="L119" s="29" t="s">
        <v>371</v>
      </c>
      <c r="M119" s="29"/>
    </row>
    <row r="120" spans="2:13" ht="15" customHeight="1" x14ac:dyDescent="0.35">
      <c r="B120" s="50">
        <v>6</v>
      </c>
      <c r="C120" s="51" t="s">
        <v>18</v>
      </c>
      <c r="D120" s="52" t="s">
        <v>12441</v>
      </c>
      <c r="E120" s="52"/>
      <c r="F120" s="53" t="s">
        <v>12442</v>
      </c>
      <c r="G120" s="53" t="s">
        <v>12254</v>
      </c>
      <c r="H120" s="54" t="s">
        <v>12443</v>
      </c>
      <c r="I120" s="54"/>
      <c r="J120" s="171">
        <v>44188</v>
      </c>
      <c r="K120" s="10" t="s">
        <v>62</v>
      </c>
      <c r="L120" s="29" t="s">
        <v>371</v>
      </c>
      <c r="M120" s="29"/>
    </row>
    <row r="121" spans="2:13" ht="15" customHeight="1" x14ac:dyDescent="0.35">
      <c r="B121" s="50">
        <v>6</v>
      </c>
      <c r="C121" s="51" t="s">
        <v>18</v>
      </c>
      <c r="D121" s="52" t="s">
        <v>12444</v>
      </c>
      <c r="E121" s="52"/>
      <c r="F121" s="53" t="s">
        <v>12445</v>
      </c>
      <c r="G121" s="53" t="s">
        <v>12258</v>
      </c>
      <c r="H121" s="54" t="s">
        <v>12446</v>
      </c>
      <c r="I121" s="54"/>
      <c r="J121" s="171">
        <v>44188</v>
      </c>
      <c r="K121" s="10" t="s">
        <v>62</v>
      </c>
      <c r="L121" s="29" t="s">
        <v>371</v>
      </c>
      <c r="M121" s="29"/>
    </row>
    <row r="122" spans="2:13" ht="15" customHeight="1" x14ac:dyDescent="0.35">
      <c r="B122" s="50">
        <v>6</v>
      </c>
      <c r="C122" s="51" t="s">
        <v>18</v>
      </c>
      <c r="D122" s="52" t="s">
        <v>12447</v>
      </c>
      <c r="E122" s="52"/>
      <c r="F122" s="53" t="s">
        <v>12448</v>
      </c>
      <c r="G122" s="53" t="s">
        <v>12262</v>
      </c>
      <c r="H122" s="54" t="s">
        <v>12449</v>
      </c>
      <c r="I122" s="54"/>
      <c r="J122" s="171">
        <v>44188</v>
      </c>
      <c r="K122" s="10" t="s">
        <v>62</v>
      </c>
      <c r="L122" s="29" t="s">
        <v>371</v>
      </c>
      <c r="M122" s="29"/>
    </row>
    <row r="123" spans="2:13" ht="15" customHeight="1" x14ac:dyDescent="0.35">
      <c r="B123" s="50">
        <v>6</v>
      </c>
      <c r="C123" s="51" t="s">
        <v>18</v>
      </c>
      <c r="D123" s="52" t="s">
        <v>12450</v>
      </c>
      <c r="E123" s="52"/>
      <c r="F123" s="53" t="s">
        <v>12451</v>
      </c>
      <c r="G123" s="53" t="s">
        <v>12266</v>
      </c>
      <c r="H123" s="54" t="s">
        <v>12452</v>
      </c>
      <c r="I123" s="54"/>
      <c r="J123" s="171">
        <v>44188</v>
      </c>
      <c r="K123" s="10" t="s">
        <v>62</v>
      </c>
      <c r="L123" s="29" t="s">
        <v>371</v>
      </c>
      <c r="M123" s="29"/>
    </row>
    <row r="124" spans="2:13" ht="15" customHeight="1" x14ac:dyDescent="0.35">
      <c r="B124" s="50">
        <v>6</v>
      </c>
      <c r="C124" s="51" t="s">
        <v>18</v>
      </c>
      <c r="D124" s="52" t="s">
        <v>12453</v>
      </c>
      <c r="E124" s="52"/>
      <c r="F124" s="53" t="s">
        <v>12454</v>
      </c>
      <c r="G124" s="53" t="s">
        <v>12282</v>
      </c>
      <c r="H124" s="54" t="s">
        <v>12455</v>
      </c>
      <c r="I124" s="54"/>
      <c r="J124" s="171">
        <v>44188</v>
      </c>
      <c r="K124" s="10" t="s">
        <v>62</v>
      </c>
      <c r="L124" s="29" t="s">
        <v>371</v>
      </c>
      <c r="M124" s="29"/>
    </row>
    <row r="125" spans="2:13" ht="15" customHeight="1" x14ac:dyDescent="0.35">
      <c r="B125" s="50">
        <v>6</v>
      </c>
      <c r="C125" s="51" t="s">
        <v>18</v>
      </c>
      <c r="D125" s="52" t="s">
        <v>12456</v>
      </c>
      <c r="E125" s="52"/>
      <c r="F125" s="53" t="s">
        <v>12457</v>
      </c>
      <c r="G125" s="53" t="s">
        <v>12458</v>
      </c>
      <c r="H125" s="54" t="s">
        <v>12459</v>
      </c>
      <c r="I125" s="54"/>
      <c r="J125" s="54"/>
      <c r="K125" s="11" t="s">
        <v>11838</v>
      </c>
      <c r="L125" s="29"/>
      <c r="M125" s="29"/>
    </row>
    <row r="126" spans="2:13" ht="15" customHeight="1" x14ac:dyDescent="0.35">
      <c r="B126" s="50">
        <v>6</v>
      </c>
      <c r="C126" s="51" t="s">
        <v>18</v>
      </c>
      <c r="D126" s="52" t="s">
        <v>12460</v>
      </c>
      <c r="E126" s="52"/>
      <c r="F126" s="53" t="s">
        <v>12461</v>
      </c>
      <c r="G126" s="53" t="s">
        <v>12462</v>
      </c>
      <c r="H126" s="54" t="s">
        <v>12463</v>
      </c>
      <c r="I126" s="54"/>
      <c r="J126" s="171">
        <v>44188</v>
      </c>
      <c r="K126" s="10" t="s">
        <v>62</v>
      </c>
      <c r="L126" s="29" t="s">
        <v>371</v>
      </c>
      <c r="M126" s="29"/>
    </row>
    <row r="127" spans="2:13" ht="15" customHeight="1" x14ac:dyDescent="0.35">
      <c r="B127" s="50">
        <v>8</v>
      </c>
      <c r="C127" s="51" t="s">
        <v>23</v>
      </c>
      <c r="D127" s="52" t="s">
        <v>12408</v>
      </c>
      <c r="E127" s="52"/>
      <c r="F127" s="53" t="s">
        <v>12464</v>
      </c>
      <c r="G127" s="54" t="s">
        <v>12465</v>
      </c>
      <c r="H127" s="54" t="s">
        <v>12466</v>
      </c>
      <c r="I127" s="54"/>
      <c r="J127" s="171">
        <v>44188</v>
      </c>
      <c r="K127" s="10" t="s">
        <v>62</v>
      </c>
      <c r="L127" s="29" t="s">
        <v>371</v>
      </c>
      <c r="M127" s="29"/>
    </row>
    <row r="128" spans="2:13" ht="15" customHeight="1" x14ac:dyDescent="0.35">
      <c r="B128" s="50">
        <v>8</v>
      </c>
      <c r="C128" s="51" t="s">
        <v>23</v>
      </c>
      <c r="D128" s="52" t="s">
        <v>12411</v>
      </c>
      <c r="E128" s="52"/>
      <c r="F128" s="53" t="s">
        <v>12467</v>
      </c>
      <c r="G128" s="54" t="s">
        <v>12218</v>
      </c>
      <c r="H128" s="54" t="s">
        <v>12468</v>
      </c>
      <c r="I128" s="54"/>
      <c r="J128" s="171">
        <v>44188</v>
      </c>
      <c r="K128" s="10" t="s">
        <v>62</v>
      </c>
      <c r="L128" s="29" t="s">
        <v>371</v>
      </c>
      <c r="M128" s="29"/>
    </row>
    <row r="129" spans="2:13" ht="15" customHeight="1" x14ac:dyDescent="0.35">
      <c r="B129" s="50">
        <v>8</v>
      </c>
      <c r="C129" s="51" t="s">
        <v>23</v>
      </c>
      <c r="D129" s="52" t="s">
        <v>12469</v>
      </c>
      <c r="E129" s="52"/>
      <c r="F129" s="53" t="s">
        <v>12470</v>
      </c>
      <c r="G129" s="54" t="s">
        <v>12471</v>
      </c>
      <c r="H129" s="54" t="s">
        <v>12472</v>
      </c>
      <c r="I129" s="54"/>
      <c r="J129" s="171">
        <v>44188</v>
      </c>
      <c r="K129" s="10" t="s">
        <v>62</v>
      </c>
      <c r="L129" s="29" t="s">
        <v>371</v>
      </c>
      <c r="M129" s="29"/>
    </row>
    <row r="130" spans="2:13" ht="15" customHeight="1" x14ac:dyDescent="0.35">
      <c r="B130" s="50">
        <v>8</v>
      </c>
      <c r="C130" s="51" t="s">
        <v>23</v>
      </c>
      <c r="D130" s="52" t="s">
        <v>12424</v>
      </c>
      <c r="E130" s="52"/>
      <c r="F130" s="53" t="s">
        <v>12473</v>
      </c>
      <c r="G130" s="54" t="s">
        <v>12234</v>
      </c>
      <c r="H130" s="54" t="s">
        <v>12474</v>
      </c>
      <c r="I130" s="54"/>
      <c r="J130" s="171">
        <v>44188</v>
      </c>
      <c r="K130" s="10" t="s">
        <v>62</v>
      </c>
      <c r="L130" s="29" t="s">
        <v>371</v>
      </c>
      <c r="M130" s="29"/>
    </row>
    <row r="131" spans="2:13" ht="15" customHeight="1" x14ac:dyDescent="0.35">
      <c r="B131" s="50">
        <v>8</v>
      </c>
      <c r="C131" s="51" t="s">
        <v>23</v>
      </c>
      <c r="D131" s="52" t="s">
        <v>12475</v>
      </c>
      <c r="E131" s="52"/>
      <c r="F131" s="53" t="s">
        <v>12476</v>
      </c>
      <c r="G131" s="54" t="s">
        <v>12477</v>
      </c>
      <c r="H131" s="54" t="s">
        <v>12478</v>
      </c>
      <c r="I131" s="54"/>
      <c r="J131" s="171">
        <v>44067</v>
      </c>
      <c r="K131" s="10" t="s">
        <v>62</v>
      </c>
      <c r="L131" s="29" t="s">
        <v>371</v>
      </c>
      <c r="M131" s="29"/>
    </row>
    <row r="132" spans="2:13" ht="15" customHeight="1" x14ac:dyDescent="0.35">
      <c r="B132" s="50">
        <v>8</v>
      </c>
      <c r="C132" s="51" t="s">
        <v>23</v>
      </c>
      <c r="D132" s="52" t="s">
        <v>12430</v>
      </c>
      <c r="E132" s="52"/>
      <c r="F132" s="53" t="s">
        <v>12479</v>
      </c>
      <c r="G132" s="54" t="s">
        <v>12477</v>
      </c>
      <c r="H132" s="54" t="s">
        <v>12480</v>
      </c>
      <c r="I132" s="54"/>
      <c r="J132" s="171">
        <v>44188</v>
      </c>
      <c r="K132" s="10" t="s">
        <v>62</v>
      </c>
      <c r="L132" s="29" t="s">
        <v>371</v>
      </c>
      <c r="M132" s="29"/>
    </row>
    <row r="133" spans="2:13" ht="15" customHeight="1" x14ac:dyDescent="0.35">
      <c r="B133" s="50">
        <v>8</v>
      </c>
      <c r="C133" s="51" t="s">
        <v>23</v>
      </c>
      <c r="D133" s="52" t="s">
        <v>12434</v>
      </c>
      <c r="E133" s="52"/>
      <c r="F133" s="53" t="s">
        <v>12481</v>
      </c>
      <c r="G133" s="54" t="s">
        <v>12482</v>
      </c>
      <c r="H133" s="54" t="s">
        <v>12483</v>
      </c>
      <c r="I133" s="54"/>
      <c r="J133" s="171">
        <v>44188</v>
      </c>
      <c r="K133" s="10" t="s">
        <v>62</v>
      </c>
      <c r="L133" s="29" t="s">
        <v>371</v>
      </c>
      <c r="M133" s="29"/>
    </row>
    <row r="134" spans="2:13" ht="15" customHeight="1" x14ac:dyDescent="0.35">
      <c r="B134" s="50">
        <v>8</v>
      </c>
      <c r="C134" s="51" t="s">
        <v>23</v>
      </c>
      <c r="D134" s="52" t="s">
        <v>12484</v>
      </c>
      <c r="E134" s="52"/>
      <c r="F134" s="53" t="s">
        <v>12485</v>
      </c>
      <c r="G134" s="54" t="s">
        <v>12486</v>
      </c>
      <c r="H134" s="54" t="s">
        <v>12487</v>
      </c>
      <c r="I134" s="54"/>
      <c r="J134" s="171">
        <v>44188</v>
      </c>
      <c r="K134" s="10" t="s">
        <v>62</v>
      </c>
      <c r="L134" s="29" t="s">
        <v>371</v>
      </c>
      <c r="M134" s="29"/>
    </row>
    <row r="135" spans="2:13" ht="15" customHeight="1" x14ac:dyDescent="0.35">
      <c r="B135" s="50">
        <v>8</v>
      </c>
      <c r="C135" s="51" t="s">
        <v>23</v>
      </c>
      <c r="D135" s="52" t="s">
        <v>12441</v>
      </c>
      <c r="E135" s="52"/>
      <c r="F135" s="53" t="s">
        <v>12488</v>
      </c>
      <c r="G135" s="54" t="s">
        <v>12254</v>
      </c>
      <c r="H135" s="54" t="s">
        <v>12489</v>
      </c>
      <c r="I135" s="54"/>
      <c r="J135" s="171">
        <v>44188</v>
      </c>
      <c r="K135" s="10" t="s">
        <v>62</v>
      </c>
      <c r="L135" s="29" t="s">
        <v>371</v>
      </c>
      <c r="M135" s="29"/>
    </row>
    <row r="136" spans="2:13" ht="15" customHeight="1" x14ac:dyDescent="0.35">
      <c r="B136" s="50">
        <v>8</v>
      </c>
      <c r="C136" s="51" t="s">
        <v>23</v>
      </c>
      <c r="D136" s="52" t="s">
        <v>12490</v>
      </c>
      <c r="E136" s="52"/>
      <c r="F136" s="53" t="s">
        <v>12491</v>
      </c>
      <c r="G136" s="54" t="s">
        <v>12492</v>
      </c>
      <c r="H136" s="54" t="s">
        <v>12493</v>
      </c>
      <c r="I136" s="54"/>
      <c r="J136" s="171">
        <v>44188</v>
      </c>
      <c r="K136" s="10" t="s">
        <v>62</v>
      </c>
      <c r="L136" s="29" t="s">
        <v>371</v>
      </c>
      <c r="M136" s="29"/>
    </row>
    <row r="137" spans="2:13" ht="15" customHeight="1" x14ac:dyDescent="0.35">
      <c r="B137" s="50">
        <v>8</v>
      </c>
      <c r="C137" s="51" t="s">
        <v>23</v>
      </c>
      <c r="D137" s="52" t="s">
        <v>12460</v>
      </c>
      <c r="E137" s="56"/>
      <c r="F137" s="53" t="s">
        <v>12494</v>
      </c>
      <c r="G137" s="54" t="s">
        <v>12495</v>
      </c>
      <c r="H137" s="54" t="s">
        <v>12496</v>
      </c>
      <c r="I137" s="54"/>
      <c r="J137" s="171">
        <v>44188</v>
      </c>
      <c r="K137" s="10" t="s">
        <v>62</v>
      </c>
      <c r="L137" s="29" t="s">
        <v>371</v>
      </c>
      <c r="M137" s="29"/>
    </row>
    <row r="138" spans="2:13" ht="15" customHeight="1" x14ac:dyDescent="0.35">
      <c r="B138" s="50">
        <v>9</v>
      </c>
      <c r="C138" s="51" t="s">
        <v>24</v>
      </c>
      <c r="D138" s="52" t="str">
        <f>RIGHT(F138,3)</f>
        <v>001</v>
      </c>
      <c r="E138" s="56"/>
      <c r="F138" s="53" t="s">
        <v>12497</v>
      </c>
      <c r="G138" s="53" t="s">
        <v>12214</v>
      </c>
      <c r="H138" s="54" t="s">
        <v>12498</v>
      </c>
      <c r="I138" s="54"/>
      <c r="J138" s="171">
        <v>44188</v>
      </c>
      <c r="K138" s="10" t="s">
        <v>62</v>
      </c>
      <c r="L138" s="29" t="s">
        <v>371</v>
      </c>
      <c r="M138" s="29"/>
    </row>
    <row r="139" spans="2:13" ht="15" customHeight="1" x14ac:dyDescent="0.35">
      <c r="B139" s="50">
        <v>9</v>
      </c>
      <c r="C139" s="51" t="s">
        <v>24</v>
      </c>
      <c r="D139" s="52" t="str">
        <f t="shared" ref="D139:D189" si="7">RIGHT(F139,3)</f>
        <v>002</v>
      </c>
      <c r="E139" s="56"/>
      <c r="F139" s="53" t="s">
        <v>12499</v>
      </c>
      <c r="G139" s="53" t="s">
        <v>12218</v>
      </c>
      <c r="H139" s="54" t="s">
        <v>12500</v>
      </c>
      <c r="I139" s="54"/>
      <c r="J139" s="171">
        <v>44188</v>
      </c>
      <c r="K139" s="10" t="s">
        <v>62</v>
      </c>
      <c r="L139" s="29" t="s">
        <v>371</v>
      </c>
      <c r="M139" s="29"/>
    </row>
    <row r="140" spans="2:13" ht="15" customHeight="1" x14ac:dyDescent="0.35">
      <c r="B140" s="50">
        <v>9</v>
      </c>
      <c r="C140" s="51" t="s">
        <v>24</v>
      </c>
      <c r="D140" s="161">
        <v>6</v>
      </c>
      <c r="E140" s="52" t="str">
        <f>RIGHT(F140,1)</f>
        <v>1</v>
      </c>
      <c r="F140" s="53" t="s">
        <v>12501</v>
      </c>
      <c r="G140" s="53" t="s">
        <v>12222</v>
      </c>
      <c r="H140" s="54" t="s">
        <v>12502</v>
      </c>
      <c r="I140" s="54"/>
      <c r="J140" s="171">
        <v>44188</v>
      </c>
      <c r="K140" s="10" t="s">
        <v>62</v>
      </c>
      <c r="L140" s="29" t="s">
        <v>371</v>
      </c>
      <c r="M140" s="29"/>
    </row>
    <row r="141" spans="2:13" ht="15" customHeight="1" x14ac:dyDescent="0.35">
      <c r="B141" s="50">
        <v>9</v>
      </c>
      <c r="C141" s="51" t="s">
        <v>24</v>
      </c>
      <c r="D141" s="161">
        <v>6</v>
      </c>
      <c r="E141" s="52" t="str">
        <f>RIGHT(F141,1)</f>
        <v>2</v>
      </c>
      <c r="F141" s="53" t="s">
        <v>12503</v>
      </c>
      <c r="G141" s="53" t="s">
        <v>12504</v>
      </c>
      <c r="H141" s="54" t="s">
        <v>12505</v>
      </c>
      <c r="I141" s="54"/>
      <c r="J141" s="171">
        <v>44636</v>
      </c>
      <c r="K141" s="10" t="s">
        <v>62</v>
      </c>
      <c r="L141" s="29" t="s">
        <v>371</v>
      </c>
      <c r="M141" s="29"/>
    </row>
    <row r="142" spans="2:13" ht="15" customHeight="1" x14ac:dyDescent="0.35">
      <c r="B142" s="50">
        <v>9</v>
      </c>
      <c r="C142" s="51" t="s">
        <v>24</v>
      </c>
      <c r="D142" s="161">
        <v>6</v>
      </c>
      <c r="E142" s="52" t="str">
        <f t="shared" ref="E142:E148" si="8">RIGHT(F142,1)</f>
        <v>3</v>
      </c>
      <c r="F142" s="53" t="s">
        <v>12506</v>
      </c>
      <c r="G142" s="53" t="s">
        <v>12507</v>
      </c>
      <c r="H142" s="54" t="s">
        <v>12508</v>
      </c>
      <c r="I142" s="54"/>
      <c r="J142" s="171">
        <v>44188</v>
      </c>
      <c r="K142" s="10" t="s">
        <v>62</v>
      </c>
      <c r="L142" s="29" t="s">
        <v>371</v>
      </c>
      <c r="M142" s="29"/>
    </row>
    <row r="143" spans="2:13" ht="15" customHeight="1" x14ac:dyDescent="0.35">
      <c r="B143" s="50">
        <v>9</v>
      </c>
      <c r="C143" s="51" t="s">
        <v>24</v>
      </c>
      <c r="D143" s="161">
        <v>6</v>
      </c>
      <c r="E143" s="52" t="str">
        <f t="shared" si="8"/>
        <v>4</v>
      </c>
      <c r="F143" s="53" t="s">
        <v>12509</v>
      </c>
      <c r="G143" s="53" t="s">
        <v>12510</v>
      </c>
      <c r="H143" s="54" t="s">
        <v>12511</v>
      </c>
      <c r="I143" s="54"/>
      <c r="J143" s="171">
        <v>44636</v>
      </c>
      <c r="K143" s="10" t="s">
        <v>62</v>
      </c>
      <c r="L143" s="29" t="s">
        <v>371</v>
      </c>
      <c r="M143" s="29"/>
    </row>
    <row r="144" spans="2:13" ht="15" customHeight="1" x14ac:dyDescent="0.35">
      <c r="B144" s="50">
        <v>9</v>
      </c>
      <c r="C144" s="51" t="s">
        <v>24</v>
      </c>
      <c r="D144" s="161">
        <v>6</v>
      </c>
      <c r="E144" s="52" t="str">
        <f t="shared" si="8"/>
        <v>5</v>
      </c>
      <c r="F144" s="53" t="s">
        <v>12512</v>
      </c>
      <c r="G144" s="53" t="s">
        <v>12513</v>
      </c>
      <c r="H144" s="54" t="s">
        <v>12514</v>
      </c>
      <c r="I144" s="54"/>
      <c r="J144" s="171">
        <v>44636</v>
      </c>
      <c r="K144" s="10" t="s">
        <v>62</v>
      </c>
      <c r="L144" s="29" t="s">
        <v>371</v>
      </c>
      <c r="M144" s="29"/>
    </row>
    <row r="145" spans="2:13" ht="15" customHeight="1" x14ac:dyDescent="0.35">
      <c r="B145" s="50">
        <v>9</v>
      </c>
      <c r="C145" s="51" t="s">
        <v>24</v>
      </c>
      <c r="D145" s="161">
        <v>6</v>
      </c>
      <c r="E145" s="52" t="str">
        <f t="shared" si="8"/>
        <v>6</v>
      </c>
      <c r="F145" s="53" t="s">
        <v>12515</v>
      </c>
      <c r="G145" s="53" t="s">
        <v>12516</v>
      </c>
      <c r="H145" s="54" t="s">
        <v>12517</v>
      </c>
      <c r="I145" s="54"/>
      <c r="J145" s="171">
        <v>44636</v>
      </c>
      <c r="K145" s="10" t="s">
        <v>62</v>
      </c>
      <c r="L145" s="29" t="s">
        <v>371</v>
      </c>
      <c r="M145" s="29"/>
    </row>
    <row r="146" spans="2:13" ht="15" customHeight="1" x14ac:dyDescent="0.35">
      <c r="B146" s="50">
        <v>9</v>
      </c>
      <c r="C146" s="51" t="s">
        <v>24</v>
      </c>
      <c r="D146" s="161">
        <v>6</v>
      </c>
      <c r="E146" s="52" t="str">
        <f t="shared" si="8"/>
        <v>7</v>
      </c>
      <c r="F146" s="53" t="s">
        <v>12518</v>
      </c>
      <c r="G146" s="53" t="s">
        <v>12519</v>
      </c>
      <c r="H146" s="54" t="s">
        <v>12520</v>
      </c>
      <c r="I146" s="54"/>
      <c r="J146" s="171">
        <v>44636</v>
      </c>
      <c r="K146" s="10" t="s">
        <v>62</v>
      </c>
      <c r="L146" s="29" t="s">
        <v>371</v>
      </c>
      <c r="M146" s="29"/>
    </row>
    <row r="147" spans="2:13" ht="15" customHeight="1" x14ac:dyDescent="0.35">
      <c r="B147" s="50">
        <v>9</v>
      </c>
      <c r="C147" s="51" t="s">
        <v>24</v>
      </c>
      <c r="D147" s="161">
        <v>6</v>
      </c>
      <c r="E147" s="52" t="str">
        <f t="shared" si="8"/>
        <v>8</v>
      </c>
      <c r="F147" s="53" t="s">
        <v>12521</v>
      </c>
      <c r="G147" s="53" t="s">
        <v>12522</v>
      </c>
      <c r="H147" s="54" t="s">
        <v>12523</v>
      </c>
      <c r="I147" s="54"/>
      <c r="J147" s="171">
        <v>44636</v>
      </c>
      <c r="K147" s="10" t="s">
        <v>62</v>
      </c>
      <c r="L147" s="29" t="s">
        <v>371</v>
      </c>
      <c r="M147" s="29"/>
    </row>
    <row r="148" spans="2:13" ht="15" customHeight="1" x14ac:dyDescent="0.35">
      <c r="B148" s="50">
        <v>9</v>
      </c>
      <c r="C148" s="51" t="s">
        <v>24</v>
      </c>
      <c r="D148" s="161">
        <v>6</v>
      </c>
      <c r="E148" s="52" t="str">
        <f t="shared" si="8"/>
        <v>9</v>
      </c>
      <c r="F148" s="53" t="s">
        <v>12524</v>
      </c>
      <c r="G148" s="53" t="s">
        <v>12525</v>
      </c>
      <c r="H148" s="54" t="s">
        <v>12526</v>
      </c>
      <c r="I148" s="54"/>
      <c r="J148" s="171">
        <v>44636</v>
      </c>
      <c r="K148" s="10" t="s">
        <v>62</v>
      </c>
      <c r="L148" s="29" t="s">
        <v>371</v>
      </c>
      <c r="M148" s="29"/>
    </row>
    <row r="149" spans="2:13" ht="15" customHeight="1" x14ac:dyDescent="0.35">
      <c r="B149" s="50">
        <v>9</v>
      </c>
      <c r="C149" s="51" t="s">
        <v>24</v>
      </c>
      <c r="D149" s="161">
        <v>6</v>
      </c>
      <c r="E149" s="52" t="str">
        <f>RIGHT(F149,2)</f>
        <v>11</v>
      </c>
      <c r="F149" s="53" t="s">
        <v>12527</v>
      </c>
      <c r="G149" s="53" t="s">
        <v>12528</v>
      </c>
      <c r="H149" s="54" t="s">
        <v>12529</v>
      </c>
      <c r="I149" s="54"/>
      <c r="J149" s="171">
        <v>44636</v>
      </c>
      <c r="K149" s="10" t="s">
        <v>62</v>
      </c>
      <c r="L149" s="29" t="s">
        <v>371</v>
      </c>
      <c r="M149" s="29"/>
    </row>
    <row r="150" spans="2:13" ht="15" customHeight="1" x14ac:dyDescent="0.35">
      <c r="B150" s="50">
        <v>9</v>
      </c>
      <c r="C150" s="51" t="s">
        <v>24</v>
      </c>
      <c r="D150" s="161">
        <v>6</v>
      </c>
      <c r="E150" s="52" t="str">
        <f t="shared" ref="E150:E152" si="9">RIGHT(F150,2)</f>
        <v>12</v>
      </c>
      <c r="F150" s="53" t="s">
        <v>12530</v>
      </c>
      <c r="G150" s="53" t="s">
        <v>12531</v>
      </c>
      <c r="H150" s="54" t="s">
        <v>12532</v>
      </c>
      <c r="I150" s="54"/>
      <c r="J150" s="171">
        <v>44636</v>
      </c>
      <c r="K150" s="10" t="s">
        <v>62</v>
      </c>
      <c r="L150" s="29" t="s">
        <v>371</v>
      </c>
      <c r="M150" s="29"/>
    </row>
    <row r="151" spans="2:13" ht="15" customHeight="1" x14ac:dyDescent="0.35">
      <c r="B151" s="50">
        <v>9</v>
      </c>
      <c r="C151" s="51" t="s">
        <v>24</v>
      </c>
      <c r="D151" s="161">
        <v>6</v>
      </c>
      <c r="E151" s="52" t="str">
        <f t="shared" si="9"/>
        <v>13</v>
      </c>
      <c r="F151" s="53" t="s">
        <v>12533</v>
      </c>
      <c r="G151" s="53" t="s">
        <v>12534</v>
      </c>
      <c r="H151" s="54" t="s">
        <v>12535</v>
      </c>
      <c r="I151" s="54"/>
      <c r="J151" s="171">
        <v>44636</v>
      </c>
      <c r="K151" s="10" t="s">
        <v>62</v>
      </c>
      <c r="L151" s="29" t="s">
        <v>371</v>
      </c>
      <c r="M151" s="29"/>
    </row>
    <row r="152" spans="2:13" ht="15" customHeight="1" x14ac:dyDescent="0.35">
      <c r="B152" s="50">
        <v>9</v>
      </c>
      <c r="C152" s="51" t="s">
        <v>24</v>
      </c>
      <c r="D152" s="161">
        <v>6</v>
      </c>
      <c r="E152" s="52" t="str">
        <f t="shared" si="9"/>
        <v>14</v>
      </c>
      <c r="F152" s="53" t="s">
        <v>12536</v>
      </c>
      <c r="G152" s="53" t="s">
        <v>12537</v>
      </c>
      <c r="H152" s="54" t="s">
        <v>12538</v>
      </c>
      <c r="I152" s="54"/>
      <c r="J152" s="171">
        <v>44636</v>
      </c>
      <c r="K152" s="10" t="s">
        <v>62</v>
      </c>
      <c r="L152" s="29" t="s">
        <v>371</v>
      </c>
      <c r="M152" s="29"/>
    </row>
    <row r="153" spans="2:13" ht="15" customHeight="1" x14ac:dyDescent="0.35">
      <c r="B153" s="50">
        <v>9</v>
      </c>
      <c r="C153" s="51" t="s">
        <v>24</v>
      </c>
      <c r="D153" s="52" t="str">
        <f t="shared" si="7"/>
        <v>012</v>
      </c>
      <c r="E153" s="56"/>
      <c r="F153" s="53" t="s">
        <v>12539</v>
      </c>
      <c r="G153" s="53" t="s">
        <v>12540</v>
      </c>
      <c r="H153" s="54" t="s">
        <v>12541</v>
      </c>
      <c r="I153" s="54"/>
      <c r="J153" s="171">
        <v>44188</v>
      </c>
      <c r="K153" s="10" t="s">
        <v>62</v>
      </c>
      <c r="L153" s="29" t="s">
        <v>371</v>
      </c>
      <c r="M153" s="29"/>
    </row>
    <row r="154" spans="2:13" ht="15" customHeight="1" x14ac:dyDescent="0.35">
      <c r="B154" s="50">
        <v>9</v>
      </c>
      <c r="C154" s="51" t="s">
        <v>24</v>
      </c>
      <c r="D154" s="52" t="str">
        <f t="shared" si="7"/>
        <v>015</v>
      </c>
      <c r="E154" s="56"/>
      <c r="F154" s="53" t="s">
        <v>12542</v>
      </c>
      <c r="G154" s="53" t="s">
        <v>12543</v>
      </c>
      <c r="H154" s="54" t="s">
        <v>12544</v>
      </c>
      <c r="I154" s="54"/>
      <c r="J154" s="171">
        <v>44188</v>
      </c>
      <c r="K154" s="10" t="s">
        <v>62</v>
      </c>
      <c r="L154" s="29" t="s">
        <v>371</v>
      </c>
      <c r="M154" s="29"/>
    </row>
    <row r="155" spans="2:13" ht="15" customHeight="1" x14ac:dyDescent="0.35">
      <c r="B155" s="50">
        <v>9</v>
      </c>
      <c r="C155" s="51" t="s">
        <v>24</v>
      </c>
      <c r="D155" s="52" t="str">
        <f t="shared" si="7"/>
        <v>017</v>
      </c>
      <c r="E155" s="52"/>
      <c r="F155" s="53" t="s">
        <v>12545</v>
      </c>
      <c r="G155" s="53" t="s">
        <v>12546</v>
      </c>
      <c r="H155" s="54" t="s">
        <v>12547</v>
      </c>
      <c r="I155" s="54"/>
      <c r="J155" s="171">
        <v>44188</v>
      </c>
      <c r="K155" s="10" t="s">
        <v>62</v>
      </c>
      <c r="L155" s="29" t="s">
        <v>371</v>
      </c>
      <c r="M155" s="29"/>
    </row>
    <row r="156" spans="2:13" ht="15" customHeight="1" x14ac:dyDescent="0.35">
      <c r="B156" s="50">
        <v>9</v>
      </c>
      <c r="C156" s="51" t="s">
        <v>24</v>
      </c>
      <c r="D156" s="52" t="str">
        <f t="shared" si="7"/>
        <v>018</v>
      </c>
      <c r="E156" s="52"/>
      <c r="F156" s="53" t="s">
        <v>12548</v>
      </c>
      <c r="G156" s="53" t="s">
        <v>12234</v>
      </c>
      <c r="H156" s="54" t="s">
        <v>12549</v>
      </c>
      <c r="I156" s="54"/>
      <c r="J156" s="171">
        <v>44188</v>
      </c>
      <c r="K156" s="10" t="s">
        <v>62</v>
      </c>
      <c r="L156" s="29" t="s">
        <v>371</v>
      </c>
      <c r="M156" s="29"/>
    </row>
    <row r="157" spans="2:13" ht="15" customHeight="1" x14ac:dyDescent="0.35">
      <c r="B157" s="50">
        <v>9</v>
      </c>
      <c r="C157" s="51" t="s">
        <v>24</v>
      </c>
      <c r="D157" s="52" t="str">
        <f t="shared" si="7"/>
        <v>019</v>
      </c>
      <c r="E157" s="52"/>
      <c r="F157" s="53" t="s">
        <v>12550</v>
      </c>
      <c r="G157" s="53" t="s">
        <v>12551</v>
      </c>
      <c r="H157" s="54" t="s">
        <v>12552</v>
      </c>
      <c r="I157" s="54"/>
      <c r="J157" s="171">
        <v>44188</v>
      </c>
      <c r="K157" s="10" t="s">
        <v>62</v>
      </c>
      <c r="L157" s="29" t="s">
        <v>371</v>
      </c>
      <c r="M157" s="29"/>
    </row>
    <row r="158" spans="2:13" ht="15" customHeight="1" x14ac:dyDescent="0.35">
      <c r="B158" s="50">
        <v>9</v>
      </c>
      <c r="C158" s="51" t="s">
        <v>24</v>
      </c>
      <c r="D158" s="52" t="str">
        <f t="shared" si="7"/>
        <v>021</v>
      </c>
      <c r="E158" s="52"/>
      <c r="F158" s="53" t="s">
        <v>12553</v>
      </c>
      <c r="G158" s="53" t="s">
        <v>12554</v>
      </c>
      <c r="H158" s="54" t="s">
        <v>12555</v>
      </c>
      <c r="I158" s="54"/>
      <c r="J158" s="171">
        <v>44188</v>
      </c>
      <c r="K158" s="10" t="s">
        <v>62</v>
      </c>
      <c r="L158" s="29" t="s">
        <v>371</v>
      </c>
      <c r="M158" s="29"/>
    </row>
    <row r="159" spans="2:13" ht="15" customHeight="1" x14ac:dyDescent="0.35">
      <c r="B159" s="50">
        <v>9</v>
      </c>
      <c r="C159" s="51" t="s">
        <v>24</v>
      </c>
      <c r="D159" s="52" t="str">
        <f t="shared" si="7"/>
        <v>022</v>
      </c>
      <c r="E159" s="52"/>
      <c r="F159" s="53" t="s">
        <v>12556</v>
      </c>
      <c r="G159" s="53" t="s">
        <v>12482</v>
      </c>
      <c r="H159" s="54" t="s">
        <v>12557</v>
      </c>
      <c r="I159" s="54"/>
      <c r="J159" s="171">
        <v>44188</v>
      </c>
      <c r="K159" s="10" t="s">
        <v>62</v>
      </c>
      <c r="L159" s="29" t="s">
        <v>371</v>
      </c>
      <c r="M159" s="29"/>
    </row>
    <row r="160" spans="2:13" ht="15" customHeight="1" x14ac:dyDescent="0.35">
      <c r="B160" s="50">
        <v>9</v>
      </c>
      <c r="C160" s="51" t="s">
        <v>24</v>
      </c>
      <c r="D160" s="52" t="str">
        <f t="shared" si="7"/>
        <v>023</v>
      </c>
      <c r="E160" s="52"/>
      <c r="F160" s="53" t="s">
        <v>12558</v>
      </c>
      <c r="G160" s="53" t="s">
        <v>12559</v>
      </c>
      <c r="H160" s="54" t="s">
        <v>12560</v>
      </c>
      <c r="I160" s="54"/>
      <c r="J160" s="171">
        <v>44188</v>
      </c>
      <c r="K160" s="10" t="s">
        <v>62</v>
      </c>
      <c r="L160" s="29" t="s">
        <v>371</v>
      </c>
      <c r="M160" s="29"/>
    </row>
    <row r="161" spans="2:13" ht="15" customHeight="1" x14ac:dyDescent="0.35">
      <c r="B161" s="50">
        <v>9</v>
      </c>
      <c r="C161" s="51" t="s">
        <v>24</v>
      </c>
      <c r="D161" s="52" t="str">
        <f t="shared" si="7"/>
        <v>026</v>
      </c>
      <c r="E161" s="52"/>
      <c r="F161" s="53" t="s">
        <v>12561</v>
      </c>
      <c r="G161" s="53" t="s">
        <v>12562</v>
      </c>
      <c r="H161" s="54" t="s">
        <v>12563</v>
      </c>
      <c r="I161" s="54"/>
      <c r="J161" s="171">
        <v>44188</v>
      </c>
      <c r="K161" s="10" t="s">
        <v>62</v>
      </c>
      <c r="L161" s="29" t="s">
        <v>371</v>
      </c>
      <c r="M161" s="29"/>
    </row>
    <row r="162" spans="2:13" ht="15" customHeight="1" x14ac:dyDescent="0.35">
      <c r="B162" s="50">
        <v>9</v>
      </c>
      <c r="C162" s="51" t="s">
        <v>24</v>
      </c>
      <c r="D162" s="52" t="str">
        <f>RIGHT(F161,3)</f>
        <v>026</v>
      </c>
      <c r="E162" s="52" t="str">
        <f>RIGHT(F162,1)</f>
        <v>1</v>
      </c>
      <c r="F162" s="53" t="s">
        <v>12564</v>
      </c>
      <c r="G162" s="53" t="s">
        <v>12565</v>
      </c>
      <c r="H162" s="54" t="s">
        <v>12566</v>
      </c>
      <c r="I162" s="54"/>
      <c r="J162" s="171">
        <v>44188</v>
      </c>
      <c r="K162" s="10" t="s">
        <v>62</v>
      </c>
      <c r="L162" s="29" t="s">
        <v>371</v>
      </c>
      <c r="M162" s="29"/>
    </row>
    <row r="163" spans="2:13" ht="15" customHeight="1" x14ac:dyDescent="0.35">
      <c r="B163" s="50">
        <v>9</v>
      </c>
      <c r="C163" s="51" t="s">
        <v>24</v>
      </c>
      <c r="D163" s="52" t="str">
        <f t="shared" si="7"/>
        <v>057</v>
      </c>
      <c r="E163" s="52"/>
      <c r="F163" s="53" t="s">
        <v>12567</v>
      </c>
      <c r="G163" s="53" t="s">
        <v>12568</v>
      </c>
      <c r="H163" s="54" t="s">
        <v>12569</v>
      </c>
      <c r="I163" s="54"/>
      <c r="J163" s="171">
        <v>44188</v>
      </c>
      <c r="K163" s="10" t="s">
        <v>62</v>
      </c>
      <c r="L163" s="29" t="s">
        <v>371</v>
      </c>
      <c r="M163" s="29"/>
    </row>
    <row r="164" spans="2:13" ht="15" customHeight="1" x14ac:dyDescent="0.35">
      <c r="B164" s="50">
        <v>9</v>
      </c>
      <c r="C164" s="51" t="s">
        <v>24</v>
      </c>
      <c r="D164" s="52" t="str">
        <f t="shared" si="7"/>
        <v>062</v>
      </c>
      <c r="E164" s="52"/>
      <c r="F164" s="53" t="s">
        <v>12570</v>
      </c>
      <c r="G164" s="53" t="s">
        <v>12571</v>
      </c>
      <c r="H164" s="54" t="s">
        <v>12572</v>
      </c>
      <c r="I164" s="54"/>
      <c r="J164" s="171">
        <v>44188</v>
      </c>
      <c r="K164" s="10" t="s">
        <v>62</v>
      </c>
      <c r="L164" s="29" t="s">
        <v>371</v>
      </c>
      <c r="M164" s="29"/>
    </row>
    <row r="165" spans="2:13" ht="15" customHeight="1" x14ac:dyDescent="0.35">
      <c r="B165" s="50">
        <v>10</v>
      </c>
      <c r="C165" s="51" t="s">
        <v>21</v>
      </c>
      <c r="D165" s="52" t="str">
        <f t="shared" si="7"/>
        <v>001</v>
      </c>
      <c r="E165" s="52"/>
      <c r="F165" s="53" t="s">
        <v>12573</v>
      </c>
      <c r="G165" s="53" t="s">
        <v>12031</v>
      </c>
      <c r="H165" s="54" t="s">
        <v>12574</v>
      </c>
      <c r="I165" s="54" t="s">
        <v>12575</v>
      </c>
      <c r="J165" s="171">
        <v>45839</v>
      </c>
      <c r="K165" s="10" t="s">
        <v>62</v>
      </c>
      <c r="L165" s="29" t="s">
        <v>371</v>
      </c>
      <c r="M165" s="29" t="s">
        <v>371</v>
      </c>
    </row>
    <row r="166" spans="2:13" ht="15" customHeight="1" x14ac:dyDescent="0.35">
      <c r="B166" s="50">
        <v>10</v>
      </c>
      <c r="C166" s="51" t="s">
        <v>21</v>
      </c>
      <c r="D166" s="52" t="str">
        <f t="shared" si="7"/>
        <v>002</v>
      </c>
      <c r="E166" s="52"/>
      <c r="F166" s="53" t="s">
        <v>12576</v>
      </c>
      <c r="G166" s="53" t="s">
        <v>12114</v>
      </c>
      <c r="H166" s="54" t="s">
        <v>12577</v>
      </c>
      <c r="I166" s="54" t="s">
        <v>12577</v>
      </c>
      <c r="J166" s="171">
        <v>45839</v>
      </c>
      <c r="K166" s="10" t="s">
        <v>62</v>
      </c>
      <c r="L166" s="29" t="s">
        <v>371</v>
      </c>
      <c r="M166" s="29" t="s">
        <v>371</v>
      </c>
    </row>
    <row r="167" spans="2:13" ht="15" customHeight="1" x14ac:dyDescent="0.35">
      <c r="B167" s="50">
        <v>10</v>
      </c>
      <c r="C167" s="51" t="s">
        <v>21</v>
      </c>
      <c r="D167" s="52" t="str">
        <f t="shared" si="7"/>
        <v>006</v>
      </c>
      <c r="E167" s="52"/>
      <c r="F167" s="53" t="s">
        <v>12578</v>
      </c>
      <c r="G167" s="53" t="s">
        <v>12039</v>
      </c>
      <c r="H167" s="54" t="s">
        <v>12579</v>
      </c>
      <c r="I167" s="54" t="s">
        <v>12580</v>
      </c>
      <c r="J167" s="171">
        <v>45839</v>
      </c>
      <c r="K167" s="10" t="s">
        <v>62</v>
      </c>
      <c r="L167" s="29" t="s">
        <v>371</v>
      </c>
      <c r="M167" s="29" t="s">
        <v>371</v>
      </c>
    </row>
    <row r="168" spans="2:13" ht="15" customHeight="1" x14ac:dyDescent="0.35">
      <c r="B168" s="50">
        <v>10</v>
      </c>
      <c r="C168" s="51" t="s">
        <v>21</v>
      </c>
      <c r="D168" s="52" t="str">
        <f t="shared" si="7"/>
        <v>007</v>
      </c>
      <c r="E168" s="52"/>
      <c r="F168" s="53" t="s">
        <v>12581</v>
      </c>
      <c r="G168" s="53" t="s">
        <v>12582</v>
      </c>
      <c r="H168" s="54" t="s">
        <v>12583</v>
      </c>
      <c r="I168" s="54" t="s">
        <v>12584</v>
      </c>
      <c r="J168" s="171">
        <v>45839</v>
      </c>
      <c r="K168" s="10" t="s">
        <v>62</v>
      </c>
      <c r="L168" s="29" t="s">
        <v>371</v>
      </c>
      <c r="M168" s="29" t="s">
        <v>371</v>
      </c>
    </row>
    <row r="169" spans="2:13" ht="15" customHeight="1" x14ac:dyDescent="0.35">
      <c r="B169" s="50">
        <v>10</v>
      </c>
      <c r="C169" s="51" t="s">
        <v>21</v>
      </c>
      <c r="D169" s="52" t="str">
        <f t="shared" si="7"/>
        <v>008</v>
      </c>
      <c r="E169" s="52"/>
      <c r="F169" s="53" t="s">
        <v>12585</v>
      </c>
      <c r="G169" s="53" t="s">
        <v>12043</v>
      </c>
      <c r="H169" s="54" t="s">
        <v>12586</v>
      </c>
      <c r="I169" s="54" t="s">
        <v>12587</v>
      </c>
      <c r="J169" s="171">
        <v>45839</v>
      </c>
      <c r="K169" s="10" t="s">
        <v>62</v>
      </c>
      <c r="L169" s="29" t="s">
        <v>371</v>
      </c>
      <c r="M169" s="29" t="s">
        <v>371</v>
      </c>
    </row>
    <row r="170" spans="2:13" ht="15" customHeight="1" x14ac:dyDescent="0.35">
      <c r="B170" s="50">
        <v>10</v>
      </c>
      <c r="C170" s="51" t="s">
        <v>21</v>
      </c>
      <c r="D170" s="52" t="str">
        <f t="shared" si="7"/>
        <v>014</v>
      </c>
      <c r="E170" s="52"/>
      <c r="F170" s="53" t="s">
        <v>12588</v>
      </c>
      <c r="G170" s="53" t="s">
        <v>12047</v>
      </c>
      <c r="H170" s="54" t="s">
        <v>12589</v>
      </c>
      <c r="I170" s="54" t="s">
        <v>12590</v>
      </c>
      <c r="J170" s="171">
        <v>45839</v>
      </c>
      <c r="K170" s="10" t="s">
        <v>62</v>
      </c>
      <c r="L170" s="29" t="s">
        <v>371</v>
      </c>
      <c r="M170" s="29" t="s">
        <v>371</v>
      </c>
    </row>
    <row r="171" spans="2:13" ht="15" customHeight="1" x14ac:dyDescent="0.35">
      <c r="B171" s="50">
        <v>10</v>
      </c>
      <c r="C171" s="51" t="s">
        <v>21</v>
      </c>
      <c r="D171" s="52" t="str">
        <f t="shared" si="7"/>
        <v>017</v>
      </c>
      <c r="E171" s="52"/>
      <c r="F171" s="53" t="s">
        <v>12591</v>
      </c>
      <c r="G171" s="53" t="s">
        <v>12051</v>
      </c>
      <c r="H171" s="54" t="s">
        <v>12592</v>
      </c>
      <c r="I171" s="54" t="s">
        <v>12593</v>
      </c>
      <c r="J171" s="171">
        <v>45839</v>
      </c>
      <c r="K171" s="10" t="s">
        <v>62</v>
      </c>
      <c r="L171" s="29" t="s">
        <v>371</v>
      </c>
      <c r="M171" s="29" t="s">
        <v>371</v>
      </c>
    </row>
    <row r="172" spans="2:13" ht="15" customHeight="1" x14ac:dyDescent="0.35">
      <c r="B172" s="50">
        <v>10</v>
      </c>
      <c r="C172" s="51" t="s">
        <v>21</v>
      </c>
      <c r="D172" s="52" t="str">
        <f t="shared" si="7"/>
        <v>018</v>
      </c>
      <c r="E172" s="52"/>
      <c r="F172" s="53" t="s">
        <v>12594</v>
      </c>
      <c r="G172" s="53" t="s">
        <v>12055</v>
      </c>
      <c r="H172" s="54" t="s">
        <v>12595</v>
      </c>
      <c r="I172" s="54" t="s">
        <v>12596</v>
      </c>
      <c r="J172" s="171">
        <v>45839</v>
      </c>
      <c r="K172" s="10" t="s">
        <v>62</v>
      </c>
      <c r="L172" s="29" t="s">
        <v>371</v>
      </c>
      <c r="M172" s="29" t="s">
        <v>371</v>
      </c>
    </row>
    <row r="173" spans="2:13" ht="15" customHeight="1" x14ac:dyDescent="0.35">
      <c r="B173" s="50">
        <v>10</v>
      </c>
      <c r="C173" s="51" t="s">
        <v>21</v>
      </c>
      <c r="D173" s="52" t="str">
        <f t="shared" si="7"/>
        <v>019</v>
      </c>
      <c r="E173" s="52"/>
      <c r="F173" s="53" t="s">
        <v>12597</v>
      </c>
      <c r="G173" s="53" t="s">
        <v>12059</v>
      </c>
      <c r="H173" s="54" t="s">
        <v>12598</v>
      </c>
      <c r="I173" s="54" t="s">
        <v>12599</v>
      </c>
      <c r="J173" s="171">
        <v>45839</v>
      </c>
      <c r="K173" s="10" t="s">
        <v>62</v>
      </c>
      <c r="L173" s="29" t="s">
        <v>371</v>
      </c>
      <c r="M173" s="29" t="s">
        <v>371</v>
      </c>
    </row>
    <row r="174" spans="2:13" ht="15" customHeight="1" x14ac:dyDescent="0.35">
      <c r="B174" s="50">
        <v>10</v>
      </c>
      <c r="C174" s="51" t="s">
        <v>21</v>
      </c>
      <c r="D174" s="52" t="str">
        <f t="shared" si="7"/>
        <v>021</v>
      </c>
      <c r="E174" s="52"/>
      <c r="F174" s="53" t="s">
        <v>12600</v>
      </c>
      <c r="G174" s="53" t="s">
        <v>12063</v>
      </c>
      <c r="H174" s="54" t="s">
        <v>12601</v>
      </c>
      <c r="I174" s="54" t="s">
        <v>12602</v>
      </c>
      <c r="J174" s="171">
        <v>45839</v>
      </c>
      <c r="K174" s="10" t="s">
        <v>62</v>
      </c>
      <c r="L174" s="29" t="s">
        <v>371</v>
      </c>
      <c r="M174" s="29" t="s">
        <v>371</v>
      </c>
    </row>
    <row r="175" spans="2:13" ht="15" customHeight="1" x14ac:dyDescent="0.35">
      <c r="B175" s="50">
        <v>10</v>
      </c>
      <c r="C175" s="51" t="s">
        <v>21</v>
      </c>
      <c r="D175" s="52" t="str">
        <f t="shared" si="7"/>
        <v>022</v>
      </c>
      <c r="E175" s="52"/>
      <c r="F175" s="53" t="s">
        <v>12603</v>
      </c>
      <c r="G175" s="53" t="s">
        <v>12129</v>
      </c>
      <c r="H175" s="54" t="s">
        <v>12604</v>
      </c>
      <c r="I175" s="54" t="s">
        <v>12605</v>
      </c>
      <c r="J175" s="171">
        <v>45839</v>
      </c>
      <c r="K175" s="10" t="s">
        <v>62</v>
      </c>
      <c r="L175" s="29" t="s">
        <v>371</v>
      </c>
      <c r="M175" s="29" t="s">
        <v>371</v>
      </c>
    </row>
    <row r="176" spans="2:13" ht="15" customHeight="1" x14ac:dyDescent="0.35">
      <c r="B176" s="50">
        <v>10</v>
      </c>
      <c r="C176" s="51" t="s">
        <v>21</v>
      </c>
      <c r="D176" s="52" t="str">
        <f t="shared" si="7"/>
        <v>023</v>
      </c>
      <c r="E176" s="52"/>
      <c r="F176" s="53" t="s">
        <v>12606</v>
      </c>
      <c r="G176" s="53" t="s">
        <v>12607</v>
      </c>
      <c r="H176" s="54" t="s">
        <v>12608</v>
      </c>
      <c r="I176" s="54" t="s">
        <v>12609</v>
      </c>
      <c r="J176" s="171">
        <v>45839</v>
      </c>
      <c r="K176" s="10" t="s">
        <v>62</v>
      </c>
      <c r="L176" s="29" t="s">
        <v>371</v>
      </c>
      <c r="M176" s="29" t="s">
        <v>371</v>
      </c>
    </row>
    <row r="177" spans="2:13" ht="15" customHeight="1" x14ac:dyDescent="0.35">
      <c r="B177" s="50">
        <v>10</v>
      </c>
      <c r="C177" s="51" t="s">
        <v>21</v>
      </c>
      <c r="D177" s="52" t="str">
        <f t="shared" si="7"/>
        <v>024</v>
      </c>
      <c r="E177" s="52"/>
      <c r="F177" s="53" t="s">
        <v>12610</v>
      </c>
      <c r="G177" s="53" t="s">
        <v>12137</v>
      </c>
      <c r="H177" s="54" t="s">
        <v>12138</v>
      </c>
      <c r="I177" s="54" t="s">
        <v>12611</v>
      </c>
      <c r="J177" s="171">
        <v>45839</v>
      </c>
      <c r="K177" s="10" t="s">
        <v>62</v>
      </c>
      <c r="L177" s="29" t="s">
        <v>371</v>
      </c>
      <c r="M177" s="29" t="s">
        <v>371</v>
      </c>
    </row>
    <row r="178" spans="2:13" ht="15" customHeight="1" x14ac:dyDescent="0.35">
      <c r="B178" s="50">
        <v>10</v>
      </c>
      <c r="C178" s="51" t="s">
        <v>21</v>
      </c>
      <c r="D178" s="52" t="str">
        <f t="shared" si="7"/>
        <v>026</v>
      </c>
      <c r="E178" s="52"/>
      <c r="F178" s="53" t="s">
        <v>12612</v>
      </c>
      <c r="G178" s="53" t="s">
        <v>12149</v>
      </c>
      <c r="H178" s="54" t="s">
        <v>12613</v>
      </c>
      <c r="I178" s="54" t="s">
        <v>12614</v>
      </c>
      <c r="J178" s="171">
        <v>45839</v>
      </c>
      <c r="K178" s="10" t="s">
        <v>62</v>
      </c>
      <c r="L178" s="29" t="s">
        <v>371</v>
      </c>
      <c r="M178" s="29" t="s">
        <v>371</v>
      </c>
    </row>
    <row r="179" spans="2:13" ht="15" customHeight="1" x14ac:dyDescent="0.35">
      <c r="B179" s="50">
        <v>10</v>
      </c>
      <c r="C179" s="51" t="s">
        <v>21</v>
      </c>
      <c r="D179" s="52" t="str">
        <f t="shared" si="7"/>
        <v>027</v>
      </c>
      <c r="E179" s="52"/>
      <c r="F179" s="53" t="s">
        <v>12615</v>
      </c>
      <c r="G179" s="53" t="s">
        <v>12616</v>
      </c>
      <c r="H179" s="54" t="s">
        <v>12617</v>
      </c>
      <c r="I179" s="54" t="s">
        <v>12618</v>
      </c>
      <c r="J179" s="171">
        <v>45839</v>
      </c>
      <c r="K179" s="10" t="s">
        <v>62</v>
      </c>
      <c r="L179" s="29" t="s">
        <v>371</v>
      </c>
      <c r="M179" s="29" t="s">
        <v>371</v>
      </c>
    </row>
    <row r="180" spans="2:13" ht="15" customHeight="1" x14ac:dyDescent="0.35">
      <c r="B180" s="50">
        <v>10</v>
      </c>
      <c r="C180" s="51" t="s">
        <v>21</v>
      </c>
      <c r="D180" s="52" t="str">
        <f t="shared" si="7"/>
        <v>028</v>
      </c>
      <c r="E180" s="52"/>
      <c r="F180" s="53" t="s">
        <v>12619</v>
      </c>
      <c r="G180" s="53" t="s">
        <v>12153</v>
      </c>
      <c r="H180" s="54" t="s">
        <v>12620</v>
      </c>
      <c r="I180" s="54" t="s">
        <v>12621</v>
      </c>
      <c r="J180" s="171">
        <v>45839</v>
      </c>
      <c r="K180" s="10" t="s">
        <v>62</v>
      </c>
      <c r="L180" s="29" t="s">
        <v>371</v>
      </c>
      <c r="M180" s="29" t="s">
        <v>371</v>
      </c>
    </row>
    <row r="181" spans="2:13" ht="15" customHeight="1" x14ac:dyDescent="0.35">
      <c r="B181" s="50">
        <v>10</v>
      </c>
      <c r="C181" s="51" t="s">
        <v>21</v>
      </c>
      <c r="D181" s="52" t="str">
        <f t="shared" si="7"/>
        <v>029</v>
      </c>
      <c r="E181" s="52"/>
      <c r="F181" s="53" t="s">
        <v>12622</v>
      </c>
      <c r="G181" s="53" t="s">
        <v>12079</v>
      </c>
      <c r="H181" s="54" t="s">
        <v>12623</v>
      </c>
      <c r="I181" s="54" t="s">
        <v>12624</v>
      </c>
      <c r="J181" s="171">
        <v>45839</v>
      </c>
      <c r="K181" s="10" t="s">
        <v>62</v>
      </c>
      <c r="L181" s="29" t="s">
        <v>371</v>
      </c>
      <c r="M181" s="29" t="s">
        <v>371</v>
      </c>
    </row>
    <row r="182" spans="2:13" ht="15" customHeight="1" x14ac:dyDescent="0.35">
      <c r="B182" s="50">
        <v>10</v>
      </c>
      <c r="C182" s="51" t="s">
        <v>21</v>
      </c>
      <c r="D182" s="52" t="str">
        <f t="shared" si="7"/>
        <v>030</v>
      </c>
      <c r="E182" s="52"/>
      <c r="F182" s="53" t="s">
        <v>12625</v>
      </c>
      <c r="G182" s="53" t="s">
        <v>12083</v>
      </c>
      <c r="H182" s="54" t="s">
        <v>12626</v>
      </c>
      <c r="I182" s="54" t="s">
        <v>12627</v>
      </c>
      <c r="J182" s="171">
        <v>45839</v>
      </c>
      <c r="K182" s="10" t="s">
        <v>62</v>
      </c>
      <c r="L182" s="29" t="s">
        <v>371</v>
      </c>
      <c r="M182" s="29" t="s">
        <v>371</v>
      </c>
    </row>
    <row r="183" spans="2:13" ht="15" customHeight="1" x14ac:dyDescent="0.35">
      <c r="B183" s="50">
        <v>10</v>
      </c>
      <c r="C183" s="51" t="s">
        <v>21</v>
      </c>
      <c r="D183" s="52" t="str">
        <f t="shared" si="7"/>
        <v>031</v>
      </c>
      <c r="E183" s="52"/>
      <c r="F183" s="53" t="s">
        <v>12628</v>
      </c>
      <c r="G183" s="53" t="s">
        <v>12172</v>
      </c>
      <c r="H183" s="54" t="s">
        <v>12629</v>
      </c>
      <c r="I183" s="54" t="s">
        <v>12630</v>
      </c>
      <c r="J183" s="171">
        <v>45839</v>
      </c>
      <c r="K183" s="10" t="s">
        <v>62</v>
      </c>
      <c r="L183" s="29" t="s">
        <v>371</v>
      </c>
      <c r="M183" s="29" t="s">
        <v>371</v>
      </c>
    </row>
    <row r="184" spans="2:13" ht="15" customHeight="1" x14ac:dyDescent="0.35">
      <c r="B184" s="50">
        <v>10</v>
      </c>
      <c r="C184" s="51" t="s">
        <v>21</v>
      </c>
      <c r="D184" s="52" t="str">
        <f t="shared" si="7"/>
        <v>058</v>
      </c>
      <c r="E184" s="52"/>
      <c r="F184" s="53" t="s">
        <v>12631</v>
      </c>
      <c r="G184" s="53" t="s">
        <v>12099</v>
      </c>
      <c r="H184" s="54" t="s">
        <v>12632</v>
      </c>
      <c r="I184" s="54" t="s">
        <v>12633</v>
      </c>
      <c r="J184" s="171">
        <v>45839</v>
      </c>
      <c r="K184" s="10" t="s">
        <v>62</v>
      </c>
      <c r="L184" s="29" t="s">
        <v>371</v>
      </c>
      <c r="M184" s="29" t="s">
        <v>371</v>
      </c>
    </row>
    <row r="185" spans="2:13" ht="15" customHeight="1" x14ac:dyDescent="0.35">
      <c r="B185" s="50">
        <v>10</v>
      </c>
      <c r="C185" s="51" t="s">
        <v>21</v>
      </c>
      <c r="D185" s="52" t="str">
        <f t="shared" si="7"/>
        <v>060</v>
      </c>
      <c r="E185" s="52"/>
      <c r="F185" s="53" t="s">
        <v>12634</v>
      </c>
      <c r="G185" s="53" t="s">
        <v>12103</v>
      </c>
      <c r="H185" s="54" t="s">
        <v>12635</v>
      </c>
      <c r="I185" s="54" t="s">
        <v>12636</v>
      </c>
      <c r="J185" s="171">
        <v>45839</v>
      </c>
      <c r="K185" s="10" t="s">
        <v>62</v>
      </c>
      <c r="L185" s="29" t="s">
        <v>371</v>
      </c>
      <c r="M185" s="29" t="s">
        <v>371</v>
      </c>
    </row>
    <row r="186" spans="2:13" ht="15" customHeight="1" x14ac:dyDescent="0.35">
      <c r="B186" s="50">
        <v>10</v>
      </c>
      <c r="C186" s="51" t="s">
        <v>21</v>
      </c>
      <c r="D186" s="52" t="str">
        <f t="shared" si="7"/>
        <v>062</v>
      </c>
      <c r="E186" s="52"/>
      <c r="F186" s="53" t="s">
        <v>12637</v>
      </c>
      <c r="G186" s="53" t="s">
        <v>12198</v>
      </c>
      <c r="H186" s="54" t="s">
        <v>12638</v>
      </c>
      <c r="I186" s="54" t="s">
        <v>12639</v>
      </c>
      <c r="J186" s="171">
        <v>45839</v>
      </c>
      <c r="K186" s="10" t="s">
        <v>62</v>
      </c>
      <c r="L186" s="29" t="s">
        <v>371</v>
      </c>
      <c r="M186" s="29" t="s">
        <v>371</v>
      </c>
    </row>
    <row r="187" spans="2:13" ht="15" customHeight="1" x14ac:dyDescent="0.35">
      <c r="B187" s="50">
        <v>10</v>
      </c>
      <c r="C187" s="51" t="s">
        <v>21</v>
      </c>
      <c r="D187" s="52" t="str">
        <f t="shared" si="7"/>
        <v>063</v>
      </c>
      <c r="E187" s="52"/>
      <c r="F187" s="53" t="s">
        <v>12640</v>
      </c>
      <c r="G187" s="53" t="s">
        <v>12202</v>
      </c>
      <c r="H187" s="54" t="s">
        <v>12641</v>
      </c>
      <c r="I187" s="54" t="s">
        <v>12642</v>
      </c>
      <c r="J187" s="171">
        <v>45839</v>
      </c>
      <c r="K187" s="10" t="s">
        <v>62</v>
      </c>
      <c r="L187" s="29" t="s">
        <v>371</v>
      </c>
      <c r="M187" s="29" t="s">
        <v>371</v>
      </c>
    </row>
    <row r="188" spans="2:13" ht="15" customHeight="1" x14ac:dyDescent="0.35">
      <c r="B188" s="50">
        <v>10</v>
      </c>
      <c r="C188" s="51" t="s">
        <v>21</v>
      </c>
      <c r="D188" s="52" t="str">
        <f t="shared" si="7"/>
        <v>067</v>
      </c>
      <c r="E188" s="52"/>
      <c r="F188" s="53" t="s">
        <v>12643</v>
      </c>
      <c r="G188" s="53" t="s">
        <v>12206</v>
      </c>
      <c r="H188" s="54" t="s">
        <v>12644</v>
      </c>
      <c r="I188" s="54" t="s">
        <v>12645</v>
      </c>
      <c r="J188" s="171">
        <v>45839</v>
      </c>
      <c r="K188" s="10" t="s">
        <v>62</v>
      </c>
      <c r="L188" s="29" t="s">
        <v>371</v>
      </c>
      <c r="M188" s="29" t="s">
        <v>371</v>
      </c>
    </row>
    <row r="189" spans="2:13" ht="15" customHeight="1" x14ac:dyDescent="0.35">
      <c r="B189" s="50">
        <v>10</v>
      </c>
      <c r="C189" s="51" t="s">
        <v>21</v>
      </c>
      <c r="D189" s="52" t="str">
        <f t="shared" si="7"/>
        <v>081</v>
      </c>
      <c r="E189" s="52"/>
      <c r="F189" s="53" t="s">
        <v>12646</v>
      </c>
      <c r="G189" s="53" t="s">
        <v>12210</v>
      </c>
      <c r="H189" s="54" t="s">
        <v>12647</v>
      </c>
      <c r="I189" s="54" t="s">
        <v>12648</v>
      </c>
      <c r="J189" s="171">
        <v>45839</v>
      </c>
      <c r="K189" s="10" t="s">
        <v>62</v>
      </c>
      <c r="L189" s="29" t="s">
        <v>371</v>
      </c>
      <c r="M189" s="29" t="s">
        <v>371</v>
      </c>
    </row>
    <row r="190" spans="2:13" ht="15" customHeight="1" x14ac:dyDescent="0.35">
      <c r="B190" s="50">
        <v>11</v>
      </c>
      <c r="C190" s="51" t="s">
        <v>22</v>
      </c>
      <c r="D190" s="52" t="str">
        <f t="shared" ref="D190:D214" si="10">RIGHT(F190,3)</f>
        <v>001</v>
      </c>
      <c r="E190" s="52"/>
      <c r="F190" s="53" t="s">
        <v>12649</v>
      </c>
      <c r="G190" s="53" t="s">
        <v>12031</v>
      </c>
      <c r="H190" s="54" t="s">
        <v>12650</v>
      </c>
      <c r="I190" s="54" t="s">
        <v>12651</v>
      </c>
      <c r="J190" s="171">
        <v>45839</v>
      </c>
      <c r="K190" s="10" t="s">
        <v>62</v>
      </c>
      <c r="L190" s="29" t="s">
        <v>371</v>
      </c>
      <c r="M190" s="29" t="s">
        <v>371</v>
      </c>
    </row>
    <row r="191" spans="2:13" ht="15" customHeight="1" x14ac:dyDescent="0.35">
      <c r="B191" s="50">
        <v>11</v>
      </c>
      <c r="C191" s="51" t="s">
        <v>22</v>
      </c>
      <c r="D191" s="52" t="str">
        <f t="shared" si="10"/>
        <v>002</v>
      </c>
      <c r="E191" s="52"/>
      <c r="F191" s="53" t="s">
        <v>12652</v>
      </c>
      <c r="G191" s="53" t="s">
        <v>12114</v>
      </c>
      <c r="H191" s="54" t="s">
        <v>12653</v>
      </c>
      <c r="I191" s="54" t="s">
        <v>12653</v>
      </c>
      <c r="J191" s="171">
        <v>45839</v>
      </c>
      <c r="K191" s="10" t="s">
        <v>62</v>
      </c>
      <c r="L191" s="29" t="s">
        <v>371</v>
      </c>
      <c r="M191" s="29" t="s">
        <v>371</v>
      </c>
    </row>
    <row r="192" spans="2:13" ht="15" customHeight="1" x14ac:dyDescent="0.35">
      <c r="B192" s="50">
        <v>11</v>
      </c>
      <c r="C192" s="51" t="s">
        <v>22</v>
      </c>
      <c r="D192" s="52" t="str">
        <f t="shared" si="10"/>
        <v>006</v>
      </c>
      <c r="E192" s="52"/>
      <c r="F192" s="53" t="s">
        <v>12654</v>
      </c>
      <c r="G192" s="53" t="s">
        <v>12039</v>
      </c>
      <c r="H192" s="54" t="s">
        <v>12655</v>
      </c>
      <c r="I192" s="54" t="s">
        <v>12656</v>
      </c>
      <c r="J192" s="171">
        <v>45839</v>
      </c>
      <c r="K192" s="10" t="s">
        <v>62</v>
      </c>
      <c r="L192" s="29" t="s">
        <v>371</v>
      </c>
      <c r="M192" s="29" t="s">
        <v>371</v>
      </c>
    </row>
    <row r="193" spans="2:13" ht="15" customHeight="1" x14ac:dyDescent="0.35">
      <c r="B193" s="50">
        <v>11</v>
      </c>
      <c r="C193" s="51" t="s">
        <v>22</v>
      </c>
      <c r="D193" s="52" t="str">
        <f t="shared" si="10"/>
        <v>007</v>
      </c>
      <c r="E193" s="52"/>
      <c r="F193" s="53" t="s">
        <v>12657</v>
      </c>
      <c r="G193" s="53" t="s">
        <v>12582</v>
      </c>
      <c r="H193" s="54" t="s">
        <v>12658</v>
      </c>
      <c r="I193" s="54" t="s">
        <v>12659</v>
      </c>
      <c r="J193" s="171">
        <v>45839</v>
      </c>
      <c r="K193" s="10" t="s">
        <v>62</v>
      </c>
      <c r="L193" s="29" t="s">
        <v>371</v>
      </c>
      <c r="M193" s="29" t="s">
        <v>371</v>
      </c>
    </row>
    <row r="194" spans="2:13" ht="15" customHeight="1" x14ac:dyDescent="0.35">
      <c r="B194" s="50">
        <v>11</v>
      </c>
      <c r="C194" s="51" t="s">
        <v>22</v>
      </c>
      <c r="D194" s="52" t="str">
        <f t="shared" si="10"/>
        <v>008</v>
      </c>
      <c r="E194" s="52"/>
      <c r="F194" s="53" t="s">
        <v>12660</v>
      </c>
      <c r="G194" s="53" t="s">
        <v>12043</v>
      </c>
      <c r="H194" s="54" t="s">
        <v>12661</v>
      </c>
      <c r="I194" s="54" t="s">
        <v>12662</v>
      </c>
      <c r="J194" s="171">
        <v>45839</v>
      </c>
      <c r="K194" s="10" t="s">
        <v>62</v>
      </c>
      <c r="L194" s="29" t="s">
        <v>371</v>
      </c>
      <c r="M194" s="29" t="s">
        <v>371</v>
      </c>
    </row>
    <row r="195" spans="2:13" ht="15" customHeight="1" x14ac:dyDescent="0.35">
      <c r="B195" s="50">
        <v>11</v>
      </c>
      <c r="C195" s="51" t="s">
        <v>22</v>
      </c>
      <c r="D195" s="52" t="str">
        <f t="shared" si="10"/>
        <v>014</v>
      </c>
      <c r="E195" s="52"/>
      <c r="F195" s="53" t="s">
        <v>12663</v>
      </c>
      <c r="G195" s="53" t="s">
        <v>12047</v>
      </c>
      <c r="H195" s="54" t="s">
        <v>12664</v>
      </c>
      <c r="I195" s="54" t="s">
        <v>12665</v>
      </c>
      <c r="J195" s="171">
        <v>45839</v>
      </c>
      <c r="K195" s="10" t="s">
        <v>62</v>
      </c>
      <c r="L195" s="29" t="s">
        <v>371</v>
      </c>
      <c r="M195" s="29" t="s">
        <v>371</v>
      </c>
    </row>
    <row r="196" spans="2:13" ht="15" customHeight="1" x14ac:dyDescent="0.35">
      <c r="B196" s="50">
        <v>11</v>
      </c>
      <c r="C196" s="51" t="s">
        <v>22</v>
      </c>
      <c r="D196" s="52" t="str">
        <f t="shared" si="10"/>
        <v>017</v>
      </c>
      <c r="E196" s="52"/>
      <c r="F196" s="53" t="s">
        <v>12666</v>
      </c>
      <c r="G196" s="53" t="s">
        <v>12051</v>
      </c>
      <c r="H196" s="54" t="s">
        <v>12667</v>
      </c>
      <c r="I196" s="54" t="s">
        <v>12668</v>
      </c>
      <c r="J196" s="171">
        <v>45839</v>
      </c>
      <c r="K196" s="10" t="s">
        <v>62</v>
      </c>
      <c r="L196" s="29" t="s">
        <v>371</v>
      </c>
      <c r="M196" s="29" t="s">
        <v>371</v>
      </c>
    </row>
    <row r="197" spans="2:13" ht="15" customHeight="1" x14ac:dyDescent="0.35">
      <c r="B197" s="50">
        <v>11</v>
      </c>
      <c r="C197" s="51" t="s">
        <v>22</v>
      </c>
      <c r="D197" s="52" t="str">
        <f t="shared" si="10"/>
        <v>018</v>
      </c>
      <c r="E197" s="52"/>
      <c r="F197" s="53" t="s">
        <v>12669</v>
      </c>
      <c r="G197" s="53" t="s">
        <v>12055</v>
      </c>
      <c r="H197" s="54" t="s">
        <v>12670</v>
      </c>
      <c r="I197" s="54" t="s">
        <v>12671</v>
      </c>
      <c r="J197" s="171">
        <v>45839</v>
      </c>
      <c r="K197" s="10" t="s">
        <v>62</v>
      </c>
      <c r="L197" s="29" t="s">
        <v>371</v>
      </c>
      <c r="M197" s="29" t="s">
        <v>371</v>
      </c>
    </row>
    <row r="198" spans="2:13" ht="15" customHeight="1" x14ac:dyDescent="0.35">
      <c r="B198" s="50">
        <v>11</v>
      </c>
      <c r="C198" s="51" t="s">
        <v>22</v>
      </c>
      <c r="D198" s="52" t="str">
        <f t="shared" si="10"/>
        <v>019</v>
      </c>
      <c r="E198" s="52"/>
      <c r="F198" s="53" t="s">
        <v>12672</v>
      </c>
      <c r="G198" s="53" t="s">
        <v>12059</v>
      </c>
      <c r="H198" s="54" t="s">
        <v>12673</v>
      </c>
      <c r="I198" s="54" t="s">
        <v>12674</v>
      </c>
      <c r="J198" s="171">
        <v>45839</v>
      </c>
      <c r="K198" s="10" t="s">
        <v>62</v>
      </c>
      <c r="L198" s="29" t="s">
        <v>371</v>
      </c>
      <c r="M198" s="29" t="s">
        <v>371</v>
      </c>
    </row>
    <row r="199" spans="2:13" ht="15" customHeight="1" x14ac:dyDescent="0.35">
      <c r="B199" s="50">
        <v>11</v>
      </c>
      <c r="C199" s="51" t="s">
        <v>22</v>
      </c>
      <c r="D199" s="52" t="str">
        <f t="shared" si="10"/>
        <v>021</v>
      </c>
      <c r="E199" s="52"/>
      <c r="F199" s="53" t="s">
        <v>12675</v>
      </c>
      <c r="G199" s="53" t="s">
        <v>12063</v>
      </c>
      <c r="H199" s="54" t="s">
        <v>12676</v>
      </c>
      <c r="I199" s="54" t="s">
        <v>12677</v>
      </c>
      <c r="J199" s="171">
        <v>45839</v>
      </c>
      <c r="K199" s="10" t="s">
        <v>62</v>
      </c>
      <c r="L199" s="29" t="s">
        <v>371</v>
      </c>
      <c r="M199" s="29" t="s">
        <v>371</v>
      </c>
    </row>
    <row r="200" spans="2:13" ht="15" customHeight="1" x14ac:dyDescent="0.35">
      <c r="B200" s="50">
        <v>11</v>
      </c>
      <c r="C200" s="51" t="s">
        <v>22</v>
      </c>
      <c r="D200" s="52" t="str">
        <f t="shared" si="10"/>
        <v>022</v>
      </c>
      <c r="E200" s="52"/>
      <c r="F200" s="53" t="s">
        <v>12678</v>
      </c>
      <c r="G200" s="53" t="s">
        <v>12129</v>
      </c>
      <c r="H200" s="54" t="s">
        <v>12679</v>
      </c>
      <c r="I200" s="54" t="s">
        <v>12680</v>
      </c>
      <c r="J200" s="171">
        <v>45839</v>
      </c>
      <c r="K200" s="10" t="s">
        <v>62</v>
      </c>
      <c r="L200" s="29" t="s">
        <v>371</v>
      </c>
      <c r="M200" s="29" t="s">
        <v>371</v>
      </c>
    </row>
    <row r="201" spans="2:13" ht="15" customHeight="1" x14ac:dyDescent="0.35">
      <c r="B201" s="50">
        <v>11</v>
      </c>
      <c r="C201" s="51" t="s">
        <v>22</v>
      </c>
      <c r="D201" s="52" t="str">
        <f t="shared" si="10"/>
        <v>023</v>
      </c>
      <c r="E201" s="52"/>
      <c r="F201" s="53" t="s">
        <v>12681</v>
      </c>
      <c r="G201" s="53" t="s">
        <v>12607</v>
      </c>
      <c r="H201" s="54" t="s">
        <v>12682</v>
      </c>
      <c r="I201" s="54" t="s">
        <v>12683</v>
      </c>
      <c r="J201" s="171">
        <v>45839</v>
      </c>
      <c r="K201" s="10" t="s">
        <v>62</v>
      </c>
      <c r="L201" s="29" t="s">
        <v>371</v>
      </c>
      <c r="M201" s="29" t="s">
        <v>371</v>
      </c>
    </row>
    <row r="202" spans="2:13" ht="15" customHeight="1" x14ac:dyDescent="0.35">
      <c r="B202" s="50">
        <v>11</v>
      </c>
      <c r="C202" s="51" t="s">
        <v>22</v>
      </c>
      <c r="D202" s="52" t="str">
        <f t="shared" si="10"/>
        <v>024</v>
      </c>
      <c r="E202" s="52"/>
      <c r="F202" s="53" t="s">
        <v>12684</v>
      </c>
      <c r="G202" s="53" t="s">
        <v>12137</v>
      </c>
      <c r="H202" s="54" t="s">
        <v>12685</v>
      </c>
      <c r="I202" s="54" t="s">
        <v>12686</v>
      </c>
      <c r="J202" s="171">
        <v>45839</v>
      </c>
      <c r="K202" s="10" t="s">
        <v>62</v>
      </c>
      <c r="L202" s="29" t="s">
        <v>371</v>
      </c>
      <c r="M202" s="29" t="s">
        <v>371</v>
      </c>
    </row>
    <row r="203" spans="2:13" ht="15" customHeight="1" x14ac:dyDescent="0.35">
      <c r="B203" s="50">
        <v>11</v>
      </c>
      <c r="C203" s="51" t="s">
        <v>22</v>
      </c>
      <c r="D203" s="52" t="str">
        <f t="shared" si="10"/>
        <v>026</v>
      </c>
      <c r="E203" s="52"/>
      <c r="F203" s="53" t="s">
        <v>12687</v>
      </c>
      <c r="G203" s="53" t="s">
        <v>12149</v>
      </c>
      <c r="H203" s="54" t="s">
        <v>12688</v>
      </c>
      <c r="I203" s="54" t="s">
        <v>12689</v>
      </c>
      <c r="J203" s="171">
        <v>45839</v>
      </c>
      <c r="K203" s="10" t="s">
        <v>62</v>
      </c>
      <c r="L203" s="29" t="s">
        <v>371</v>
      </c>
      <c r="M203" s="29" t="s">
        <v>371</v>
      </c>
    </row>
    <row r="204" spans="2:13" ht="15" customHeight="1" x14ac:dyDescent="0.35">
      <c r="B204" s="50">
        <v>11</v>
      </c>
      <c r="C204" s="51" t="s">
        <v>22</v>
      </c>
      <c r="D204" s="52" t="str">
        <f t="shared" si="10"/>
        <v>027</v>
      </c>
      <c r="E204" s="52"/>
      <c r="F204" s="53" t="s">
        <v>12690</v>
      </c>
      <c r="G204" s="53" t="s">
        <v>12616</v>
      </c>
      <c r="H204" s="54" t="s">
        <v>12691</v>
      </c>
      <c r="I204" s="54" t="s">
        <v>12692</v>
      </c>
      <c r="J204" s="171">
        <v>45839</v>
      </c>
      <c r="K204" s="10" t="s">
        <v>62</v>
      </c>
      <c r="L204" s="29" t="s">
        <v>371</v>
      </c>
      <c r="M204" s="29" t="s">
        <v>371</v>
      </c>
    </row>
    <row r="205" spans="2:13" ht="15" customHeight="1" x14ac:dyDescent="0.35">
      <c r="B205" s="50">
        <v>11</v>
      </c>
      <c r="C205" s="51" t="s">
        <v>22</v>
      </c>
      <c r="D205" s="52" t="str">
        <f t="shared" si="10"/>
        <v>028</v>
      </c>
      <c r="E205" s="52"/>
      <c r="F205" s="53" t="s">
        <v>12693</v>
      </c>
      <c r="G205" s="53" t="s">
        <v>12153</v>
      </c>
      <c r="H205" s="54" t="s">
        <v>12694</v>
      </c>
      <c r="I205" s="54" t="s">
        <v>12695</v>
      </c>
      <c r="J205" s="171">
        <v>45839</v>
      </c>
      <c r="K205" s="10" t="s">
        <v>62</v>
      </c>
      <c r="L205" s="29" t="s">
        <v>371</v>
      </c>
      <c r="M205" s="29" t="s">
        <v>371</v>
      </c>
    </row>
    <row r="206" spans="2:13" ht="15" customHeight="1" x14ac:dyDescent="0.35">
      <c r="B206" s="50">
        <v>11</v>
      </c>
      <c r="C206" s="51" t="s">
        <v>22</v>
      </c>
      <c r="D206" s="52" t="str">
        <f t="shared" si="10"/>
        <v>029</v>
      </c>
      <c r="E206" s="52"/>
      <c r="F206" s="53" t="s">
        <v>12696</v>
      </c>
      <c r="G206" s="53" t="s">
        <v>12079</v>
      </c>
      <c r="H206" s="54" t="s">
        <v>12697</v>
      </c>
      <c r="I206" s="54" t="s">
        <v>12698</v>
      </c>
      <c r="J206" s="171">
        <v>45839</v>
      </c>
      <c r="K206" s="10" t="s">
        <v>62</v>
      </c>
      <c r="L206" s="29" t="s">
        <v>371</v>
      </c>
      <c r="M206" s="29" t="s">
        <v>371</v>
      </c>
    </row>
    <row r="207" spans="2:13" ht="15" customHeight="1" x14ac:dyDescent="0.35">
      <c r="B207" s="50">
        <v>11</v>
      </c>
      <c r="C207" s="51" t="s">
        <v>22</v>
      </c>
      <c r="D207" s="52" t="str">
        <f t="shared" si="10"/>
        <v>030</v>
      </c>
      <c r="E207" s="52"/>
      <c r="F207" s="53" t="s">
        <v>12699</v>
      </c>
      <c r="G207" s="53" t="s">
        <v>12083</v>
      </c>
      <c r="H207" s="54" t="s">
        <v>12700</v>
      </c>
      <c r="I207" s="54" t="s">
        <v>12701</v>
      </c>
      <c r="J207" s="171">
        <v>45839</v>
      </c>
      <c r="K207" s="10" t="s">
        <v>62</v>
      </c>
      <c r="L207" s="29" t="s">
        <v>371</v>
      </c>
      <c r="M207" s="29" t="s">
        <v>371</v>
      </c>
    </row>
    <row r="208" spans="2:13" ht="15" customHeight="1" x14ac:dyDescent="0.35">
      <c r="B208" s="50">
        <v>11</v>
      </c>
      <c r="C208" s="51" t="s">
        <v>22</v>
      </c>
      <c r="D208" s="52" t="str">
        <f t="shared" si="10"/>
        <v>031</v>
      </c>
      <c r="E208" s="52"/>
      <c r="F208" s="53" t="s">
        <v>12702</v>
      </c>
      <c r="G208" s="53" t="s">
        <v>12172</v>
      </c>
      <c r="H208" s="54" t="s">
        <v>12703</v>
      </c>
      <c r="I208" s="54" t="s">
        <v>12704</v>
      </c>
      <c r="J208" s="171">
        <v>45839</v>
      </c>
      <c r="K208" s="10" t="s">
        <v>62</v>
      </c>
      <c r="L208" s="29" t="s">
        <v>371</v>
      </c>
      <c r="M208" s="29" t="s">
        <v>371</v>
      </c>
    </row>
    <row r="209" spans="2:13" ht="15" customHeight="1" x14ac:dyDescent="0.35">
      <c r="B209" s="50">
        <v>11</v>
      </c>
      <c r="C209" s="51" t="s">
        <v>22</v>
      </c>
      <c r="D209" s="52" t="str">
        <f t="shared" si="10"/>
        <v>058</v>
      </c>
      <c r="E209" s="52"/>
      <c r="F209" s="53" t="s">
        <v>12705</v>
      </c>
      <c r="G209" s="53" t="s">
        <v>12099</v>
      </c>
      <c r="H209" s="54" t="s">
        <v>12706</v>
      </c>
      <c r="I209" s="54" t="s">
        <v>12707</v>
      </c>
      <c r="J209" s="171">
        <v>45839</v>
      </c>
      <c r="K209" s="10" t="s">
        <v>62</v>
      </c>
      <c r="L209" s="29" t="s">
        <v>371</v>
      </c>
      <c r="M209" s="29" t="s">
        <v>371</v>
      </c>
    </row>
    <row r="210" spans="2:13" ht="15" customHeight="1" x14ac:dyDescent="0.35">
      <c r="B210" s="50">
        <v>11</v>
      </c>
      <c r="C210" s="51" t="s">
        <v>22</v>
      </c>
      <c r="D210" s="52" t="str">
        <f t="shared" si="10"/>
        <v>060</v>
      </c>
      <c r="E210" s="52"/>
      <c r="F210" s="53" t="s">
        <v>12708</v>
      </c>
      <c r="G210" s="53" t="s">
        <v>12103</v>
      </c>
      <c r="H210" s="54" t="s">
        <v>12709</v>
      </c>
      <c r="I210" s="54" t="s">
        <v>12710</v>
      </c>
      <c r="J210" s="171">
        <v>45839</v>
      </c>
      <c r="K210" s="10" t="s">
        <v>62</v>
      </c>
      <c r="L210" s="29" t="s">
        <v>371</v>
      </c>
      <c r="M210" s="29" t="s">
        <v>371</v>
      </c>
    </row>
    <row r="211" spans="2:13" ht="15" customHeight="1" x14ac:dyDescent="0.35">
      <c r="B211" s="50">
        <v>11</v>
      </c>
      <c r="C211" s="51" t="s">
        <v>22</v>
      </c>
      <c r="D211" s="52" t="str">
        <f t="shared" si="10"/>
        <v>062</v>
      </c>
      <c r="E211" s="52"/>
      <c r="F211" s="53" t="s">
        <v>12711</v>
      </c>
      <c r="G211" s="53" t="s">
        <v>12198</v>
      </c>
      <c r="H211" s="54" t="s">
        <v>12712</v>
      </c>
      <c r="I211" s="54" t="s">
        <v>12713</v>
      </c>
      <c r="J211" s="171">
        <v>45839</v>
      </c>
      <c r="K211" s="10" t="s">
        <v>62</v>
      </c>
      <c r="L211" s="29" t="s">
        <v>371</v>
      </c>
      <c r="M211" s="29" t="s">
        <v>371</v>
      </c>
    </row>
    <row r="212" spans="2:13" ht="15" customHeight="1" x14ac:dyDescent="0.35">
      <c r="B212" s="50">
        <v>11</v>
      </c>
      <c r="C212" s="51" t="s">
        <v>22</v>
      </c>
      <c r="D212" s="52" t="str">
        <f t="shared" si="10"/>
        <v>063</v>
      </c>
      <c r="E212" s="52"/>
      <c r="F212" s="53" t="s">
        <v>12714</v>
      </c>
      <c r="G212" s="53" t="s">
        <v>12202</v>
      </c>
      <c r="H212" s="54" t="s">
        <v>12715</v>
      </c>
      <c r="I212" s="54" t="s">
        <v>12716</v>
      </c>
      <c r="J212" s="171">
        <v>45839</v>
      </c>
      <c r="K212" s="10" t="s">
        <v>62</v>
      </c>
      <c r="L212" s="29" t="s">
        <v>371</v>
      </c>
      <c r="M212" s="29" t="s">
        <v>371</v>
      </c>
    </row>
    <row r="213" spans="2:13" ht="15" customHeight="1" x14ac:dyDescent="0.35">
      <c r="B213" s="50">
        <v>11</v>
      </c>
      <c r="C213" s="51" t="s">
        <v>22</v>
      </c>
      <c r="D213" s="52" t="str">
        <f t="shared" si="10"/>
        <v>067</v>
      </c>
      <c r="E213" s="52"/>
      <c r="F213" s="53" t="s">
        <v>12717</v>
      </c>
      <c r="G213" s="53" t="s">
        <v>12206</v>
      </c>
      <c r="H213" s="54" t="s">
        <v>12718</v>
      </c>
      <c r="I213" s="54" t="s">
        <v>12719</v>
      </c>
      <c r="J213" s="171">
        <v>45839</v>
      </c>
      <c r="K213" s="10" t="s">
        <v>62</v>
      </c>
      <c r="L213" s="29" t="s">
        <v>371</v>
      </c>
      <c r="M213" s="29" t="s">
        <v>371</v>
      </c>
    </row>
    <row r="214" spans="2:13" ht="15" customHeight="1" x14ac:dyDescent="0.35">
      <c r="B214" s="50">
        <v>11</v>
      </c>
      <c r="C214" s="51" t="s">
        <v>22</v>
      </c>
      <c r="D214" s="52" t="str">
        <f t="shared" si="10"/>
        <v>081</v>
      </c>
      <c r="E214" s="52"/>
      <c r="F214" s="53" t="s">
        <v>12720</v>
      </c>
      <c r="G214" s="53" t="s">
        <v>12210</v>
      </c>
      <c r="H214" s="54" t="s">
        <v>12721</v>
      </c>
      <c r="I214" s="54" t="s">
        <v>12722</v>
      </c>
      <c r="J214" s="171">
        <v>45839</v>
      </c>
      <c r="K214" s="10" t="s">
        <v>62</v>
      </c>
      <c r="L214" s="29" t="s">
        <v>371</v>
      </c>
      <c r="M214" s="29" t="s">
        <v>371</v>
      </c>
    </row>
    <row r="215" spans="2:13" ht="15" customHeight="1" x14ac:dyDescent="0.35">
      <c r="B215" s="50">
        <v>12</v>
      </c>
      <c r="C215" s="51" t="s">
        <v>20</v>
      </c>
      <c r="D215" s="52" t="str">
        <f>RIGHT(F215,3)</f>
        <v>001</v>
      </c>
      <c r="E215" s="52"/>
      <c r="F215" s="53" t="s">
        <v>12723</v>
      </c>
      <c r="G215" s="53" t="s">
        <v>12214</v>
      </c>
      <c r="H215" s="54" t="s">
        <v>12724</v>
      </c>
      <c r="I215" s="54"/>
      <c r="J215" s="171">
        <v>45217</v>
      </c>
      <c r="K215" s="10" t="s">
        <v>62</v>
      </c>
      <c r="L215" s="29" t="s">
        <v>371</v>
      </c>
      <c r="M215" s="29"/>
    </row>
    <row r="216" spans="2:13" ht="15" customHeight="1" x14ac:dyDescent="0.35">
      <c r="B216" s="50">
        <v>12</v>
      </c>
      <c r="C216" s="51" t="s">
        <v>20</v>
      </c>
      <c r="D216" s="52" t="str">
        <f t="shared" ref="D216:D234" si="11">RIGHT(F216,3)</f>
        <v>002</v>
      </c>
      <c r="E216" s="52"/>
      <c r="F216" s="53" t="s">
        <v>12725</v>
      </c>
      <c r="G216" s="53" t="s">
        <v>12218</v>
      </c>
      <c r="H216" s="54" t="s">
        <v>12726</v>
      </c>
      <c r="I216" s="54"/>
      <c r="J216" s="171">
        <v>45217</v>
      </c>
      <c r="K216" s="10" t="s">
        <v>62</v>
      </c>
      <c r="L216" s="29" t="s">
        <v>371</v>
      </c>
      <c r="M216" s="29"/>
    </row>
    <row r="217" spans="2:13" ht="15" customHeight="1" x14ac:dyDescent="0.35">
      <c r="B217" s="50">
        <v>12</v>
      </c>
      <c r="C217" s="51" t="s">
        <v>20</v>
      </c>
      <c r="D217" s="52" t="str">
        <f t="shared" si="11"/>
        <v>006</v>
      </c>
      <c r="E217" s="52"/>
      <c r="F217" s="53" t="s">
        <v>12727</v>
      </c>
      <c r="G217" s="53" t="s">
        <v>12222</v>
      </c>
      <c r="H217" s="54" t="s">
        <v>12728</v>
      </c>
      <c r="I217" s="54"/>
      <c r="J217" s="171">
        <v>44188</v>
      </c>
      <c r="K217" s="10" t="s">
        <v>62</v>
      </c>
      <c r="L217" s="29" t="s">
        <v>371</v>
      </c>
      <c r="M217" s="29"/>
    </row>
    <row r="218" spans="2:13" ht="15" customHeight="1" x14ac:dyDescent="0.35">
      <c r="B218" s="50">
        <v>12</v>
      </c>
      <c r="C218" s="51" t="s">
        <v>20</v>
      </c>
      <c r="D218" s="52" t="str">
        <f t="shared" si="11"/>
        <v>014</v>
      </c>
      <c r="E218" s="52"/>
      <c r="F218" s="53" t="s">
        <v>12729</v>
      </c>
      <c r="G218" s="53" t="s">
        <v>12730</v>
      </c>
      <c r="H218" s="54" t="s">
        <v>12731</v>
      </c>
      <c r="I218" s="54"/>
      <c r="J218" s="171">
        <v>44188</v>
      </c>
      <c r="K218" s="10" t="s">
        <v>62</v>
      </c>
      <c r="L218" s="29" t="s">
        <v>371</v>
      </c>
      <c r="M218" s="29"/>
    </row>
    <row r="219" spans="2:13" ht="15" customHeight="1" x14ac:dyDescent="0.35">
      <c r="B219" s="50">
        <v>12</v>
      </c>
      <c r="C219" s="51" t="s">
        <v>20</v>
      </c>
      <c r="D219" s="52" t="str">
        <f t="shared" si="11"/>
        <v>017</v>
      </c>
      <c r="E219" s="52"/>
      <c r="F219" s="53" t="s">
        <v>12732</v>
      </c>
      <c r="G219" s="53" t="s">
        <v>12230</v>
      </c>
      <c r="H219" s="54" t="s">
        <v>12733</v>
      </c>
      <c r="I219" s="54"/>
      <c r="J219" s="171">
        <v>44188</v>
      </c>
      <c r="K219" s="10" t="s">
        <v>62</v>
      </c>
      <c r="L219" s="29" t="s">
        <v>371</v>
      </c>
      <c r="M219" s="29"/>
    </row>
    <row r="220" spans="2:13" ht="15" customHeight="1" x14ac:dyDescent="0.35">
      <c r="B220" s="50">
        <v>12</v>
      </c>
      <c r="C220" s="51" t="s">
        <v>20</v>
      </c>
      <c r="D220" s="52" t="str">
        <f t="shared" si="11"/>
        <v>018</v>
      </c>
      <c r="E220" s="52"/>
      <c r="F220" s="53" t="s">
        <v>12734</v>
      </c>
      <c r="G220" s="53" t="s">
        <v>12234</v>
      </c>
      <c r="H220" s="54" t="s">
        <v>12735</v>
      </c>
      <c r="I220" s="54"/>
      <c r="J220" s="171">
        <v>44188</v>
      </c>
      <c r="K220" s="10" t="s">
        <v>62</v>
      </c>
      <c r="L220" s="29" t="s">
        <v>371</v>
      </c>
      <c r="M220" s="29"/>
    </row>
    <row r="221" spans="2:13" ht="15" customHeight="1" x14ac:dyDescent="0.35">
      <c r="B221" s="50">
        <v>12</v>
      </c>
      <c r="C221" s="51" t="s">
        <v>20</v>
      </c>
      <c r="D221" s="52" t="str">
        <f t="shared" si="11"/>
        <v>019</v>
      </c>
      <c r="E221" s="52"/>
      <c r="F221" s="53" t="s">
        <v>12736</v>
      </c>
      <c r="G221" s="53" t="s">
        <v>12238</v>
      </c>
      <c r="H221" s="54" t="s">
        <v>12737</v>
      </c>
      <c r="I221" s="54"/>
      <c r="J221" s="171">
        <v>44188</v>
      </c>
      <c r="K221" s="10" t="s">
        <v>62</v>
      </c>
      <c r="L221" s="29" t="s">
        <v>371</v>
      </c>
      <c r="M221" s="29"/>
    </row>
    <row r="222" spans="2:13" ht="15" customHeight="1" x14ac:dyDescent="0.35">
      <c r="B222" s="50">
        <v>12</v>
      </c>
      <c r="C222" s="51" t="s">
        <v>20</v>
      </c>
      <c r="D222" s="52" t="str">
        <f t="shared" si="11"/>
        <v>021</v>
      </c>
      <c r="E222" s="52"/>
      <c r="F222" s="53" t="s">
        <v>12738</v>
      </c>
      <c r="G222" s="53" t="s">
        <v>12242</v>
      </c>
      <c r="H222" s="54" t="s">
        <v>12739</v>
      </c>
      <c r="I222" s="54"/>
      <c r="J222" s="171">
        <v>44188</v>
      </c>
      <c r="K222" s="10" t="s">
        <v>62</v>
      </c>
      <c r="L222" s="29" t="s">
        <v>371</v>
      </c>
      <c r="M222" s="29"/>
    </row>
    <row r="223" spans="2:13" ht="15" customHeight="1" x14ac:dyDescent="0.35">
      <c r="B223" s="50">
        <v>12</v>
      </c>
      <c r="C223" s="51" t="s">
        <v>20</v>
      </c>
      <c r="D223" s="52" t="str">
        <f t="shared" si="11"/>
        <v>022</v>
      </c>
      <c r="E223" s="52"/>
      <c r="F223" s="53" t="s">
        <v>12740</v>
      </c>
      <c r="G223" s="53" t="s">
        <v>12741</v>
      </c>
      <c r="H223" s="54" t="s">
        <v>12742</v>
      </c>
      <c r="I223" s="54"/>
      <c r="J223" s="171">
        <v>44188</v>
      </c>
      <c r="K223" s="10" t="s">
        <v>62</v>
      </c>
      <c r="L223" s="29" t="s">
        <v>371</v>
      </c>
      <c r="M223" s="29"/>
    </row>
    <row r="224" spans="2:13" ht="15" customHeight="1" x14ac:dyDescent="0.35">
      <c r="B224" s="50">
        <v>12</v>
      </c>
      <c r="C224" s="51" t="s">
        <v>20</v>
      </c>
      <c r="D224" s="52" t="str">
        <f t="shared" si="11"/>
        <v>024</v>
      </c>
      <c r="E224" s="52"/>
      <c r="F224" s="53" t="s">
        <v>12743</v>
      </c>
      <c r="G224" s="53" t="s">
        <v>12744</v>
      </c>
      <c r="H224" s="54" t="s">
        <v>12745</v>
      </c>
      <c r="I224" s="54"/>
      <c r="J224" s="171">
        <v>44188</v>
      </c>
      <c r="K224" s="10" t="s">
        <v>62</v>
      </c>
      <c r="L224" s="29" t="s">
        <v>371</v>
      </c>
      <c r="M224" s="29"/>
    </row>
    <row r="225" spans="2:13" ht="15" customHeight="1" x14ac:dyDescent="0.35">
      <c r="B225" s="50">
        <v>12</v>
      </c>
      <c r="C225" s="51" t="s">
        <v>20</v>
      </c>
      <c r="D225" s="52" t="str">
        <f t="shared" si="11"/>
        <v>026</v>
      </c>
      <c r="E225" s="52"/>
      <c r="F225" s="53" t="s">
        <v>12746</v>
      </c>
      <c r="G225" s="53" t="s">
        <v>12254</v>
      </c>
      <c r="H225" s="54" t="s">
        <v>12747</v>
      </c>
      <c r="I225" s="54"/>
      <c r="J225" s="171">
        <v>44188</v>
      </c>
      <c r="K225" s="10" t="s">
        <v>62</v>
      </c>
      <c r="L225" s="29" t="s">
        <v>371</v>
      </c>
      <c r="M225" s="29"/>
    </row>
    <row r="226" spans="2:13" ht="15" customHeight="1" x14ac:dyDescent="0.35">
      <c r="B226" s="50">
        <v>12</v>
      </c>
      <c r="C226" s="51" t="s">
        <v>20</v>
      </c>
      <c r="D226" s="52" t="str">
        <f t="shared" si="11"/>
        <v>028</v>
      </c>
      <c r="E226" s="52"/>
      <c r="F226" s="53" t="s">
        <v>12748</v>
      </c>
      <c r="G226" s="53" t="s">
        <v>12258</v>
      </c>
      <c r="H226" s="54" t="s">
        <v>12749</v>
      </c>
      <c r="I226" s="54"/>
      <c r="J226" s="171">
        <v>44188</v>
      </c>
      <c r="K226" s="10" t="s">
        <v>62</v>
      </c>
      <c r="L226" s="29" t="s">
        <v>371</v>
      </c>
      <c r="M226" s="29"/>
    </row>
    <row r="227" spans="2:13" ht="15" customHeight="1" x14ac:dyDescent="0.35">
      <c r="B227" s="50">
        <v>12</v>
      </c>
      <c r="C227" s="51" t="s">
        <v>20</v>
      </c>
      <c r="D227" s="52" t="str">
        <f t="shared" si="11"/>
        <v>029</v>
      </c>
      <c r="E227" s="52"/>
      <c r="F227" s="53" t="s">
        <v>12750</v>
      </c>
      <c r="G227" s="53" t="s">
        <v>12751</v>
      </c>
      <c r="H227" s="54" t="s">
        <v>12752</v>
      </c>
      <c r="I227" s="54"/>
      <c r="J227" s="171">
        <v>44188</v>
      </c>
      <c r="K227" s="10" t="s">
        <v>62</v>
      </c>
      <c r="L227" s="29" t="s">
        <v>371</v>
      </c>
      <c r="M227" s="29"/>
    </row>
    <row r="228" spans="2:13" ht="15" customHeight="1" x14ac:dyDescent="0.35">
      <c r="B228" s="50">
        <v>12</v>
      </c>
      <c r="C228" s="51" t="s">
        <v>20</v>
      </c>
      <c r="D228" s="52" t="str">
        <f t="shared" si="11"/>
        <v>030</v>
      </c>
      <c r="E228" s="52"/>
      <c r="F228" s="53" t="s">
        <v>12753</v>
      </c>
      <c r="G228" s="53" t="s">
        <v>12754</v>
      </c>
      <c r="H228" s="54" t="s">
        <v>12755</v>
      </c>
      <c r="I228" s="54"/>
      <c r="J228" s="171">
        <v>44188</v>
      </c>
      <c r="K228" s="10" t="s">
        <v>62</v>
      </c>
      <c r="L228" s="29" t="s">
        <v>371</v>
      </c>
      <c r="M228" s="29"/>
    </row>
    <row r="229" spans="2:13" ht="15" customHeight="1" x14ac:dyDescent="0.35">
      <c r="B229" s="50">
        <v>12</v>
      </c>
      <c r="C229" s="51" t="s">
        <v>20</v>
      </c>
      <c r="D229" s="52" t="str">
        <f t="shared" si="11"/>
        <v>031</v>
      </c>
      <c r="E229" s="52"/>
      <c r="F229" s="53" t="s">
        <v>12756</v>
      </c>
      <c r="G229" s="53" t="s">
        <v>12282</v>
      </c>
      <c r="H229" s="54" t="s">
        <v>12757</v>
      </c>
      <c r="I229" s="54"/>
      <c r="J229" s="171">
        <v>44188</v>
      </c>
      <c r="K229" s="10" t="s">
        <v>62</v>
      </c>
      <c r="L229" s="29" t="s">
        <v>371</v>
      </c>
      <c r="M229" s="29"/>
    </row>
    <row r="230" spans="2:13" ht="15" customHeight="1" x14ac:dyDescent="0.35">
      <c r="B230" s="50">
        <v>12</v>
      </c>
      <c r="C230" s="51" t="s">
        <v>20</v>
      </c>
      <c r="D230" s="52" t="str">
        <f t="shared" si="11"/>
        <v>032</v>
      </c>
      <c r="E230" s="52"/>
      <c r="F230" s="53" t="s">
        <v>12758</v>
      </c>
      <c r="G230" s="53" t="s">
        <v>12759</v>
      </c>
      <c r="H230" s="54" t="s">
        <v>12760</v>
      </c>
      <c r="I230" s="54"/>
      <c r="J230" s="171">
        <v>44188</v>
      </c>
      <c r="K230" s="10" t="s">
        <v>62</v>
      </c>
      <c r="L230" s="29" t="s">
        <v>371</v>
      </c>
      <c r="M230" s="29"/>
    </row>
    <row r="231" spans="2:13" ht="15" customHeight="1" x14ac:dyDescent="0.35">
      <c r="B231" s="50">
        <v>12</v>
      </c>
      <c r="C231" s="51" t="s">
        <v>20</v>
      </c>
      <c r="D231" s="52" t="str">
        <f t="shared" si="11"/>
        <v>058</v>
      </c>
      <c r="E231" s="52"/>
      <c r="F231" s="53" t="s">
        <v>12761</v>
      </c>
      <c r="G231" s="53" t="s">
        <v>12286</v>
      </c>
      <c r="H231" s="54" t="s">
        <v>12762</v>
      </c>
      <c r="I231" s="54"/>
      <c r="J231" s="171">
        <v>44188</v>
      </c>
      <c r="K231" s="10" t="s">
        <v>62</v>
      </c>
      <c r="L231" s="29" t="s">
        <v>371</v>
      </c>
      <c r="M231" s="29"/>
    </row>
    <row r="232" spans="2:13" ht="15" customHeight="1" x14ac:dyDescent="0.35">
      <c r="B232" s="50">
        <v>12</v>
      </c>
      <c r="C232" s="51" t="s">
        <v>20</v>
      </c>
      <c r="D232" s="161">
        <v>60</v>
      </c>
      <c r="E232" s="52"/>
      <c r="F232" s="53" t="s">
        <v>12763</v>
      </c>
      <c r="G232" s="53" t="s">
        <v>12103</v>
      </c>
      <c r="H232" s="54" t="s">
        <v>12764</v>
      </c>
      <c r="I232" s="54"/>
      <c r="J232" s="171">
        <v>44188</v>
      </c>
      <c r="K232" s="10" t="s">
        <v>62</v>
      </c>
      <c r="L232" s="29" t="s">
        <v>371</v>
      </c>
      <c r="M232" s="29"/>
    </row>
    <row r="233" spans="2:13" ht="15" customHeight="1" x14ac:dyDescent="0.35">
      <c r="B233" s="50">
        <v>12</v>
      </c>
      <c r="C233" s="51" t="s">
        <v>20</v>
      </c>
      <c r="D233" s="52" t="str">
        <f t="shared" si="11"/>
        <v>061</v>
      </c>
      <c r="E233" s="52"/>
      <c r="F233" s="53" t="s">
        <v>12765</v>
      </c>
      <c r="G233" s="53" t="s">
        <v>12766</v>
      </c>
      <c r="H233" s="54" t="s">
        <v>12767</v>
      </c>
      <c r="I233" s="54"/>
      <c r="J233" s="54"/>
      <c r="K233" s="11" t="s">
        <v>11838</v>
      </c>
      <c r="L233" s="29"/>
      <c r="M233" s="29"/>
    </row>
    <row r="234" spans="2:13" ht="15" customHeight="1" x14ac:dyDescent="0.35">
      <c r="B234" s="50">
        <v>12</v>
      </c>
      <c r="C234" s="51" t="s">
        <v>20</v>
      </c>
      <c r="D234" s="52" t="str">
        <f t="shared" si="11"/>
        <v>062</v>
      </c>
      <c r="E234" s="52"/>
      <c r="F234" s="53" t="s">
        <v>12768</v>
      </c>
      <c r="G234" s="53" t="s">
        <v>12462</v>
      </c>
      <c r="H234" s="54" t="s">
        <v>12769</v>
      </c>
      <c r="I234" s="54"/>
      <c r="J234" s="171">
        <v>44188</v>
      </c>
      <c r="K234" s="10" t="s">
        <v>62</v>
      </c>
      <c r="L234" s="29" t="s">
        <v>371</v>
      </c>
      <c r="M234" s="29"/>
    </row>
    <row r="235" spans="2:13" ht="15" customHeight="1" x14ac:dyDescent="0.35">
      <c r="B235" s="50">
        <v>13</v>
      </c>
      <c r="C235" s="51" t="s">
        <v>25</v>
      </c>
      <c r="D235" s="52" t="s">
        <v>12414</v>
      </c>
      <c r="E235" s="67"/>
      <c r="F235" s="53" t="s">
        <v>12770</v>
      </c>
      <c r="G235" s="53" t="s">
        <v>12771</v>
      </c>
      <c r="H235" s="54" t="s">
        <v>12772</v>
      </c>
      <c r="I235" s="54" t="s">
        <v>12773</v>
      </c>
      <c r="J235" s="103">
        <v>45626</v>
      </c>
      <c r="K235" s="10" t="s">
        <v>62</v>
      </c>
      <c r="L235" s="29" t="s">
        <v>371</v>
      </c>
      <c r="M235" s="29" t="s">
        <v>371</v>
      </c>
    </row>
    <row r="236" spans="2:13" ht="15" customHeight="1" x14ac:dyDescent="0.35">
      <c r="B236" s="50">
        <v>13</v>
      </c>
      <c r="C236" s="51" t="s">
        <v>25</v>
      </c>
      <c r="D236" s="52" t="str">
        <f t="shared" ref="D236" si="12">RIGHT(F236,3)</f>
        <v>013</v>
      </c>
      <c r="E236" s="67"/>
      <c r="F236" s="53" t="s">
        <v>12774</v>
      </c>
      <c r="G236" s="53" t="s">
        <v>12775</v>
      </c>
      <c r="H236" s="54" t="s">
        <v>12776</v>
      </c>
      <c r="I236" s="54" t="s">
        <v>12777</v>
      </c>
      <c r="J236" s="103">
        <v>45626</v>
      </c>
      <c r="K236" s="10" t="s">
        <v>62</v>
      </c>
      <c r="L236" s="29" t="s">
        <v>371</v>
      </c>
      <c r="M236" s="29" t="s">
        <v>371</v>
      </c>
    </row>
    <row r="237" spans="2:13" ht="15" customHeight="1" x14ac:dyDescent="0.35">
      <c r="B237" s="50">
        <v>13</v>
      </c>
      <c r="C237" s="51" t="s">
        <v>25</v>
      </c>
      <c r="D237" s="52" t="s">
        <v>12469</v>
      </c>
      <c r="E237" s="67"/>
      <c r="F237" s="53" t="s">
        <v>12778</v>
      </c>
      <c r="G237" s="53" t="s">
        <v>12779</v>
      </c>
      <c r="H237" s="54" t="s">
        <v>12780</v>
      </c>
      <c r="I237" s="54" t="s">
        <v>12781</v>
      </c>
      <c r="J237" s="171">
        <v>45626</v>
      </c>
      <c r="K237" s="10" t="s">
        <v>62</v>
      </c>
      <c r="L237" s="29" t="s">
        <v>371</v>
      </c>
      <c r="M237" s="29" t="s">
        <v>371</v>
      </c>
    </row>
    <row r="238" spans="2:13" ht="15" customHeight="1" x14ac:dyDescent="0.35">
      <c r="B238" s="50">
        <v>13</v>
      </c>
      <c r="C238" s="51" t="s">
        <v>25</v>
      </c>
      <c r="D238" s="52" t="s">
        <v>12421</v>
      </c>
      <c r="E238" s="67"/>
      <c r="F238" s="53" t="s">
        <v>12782</v>
      </c>
      <c r="G238" s="53" t="s">
        <v>12051</v>
      </c>
      <c r="H238" s="54" t="s">
        <v>12783</v>
      </c>
      <c r="I238" s="54" t="s">
        <v>12784</v>
      </c>
      <c r="J238" s="103">
        <v>45626</v>
      </c>
      <c r="K238" s="10" t="s">
        <v>62</v>
      </c>
      <c r="L238" s="29" t="s">
        <v>371</v>
      </c>
      <c r="M238" s="29" t="s">
        <v>371</v>
      </c>
    </row>
    <row r="239" spans="2:13" ht="15" customHeight="1" x14ac:dyDescent="0.35">
      <c r="B239" s="50">
        <v>13</v>
      </c>
      <c r="C239" s="51" t="s">
        <v>25</v>
      </c>
      <c r="D239" s="52" t="s">
        <v>12424</v>
      </c>
      <c r="E239" s="67"/>
      <c r="F239" s="53" t="s">
        <v>12785</v>
      </c>
      <c r="G239" s="53" t="s">
        <v>12055</v>
      </c>
      <c r="H239" s="54" t="s">
        <v>12786</v>
      </c>
      <c r="I239" s="54" t="s">
        <v>12787</v>
      </c>
      <c r="J239" s="103">
        <v>45626</v>
      </c>
      <c r="K239" s="10" t="s">
        <v>62</v>
      </c>
      <c r="L239" s="29" t="s">
        <v>371</v>
      </c>
      <c r="M239" s="29" t="s">
        <v>371</v>
      </c>
    </row>
    <row r="240" spans="2:13" ht="15" customHeight="1" x14ac:dyDescent="0.35">
      <c r="B240" s="50">
        <v>13</v>
      </c>
      <c r="C240" s="51" t="s">
        <v>25</v>
      </c>
      <c r="D240" s="52" t="s">
        <v>12438</v>
      </c>
      <c r="E240" s="67"/>
      <c r="F240" s="53" t="s">
        <v>12788</v>
      </c>
      <c r="G240" s="53" t="s">
        <v>12327</v>
      </c>
      <c r="H240" s="54" t="s">
        <v>12789</v>
      </c>
      <c r="I240" s="54" t="s">
        <v>12790</v>
      </c>
      <c r="J240" s="171">
        <v>45595</v>
      </c>
      <c r="K240" s="10" t="s">
        <v>62</v>
      </c>
      <c r="L240" s="29" t="s">
        <v>371</v>
      </c>
      <c r="M240" s="29" t="s">
        <v>371</v>
      </c>
    </row>
    <row r="241" spans="2:13" ht="15" customHeight="1" x14ac:dyDescent="0.35">
      <c r="B241" s="50">
        <v>13</v>
      </c>
      <c r="C241" s="51" t="s">
        <v>25</v>
      </c>
      <c r="D241" s="52" t="s">
        <v>12441</v>
      </c>
      <c r="E241" s="67"/>
      <c r="F241" s="53" t="s">
        <v>12791</v>
      </c>
      <c r="G241" s="53" t="s">
        <v>12149</v>
      </c>
      <c r="H241" s="54" t="s">
        <v>12792</v>
      </c>
      <c r="I241" s="54" t="s">
        <v>12793</v>
      </c>
      <c r="J241" s="103">
        <v>45626</v>
      </c>
      <c r="K241" s="10" t="s">
        <v>62</v>
      </c>
      <c r="L241" s="29" t="s">
        <v>371</v>
      </c>
      <c r="M241" s="29" t="s">
        <v>371</v>
      </c>
    </row>
    <row r="242" spans="2:13" ht="15" customHeight="1" x14ac:dyDescent="0.35">
      <c r="B242" s="50">
        <v>13</v>
      </c>
      <c r="C242" s="51" t="s">
        <v>25</v>
      </c>
      <c r="D242" s="52" t="s">
        <v>12444</v>
      </c>
      <c r="E242" s="67"/>
      <c r="F242" s="53" t="s">
        <v>12794</v>
      </c>
      <c r="G242" s="53" t="s">
        <v>12153</v>
      </c>
      <c r="H242" s="54" t="s">
        <v>12795</v>
      </c>
      <c r="I242" s="54" t="s">
        <v>12796</v>
      </c>
      <c r="J242" s="103">
        <v>45626</v>
      </c>
      <c r="K242" s="10" t="s">
        <v>62</v>
      </c>
      <c r="L242" s="29" t="s">
        <v>371</v>
      </c>
      <c r="M242" s="29" t="s">
        <v>371</v>
      </c>
    </row>
    <row r="243" spans="2:13" ht="15" customHeight="1" x14ac:dyDescent="0.35">
      <c r="B243" s="50">
        <v>13</v>
      </c>
      <c r="C243" s="51" t="s">
        <v>25</v>
      </c>
      <c r="D243" s="52" t="s">
        <v>12797</v>
      </c>
      <c r="E243" s="67"/>
      <c r="F243" s="53" t="s">
        <v>12798</v>
      </c>
      <c r="G243" s="53" t="s">
        <v>12799</v>
      </c>
      <c r="H243" s="54" t="s">
        <v>12800</v>
      </c>
      <c r="I243" s="54" t="s">
        <v>12801</v>
      </c>
      <c r="J243" s="103">
        <v>45626</v>
      </c>
      <c r="K243" s="10" t="s">
        <v>62</v>
      </c>
      <c r="L243" s="29" t="s">
        <v>371</v>
      </c>
      <c r="M243" s="29" t="s">
        <v>371</v>
      </c>
    </row>
    <row r="244" spans="2:13" ht="15" customHeight="1" x14ac:dyDescent="0.35">
      <c r="B244" s="50">
        <v>13</v>
      </c>
      <c r="C244" s="51" t="s">
        <v>25</v>
      </c>
      <c r="D244" s="52" t="s">
        <v>12802</v>
      </c>
      <c r="E244" s="67"/>
      <c r="F244" s="53" t="s">
        <v>12803</v>
      </c>
      <c r="G244" s="53" t="s">
        <v>12099</v>
      </c>
      <c r="H244" s="54" t="s">
        <v>12804</v>
      </c>
      <c r="I244" s="54" t="s">
        <v>12805</v>
      </c>
      <c r="J244" s="171">
        <v>45595</v>
      </c>
      <c r="K244" s="10" t="s">
        <v>62</v>
      </c>
      <c r="L244" s="29" t="s">
        <v>371</v>
      </c>
      <c r="M244" s="29" t="s">
        <v>371</v>
      </c>
    </row>
    <row r="245" spans="2:13" ht="15" customHeight="1" x14ac:dyDescent="0.35">
      <c r="B245" s="50">
        <v>14</v>
      </c>
      <c r="C245" s="51" t="s">
        <v>19</v>
      </c>
      <c r="D245" s="52" t="s">
        <v>12408</v>
      </c>
      <c r="E245" s="52"/>
      <c r="F245" s="53" t="s">
        <v>12806</v>
      </c>
      <c r="G245" s="53" t="s">
        <v>12214</v>
      </c>
      <c r="H245" s="54" t="s">
        <v>12807</v>
      </c>
      <c r="I245" s="54"/>
      <c r="J245" s="171">
        <v>45217</v>
      </c>
      <c r="K245" s="10" t="s">
        <v>62</v>
      </c>
      <c r="L245" s="29" t="s">
        <v>371</v>
      </c>
      <c r="M245" s="29"/>
    </row>
    <row r="246" spans="2:13" ht="15" customHeight="1" x14ac:dyDescent="0.35">
      <c r="B246" s="50">
        <v>14</v>
      </c>
      <c r="C246" s="51" t="s">
        <v>19</v>
      </c>
      <c r="D246" s="52" t="s">
        <v>12411</v>
      </c>
      <c r="E246" s="52"/>
      <c r="F246" s="53" t="s">
        <v>12808</v>
      </c>
      <c r="G246" s="53" t="s">
        <v>12218</v>
      </c>
      <c r="H246" s="54" t="s">
        <v>12809</v>
      </c>
      <c r="I246" s="54"/>
      <c r="J246" s="171">
        <v>45217</v>
      </c>
      <c r="K246" s="10" t="s">
        <v>62</v>
      </c>
      <c r="L246" s="29" t="s">
        <v>371</v>
      </c>
      <c r="M246" s="29"/>
    </row>
    <row r="247" spans="2:13" ht="15" customHeight="1" x14ac:dyDescent="0.35">
      <c r="B247" s="50">
        <v>14</v>
      </c>
      <c r="C247" s="51" t="s">
        <v>19</v>
      </c>
      <c r="D247" s="52" t="s">
        <v>12414</v>
      </c>
      <c r="E247" s="52"/>
      <c r="F247" s="53" t="s">
        <v>12810</v>
      </c>
      <c r="G247" s="53" t="s">
        <v>12222</v>
      </c>
      <c r="H247" s="54" t="s">
        <v>12811</v>
      </c>
      <c r="I247" s="54"/>
      <c r="J247" s="171">
        <v>44188</v>
      </c>
      <c r="K247" s="10" t="s">
        <v>62</v>
      </c>
      <c r="L247" s="29" t="s">
        <v>371</v>
      </c>
      <c r="M247" s="29"/>
    </row>
    <row r="248" spans="2:13" ht="15" customHeight="1" x14ac:dyDescent="0.35">
      <c r="B248" s="50">
        <v>14</v>
      </c>
      <c r="C248" s="51" t="s">
        <v>19</v>
      </c>
      <c r="D248" s="52" t="s">
        <v>12417</v>
      </c>
      <c r="E248" s="52"/>
      <c r="F248" s="53" t="s">
        <v>12812</v>
      </c>
      <c r="G248" s="53" t="s">
        <v>12226</v>
      </c>
      <c r="H248" s="54" t="s">
        <v>12813</v>
      </c>
      <c r="I248" s="54"/>
      <c r="J248" s="171">
        <v>44188</v>
      </c>
      <c r="K248" s="10" t="s">
        <v>62</v>
      </c>
      <c r="L248" s="29" t="s">
        <v>371</v>
      </c>
      <c r="M248" s="29"/>
    </row>
    <row r="249" spans="2:13" ht="15" customHeight="1" x14ac:dyDescent="0.35">
      <c r="B249" s="50">
        <v>14</v>
      </c>
      <c r="C249" s="51" t="s">
        <v>19</v>
      </c>
      <c r="D249" s="161">
        <v>14</v>
      </c>
      <c r="E249" s="52"/>
      <c r="F249" s="53" t="s">
        <v>12814</v>
      </c>
      <c r="G249" s="53" t="s">
        <v>12730</v>
      </c>
      <c r="H249" s="54" t="s">
        <v>12815</v>
      </c>
      <c r="I249" s="54"/>
      <c r="J249" s="171">
        <v>44188</v>
      </c>
      <c r="K249" s="10" t="s">
        <v>62</v>
      </c>
      <c r="L249" s="29" t="s">
        <v>371</v>
      </c>
      <c r="M249" s="29"/>
    </row>
    <row r="250" spans="2:13" ht="15" customHeight="1" x14ac:dyDescent="0.35">
      <c r="B250" s="50">
        <v>14</v>
      </c>
      <c r="C250" s="51" t="s">
        <v>19</v>
      </c>
      <c r="D250" s="52" t="s">
        <v>12421</v>
      </c>
      <c r="E250" s="52"/>
      <c r="F250" s="53" t="s">
        <v>12816</v>
      </c>
      <c r="G250" s="53" t="s">
        <v>12230</v>
      </c>
      <c r="H250" s="54" t="s">
        <v>12817</v>
      </c>
      <c r="I250" s="54"/>
      <c r="J250" s="171">
        <v>44188</v>
      </c>
      <c r="K250" s="10" t="s">
        <v>62</v>
      </c>
      <c r="L250" s="29" t="s">
        <v>371</v>
      </c>
      <c r="M250" s="29"/>
    </row>
    <row r="251" spans="2:13" ht="15" customHeight="1" x14ac:dyDescent="0.35">
      <c r="B251" s="50">
        <v>14</v>
      </c>
      <c r="C251" s="51" t="s">
        <v>19</v>
      </c>
      <c r="D251" s="52" t="s">
        <v>12424</v>
      </c>
      <c r="E251" s="52"/>
      <c r="F251" s="53" t="s">
        <v>12818</v>
      </c>
      <c r="G251" s="53" t="s">
        <v>12234</v>
      </c>
      <c r="H251" s="54" t="s">
        <v>12819</v>
      </c>
      <c r="I251" s="54"/>
      <c r="J251" s="171">
        <v>44188</v>
      </c>
      <c r="K251" s="10" t="s">
        <v>62</v>
      </c>
      <c r="L251" s="29" t="s">
        <v>371</v>
      </c>
      <c r="M251" s="29"/>
    </row>
    <row r="252" spans="2:13" ht="15" customHeight="1" x14ac:dyDescent="0.35">
      <c r="B252" s="50">
        <v>14</v>
      </c>
      <c r="C252" s="51" t="s">
        <v>19</v>
      </c>
      <c r="D252" s="52" t="s">
        <v>12427</v>
      </c>
      <c r="E252" s="52"/>
      <c r="F252" s="53" t="s">
        <v>12820</v>
      </c>
      <c r="G252" s="53" t="s">
        <v>12238</v>
      </c>
      <c r="H252" s="54" t="s">
        <v>12821</v>
      </c>
      <c r="I252" s="54"/>
      <c r="J252" s="171">
        <v>44188</v>
      </c>
      <c r="K252" s="10" t="s">
        <v>62</v>
      </c>
      <c r="L252" s="29" t="s">
        <v>371</v>
      </c>
      <c r="M252" s="29"/>
    </row>
    <row r="253" spans="2:13" ht="15" customHeight="1" x14ac:dyDescent="0.35">
      <c r="B253" s="50">
        <v>14</v>
      </c>
      <c r="C253" s="51" t="s">
        <v>19</v>
      </c>
      <c r="D253" s="52" t="s">
        <v>12430</v>
      </c>
      <c r="E253" s="52"/>
      <c r="F253" s="53" t="s">
        <v>12822</v>
      </c>
      <c r="G253" s="53" t="s">
        <v>12242</v>
      </c>
      <c r="H253" s="54" t="s">
        <v>12823</v>
      </c>
      <c r="I253" s="54"/>
      <c r="J253" s="171">
        <v>44188</v>
      </c>
      <c r="K253" s="10" t="s">
        <v>62</v>
      </c>
      <c r="L253" s="29" t="s">
        <v>371</v>
      </c>
      <c r="M253" s="29"/>
    </row>
    <row r="254" spans="2:13" ht="15" customHeight="1" x14ac:dyDescent="0.35">
      <c r="B254" s="50">
        <v>14</v>
      </c>
      <c r="C254" s="51" t="s">
        <v>19</v>
      </c>
      <c r="D254" s="52" t="s">
        <v>12434</v>
      </c>
      <c r="E254" s="52"/>
      <c r="F254" s="53" t="s">
        <v>12824</v>
      </c>
      <c r="G254" s="53" t="s">
        <v>12741</v>
      </c>
      <c r="H254" s="54" t="s">
        <v>12825</v>
      </c>
      <c r="I254" s="54"/>
      <c r="J254" s="171">
        <v>44188</v>
      </c>
      <c r="K254" s="10" t="s">
        <v>62</v>
      </c>
      <c r="L254" s="29" t="s">
        <v>371</v>
      </c>
      <c r="M254" s="29"/>
    </row>
    <row r="255" spans="2:13" ht="15" customHeight="1" x14ac:dyDescent="0.35">
      <c r="B255" s="50">
        <v>14</v>
      </c>
      <c r="C255" s="51" t="s">
        <v>19</v>
      </c>
      <c r="D255" s="52" t="s">
        <v>12438</v>
      </c>
      <c r="E255" s="52"/>
      <c r="F255" s="53" t="s">
        <v>12826</v>
      </c>
      <c r="G255" s="53" t="s">
        <v>12250</v>
      </c>
      <c r="H255" s="54" t="s">
        <v>12827</v>
      </c>
      <c r="I255" s="54"/>
      <c r="J255" s="171">
        <v>44188</v>
      </c>
      <c r="K255" s="10" t="s">
        <v>62</v>
      </c>
      <c r="L255" s="29" t="s">
        <v>371</v>
      </c>
      <c r="M255" s="29"/>
    </row>
    <row r="256" spans="2:13" ht="15" customHeight="1" x14ac:dyDescent="0.35">
      <c r="B256" s="50">
        <v>14</v>
      </c>
      <c r="C256" s="51" t="s">
        <v>19</v>
      </c>
      <c r="D256" s="52" t="s">
        <v>12441</v>
      </c>
      <c r="E256" s="52"/>
      <c r="F256" s="53" t="s">
        <v>12828</v>
      </c>
      <c r="G256" s="53" t="s">
        <v>12254</v>
      </c>
      <c r="H256" s="54" t="s">
        <v>12829</v>
      </c>
      <c r="I256" s="54"/>
      <c r="J256" s="171">
        <v>44188</v>
      </c>
      <c r="K256" s="10" t="s">
        <v>62</v>
      </c>
      <c r="L256" s="29" t="s">
        <v>371</v>
      </c>
      <c r="M256" s="29"/>
    </row>
    <row r="257" spans="2:13" ht="15" customHeight="1" x14ac:dyDescent="0.35">
      <c r="B257" s="50">
        <v>14</v>
      </c>
      <c r="C257" s="51" t="s">
        <v>19</v>
      </c>
      <c r="D257" s="52" t="s">
        <v>12444</v>
      </c>
      <c r="E257" s="52"/>
      <c r="F257" s="53" t="s">
        <v>12830</v>
      </c>
      <c r="G257" s="53" t="s">
        <v>12258</v>
      </c>
      <c r="H257" s="54" t="s">
        <v>12831</v>
      </c>
      <c r="I257" s="54"/>
      <c r="J257" s="171">
        <v>44188</v>
      </c>
      <c r="K257" s="10" t="s">
        <v>62</v>
      </c>
      <c r="L257" s="29" t="s">
        <v>371</v>
      </c>
      <c r="M257" s="29"/>
    </row>
    <row r="258" spans="2:13" ht="15" customHeight="1" x14ac:dyDescent="0.35">
      <c r="B258" s="50">
        <v>14</v>
      </c>
      <c r="C258" s="51" t="s">
        <v>19</v>
      </c>
      <c r="D258" s="52" t="s">
        <v>12444</v>
      </c>
      <c r="E258" s="52" t="str">
        <f>RIGHT(F258,2)</f>
        <v>01</v>
      </c>
      <c r="F258" s="53" t="s">
        <v>12832</v>
      </c>
      <c r="G258" s="53" t="s">
        <v>12833</v>
      </c>
      <c r="H258" s="54" t="s">
        <v>12834</v>
      </c>
      <c r="I258" s="54"/>
      <c r="J258" s="171">
        <v>44188</v>
      </c>
      <c r="K258" s="10" t="s">
        <v>62</v>
      </c>
      <c r="L258" s="29" t="s">
        <v>371</v>
      </c>
      <c r="M258" s="29"/>
    </row>
    <row r="259" spans="2:13" ht="15" customHeight="1" x14ac:dyDescent="0.35">
      <c r="B259" s="50">
        <v>14</v>
      </c>
      <c r="C259" s="51" t="s">
        <v>19</v>
      </c>
      <c r="D259" s="52" t="s">
        <v>12447</v>
      </c>
      <c r="E259" s="52"/>
      <c r="F259" s="53" t="s">
        <v>12835</v>
      </c>
      <c r="G259" s="53" t="s">
        <v>12262</v>
      </c>
      <c r="H259" s="54" t="s">
        <v>12836</v>
      </c>
      <c r="I259" s="54"/>
      <c r="J259" s="171">
        <v>44188</v>
      </c>
      <c r="K259" s="10" t="s">
        <v>62</v>
      </c>
      <c r="L259" s="29" t="s">
        <v>371</v>
      </c>
      <c r="M259" s="29"/>
    </row>
    <row r="260" spans="2:13" ht="15" customHeight="1" x14ac:dyDescent="0.35">
      <c r="B260" s="50">
        <v>14</v>
      </c>
      <c r="C260" s="51" t="s">
        <v>19</v>
      </c>
      <c r="D260" s="52" t="s">
        <v>12450</v>
      </c>
      <c r="E260" s="52"/>
      <c r="F260" s="53" t="s">
        <v>12837</v>
      </c>
      <c r="G260" s="53" t="s">
        <v>12266</v>
      </c>
      <c r="H260" s="54" t="s">
        <v>12838</v>
      </c>
      <c r="I260" s="54"/>
      <c r="J260" s="171">
        <v>44188</v>
      </c>
      <c r="K260" s="10" t="s">
        <v>62</v>
      </c>
      <c r="L260" s="29" t="s">
        <v>371</v>
      </c>
      <c r="M260" s="29"/>
    </row>
    <row r="261" spans="2:13" ht="15" customHeight="1" x14ac:dyDescent="0.35">
      <c r="B261" s="50">
        <v>14</v>
      </c>
      <c r="C261" s="51" t="s">
        <v>19</v>
      </c>
      <c r="D261" s="52" t="s">
        <v>12453</v>
      </c>
      <c r="E261" s="52"/>
      <c r="F261" s="53" t="s">
        <v>12839</v>
      </c>
      <c r="G261" s="53" t="s">
        <v>12282</v>
      </c>
      <c r="H261" s="54" t="s">
        <v>12840</v>
      </c>
      <c r="I261" s="54"/>
      <c r="J261" s="171">
        <v>44188</v>
      </c>
      <c r="K261" s="10" t="s">
        <v>62</v>
      </c>
      <c r="L261" s="29" t="s">
        <v>371</v>
      </c>
      <c r="M261" s="29"/>
    </row>
    <row r="262" spans="2:13" ht="15" customHeight="1" x14ac:dyDescent="0.35">
      <c r="B262" s="50">
        <v>14</v>
      </c>
      <c r="C262" s="51" t="s">
        <v>19</v>
      </c>
      <c r="D262" s="52" t="s">
        <v>12841</v>
      </c>
      <c r="E262" s="52"/>
      <c r="F262" s="53" t="s">
        <v>12842</v>
      </c>
      <c r="G262" s="53" t="s">
        <v>12759</v>
      </c>
      <c r="H262" s="54" t="s">
        <v>12843</v>
      </c>
      <c r="I262" s="54"/>
      <c r="J262" s="171">
        <v>44188</v>
      </c>
      <c r="K262" s="10" t="s">
        <v>62</v>
      </c>
      <c r="L262" s="29" t="s">
        <v>371</v>
      </c>
      <c r="M262" s="29"/>
    </row>
    <row r="263" spans="2:13" ht="15" customHeight="1" x14ac:dyDescent="0.35">
      <c r="B263" s="50">
        <v>14</v>
      </c>
      <c r="C263" s="51" t="s">
        <v>19</v>
      </c>
      <c r="D263" s="52" t="s">
        <v>12802</v>
      </c>
      <c r="E263" s="52"/>
      <c r="F263" s="53" t="s">
        <v>12844</v>
      </c>
      <c r="G263" s="53" t="s">
        <v>12286</v>
      </c>
      <c r="H263" s="54" t="s">
        <v>12845</v>
      </c>
      <c r="I263" s="54"/>
      <c r="J263" s="171">
        <v>44188</v>
      </c>
      <c r="K263" s="10" t="s">
        <v>62</v>
      </c>
      <c r="L263" s="29" t="s">
        <v>371</v>
      </c>
      <c r="M263" s="29"/>
    </row>
    <row r="264" spans="2:13" ht="15" customHeight="1" x14ac:dyDescent="0.35">
      <c r="B264" s="50">
        <v>14</v>
      </c>
      <c r="C264" s="51" t="s">
        <v>19</v>
      </c>
      <c r="D264" s="161">
        <v>60</v>
      </c>
      <c r="E264" s="52"/>
      <c r="F264" s="53" t="s">
        <v>12846</v>
      </c>
      <c r="G264" s="53" t="s">
        <v>12103</v>
      </c>
      <c r="H264" s="54" t="s">
        <v>12847</v>
      </c>
      <c r="I264" s="54"/>
      <c r="J264" s="171">
        <v>44188</v>
      </c>
      <c r="K264" s="10" t="s">
        <v>62</v>
      </c>
      <c r="L264" s="29" t="s">
        <v>371</v>
      </c>
      <c r="M264" s="29"/>
    </row>
    <row r="265" spans="2:13" ht="15" customHeight="1" x14ac:dyDescent="0.35">
      <c r="B265" s="50">
        <v>14</v>
      </c>
      <c r="C265" s="51" t="s">
        <v>19</v>
      </c>
      <c r="D265" s="52" t="s">
        <v>12456</v>
      </c>
      <c r="E265" s="52"/>
      <c r="F265" s="53" t="s">
        <v>12848</v>
      </c>
      <c r="G265" s="53" t="s">
        <v>12849</v>
      </c>
      <c r="H265" s="54" t="s">
        <v>12850</v>
      </c>
      <c r="I265" s="54"/>
      <c r="J265" s="171"/>
      <c r="K265" s="11" t="s">
        <v>11838</v>
      </c>
      <c r="L265" s="29"/>
      <c r="M265" s="29"/>
    </row>
    <row r="266" spans="2:13" ht="15" customHeight="1" x14ac:dyDescent="0.35">
      <c r="B266" s="50">
        <v>14</v>
      </c>
      <c r="C266" s="51" t="s">
        <v>19</v>
      </c>
      <c r="D266" s="173" t="s">
        <v>12460</v>
      </c>
      <c r="E266" s="173"/>
      <c r="F266" s="174" t="s">
        <v>12851</v>
      </c>
      <c r="G266" s="174" t="s">
        <v>12462</v>
      </c>
      <c r="H266" s="143" t="s">
        <v>12852</v>
      </c>
      <c r="I266" s="143"/>
      <c r="J266" s="171">
        <v>44188</v>
      </c>
      <c r="K266" s="175" t="s">
        <v>62</v>
      </c>
      <c r="L266" s="29" t="s">
        <v>371</v>
      </c>
      <c r="M266" s="29"/>
    </row>
  </sheetData>
  <autoFilter ref="B5:M266" xr:uid="{16B49C0E-4464-4FF7-A250-46BB9F0B3940}"/>
  <mergeCells count="1">
    <mergeCell ref="B2:K4"/>
  </mergeCells>
  <conditionalFormatting sqref="D5:D266">
    <cfRule type="duplicateValues" dxfId="21" priority="4507"/>
  </conditionalFormatting>
  <conditionalFormatting sqref="D6:D266">
    <cfRule type="duplicateValues" dxfId="20" priority="4509"/>
  </conditionalFormatting>
  <conditionalFormatting sqref="D265:D266 D215:D231 D233:D263">
    <cfRule type="duplicateValues" dxfId="19" priority="1199"/>
  </conditionalFormatting>
  <conditionalFormatting sqref="E33">
    <cfRule type="duplicateValues" dxfId="18" priority="9"/>
    <cfRule type="duplicateValues" dxfId="17" priority="10"/>
  </conditionalFormatting>
  <conditionalFormatting sqref="E35">
    <cfRule type="duplicateValues" dxfId="16" priority="7"/>
    <cfRule type="duplicateValues" dxfId="15" priority="8"/>
  </conditionalFormatting>
  <conditionalFormatting sqref="E36">
    <cfRule type="duplicateValues" dxfId="14" priority="5"/>
    <cfRule type="duplicateValues" dxfId="13" priority="6"/>
  </conditionalFormatting>
  <conditionalFormatting sqref="E37">
    <cfRule type="duplicateValues" dxfId="12" priority="3"/>
    <cfRule type="duplicateValues" dxfId="11" priority="4"/>
  </conditionalFormatting>
  <conditionalFormatting sqref="E49">
    <cfRule type="duplicateValues" dxfId="10" priority="1"/>
    <cfRule type="duplicateValues" dxfId="9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E918-723F-4552-8431-A39770E9CA21}">
  <sheetPr codeName="Planilha7"/>
  <dimension ref="B1:D73"/>
  <sheetViews>
    <sheetView showGridLines="0" zoomScale="115" zoomScaleNormal="115" workbookViewId="0">
      <selection activeCell="C23" sqref="C23"/>
    </sheetView>
  </sheetViews>
  <sheetFormatPr defaultColWidth="20.54296875" defaultRowHeight="15" customHeight="1" x14ac:dyDescent="0.35"/>
  <cols>
    <col min="1" max="1" width="1.54296875" customWidth="1"/>
    <col min="2" max="2" width="11.81640625" customWidth="1"/>
    <col min="3" max="3" width="51.1796875" customWidth="1"/>
    <col min="4" max="4" width="47.54296875" customWidth="1"/>
  </cols>
  <sheetData>
    <row r="1" spans="2:4" ht="10.5" customHeight="1" thickBot="1" x14ac:dyDescent="0.4"/>
    <row r="2" spans="2:4" ht="36" customHeight="1" thickBot="1" x14ac:dyDescent="0.4">
      <c r="B2" s="234" t="s">
        <v>12853</v>
      </c>
      <c r="C2" s="235"/>
      <c r="D2" s="236"/>
    </row>
    <row r="3" spans="2:4" ht="13.5" customHeight="1" x14ac:dyDescent="0.35">
      <c r="B3" s="63" t="s">
        <v>12854</v>
      </c>
      <c r="C3" s="63" t="s">
        <v>12855</v>
      </c>
      <c r="D3" s="64" t="s">
        <v>12855</v>
      </c>
    </row>
    <row r="4" spans="2:4" ht="15" customHeight="1" x14ac:dyDescent="0.35">
      <c r="B4" s="58">
        <v>0</v>
      </c>
      <c r="C4" s="18" t="s">
        <v>12856</v>
      </c>
      <c r="D4" s="59" t="s">
        <v>12857</v>
      </c>
    </row>
    <row r="5" spans="2:4" ht="15" customHeight="1" x14ac:dyDescent="0.35">
      <c r="B5" s="58">
        <v>1</v>
      </c>
      <c r="C5" s="18" t="s">
        <v>2318</v>
      </c>
      <c r="D5" s="59" t="s">
        <v>12858</v>
      </c>
    </row>
    <row r="6" spans="2:4" ht="15" customHeight="1" x14ac:dyDescent="0.35">
      <c r="B6" s="58">
        <v>2</v>
      </c>
      <c r="C6" s="18" t="s">
        <v>2140</v>
      </c>
      <c r="D6" s="59" t="s">
        <v>12859</v>
      </c>
    </row>
    <row r="7" spans="2:4" ht="15" customHeight="1" x14ac:dyDescent="0.35">
      <c r="B7" s="58">
        <v>3</v>
      </c>
      <c r="C7" s="18" t="s">
        <v>2060</v>
      </c>
      <c r="D7" s="59" t="s">
        <v>12860</v>
      </c>
    </row>
    <row r="8" spans="2:4" ht="15" customHeight="1" x14ac:dyDescent="0.35">
      <c r="B8" s="58">
        <v>4</v>
      </c>
      <c r="C8" s="18" t="s">
        <v>2067</v>
      </c>
      <c r="D8" s="59" t="s">
        <v>12861</v>
      </c>
    </row>
    <row r="9" spans="2:4" ht="15" customHeight="1" x14ac:dyDescent="0.35">
      <c r="B9" s="58">
        <v>5</v>
      </c>
      <c r="C9" s="18" t="s">
        <v>2245</v>
      </c>
      <c r="D9" s="59" t="s">
        <v>12862</v>
      </c>
    </row>
    <row r="10" spans="2:4" ht="15" customHeight="1" x14ac:dyDescent="0.35">
      <c r="B10" s="58">
        <v>6</v>
      </c>
      <c r="C10" s="18" t="s">
        <v>2034</v>
      </c>
      <c r="D10" s="59" t="s">
        <v>12863</v>
      </c>
    </row>
    <row r="11" spans="2:4" ht="15" customHeight="1" x14ac:dyDescent="0.35">
      <c r="B11" s="58">
        <v>7</v>
      </c>
      <c r="C11" s="18" t="s">
        <v>2251</v>
      </c>
      <c r="D11" s="59" t="s">
        <v>12864</v>
      </c>
    </row>
    <row r="12" spans="2:4" ht="15" customHeight="1" x14ac:dyDescent="0.35">
      <c r="B12" s="58">
        <v>8</v>
      </c>
      <c r="C12" s="18" t="s">
        <v>2254</v>
      </c>
      <c r="D12" s="59" t="s">
        <v>12865</v>
      </c>
    </row>
    <row r="13" spans="2:4" ht="15" customHeight="1" x14ac:dyDescent="0.35">
      <c r="B13" s="58">
        <v>9</v>
      </c>
      <c r="C13" s="18" t="s">
        <v>2686</v>
      </c>
      <c r="D13" s="59" t="s">
        <v>12866</v>
      </c>
    </row>
    <row r="14" spans="2:4" ht="15" customHeight="1" x14ac:dyDescent="0.35">
      <c r="B14" s="58">
        <v>10</v>
      </c>
      <c r="C14" s="18" t="s">
        <v>2264</v>
      </c>
      <c r="D14" s="59" t="s">
        <v>12867</v>
      </c>
    </row>
    <row r="15" spans="2:4" ht="15" customHeight="1" x14ac:dyDescent="0.35">
      <c r="B15" s="58">
        <v>11</v>
      </c>
      <c r="C15" s="18" t="s">
        <v>3015</v>
      </c>
      <c r="D15" s="59" t="s">
        <v>12868</v>
      </c>
    </row>
    <row r="16" spans="2:4" ht="15" customHeight="1" x14ac:dyDescent="0.35">
      <c r="B16" s="58">
        <v>12</v>
      </c>
      <c r="C16" s="18" t="s">
        <v>2697</v>
      </c>
      <c r="D16" s="59" t="s">
        <v>12869</v>
      </c>
    </row>
    <row r="17" spans="2:4" ht="15" customHeight="1" x14ac:dyDescent="0.35">
      <c r="B17" s="58">
        <v>13</v>
      </c>
      <c r="C17" s="18" t="s">
        <v>2381</v>
      </c>
      <c r="D17" s="59" t="s">
        <v>12870</v>
      </c>
    </row>
    <row r="18" spans="2:4" ht="15" customHeight="1" x14ac:dyDescent="0.35">
      <c r="B18" s="58">
        <v>14</v>
      </c>
      <c r="C18" s="18" t="s">
        <v>12871</v>
      </c>
      <c r="D18" s="59" t="s">
        <v>12872</v>
      </c>
    </row>
    <row r="19" spans="2:4" ht="15" customHeight="1" x14ac:dyDescent="0.35">
      <c r="B19" s="58">
        <v>15</v>
      </c>
      <c r="C19" s="18" t="s">
        <v>2077</v>
      </c>
      <c r="D19" s="59" t="s">
        <v>12873</v>
      </c>
    </row>
    <row r="20" spans="2:4" ht="15" customHeight="1" x14ac:dyDescent="0.35">
      <c r="B20" s="58">
        <v>16</v>
      </c>
      <c r="C20" s="18" t="s">
        <v>12874</v>
      </c>
      <c r="D20" s="59" t="s">
        <v>12875</v>
      </c>
    </row>
    <row r="21" spans="2:4" ht="15" customHeight="1" x14ac:dyDescent="0.35">
      <c r="B21" s="58">
        <v>17</v>
      </c>
      <c r="C21" s="18" t="s">
        <v>2910</v>
      </c>
      <c r="D21" s="59" t="s">
        <v>12876</v>
      </c>
    </row>
    <row r="22" spans="2:4" ht="15" customHeight="1" x14ac:dyDescent="0.35">
      <c r="B22" s="58">
        <v>18</v>
      </c>
      <c r="C22" s="18" t="s">
        <v>2404</v>
      </c>
      <c r="D22" s="59" t="s">
        <v>12877</v>
      </c>
    </row>
    <row r="23" spans="2:4" ht="15" customHeight="1" x14ac:dyDescent="0.35">
      <c r="B23" s="58">
        <v>19</v>
      </c>
      <c r="C23" s="18" t="s">
        <v>2158</v>
      </c>
      <c r="D23" s="59" t="s">
        <v>12878</v>
      </c>
    </row>
    <row r="24" spans="2:4" ht="15" customHeight="1" x14ac:dyDescent="0.35">
      <c r="B24" s="58">
        <v>20</v>
      </c>
      <c r="C24" s="18" t="s">
        <v>2413</v>
      </c>
      <c r="D24" s="59" t="s">
        <v>12879</v>
      </c>
    </row>
    <row r="25" spans="2:4" ht="15" customHeight="1" x14ac:dyDescent="0.35">
      <c r="B25" s="58">
        <v>21</v>
      </c>
      <c r="C25" s="18" t="s">
        <v>2080</v>
      </c>
      <c r="D25" s="59" t="s">
        <v>12880</v>
      </c>
    </row>
    <row r="26" spans="2:4" ht="15" customHeight="1" x14ac:dyDescent="0.35">
      <c r="B26" s="58">
        <v>22</v>
      </c>
      <c r="C26" s="18" t="s">
        <v>2428</v>
      </c>
      <c r="D26" s="59" t="s">
        <v>12881</v>
      </c>
    </row>
    <row r="27" spans="2:4" ht="15" customHeight="1" x14ac:dyDescent="0.35">
      <c r="B27" s="58">
        <v>23</v>
      </c>
      <c r="C27" s="18" t="s">
        <v>2433</v>
      </c>
      <c r="D27" s="59" t="s">
        <v>12882</v>
      </c>
    </row>
    <row r="28" spans="2:4" ht="15" customHeight="1" x14ac:dyDescent="0.35">
      <c r="B28" s="58">
        <v>24</v>
      </c>
      <c r="C28" s="18" t="s">
        <v>12883</v>
      </c>
      <c r="D28" s="59" t="s">
        <v>12884</v>
      </c>
    </row>
    <row r="29" spans="2:4" ht="15" customHeight="1" x14ac:dyDescent="0.35">
      <c r="B29" s="58">
        <v>25</v>
      </c>
      <c r="C29" s="18" t="s">
        <v>2454</v>
      </c>
      <c r="D29" s="59" t="s">
        <v>12885</v>
      </c>
    </row>
    <row r="30" spans="2:4" ht="15" customHeight="1" x14ac:dyDescent="0.35">
      <c r="B30" s="58">
        <v>26</v>
      </c>
      <c r="C30" s="18" t="s">
        <v>2919</v>
      </c>
      <c r="D30" s="59" t="s">
        <v>12886</v>
      </c>
    </row>
    <row r="31" spans="2:4" ht="15" customHeight="1" x14ac:dyDescent="0.35">
      <c r="B31" s="58">
        <v>27</v>
      </c>
      <c r="C31" s="18" t="s">
        <v>2276</v>
      </c>
      <c r="D31" s="59" t="s">
        <v>12887</v>
      </c>
    </row>
    <row r="32" spans="2:4" ht="15" customHeight="1" x14ac:dyDescent="0.35">
      <c r="B32" s="58">
        <v>28</v>
      </c>
      <c r="C32" s="18" t="s">
        <v>2468</v>
      </c>
      <c r="D32" s="59" t="s">
        <v>12888</v>
      </c>
    </row>
    <row r="33" spans="2:4" ht="15" customHeight="1" x14ac:dyDescent="0.35">
      <c r="B33" s="58">
        <v>29</v>
      </c>
      <c r="C33" s="18" t="s">
        <v>2924</v>
      </c>
      <c r="D33" s="59" t="s">
        <v>12889</v>
      </c>
    </row>
    <row r="34" spans="2:4" ht="15" customHeight="1" x14ac:dyDescent="0.35">
      <c r="B34" s="58">
        <v>30</v>
      </c>
      <c r="C34" s="18" t="s">
        <v>2282</v>
      </c>
      <c r="D34" s="59" t="s">
        <v>12890</v>
      </c>
    </row>
    <row r="35" spans="2:4" ht="15" customHeight="1" x14ac:dyDescent="0.35">
      <c r="B35" s="58">
        <v>31</v>
      </c>
      <c r="C35" s="18" t="s">
        <v>2459</v>
      </c>
      <c r="D35" s="59" t="s">
        <v>12891</v>
      </c>
    </row>
    <row r="36" spans="2:4" ht="15" customHeight="1" x14ac:dyDescent="0.35">
      <c r="B36" s="58">
        <v>32</v>
      </c>
      <c r="C36" s="18" t="s">
        <v>2108</v>
      </c>
      <c r="D36" s="59" t="s">
        <v>12892</v>
      </c>
    </row>
    <row r="37" spans="2:4" ht="15" customHeight="1" x14ac:dyDescent="0.35">
      <c r="B37" s="58">
        <v>33</v>
      </c>
      <c r="C37" s="18" t="s">
        <v>2173</v>
      </c>
      <c r="D37" s="59" t="s">
        <v>12893</v>
      </c>
    </row>
    <row r="38" spans="2:4" ht="15" customHeight="1" x14ac:dyDescent="0.35">
      <c r="B38" s="58">
        <v>34</v>
      </c>
      <c r="C38" s="18" t="s">
        <v>12894</v>
      </c>
      <c r="D38" s="59" t="s">
        <v>12895</v>
      </c>
    </row>
    <row r="39" spans="2:4" ht="15" customHeight="1" x14ac:dyDescent="0.35">
      <c r="B39" s="58">
        <v>35</v>
      </c>
      <c r="C39" s="18" t="s">
        <v>12896</v>
      </c>
      <c r="D39" s="59" t="s">
        <v>12897</v>
      </c>
    </row>
    <row r="40" spans="2:4" ht="15" customHeight="1" x14ac:dyDescent="0.35">
      <c r="B40" s="58">
        <v>37</v>
      </c>
      <c r="C40" s="18" t="s">
        <v>153</v>
      </c>
      <c r="D40" s="59" t="s">
        <v>154</v>
      </c>
    </row>
    <row r="41" spans="2:4" ht="15" customHeight="1" x14ac:dyDescent="0.35">
      <c r="B41" s="58">
        <v>38</v>
      </c>
      <c r="C41" s="18" t="s">
        <v>12898</v>
      </c>
      <c r="D41" s="59" t="s">
        <v>12899</v>
      </c>
    </row>
    <row r="42" spans="2:4" ht="15" customHeight="1" x14ac:dyDescent="0.35">
      <c r="B42" s="58">
        <v>40</v>
      </c>
      <c r="C42" s="18" t="s">
        <v>2294</v>
      </c>
      <c r="D42" s="59" t="s">
        <v>12900</v>
      </c>
    </row>
    <row r="43" spans="2:4" ht="15" customHeight="1" x14ac:dyDescent="0.35">
      <c r="B43" s="58">
        <v>41</v>
      </c>
      <c r="C43" s="18" t="s">
        <v>2010</v>
      </c>
      <c r="D43" s="59" t="s">
        <v>12901</v>
      </c>
    </row>
    <row r="44" spans="2:4" ht="15" customHeight="1" x14ac:dyDescent="0.35">
      <c r="B44" s="58">
        <v>50</v>
      </c>
      <c r="C44" s="18" t="s">
        <v>12902</v>
      </c>
      <c r="D44" s="59" t="s">
        <v>12903</v>
      </c>
    </row>
    <row r="45" spans="2:4" ht="15" customHeight="1" x14ac:dyDescent="0.35">
      <c r="B45" s="58">
        <v>51</v>
      </c>
      <c r="C45" s="18" t="s">
        <v>2046</v>
      </c>
      <c r="D45" s="59" t="s">
        <v>12904</v>
      </c>
    </row>
    <row r="46" spans="2:4" ht="15" customHeight="1" x14ac:dyDescent="0.35">
      <c r="B46" s="58">
        <v>52</v>
      </c>
      <c r="C46" s="18" t="s">
        <v>12905</v>
      </c>
      <c r="D46" s="59" t="s">
        <v>12906</v>
      </c>
    </row>
    <row r="47" spans="2:4" ht="15" customHeight="1" x14ac:dyDescent="0.35">
      <c r="B47" s="58">
        <v>53</v>
      </c>
      <c r="C47" s="18" t="s">
        <v>12907</v>
      </c>
      <c r="D47" s="59" t="s">
        <v>12908</v>
      </c>
    </row>
    <row r="48" spans="2:4" ht="15" customHeight="1" x14ac:dyDescent="0.35">
      <c r="B48" s="58">
        <v>55</v>
      </c>
      <c r="C48" s="18" t="s">
        <v>2498</v>
      </c>
      <c r="D48" s="59" t="s">
        <v>12909</v>
      </c>
    </row>
    <row r="49" spans="2:4" ht="15" customHeight="1" x14ac:dyDescent="0.35">
      <c r="B49" s="58">
        <v>56</v>
      </c>
      <c r="C49" s="18" t="s">
        <v>12910</v>
      </c>
      <c r="D49" s="59" t="s">
        <v>12911</v>
      </c>
    </row>
    <row r="50" spans="2:4" ht="15" customHeight="1" x14ac:dyDescent="0.35">
      <c r="B50" s="58">
        <v>57</v>
      </c>
      <c r="C50" s="18" t="s">
        <v>12912</v>
      </c>
      <c r="D50" s="59" t="s">
        <v>12913</v>
      </c>
    </row>
    <row r="51" spans="2:4" ht="15" customHeight="1" x14ac:dyDescent="0.35">
      <c r="B51" s="58">
        <v>58</v>
      </c>
      <c r="C51" s="18" t="s">
        <v>2301</v>
      </c>
      <c r="D51" s="59" t="s">
        <v>12914</v>
      </c>
    </row>
    <row r="52" spans="2:4" ht="15" customHeight="1" x14ac:dyDescent="0.35">
      <c r="B52" s="58">
        <v>59</v>
      </c>
      <c r="C52" s="18" t="s">
        <v>12915</v>
      </c>
      <c r="D52" s="59" t="s">
        <v>12916</v>
      </c>
    </row>
    <row r="53" spans="2:4" ht="15" customHeight="1" x14ac:dyDescent="0.35">
      <c r="B53" s="58">
        <v>60</v>
      </c>
      <c r="C53" s="18" t="s">
        <v>3045</v>
      </c>
      <c r="D53" s="59" t="s">
        <v>12917</v>
      </c>
    </row>
    <row r="54" spans="2:4" ht="15" customHeight="1" x14ac:dyDescent="0.35">
      <c r="B54" s="58">
        <v>61</v>
      </c>
      <c r="C54" s="18" t="s">
        <v>2307</v>
      </c>
      <c r="D54" s="59" t="s">
        <v>12918</v>
      </c>
    </row>
    <row r="55" spans="2:4" ht="15" customHeight="1" x14ac:dyDescent="0.35">
      <c r="B55" s="58">
        <v>62</v>
      </c>
      <c r="C55" s="18" t="s">
        <v>2506</v>
      </c>
      <c r="D55" s="59" t="s">
        <v>12919</v>
      </c>
    </row>
    <row r="56" spans="2:4" ht="15" customHeight="1" x14ac:dyDescent="0.35">
      <c r="B56" s="58">
        <v>63</v>
      </c>
      <c r="C56" s="18" t="s">
        <v>2310</v>
      </c>
      <c r="D56" s="59" t="s">
        <v>12920</v>
      </c>
    </row>
    <row r="57" spans="2:4" ht="15" customHeight="1" x14ac:dyDescent="0.35">
      <c r="B57" s="58">
        <v>64</v>
      </c>
      <c r="C57" s="18" t="s">
        <v>12921</v>
      </c>
      <c r="D57" s="59" t="s">
        <v>12922</v>
      </c>
    </row>
    <row r="58" spans="2:4" ht="15" customHeight="1" x14ac:dyDescent="0.35">
      <c r="B58" s="58">
        <v>65</v>
      </c>
      <c r="C58" s="18" t="s">
        <v>12923</v>
      </c>
      <c r="D58" s="59" t="s">
        <v>12924</v>
      </c>
    </row>
    <row r="59" spans="2:4" ht="15" customHeight="1" x14ac:dyDescent="0.35">
      <c r="B59" s="58">
        <v>65</v>
      </c>
      <c r="C59" s="18" t="s">
        <v>12925</v>
      </c>
      <c r="D59" s="59" t="s">
        <v>12926</v>
      </c>
    </row>
    <row r="60" spans="2:4" ht="15" customHeight="1" x14ac:dyDescent="0.35">
      <c r="B60" s="58">
        <v>66</v>
      </c>
      <c r="C60" s="18" t="s">
        <v>12927</v>
      </c>
      <c r="D60" s="59" t="s">
        <v>12928</v>
      </c>
    </row>
    <row r="61" spans="2:4" ht="15" customHeight="1" x14ac:dyDescent="0.35">
      <c r="B61" s="58">
        <v>67</v>
      </c>
      <c r="C61" s="18" t="s">
        <v>12929</v>
      </c>
      <c r="D61" s="59" t="s">
        <v>12930</v>
      </c>
    </row>
    <row r="62" spans="2:4" ht="15" customHeight="1" x14ac:dyDescent="0.35">
      <c r="B62" s="58">
        <v>68</v>
      </c>
      <c r="C62" s="18" t="s">
        <v>12931</v>
      </c>
      <c r="D62" s="59" t="s">
        <v>12932</v>
      </c>
    </row>
    <row r="63" spans="2:4" ht="15" customHeight="1" x14ac:dyDescent="0.35">
      <c r="B63" s="58">
        <v>71</v>
      </c>
      <c r="C63" s="18" t="s">
        <v>12933</v>
      </c>
      <c r="D63" s="59" t="s">
        <v>12934</v>
      </c>
    </row>
    <row r="64" spans="2:4" ht="15" customHeight="1" x14ac:dyDescent="0.35">
      <c r="B64" s="58">
        <v>72</v>
      </c>
      <c r="C64" s="18" t="s">
        <v>12935</v>
      </c>
      <c r="D64" s="59" t="s">
        <v>12936</v>
      </c>
    </row>
    <row r="65" spans="2:4" ht="15" customHeight="1" x14ac:dyDescent="0.35">
      <c r="B65" s="58">
        <v>81</v>
      </c>
      <c r="C65" s="18" t="s">
        <v>12937</v>
      </c>
      <c r="D65" s="59" t="s">
        <v>12938</v>
      </c>
    </row>
    <row r="66" spans="2:4" ht="15" customHeight="1" x14ac:dyDescent="0.35">
      <c r="B66" s="58">
        <v>82</v>
      </c>
      <c r="C66" s="116" t="s">
        <v>12939</v>
      </c>
      <c r="D66" s="116" t="s">
        <v>12940</v>
      </c>
    </row>
    <row r="67" spans="2:4" ht="15" customHeight="1" x14ac:dyDescent="0.35">
      <c r="B67" s="58">
        <v>83</v>
      </c>
      <c r="C67" s="18" t="s">
        <v>2823</v>
      </c>
      <c r="D67" s="116" t="s">
        <v>12941</v>
      </c>
    </row>
    <row r="68" spans="2:4" ht="15" customHeight="1" x14ac:dyDescent="0.35">
      <c r="B68" s="58">
        <v>84</v>
      </c>
      <c r="C68" s="59" t="s">
        <v>12942</v>
      </c>
      <c r="D68" s="59" t="s">
        <v>12943</v>
      </c>
    </row>
    <row r="69" spans="2:4" ht="15" customHeight="1" x14ac:dyDescent="0.35">
      <c r="B69" s="58">
        <v>85</v>
      </c>
      <c r="C69" s="59" t="s">
        <v>12944</v>
      </c>
      <c r="D69" s="59" t="s">
        <v>12945</v>
      </c>
    </row>
    <row r="70" spans="2:4" ht="15" customHeight="1" x14ac:dyDescent="0.35">
      <c r="B70" s="125">
        <v>86</v>
      </c>
      <c r="C70" s="126" t="s">
        <v>2518</v>
      </c>
      <c r="D70" s="126" t="s">
        <v>12946</v>
      </c>
    </row>
    <row r="71" spans="2:4" ht="15" customHeight="1" x14ac:dyDescent="0.35">
      <c r="B71" s="127">
        <v>87</v>
      </c>
      <c r="C71" s="126" t="s">
        <v>12947</v>
      </c>
      <c r="D71" s="126" t="s">
        <v>12948</v>
      </c>
    </row>
    <row r="72" spans="2:4" ht="15" customHeight="1" x14ac:dyDescent="0.35">
      <c r="B72" s="127">
        <v>88</v>
      </c>
      <c r="C72" s="126" t="s">
        <v>12949</v>
      </c>
      <c r="D72" s="126" t="s">
        <v>12950</v>
      </c>
    </row>
    <row r="73" spans="2:4" ht="15" customHeight="1" x14ac:dyDescent="0.35">
      <c r="B73" s="29">
        <v>89</v>
      </c>
      <c r="C73" s="126" t="s">
        <v>13075</v>
      </c>
      <c r="D73" s="194" t="s">
        <v>13310</v>
      </c>
    </row>
  </sheetData>
  <autoFilter ref="B3:D73" xr:uid="{1071C334-01F3-4986-BEED-6932EFC506CA}"/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customProperties>
    <customPr name="EpmWorksheetKeyString_GUID" r:id="rId2"/>
  </customPropertie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A904-490D-4DA9-9FBF-75D5B82193F9}">
  <sheetPr codeName="Planilha12"/>
  <dimension ref="B1:D82"/>
  <sheetViews>
    <sheetView showGridLines="0" topLeftCell="A45" zoomScaleNormal="100" workbookViewId="0">
      <selection activeCell="D82" sqref="B2:D82"/>
    </sheetView>
  </sheetViews>
  <sheetFormatPr defaultColWidth="20.54296875" defaultRowHeight="15" customHeight="1" x14ac:dyDescent="0.35"/>
  <cols>
    <col min="1" max="1" width="1.54296875" customWidth="1"/>
    <col min="3" max="3" width="59.81640625" customWidth="1"/>
    <col min="4" max="4" width="83.1796875" customWidth="1"/>
  </cols>
  <sheetData>
    <row r="1" spans="2:4" ht="10.5" customHeight="1" thickBot="1" x14ac:dyDescent="0.4"/>
    <row r="2" spans="2:4" ht="36" customHeight="1" thickBot="1" x14ac:dyDescent="0.4">
      <c r="B2" s="234" t="s">
        <v>12853</v>
      </c>
      <c r="C2" s="235"/>
      <c r="D2" s="236"/>
    </row>
    <row r="3" spans="2:4" ht="13.5" customHeight="1" x14ac:dyDescent="0.35">
      <c r="B3" s="63" t="s">
        <v>12854</v>
      </c>
      <c r="C3" s="63" t="s">
        <v>12855</v>
      </c>
      <c r="D3" s="64" t="s">
        <v>12855</v>
      </c>
    </row>
    <row r="4" spans="2:4" ht="15" customHeight="1" x14ac:dyDescent="0.35">
      <c r="B4" s="58">
        <v>300</v>
      </c>
      <c r="C4" s="18" t="s">
        <v>12951</v>
      </c>
      <c r="D4" s="59" t="s">
        <v>12952</v>
      </c>
    </row>
    <row r="5" spans="2:4" ht="15" customHeight="1" x14ac:dyDescent="0.35">
      <c r="B5" s="58">
        <v>301</v>
      </c>
      <c r="C5" s="18" t="s">
        <v>12953</v>
      </c>
      <c r="D5" s="59" t="s">
        <v>12953</v>
      </c>
    </row>
    <row r="6" spans="2:4" ht="15" customHeight="1" x14ac:dyDescent="0.35">
      <c r="B6" s="58">
        <v>302</v>
      </c>
      <c r="C6" s="18" t="s">
        <v>12954</v>
      </c>
      <c r="D6" s="59" t="s">
        <v>12018</v>
      </c>
    </row>
    <row r="7" spans="2:4" ht="15" customHeight="1" x14ac:dyDescent="0.35">
      <c r="B7" s="58">
        <v>303</v>
      </c>
      <c r="C7" s="18" t="s">
        <v>12955</v>
      </c>
      <c r="D7" s="59" t="s">
        <v>12956</v>
      </c>
    </row>
    <row r="8" spans="2:4" ht="15" customHeight="1" x14ac:dyDescent="0.35">
      <c r="B8" s="58">
        <v>304</v>
      </c>
      <c r="C8" s="18"/>
      <c r="D8" s="59"/>
    </row>
    <row r="9" spans="2:4" ht="15" customHeight="1" x14ac:dyDescent="0.35">
      <c r="B9" s="58">
        <v>305</v>
      </c>
      <c r="C9" s="18"/>
      <c r="D9" s="59"/>
    </row>
    <row r="10" spans="2:4" ht="15" customHeight="1" x14ac:dyDescent="0.35">
      <c r="B10" s="58">
        <v>306</v>
      </c>
      <c r="C10" s="18" t="s">
        <v>2034</v>
      </c>
      <c r="D10" s="59" t="s">
        <v>12863</v>
      </c>
    </row>
    <row r="11" spans="2:4" ht="15" customHeight="1" x14ac:dyDescent="0.35">
      <c r="B11" s="58">
        <v>307</v>
      </c>
      <c r="C11" s="18"/>
      <c r="D11" s="59"/>
    </row>
    <row r="12" spans="2:4" ht="15" customHeight="1" x14ac:dyDescent="0.35">
      <c r="B12" s="58">
        <v>308</v>
      </c>
      <c r="C12" s="18" t="s">
        <v>2254</v>
      </c>
      <c r="D12" s="59" t="s">
        <v>12865</v>
      </c>
    </row>
    <row r="13" spans="2:4" ht="15" customHeight="1" x14ac:dyDescent="0.35">
      <c r="B13" s="58">
        <v>309</v>
      </c>
      <c r="C13" s="18" t="s">
        <v>2686</v>
      </c>
      <c r="D13" s="59" t="s">
        <v>12866</v>
      </c>
    </row>
    <row r="14" spans="2:4" ht="15" customHeight="1" x14ac:dyDescent="0.35">
      <c r="B14" s="58">
        <v>310</v>
      </c>
      <c r="C14" s="18" t="s">
        <v>2264</v>
      </c>
      <c r="D14" s="59" t="s">
        <v>12867</v>
      </c>
    </row>
    <row r="15" spans="2:4" ht="15" customHeight="1" x14ac:dyDescent="0.35">
      <c r="B15" s="58">
        <v>311</v>
      </c>
      <c r="C15" s="18" t="s">
        <v>3015</v>
      </c>
      <c r="D15" s="59" t="s">
        <v>12868</v>
      </c>
    </row>
    <row r="16" spans="2:4" ht="15" customHeight="1" x14ac:dyDescent="0.35">
      <c r="B16" s="58">
        <v>312</v>
      </c>
      <c r="C16" s="18" t="s">
        <v>2697</v>
      </c>
      <c r="D16" s="59" t="s">
        <v>12869</v>
      </c>
    </row>
    <row r="17" spans="2:4" ht="15" customHeight="1" x14ac:dyDescent="0.35">
      <c r="B17" s="58">
        <v>313</v>
      </c>
      <c r="C17" s="18"/>
      <c r="D17" s="59"/>
    </row>
    <row r="18" spans="2:4" ht="15" customHeight="1" x14ac:dyDescent="0.35">
      <c r="B18" s="58">
        <v>314</v>
      </c>
      <c r="C18" s="18" t="s">
        <v>12871</v>
      </c>
      <c r="D18" s="59" t="s">
        <v>12872</v>
      </c>
    </row>
    <row r="19" spans="2:4" ht="15" customHeight="1" x14ac:dyDescent="0.35">
      <c r="B19" s="58">
        <v>315</v>
      </c>
      <c r="C19" s="18" t="s">
        <v>12957</v>
      </c>
      <c r="D19" s="59" t="s">
        <v>12958</v>
      </c>
    </row>
    <row r="20" spans="2:4" ht="15" customHeight="1" x14ac:dyDescent="0.35">
      <c r="B20" s="58">
        <v>316</v>
      </c>
      <c r="C20" s="18"/>
      <c r="D20" s="59"/>
    </row>
    <row r="21" spans="2:4" ht="15" customHeight="1" x14ac:dyDescent="0.35">
      <c r="B21" s="58">
        <v>317</v>
      </c>
      <c r="C21" s="18" t="s">
        <v>2910</v>
      </c>
      <c r="D21" s="59" t="s">
        <v>12876</v>
      </c>
    </row>
    <row r="22" spans="2:4" ht="15" customHeight="1" x14ac:dyDescent="0.35">
      <c r="B22" s="58">
        <v>318</v>
      </c>
      <c r="C22" s="18"/>
      <c r="D22" s="59"/>
    </row>
    <row r="23" spans="2:4" ht="15" customHeight="1" x14ac:dyDescent="0.35">
      <c r="B23" s="58">
        <v>319</v>
      </c>
      <c r="C23" s="18" t="s">
        <v>2158</v>
      </c>
      <c r="D23" s="59" t="s">
        <v>12878</v>
      </c>
    </row>
    <row r="24" spans="2:4" ht="15" customHeight="1" x14ac:dyDescent="0.35">
      <c r="B24" s="58">
        <v>320</v>
      </c>
      <c r="C24" s="18"/>
      <c r="D24" s="59"/>
    </row>
    <row r="25" spans="2:4" ht="15" customHeight="1" x14ac:dyDescent="0.35">
      <c r="B25" s="58">
        <v>321</v>
      </c>
      <c r="C25" s="18"/>
      <c r="D25" s="59"/>
    </row>
    <row r="26" spans="2:4" ht="15" customHeight="1" x14ac:dyDescent="0.35">
      <c r="B26" s="58">
        <v>322</v>
      </c>
      <c r="C26" s="18"/>
      <c r="D26" s="59"/>
    </row>
    <row r="27" spans="2:4" ht="15" customHeight="1" x14ac:dyDescent="0.35">
      <c r="B27" s="58">
        <v>323</v>
      </c>
      <c r="C27" s="18"/>
      <c r="D27" s="59"/>
    </row>
    <row r="28" spans="2:4" ht="15" customHeight="1" x14ac:dyDescent="0.35">
      <c r="B28" s="58">
        <v>324</v>
      </c>
      <c r="C28" s="18" t="s">
        <v>12883</v>
      </c>
      <c r="D28" s="59" t="s">
        <v>12959</v>
      </c>
    </row>
    <row r="29" spans="2:4" ht="15" customHeight="1" x14ac:dyDescent="0.35">
      <c r="B29" s="58">
        <v>325</v>
      </c>
      <c r="C29" s="18" t="s">
        <v>2454</v>
      </c>
      <c r="D29" s="59" t="s">
        <v>12885</v>
      </c>
    </row>
    <row r="30" spans="2:4" ht="15" customHeight="1" x14ac:dyDescent="0.35">
      <c r="B30" s="58">
        <v>326</v>
      </c>
      <c r="C30" s="18"/>
      <c r="D30" s="59"/>
    </row>
    <row r="31" spans="2:4" ht="15" customHeight="1" x14ac:dyDescent="0.35">
      <c r="B31" s="58">
        <v>327</v>
      </c>
      <c r="C31" s="18" t="s">
        <v>2276</v>
      </c>
      <c r="D31" s="59" t="s">
        <v>12887</v>
      </c>
    </row>
    <row r="32" spans="2:4" ht="15" customHeight="1" x14ac:dyDescent="0.35">
      <c r="B32" s="58">
        <v>328</v>
      </c>
      <c r="C32" s="18"/>
      <c r="D32" s="59"/>
    </row>
    <row r="33" spans="2:4" ht="15" customHeight="1" x14ac:dyDescent="0.35">
      <c r="B33" s="58">
        <v>329</v>
      </c>
      <c r="C33" s="18"/>
      <c r="D33" s="59"/>
    </row>
    <row r="34" spans="2:4" ht="15" customHeight="1" x14ac:dyDescent="0.35">
      <c r="B34" s="58">
        <v>330</v>
      </c>
      <c r="C34" s="18"/>
      <c r="D34" s="59"/>
    </row>
    <row r="35" spans="2:4" ht="15" customHeight="1" x14ac:dyDescent="0.35">
      <c r="B35" s="58">
        <v>331</v>
      </c>
      <c r="C35" s="18"/>
      <c r="D35" s="59"/>
    </row>
    <row r="36" spans="2:4" ht="15" customHeight="1" x14ac:dyDescent="0.35">
      <c r="B36" s="58">
        <v>332</v>
      </c>
      <c r="C36" s="18"/>
      <c r="D36" s="59"/>
    </row>
    <row r="37" spans="2:4" ht="15" customHeight="1" x14ac:dyDescent="0.35">
      <c r="B37" s="58">
        <v>333</v>
      </c>
      <c r="C37" s="18"/>
      <c r="D37" s="59"/>
    </row>
    <row r="38" spans="2:4" ht="15" customHeight="1" x14ac:dyDescent="0.35">
      <c r="B38" s="58">
        <v>334</v>
      </c>
      <c r="C38" s="18"/>
      <c r="D38" s="59"/>
    </row>
    <row r="39" spans="2:4" ht="15" customHeight="1" x14ac:dyDescent="0.35">
      <c r="B39" s="58">
        <v>335</v>
      </c>
      <c r="C39" s="18"/>
      <c r="D39" s="59"/>
    </row>
    <row r="40" spans="2:4" ht="15" customHeight="1" x14ac:dyDescent="0.35">
      <c r="B40" s="58">
        <v>336</v>
      </c>
      <c r="C40" s="18"/>
      <c r="D40" s="59"/>
    </row>
    <row r="41" spans="2:4" ht="15" customHeight="1" x14ac:dyDescent="0.35">
      <c r="B41" s="58">
        <v>337</v>
      </c>
      <c r="C41" s="18"/>
      <c r="D41" s="59"/>
    </row>
    <row r="42" spans="2:4" ht="15" customHeight="1" x14ac:dyDescent="0.35">
      <c r="B42" s="58">
        <v>338</v>
      </c>
      <c r="C42" s="18"/>
      <c r="D42" s="59"/>
    </row>
    <row r="43" spans="2:4" ht="15" customHeight="1" x14ac:dyDescent="0.35">
      <c r="B43" s="58">
        <v>339</v>
      </c>
      <c r="C43" s="18"/>
      <c r="D43" s="59"/>
    </row>
    <row r="44" spans="2:4" ht="15" customHeight="1" x14ac:dyDescent="0.35">
      <c r="B44" s="58">
        <v>340</v>
      </c>
      <c r="C44" s="18" t="s">
        <v>12960</v>
      </c>
      <c r="D44" s="59" t="s">
        <v>12961</v>
      </c>
    </row>
    <row r="45" spans="2:4" ht="15" customHeight="1" x14ac:dyDescent="0.35">
      <c r="B45" s="58">
        <v>341</v>
      </c>
      <c r="C45" s="18" t="s">
        <v>12962</v>
      </c>
      <c r="D45" s="59" t="s">
        <v>12963</v>
      </c>
    </row>
    <row r="46" spans="2:4" ht="15" customHeight="1" x14ac:dyDescent="0.35">
      <c r="B46" s="58">
        <v>342</v>
      </c>
      <c r="C46" s="18"/>
      <c r="D46" s="59"/>
    </row>
    <row r="47" spans="2:4" ht="15" customHeight="1" x14ac:dyDescent="0.35">
      <c r="B47" s="58">
        <v>343</v>
      </c>
      <c r="C47" s="18"/>
      <c r="D47" s="59"/>
    </row>
    <row r="48" spans="2:4" ht="15" customHeight="1" x14ac:dyDescent="0.35">
      <c r="B48" s="58">
        <v>344</v>
      </c>
      <c r="C48" s="18"/>
      <c r="D48" s="59"/>
    </row>
    <row r="49" spans="2:4" ht="15" customHeight="1" x14ac:dyDescent="0.35">
      <c r="B49" s="58">
        <v>345</v>
      </c>
      <c r="C49" s="18"/>
      <c r="D49" s="59"/>
    </row>
    <row r="50" spans="2:4" ht="15" customHeight="1" x14ac:dyDescent="0.35">
      <c r="B50" s="58">
        <v>346</v>
      </c>
      <c r="C50" s="18"/>
      <c r="D50" s="59"/>
    </row>
    <row r="51" spans="2:4" ht="15" customHeight="1" x14ac:dyDescent="0.35">
      <c r="B51" s="58">
        <v>347</v>
      </c>
      <c r="C51" s="18"/>
      <c r="D51" s="59"/>
    </row>
    <row r="52" spans="2:4" ht="15" customHeight="1" x14ac:dyDescent="0.35">
      <c r="B52" s="58">
        <v>348</v>
      </c>
      <c r="C52" s="18"/>
      <c r="D52" s="59"/>
    </row>
    <row r="53" spans="2:4" ht="15" customHeight="1" x14ac:dyDescent="0.35">
      <c r="B53" s="58">
        <v>349</v>
      </c>
      <c r="C53" s="18"/>
      <c r="D53" s="59"/>
    </row>
    <row r="54" spans="2:4" ht="15" customHeight="1" x14ac:dyDescent="0.35">
      <c r="B54" s="58">
        <v>350</v>
      </c>
      <c r="C54" s="18"/>
      <c r="D54" s="59"/>
    </row>
    <row r="55" spans="2:4" ht="15" customHeight="1" x14ac:dyDescent="0.35">
      <c r="B55" s="58">
        <v>351</v>
      </c>
      <c r="C55" s="18" t="s">
        <v>2046</v>
      </c>
      <c r="D55" s="59" t="s">
        <v>12904</v>
      </c>
    </row>
    <row r="56" spans="2:4" ht="15" customHeight="1" x14ac:dyDescent="0.35">
      <c r="B56" s="58">
        <v>352</v>
      </c>
      <c r="C56" s="18"/>
      <c r="D56" s="59"/>
    </row>
    <row r="57" spans="2:4" ht="15" customHeight="1" x14ac:dyDescent="0.35">
      <c r="B57" s="58">
        <v>353</v>
      </c>
      <c r="C57" s="18" t="s">
        <v>12907</v>
      </c>
      <c r="D57" s="59" t="s">
        <v>12908</v>
      </c>
    </row>
    <row r="58" spans="2:4" ht="15" customHeight="1" x14ac:dyDescent="0.35">
      <c r="B58" s="58">
        <v>354</v>
      </c>
      <c r="C58" s="18"/>
      <c r="D58" s="59"/>
    </row>
    <row r="59" spans="2:4" ht="15" customHeight="1" x14ac:dyDescent="0.35">
      <c r="B59" s="58">
        <v>355</v>
      </c>
      <c r="C59" s="18"/>
      <c r="D59" s="59"/>
    </row>
    <row r="60" spans="2:4" ht="15" customHeight="1" x14ac:dyDescent="0.35">
      <c r="B60" s="58">
        <v>356</v>
      </c>
      <c r="C60" s="18"/>
      <c r="D60" s="59"/>
    </row>
    <row r="61" spans="2:4" ht="15" customHeight="1" x14ac:dyDescent="0.35">
      <c r="B61" s="58">
        <v>357</v>
      </c>
      <c r="C61" s="18"/>
      <c r="D61" s="59"/>
    </row>
    <row r="62" spans="2:4" ht="15" customHeight="1" x14ac:dyDescent="0.35">
      <c r="B62" s="58">
        <v>358</v>
      </c>
      <c r="C62" s="18"/>
      <c r="D62" s="59"/>
    </row>
    <row r="63" spans="2:4" ht="15" customHeight="1" x14ac:dyDescent="0.35">
      <c r="B63" s="58">
        <v>359</v>
      </c>
      <c r="C63" s="18" t="s">
        <v>12964</v>
      </c>
      <c r="D63" s="59" t="s">
        <v>12916</v>
      </c>
    </row>
    <row r="64" spans="2:4" ht="15" customHeight="1" x14ac:dyDescent="0.35">
      <c r="B64" s="58">
        <v>360</v>
      </c>
      <c r="C64" s="18" t="s">
        <v>3045</v>
      </c>
      <c r="D64" s="59" t="s">
        <v>12917</v>
      </c>
    </row>
    <row r="65" spans="2:4" ht="15" customHeight="1" x14ac:dyDescent="0.35">
      <c r="B65" s="58">
        <v>361</v>
      </c>
      <c r="C65" s="18"/>
      <c r="D65" s="59"/>
    </row>
    <row r="66" spans="2:4" ht="15" customHeight="1" x14ac:dyDescent="0.35">
      <c r="B66" s="58">
        <v>362</v>
      </c>
      <c r="C66" s="18"/>
      <c r="D66" s="59"/>
    </row>
    <row r="67" spans="2:4" ht="15" customHeight="1" x14ac:dyDescent="0.35">
      <c r="B67" s="58">
        <v>363</v>
      </c>
      <c r="C67" s="18"/>
      <c r="D67" s="59"/>
    </row>
    <row r="68" spans="2:4" ht="15" customHeight="1" x14ac:dyDescent="0.35">
      <c r="B68" s="58">
        <v>364</v>
      </c>
      <c r="C68" s="18"/>
      <c r="D68" s="59"/>
    </row>
    <row r="69" spans="2:4" ht="15" customHeight="1" x14ac:dyDescent="0.35">
      <c r="B69" s="58">
        <v>365</v>
      </c>
      <c r="C69" s="18"/>
      <c r="D69" s="59"/>
    </row>
    <row r="70" spans="2:4" ht="15" customHeight="1" x14ac:dyDescent="0.35">
      <c r="B70" s="58">
        <v>366</v>
      </c>
      <c r="C70" s="18"/>
      <c r="D70" s="59"/>
    </row>
    <row r="71" spans="2:4" ht="15" customHeight="1" x14ac:dyDescent="0.35">
      <c r="B71" s="58">
        <v>367</v>
      </c>
      <c r="C71" s="18"/>
      <c r="D71" s="59"/>
    </row>
    <row r="72" spans="2:4" ht="15" customHeight="1" x14ac:dyDescent="0.35">
      <c r="B72" s="58">
        <v>368</v>
      </c>
      <c r="C72" s="18"/>
      <c r="D72" s="59"/>
    </row>
    <row r="73" spans="2:4" ht="15" customHeight="1" x14ac:dyDescent="0.35">
      <c r="B73" s="58">
        <v>369</v>
      </c>
      <c r="C73" s="18"/>
      <c r="D73" s="59"/>
    </row>
    <row r="74" spans="2:4" ht="15" customHeight="1" x14ac:dyDescent="0.35">
      <c r="B74" s="58">
        <v>370</v>
      </c>
      <c r="C74" s="18"/>
      <c r="D74" s="59"/>
    </row>
    <row r="75" spans="2:4" ht="15" customHeight="1" x14ac:dyDescent="0.35">
      <c r="B75" s="58">
        <v>371</v>
      </c>
      <c r="C75" s="18"/>
      <c r="D75" s="59"/>
    </row>
    <row r="76" spans="2:4" ht="15" customHeight="1" x14ac:dyDescent="0.35">
      <c r="B76" s="58">
        <v>372</v>
      </c>
      <c r="C76" s="18"/>
      <c r="D76" s="59"/>
    </row>
    <row r="77" spans="2:4" ht="15" customHeight="1" x14ac:dyDescent="0.35">
      <c r="B77" s="58">
        <v>373</v>
      </c>
      <c r="C77" s="116"/>
      <c r="D77" s="116"/>
    </row>
    <row r="78" spans="2:4" ht="15" customHeight="1" x14ac:dyDescent="0.35">
      <c r="B78" s="58">
        <v>374</v>
      </c>
      <c r="C78" s="18"/>
      <c r="D78" s="116"/>
    </row>
    <row r="79" spans="2:4" ht="15" customHeight="1" x14ac:dyDescent="0.35">
      <c r="B79" s="58">
        <v>375</v>
      </c>
      <c r="C79" s="59"/>
      <c r="D79" s="59"/>
    </row>
    <row r="80" spans="2:4" ht="15" customHeight="1" x14ac:dyDescent="0.35">
      <c r="B80" s="58">
        <v>376</v>
      </c>
      <c r="C80" s="59"/>
      <c r="D80" s="59"/>
    </row>
    <row r="81" spans="2:4" ht="15" customHeight="1" x14ac:dyDescent="0.35">
      <c r="B81" s="58">
        <v>377</v>
      </c>
      <c r="C81" s="126"/>
      <c r="D81" s="126"/>
    </row>
    <row r="82" spans="2:4" ht="15" customHeight="1" x14ac:dyDescent="0.35">
      <c r="B82" s="58">
        <v>378</v>
      </c>
      <c r="C82" s="126"/>
      <c r="D82" s="126"/>
    </row>
  </sheetData>
  <autoFilter ref="B3:D82" xr:uid="{1071C334-01F3-4986-BEED-6932EFC506CA}"/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customProperties>
    <customPr name="EpmWorksheetKeyString_GUID" r:id="rId2"/>
  </customPropertie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6A28-4D6A-4AFD-A5C4-87D385031063}">
  <sheetPr codeName="Planilha13"/>
  <dimension ref="B1:D82"/>
  <sheetViews>
    <sheetView showGridLines="0" zoomScale="130" zoomScaleNormal="130" workbookViewId="0">
      <selection activeCell="D82" sqref="B2:D82"/>
    </sheetView>
  </sheetViews>
  <sheetFormatPr defaultColWidth="20.54296875" defaultRowHeight="15" customHeight="1" x14ac:dyDescent="0.35"/>
  <cols>
    <col min="1" max="1" width="1.54296875" customWidth="1"/>
    <col min="3" max="3" width="59.81640625" customWidth="1"/>
    <col min="4" max="4" width="83.1796875" customWidth="1"/>
  </cols>
  <sheetData>
    <row r="1" spans="2:4" ht="10.5" customHeight="1" thickBot="1" x14ac:dyDescent="0.4"/>
    <row r="2" spans="2:4" ht="36" customHeight="1" thickBot="1" x14ac:dyDescent="0.4">
      <c r="B2" s="234" t="s">
        <v>12853</v>
      </c>
      <c r="C2" s="235"/>
      <c r="D2" s="236"/>
    </row>
    <row r="3" spans="2:4" ht="13.5" customHeight="1" x14ac:dyDescent="0.35">
      <c r="B3" s="63" t="s">
        <v>12854</v>
      </c>
      <c r="C3" s="63" t="s">
        <v>12855</v>
      </c>
      <c r="D3" s="64" t="s">
        <v>12855</v>
      </c>
    </row>
    <row r="4" spans="2:4" ht="15" customHeight="1" x14ac:dyDescent="0.35">
      <c r="B4" s="58">
        <v>600</v>
      </c>
      <c r="C4" s="18"/>
      <c r="D4" s="59"/>
    </row>
    <row r="5" spans="2:4" ht="15" customHeight="1" x14ac:dyDescent="0.35">
      <c r="B5" s="58">
        <v>601</v>
      </c>
      <c r="C5" s="18" t="s">
        <v>12965</v>
      </c>
      <c r="D5" s="59" t="s">
        <v>12966</v>
      </c>
    </row>
    <row r="6" spans="2:4" ht="15" customHeight="1" x14ac:dyDescent="0.35">
      <c r="B6" s="58">
        <v>602</v>
      </c>
      <c r="C6" s="18" t="s">
        <v>12954</v>
      </c>
      <c r="D6" s="59" t="s">
        <v>12018</v>
      </c>
    </row>
    <row r="7" spans="2:4" ht="15" customHeight="1" x14ac:dyDescent="0.35">
      <c r="B7" s="58">
        <v>603</v>
      </c>
      <c r="C7" s="18" t="s">
        <v>12967</v>
      </c>
      <c r="D7" s="59" t="s">
        <v>12968</v>
      </c>
    </row>
    <row r="8" spans="2:4" ht="15" customHeight="1" x14ac:dyDescent="0.35">
      <c r="B8" s="58">
        <v>604</v>
      </c>
      <c r="C8" s="18"/>
      <c r="D8" s="59"/>
    </row>
    <row r="9" spans="2:4" ht="15" customHeight="1" x14ac:dyDescent="0.35">
      <c r="B9" s="58">
        <v>605</v>
      </c>
      <c r="C9" s="18"/>
      <c r="D9" s="59"/>
    </row>
    <row r="10" spans="2:4" ht="15" customHeight="1" x14ac:dyDescent="0.35">
      <c r="B10" s="58">
        <v>606</v>
      </c>
      <c r="C10" s="18" t="s">
        <v>2034</v>
      </c>
      <c r="D10" s="59" t="s">
        <v>12863</v>
      </c>
    </row>
    <row r="11" spans="2:4" ht="15" customHeight="1" x14ac:dyDescent="0.35">
      <c r="B11" s="58">
        <v>607</v>
      </c>
      <c r="C11" s="18"/>
      <c r="D11" s="59"/>
    </row>
    <row r="12" spans="2:4" ht="15" customHeight="1" x14ac:dyDescent="0.35">
      <c r="B12" s="58">
        <v>608</v>
      </c>
      <c r="C12" s="18" t="s">
        <v>2254</v>
      </c>
      <c r="D12" s="59" t="s">
        <v>12865</v>
      </c>
    </row>
    <row r="13" spans="2:4" ht="15" customHeight="1" x14ac:dyDescent="0.35">
      <c r="B13" s="58">
        <v>609</v>
      </c>
      <c r="C13" s="18" t="s">
        <v>2686</v>
      </c>
      <c r="D13" s="59" t="s">
        <v>12866</v>
      </c>
    </row>
    <row r="14" spans="2:4" ht="15" customHeight="1" x14ac:dyDescent="0.35">
      <c r="B14" s="58">
        <v>610</v>
      </c>
      <c r="C14" s="18" t="s">
        <v>2264</v>
      </c>
      <c r="D14" s="59" t="s">
        <v>12867</v>
      </c>
    </row>
    <row r="15" spans="2:4" ht="15" customHeight="1" x14ac:dyDescent="0.35">
      <c r="B15" s="58">
        <v>611</v>
      </c>
      <c r="C15" s="18" t="s">
        <v>3015</v>
      </c>
      <c r="D15" s="59" t="s">
        <v>12868</v>
      </c>
    </row>
    <row r="16" spans="2:4" ht="15" customHeight="1" x14ac:dyDescent="0.35">
      <c r="B16" s="58">
        <v>612</v>
      </c>
      <c r="C16" s="18" t="s">
        <v>2697</v>
      </c>
      <c r="D16" s="59" t="s">
        <v>12869</v>
      </c>
    </row>
    <row r="17" spans="2:4" ht="15" customHeight="1" x14ac:dyDescent="0.35">
      <c r="B17" s="58">
        <v>613</v>
      </c>
      <c r="C17" s="18"/>
      <c r="D17" s="59"/>
    </row>
    <row r="18" spans="2:4" ht="15" customHeight="1" x14ac:dyDescent="0.35">
      <c r="B18" s="58">
        <v>614</v>
      </c>
      <c r="C18" s="18" t="s">
        <v>12871</v>
      </c>
      <c r="D18" s="59" t="s">
        <v>12872</v>
      </c>
    </row>
    <row r="19" spans="2:4" ht="15" customHeight="1" x14ac:dyDescent="0.35">
      <c r="B19" s="58">
        <v>615</v>
      </c>
      <c r="C19" s="18" t="s">
        <v>12957</v>
      </c>
      <c r="D19" s="59" t="s">
        <v>12958</v>
      </c>
    </row>
    <row r="20" spans="2:4" ht="15" customHeight="1" x14ac:dyDescent="0.35">
      <c r="B20" s="58">
        <v>616</v>
      </c>
      <c r="C20" s="18"/>
      <c r="D20" s="59"/>
    </row>
    <row r="21" spans="2:4" ht="15" customHeight="1" x14ac:dyDescent="0.35">
      <c r="B21" s="58">
        <v>617</v>
      </c>
      <c r="C21" s="18" t="s">
        <v>2910</v>
      </c>
      <c r="D21" s="59" t="s">
        <v>12876</v>
      </c>
    </row>
    <row r="22" spans="2:4" ht="15" customHeight="1" x14ac:dyDescent="0.35">
      <c r="B22" s="58">
        <v>618</v>
      </c>
      <c r="C22" s="18"/>
      <c r="D22" s="59"/>
    </row>
    <row r="23" spans="2:4" ht="15" customHeight="1" x14ac:dyDescent="0.35">
      <c r="B23" s="58">
        <v>619</v>
      </c>
      <c r="C23" s="18" t="s">
        <v>2158</v>
      </c>
      <c r="D23" s="59" t="s">
        <v>12878</v>
      </c>
    </row>
    <row r="24" spans="2:4" ht="15" customHeight="1" x14ac:dyDescent="0.35">
      <c r="B24" s="58">
        <v>620</v>
      </c>
      <c r="C24" s="18"/>
      <c r="D24" s="59"/>
    </row>
    <row r="25" spans="2:4" ht="15" customHeight="1" x14ac:dyDescent="0.35">
      <c r="B25" s="58">
        <v>621</v>
      </c>
      <c r="C25" s="18"/>
      <c r="D25" s="59"/>
    </row>
    <row r="26" spans="2:4" ht="15" customHeight="1" x14ac:dyDescent="0.35">
      <c r="B26" s="58">
        <v>622</v>
      </c>
      <c r="C26" s="18"/>
      <c r="D26" s="59"/>
    </row>
    <row r="27" spans="2:4" ht="15" customHeight="1" x14ac:dyDescent="0.35">
      <c r="B27" s="58">
        <v>623</v>
      </c>
      <c r="C27" s="18"/>
      <c r="D27" s="59"/>
    </row>
    <row r="28" spans="2:4" ht="15" customHeight="1" x14ac:dyDescent="0.35">
      <c r="B28" s="58">
        <v>624</v>
      </c>
      <c r="C28" s="18" t="s">
        <v>12883</v>
      </c>
      <c r="D28" s="59" t="s">
        <v>12959</v>
      </c>
    </row>
    <row r="29" spans="2:4" ht="15" customHeight="1" x14ac:dyDescent="0.35">
      <c r="B29" s="58">
        <v>625</v>
      </c>
      <c r="C29" s="18" t="s">
        <v>2454</v>
      </c>
      <c r="D29" s="59" t="s">
        <v>12885</v>
      </c>
    </row>
    <row r="30" spans="2:4" ht="15" customHeight="1" x14ac:dyDescent="0.35">
      <c r="B30" s="58">
        <v>626</v>
      </c>
      <c r="C30" s="18"/>
      <c r="D30" s="59"/>
    </row>
    <row r="31" spans="2:4" ht="15" customHeight="1" x14ac:dyDescent="0.35">
      <c r="B31" s="58">
        <v>627</v>
      </c>
      <c r="C31" s="18" t="s">
        <v>12969</v>
      </c>
      <c r="D31" s="59" t="s">
        <v>12970</v>
      </c>
    </row>
    <row r="32" spans="2:4" ht="15" customHeight="1" x14ac:dyDescent="0.35">
      <c r="B32" s="58">
        <v>628</v>
      </c>
      <c r="C32" s="18"/>
      <c r="D32" s="59"/>
    </row>
    <row r="33" spans="2:4" ht="15" customHeight="1" x14ac:dyDescent="0.35">
      <c r="B33" s="58">
        <v>629</v>
      </c>
      <c r="C33" s="18"/>
      <c r="D33" s="59"/>
    </row>
    <row r="34" spans="2:4" ht="15" customHeight="1" x14ac:dyDescent="0.35">
      <c r="B34" s="58">
        <v>630</v>
      </c>
      <c r="C34" s="18" t="s">
        <v>12971</v>
      </c>
      <c r="D34" s="59" t="s">
        <v>12972</v>
      </c>
    </row>
    <row r="35" spans="2:4" ht="15" customHeight="1" x14ac:dyDescent="0.35">
      <c r="B35" s="58">
        <v>631</v>
      </c>
      <c r="C35" s="18" t="s">
        <v>12973</v>
      </c>
      <c r="D35" s="18" t="s">
        <v>12973</v>
      </c>
    </row>
    <row r="36" spans="2:4" ht="15" customHeight="1" x14ac:dyDescent="0.35">
      <c r="B36" s="58">
        <v>632</v>
      </c>
      <c r="C36" s="18" t="s">
        <v>12974</v>
      </c>
      <c r="D36" s="18" t="s">
        <v>12975</v>
      </c>
    </row>
    <row r="37" spans="2:4" ht="15" customHeight="1" x14ac:dyDescent="0.35">
      <c r="B37" s="58">
        <v>633</v>
      </c>
      <c r="C37" s="18" t="s">
        <v>12976</v>
      </c>
      <c r="D37" s="59" t="s">
        <v>12977</v>
      </c>
    </row>
    <row r="38" spans="2:4" ht="15" customHeight="1" x14ac:dyDescent="0.35">
      <c r="B38" s="58">
        <v>634</v>
      </c>
      <c r="C38" s="18" t="s">
        <v>12978</v>
      </c>
      <c r="D38" s="59" t="s">
        <v>12979</v>
      </c>
    </row>
    <row r="39" spans="2:4" ht="15" customHeight="1" x14ac:dyDescent="0.35">
      <c r="B39" s="58">
        <v>635</v>
      </c>
      <c r="C39" s="18"/>
      <c r="D39" s="59"/>
    </row>
    <row r="40" spans="2:4" ht="15" customHeight="1" x14ac:dyDescent="0.35">
      <c r="B40" s="58">
        <v>636</v>
      </c>
      <c r="C40" s="18"/>
      <c r="D40" s="59"/>
    </row>
    <row r="41" spans="2:4" ht="15" customHeight="1" x14ac:dyDescent="0.35">
      <c r="B41" s="58">
        <v>637</v>
      </c>
      <c r="C41" s="18"/>
      <c r="D41" s="59"/>
    </row>
    <row r="42" spans="2:4" ht="15" customHeight="1" x14ac:dyDescent="0.35">
      <c r="B42" s="58">
        <v>638</v>
      </c>
      <c r="C42" s="18"/>
      <c r="D42" s="59"/>
    </row>
    <row r="43" spans="2:4" ht="15" customHeight="1" x14ac:dyDescent="0.35">
      <c r="B43" s="58">
        <v>639</v>
      </c>
      <c r="C43" s="18"/>
      <c r="D43" s="59"/>
    </row>
    <row r="44" spans="2:4" ht="15" customHeight="1" x14ac:dyDescent="0.35">
      <c r="B44" s="58">
        <v>640</v>
      </c>
      <c r="C44" s="18" t="s">
        <v>12960</v>
      </c>
      <c r="D44" s="59" t="s">
        <v>12961</v>
      </c>
    </row>
    <row r="45" spans="2:4" ht="15" customHeight="1" x14ac:dyDescent="0.35">
      <c r="B45" s="58">
        <v>641</v>
      </c>
      <c r="C45" s="18" t="s">
        <v>12962</v>
      </c>
      <c r="D45" s="59" t="s">
        <v>12963</v>
      </c>
    </row>
    <row r="46" spans="2:4" ht="15" customHeight="1" x14ac:dyDescent="0.35">
      <c r="B46" s="58">
        <v>642</v>
      </c>
      <c r="C46" s="18"/>
      <c r="D46" s="18"/>
    </row>
    <row r="47" spans="2:4" ht="15" customHeight="1" x14ac:dyDescent="0.35">
      <c r="B47" s="58">
        <v>643</v>
      </c>
      <c r="C47" s="18"/>
      <c r="D47" s="18"/>
    </row>
    <row r="48" spans="2:4" ht="15" customHeight="1" x14ac:dyDescent="0.35">
      <c r="B48" s="58">
        <v>644</v>
      </c>
      <c r="C48" s="18"/>
      <c r="D48" s="59"/>
    </row>
    <row r="49" spans="2:4" ht="15" customHeight="1" x14ac:dyDescent="0.35">
      <c r="B49" s="58">
        <v>645</v>
      </c>
      <c r="C49" s="18"/>
      <c r="D49" s="59"/>
    </row>
    <row r="50" spans="2:4" ht="15" customHeight="1" x14ac:dyDescent="0.35">
      <c r="B50" s="58">
        <v>646</v>
      </c>
      <c r="C50" s="18"/>
      <c r="D50" s="59"/>
    </row>
    <row r="51" spans="2:4" ht="15" customHeight="1" x14ac:dyDescent="0.35">
      <c r="B51" s="58">
        <v>647</v>
      </c>
      <c r="C51" s="18"/>
      <c r="D51" s="59"/>
    </row>
    <row r="52" spans="2:4" ht="15" customHeight="1" x14ac:dyDescent="0.35">
      <c r="B52" s="58">
        <v>648</v>
      </c>
      <c r="C52" s="18"/>
      <c r="D52" s="59"/>
    </row>
    <row r="53" spans="2:4" ht="15" customHeight="1" x14ac:dyDescent="0.35">
      <c r="B53" s="58">
        <v>649</v>
      </c>
      <c r="C53" s="18"/>
      <c r="D53" s="59"/>
    </row>
    <row r="54" spans="2:4" ht="15" customHeight="1" x14ac:dyDescent="0.35">
      <c r="B54" s="58">
        <v>650</v>
      </c>
      <c r="C54" s="18"/>
      <c r="D54" s="59"/>
    </row>
    <row r="55" spans="2:4" ht="15" customHeight="1" x14ac:dyDescent="0.35">
      <c r="B55" s="58">
        <v>651</v>
      </c>
      <c r="C55" s="18" t="s">
        <v>2046</v>
      </c>
      <c r="D55" s="59" t="s">
        <v>12904</v>
      </c>
    </row>
    <row r="56" spans="2:4" ht="15" customHeight="1" x14ac:dyDescent="0.35">
      <c r="B56" s="58">
        <v>652</v>
      </c>
      <c r="C56" s="18"/>
      <c r="D56" s="59"/>
    </row>
    <row r="57" spans="2:4" ht="15" customHeight="1" x14ac:dyDescent="0.35">
      <c r="B57" s="58">
        <v>653</v>
      </c>
      <c r="C57" s="18" t="s">
        <v>12907</v>
      </c>
      <c r="D57" s="59" t="s">
        <v>12908</v>
      </c>
    </row>
    <row r="58" spans="2:4" ht="15" customHeight="1" x14ac:dyDescent="0.35">
      <c r="B58" s="58">
        <v>654</v>
      </c>
      <c r="C58" s="18"/>
      <c r="D58" s="59"/>
    </row>
    <row r="59" spans="2:4" ht="15" customHeight="1" x14ac:dyDescent="0.35">
      <c r="B59" s="58">
        <v>655</v>
      </c>
      <c r="C59" s="18"/>
      <c r="D59" s="59"/>
    </row>
    <row r="60" spans="2:4" ht="15" customHeight="1" x14ac:dyDescent="0.35">
      <c r="B60" s="58">
        <v>656</v>
      </c>
      <c r="C60" s="18"/>
      <c r="D60" s="59"/>
    </row>
    <row r="61" spans="2:4" ht="15" customHeight="1" x14ac:dyDescent="0.35">
      <c r="B61" s="58">
        <v>657</v>
      </c>
      <c r="C61" s="18"/>
      <c r="D61" s="59"/>
    </row>
    <row r="62" spans="2:4" ht="15" customHeight="1" x14ac:dyDescent="0.35">
      <c r="B62" s="58">
        <v>658</v>
      </c>
      <c r="C62" s="18"/>
      <c r="D62" s="59"/>
    </row>
    <row r="63" spans="2:4" ht="15" customHeight="1" x14ac:dyDescent="0.35">
      <c r="B63" s="58">
        <v>659</v>
      </c>
      <c r="C63" s="18" t="s">
        <v>12964</v>
      </c>
      <c r="D63" s="59" t="s">
        <v>12916</v>
      </c>
    </row>
    <row r="64" spans="2:4" ht="15" customHeight="1" x14ac:dyDescent="0.35">
      <c r="B64" s="58">
        <v>660</v>
      </c>
      <c r="C64" s="18" t="s">
        <v>3045</v>
      </c>
      <c r="D64" s="59" t="s">
        <v>12917</v>
      </c>
    </row>
    <row r="65" spans="2:4" ht="15" customHeight="1" x14ac:dyDescent="0.35">
      <c r="B65" s="58">
        <v>661</v>
      </c>
      <c r="C65" s="18"/>
      <c r="D65" s="59"/>
    </row>
    <row r="66" spans="2:4" ht="15" customHeight="1" x14ac:dyDescent="0.35">
      <c r="B66" s="58">
        <v>662</v>
      </c>
      <c r="C66" s="18"/>
      <c r="D66" s="59"/>
    </row>
    <row r="67" spans="2:4" ht="15" customHeight="1" x14ac:dyDescent="0.35">
      <c r="B67" s="58">
        <v>663</v>
      </c>
      <c r="C67" s="18"/>
      <c r="D67" s="59"/>
    </row>
    <row r="68" spans="2:4" ht="15" customHeight="1" x14ac:dyDescent="0.35">
      <c r="B68" s="58">
        <v>664</v>
      </c>
      <c r="C68" s="18"/>
      <c r="D68" s="59"/>
    </row>
    <row r="69" spans="2:4" ht="15" customHeight="1" x14ac:dyDescent="0.35">
      <c r="B69" s="58">
        <v>665</v>
      </c>
      <c r="C69" s="18"/>
      <c r="D69" s="59"/>
    </row>
    <row r="70" spans="2:4" ht="15" customHeight="1" x14ac:dyDescent="0.35">
      <c r="B70" s="58">
        <v>666</v>
      </c>
      <c r="C70" s="18"/>
      <c r="D70" s="59"/>
    </row>
    <row r="71" spans="2:4" ht="15" customHeight="1" x14ac:dyDescent="0.35">
      <c r="B71" s="58">
        <v>667</v>
      </c>
      <c r="C71" s="18"/>
      <c r="D71" s="59"/>
    </row>
    <row r="72" spans="2:4" ht="15" customHeight="1" x14ac:dyDescent="0.35">
      <c r="B72" s="58">
        <v>668</v>
      </c>
      <c r="C72" s="18"/>
      <c r="D72" s="59"/>
    </row>
    <row r="73" spans="2:4" ht="15" customHeight="1" x14ac:dyDescent="0.35">
      <c r="B73" s="58">
        <v>669</v>
      </c>
      <c r="C73" s="18"/>
      <c r="D73" s="59"/>
    </row>
    <row r="74" spans="2:4" ht="15" customHeight="1" x14ac:dyDescent="0.35">
      <c r="B74" s="58">
        <v>670</v>
      </c>
      <c r="C74" s="18"/>
      <c r="D74" s="59"/>
    </row>
    <row r="75" spans="2:4" ht="15" customHeight="1" x14ac:dyDescent="0.35">
      <c r="B75" s="58">
        <v>671</v>
      </c>
      <c r="C75" s="18"/>
      <c r="D75" s="59"/>
    </row>
    <row r="76" spans="2:4" ht="15" customHeight="1" x14ac:dyDescent="0.35">
      <c r="B76" s="58">
        <v>672</v>
      </c>
      <c r="C76" s="18"/>
      <c r="D76" s="59"/>
    </row>
    <row r="77" spans="2:4" ht="15" customHeight="1" x14ac:dyDescent="0.35">
      <c r="B77" s="58">
        <v>673</v>
      </c>
      <c r="C77" s="116"/>
      <c r="D77" s="116"/>
    </row>
    <row r="78" spans="2:4" ht="15" customHeight="1" x14ac:dyDescent="0.35">
      <c r="B78" s="58">
        <v>674</v>
      </c>
      <c r="C78" s="18"/>
      <c r="D78" s="116"/>
    </row>
    <row r="79" spans="2:4" ht="15" customHeight="1" x14ac:dyDescent="0.35">
      <c r="B79" s="58">
        <v>675</v>
      </c>
      <c r="C79" s="59"/>
      <c r="D79" s="59"/>
    </row>
    <row r="80" spans="2:4" ht="15" customHeight="1" x14ac:dyDescent="0.35">
      <c r="B80" s="58">
        <v>676</v>
      </c>
      <c r="C80" s="59"/>
      <c r="D80" s="59"/>
    </row>
    <row r="81" spans="2:4" ht="15" customHeight="1" x14ac:dyDescent="0.35">
      <c r="B81" s="58">
        <v>677</v>
      </c>
      <c r="C81" s="126"/>
      <c r="D81" s="126"/>
    </row>
    <row r="82" spans="2:4" ht="15" customHeight="1" x14ac:dyDescent="0.35">
      <c r="B82" s="58">
        <v>678</v>
      </c>
      <c r="C82" s="126"/>
      <c r="D82" s="126"/>
    </row>
  </sheetData>
  <autoFilter ref="B3:D82" xr:uid="{1071C334-01F3-4986-BEED-6932EFC506CA}"/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customProperties>
    <customPr name="EpmWorksheetKeyString_GUID" r:id="rId2"/>
  </customProperties>
  <drawing r:id="rId3"/>
  <legacy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3E8A-6D9F-4E12-A431-241633643D83}">
  <sheetPr codeName="Planilha8">
    <pageSetUpPr fitToPage="1"/>
  </sheetPr>
  <dimension ref="A1:E75"/>
  <sheetViews>
    <sheetView showGridLines="0" view="pageBreakPreview" zoomScale="90" zoomScaleNormal="90" zoomScaleSheetLayoutView="90" workbookViewId="0">
      <pane ySplit="4" topLeftCell="A5" activePane="bottomLeft" state="frozen"/>
      <selection pane="bottomLeft" activeCell="C39" sqref="C39"/>
    </sheetView>
  </sheetViews>
  <sheetFormatPr defaultRowHeight="20.149999999999999" customHeight="1" x14ac:dyDescent="0.35"/>
  <cols>
    <col min="1" max="1" width="18.1796875" style="1" bestFit="1" customWidth="1"/>
    <col min="2" max="2" width="11.1796875" style="6" bestFit="1" customWidth="1"/>
    <col min="3" max="3" width="69.81640625" style="5" customWidth="1"/>
    <col min="4" max="4" width="24.81640625" style="15" customWidth="1"/>
    <col min="5" max="5" width="82.81640625" customWidth="1"/>
  </cols>
  <sheetData>
    <row r="1" spans="1:5" ht="20.149999999999999" customHeight="1" x14ac:dyDescent="0.35">
      <c r="A1" s="250" t="s">
        <v>12980</v>
      </c>
      <c r="B1" s="251"/>
      <c r="C1" s="251"/>
      <c r="D1" s="251"/>
      <c r="E1" s="19"/>
    </row>
    <row r="2" spans="1:5" ht="20.149999999999999" customHeight="1" x14ac:dyDescent="0.35">
      <c r="A2" s="252"/>
      <c r="B2" s="253"/>
      <c r="C2" s="253"/>
      <c r="D2" s="253"/>
      <c r="E2" s="13"/>
    </row>
    <row r="3" spans="1:5" ht="20.149999999999999" customHeight="1" x14ac:dyDescent="0.35">
      <c r="A3" s="254"/>
      <c r="B3" s="255"/>
      <c r="C3" s="255"/>
      <c r="D3" s="255"/>
      <c r="E3" s="20"/>
    </row>
    <row r="4" spans="1:5" s="3" customFormat="1" ht="32.25" customHeight="1" x14ac:dyDescent="0.35">
      <c r="A4" s="9" t="s">
        <v>12981</v>
      </c>
      <c r="B4" s="8" t="s">
        <v>43</v>
      </c>
      <c r="C4" s="9" t="s">
        <v>49</v>
      </c>
      <c r="D4" s="14" t="s">
        <v>12982</v>
      </c>
      <c r="E4" s="8" t="s">
        <v>12983</v>
      </c>
    </row>
    <row r="5" spans="1:5" ht="20.149999999999999" customHeight="1" x14ac:dyDescent="0.35">
      <c r="A5" s="2" t="s">
        <v>12110</v>
      </c>
      <c r="B5" s="2" t="s">
        <v>14</v>
      </c>
      <c r="C5" s="4" t="s">
        <v>12984</v>
      </c>
      <c r="D5" s="16" t="s">
        <v>62</v>
      </c>
      <c r="E5" s="4" t="str">
        <f t="shared" ref="E5:E36" si="0">A5&amp;" - "&amp;C5</f>
        <v xml:space="preserve">MO-CHV-001 - Manual de Operação </v>
      </c>
    </row>
    <row r="6" spans="1:5" ht="20.149999999999999" customHeight="1" x14ac:dyDescent="0.35">
      <c r="A6" s="2" t="s">
        <v>12985</v>
      </c>
      <c r="B6" s="2" t="s">
        <v>14</v>
      </c>
      <c r="C6" s="4" t="s">
        <v>12986</v>
      </c>
      <c r="D6" s="16" t="s">
        <v>62</v>
      </c>
      <c r="E6" s="4" t="str">
        <f t="shared" si="0"/>
        <v>MO-CHV-010 - Relação de Alarmes e Providências</v>
      </c>
    </row>
    <row r="7" spans="1:5" ht="20.149999999999999" customHeight="1" x14ac:dyDescent="0.35">
      <c r="A7" s="2" t="s">
        <v>12987</v>
      </c>
      <c r="B7" s="2" t="s">
        <v>14</v>
      </c>
      <c r="C7" s="4" t="s">
        <v>12988</v>
      </c>
      <c r="D7" s="16" t="s">
        <v>62</v>
      </c>
      <c r="E7" s="4" t="str">
        <f t="shared" si="0"/>
        <v>MO-CHV-020 - Manual de Partida e Parada UG1</v>
      </c>
    </row>
    <row r="8" spans="1:5" ht="20.149999999999999" customHeight="1" x14ac:dyDescent="0.35">
      <c r="A8" s="2" t="s">
        <v>12987</v>
      </c>
      <c r="B8" s="2" t="s">
        <v>14</v>
      </c>
      <c r="C8" s="4" t="s">
        <v>12989</v>
      </c>
      <c r="D8" s="16" t="s">
        <v>62</v>
      </c>
      <c r="E8" s="4" t="str">
        <f t="shared" si="0"/>
        <v>MO-CHV-020 - Manual de Partida e Parada UG2</v>
      </c>
    </row>
    <row r="9" spans="1:5" ht="20.149999999999999" customHeight="1" x14ac:dyDescent="0.35">
      <c r="A9" s="2" t="s">
        <v>12987</v>
      </c>
      <c r="B9" s="2" t="s">
        <v>14</v>
      </c>
      <c r="C9" s="4" t="s">
        <v>12990</v>
      </c>
      <c r="D9" s="16" t="s">
        <v>62</v>
      </c>
      <c r="E9" s="4" t="str">
        <f t="shared" si="0"/>
        <v>MO-CHV-020 - Manual de Partida e Parada UG3</v>
      </c>
    </row>
    <row r="10" spans="1:5" ht="20.149999999999999" customHeight="1" x14ac:dyDescent="0.35">
      <c r="A10" s="2" t="s">
        <v>12987</v>
      </c>
      <c r="B10" s="2" t="s">
        <v>14</v>
      </c>
      <c r="C10" s="4" t="s">
        <v>12991</v>
      </c>
      <c r="D10" s="16" t="s">
        <v>62</v>
      </c>
      <c r="E10" s="4" t="str">
        <f t="shared" si="0"/>
        <v>MO-CHV-020 - Manual de Partida e Parada UG4</v>
      </c>
    </row>
    <row r="11" spans="1:5" ht="20.149999999999999" customHeight="1" x14ac:dyDescent="0.35">
      <c r="A11" s="2" t="s">
        <v>12992</v>
      </c>
      <c r="B11" s="2" t="s">
        <v>14</v>
      </c>
      <c r="C11" s="4" t="s">
        <v>12993</v>
      </c>
      <c r="D11" s="16" t="s">
        <v>62</v>
      </c>
      <c r="E11" s="4" t="str">
        <f t="shared" si="0"/>
        <v>MO-CHV-030 - Manual de Operação GAE</v>
      </c>
    </row>
    <row r="12" spans="1:5" ht="20.149999999999999" customHeight="1" x14ac:dyDescent="0.35">
      <c r="A12" s="2" t="s">
        <v>12994</v>
      </c>
      <c r="B12" s="2" t="s">
        <v>14</v>
      </c>
      <c r="C12" s="4" t="s">
        <v>12995</v>
      </c>
      <c r="D12" s="16" t="s">
        <v>62</v>
      </c>
      <c r="E12" s="4" t="str">
        <f t="shared" si="0"/>
        <v>MO-CHV-040 - Manual de Manobras nos Sistemas Hidráulicos</v>
      </c>
    </row>
    <row r="13" spans="1:5" ht="20.149999999999999" customHeight="1" x14ac:dyDescent="0.35">
      <c r="A13" s="2" t="s">
        <v>12996</v>
      </c>
      <c r="B13" s="2" t="s">
        <v>12997</v>
      </c>
      <c r="C13" s="4" t="s">
        <v>12984</v>
      </c>
      <c r="D13" s="16" t="s">
        <v>62</v>
      </c>
      <c r="E13" s="4" t="str">
        <f t="shared" si="0"/>
        <v xml:space="preserve">MO-CNOI-001 - Manual de Operação </v>
      </c>
    </row>
    <row r="14" spans="1:5" ht="20.149999999999999" customHeight="1" x14ac:dyDescent="0.35">
      <c r="A14" s="2" t="s">
        <v>12998</v>
      </c>
      <c r="B14" s="2" t="s">
        <v>12997</v>
      </c>
      <c r="C14" s="4" t="s">
        <v>12986</v>
      </c>
      <c r="D14" s="16" t="s">
        <v>62</v>
      </c>
      <c r="E14" s="4" t="str">
        <f t="shared" si="0"/>
        <v>MO-CNOI-010 - Relação de Alarmes e Providências</v>
      </c>
    </row>
    <row r="15" spans="1:5" ht="20.149999999999999" customHeight="1" x14ac:dyDescent="0.35">
      <c r="A15" s="2" t="s">
        <v>12999</v>
      </c>
      <c r="B15" s="2" t="s">
        <v>12997</v>
      </c>
      <c r="C15" s="4" t="s">
        <v>13000</v>
      </c>
      <c r="D15" s="16" t="s">
        <v>62</v>
      </c>
      <c r="E15" s="4" t="str">
        <f t="shared" si="0"/>
        <v xml:space="preserve">MO-CNOI-020 - Manual de Partida e Parada </v>
      </c>
    </row>
    <row r="16" spans="1:5" ht="20.149999999999999" customHeight="1" x14ac:dyDescent="0.35">
      <c r="A16" s="2" t="s">
        <v>13001</v>
      </c>
      <c r="B16" s="2" t="s">
        <v>13002</v>
      </c>
      <c r="C16" s="4" t="s">
        <v>12984</v>
      </c>
      <c r="D16" s="16" t="s">
        <v>62</v>
      </c>
      <c r="E16" s="4" t="str">
        <f t="shared" si="0"/>
        <v xml:space="preserve">MO-CNOII-001 - Manual de Operação </v>
      </c>
    </row>
    <row r="17" spans="1:5" ht="20.149999999999999" customHeight="1" x14ac:dyDescent="0.35">
      <c r="A17" s="2" t="s">
        <v>13003</v>
      </c>
      <c r="B17" s="2" t="s">
        <v>13002</v>
      </c>
      <c r="C17" s="4" t="s">
        <v>12986</v>
      </c>
      <c r="D17" s="16" t="s">
        <v>62</v>
      </c>
      <c r="E17" s="4" t="str">
        <f t="shared" si="0"/>
        <v>MO-CNOII-010 - Relação de Alarmes e Providências</v>
      </c>
    </row>
    <row r="18" spans="1:5" ht="20.149999999999999" customHeight="1" x14ac:dyDescent="0.35">
      <c r="A18" s="2" t="s">
        <v>13004</v>
      </c>
      <c r="B18" s="2" t="s">
        <v>13002</v>
      </c>
      <c r="C18" s="4" t="s">
        <v>13000</v>
      </c>
      <c r="D18" s="16" t="s">
        <v>62</v>
      </c>
      <c r="E18" s="4" t="str">
        <f t="shared" si="0"/>
        <v xml:space="preserve">MO-CNOII-020 - Manual de Partida e Parada </v>
      </c>
    </row>
    <row r="19" spans="1:5" ht="20.149999999999999" customHeight="1" x14ac:dyDescent="0.35">
      <c r="A19" s="2" t="s">
        <v>12409</v>
      </c>
      <c r="B19" s="2" t="s">
        <v>18</v>
      </c>
      <c r="C19" s="4" t="s">
        <v>12984</v>
      </c>
      <c r="D19" s="16" t="s">
        <v>62</v>
      </c>
      <c r="E19" s="4" t="str">
        <f t="shared" si="0"/>
        <v xml:space="preserve">MO-CPV-001 - Manual de Operação </v>
      </c>
    </row>
    <row r="20" spans="1:5" ht="20.149999999999999" customHeight="1" x14ac:dyDescent="0.35">
      <c r="A20" s="2" t="s">
        <v>13005</v>
      </c>
      <c r="B20" s="2" t="s">
        <v>18</v>
      </c>
      <c r="C20" s="4" t="s">
        <v>12986</v>
      </c>
      <c r="D20" s="17" t="s">
        <v>13006</v>
      </c>
      <c r="E20" s="4" t="str">
        <f t="shared" si="0"/>
        <v>MO-CPV-010 - Relação de Alarmes e Providências</v>
      </c>
    </row>
    <row r="21" spans="1:5" ht="20.149999999999999" customHeight="1" x14ac:dyDescent="0.35">
      <c r="A21" s="2" t="s">
        <v>13007</v>
      </c>
      <c r="B21" s="2" t="s">
        <v>18</v>
      </c>
      <c r="C21" s="4" t="s">
        <v>13000</v>
      </c>
      <c r="D21" s="16" t="s">
        <v>62</v>
      </c>
      <c r="E21" s="4" t="str">
        <f t="shared" si="0"/>
        <v xml:space="preserve">MO-CPV-020 - Manual de Partida e Parada </v>
      </c>
    </row>
    <row r="22" spans="1:5" ht="20.149999999999999" customHeight="1" x14ac:dyDescent="0.35">
      <c r="A22" s="2" t="s">
        <v>13008</v>
      </c>
      <c r="B22" s="2" t="s">
        <v>18</v>
      </c>
      <c r="C22" s="4" t="s">
        <v>13009</v>
      </c>
      <c r="D22" s="16" t="s">
        <v>62</v>
      </c>
      <c r="E22" s="4" t="str">
        <f t="shared" si="0"/>
        <v>MO-CPV-050 - Manual Transformadores Volume 1</v>
      </c>
    </row>
    <row r="23" spans="1:5" ht="20.149999999999999" customHeight="1" x14ac:dyDescent="0.35">
      <c r="A23" s="2" t="s">
        <v>13008</v>
      </c>
      <c r="B23" s="2" t="s">
        <v>18</v>
      </c>
      <c r="C23" s="4" t="s">
        <v>13010</v>
      </c>
      <c r="D23" s="16" t="s">
        <v>62</v>
      </c>
      <c r="E23" s="4" t="str">
        <f t="shared" si="0"/>
        <v>MO-CPV-050 - Manual Transformadores Volume 2</v>
      </c>
    </row>
    <row r="24" spans="1:5" ht="20.149999999999999" customHeight="1" x14ac:dyDescent="0.35">
      <c r="A24" s="2" t="s">
        <v>13008</v>
      </c>
      <c r="B24" s="2" t="s">
        <v>18</v>
      </c>
      <c r="C24" s="4" t="s">
        <v>13011</v>
      </c>
      <c r="D24" s="16" t="s">
        <v>62</v>
      </c>
      <c r="E24" s="4" t="str">
        <f t="shared" si="0"/>
        <v>MO-CPV-050 - Manual Transformadores Volume 3</v>
      </c>
    </row>
    <row r="25" spans="1:5" ht="20.149999999999999" customHeight="1" x14ac:dyDescent="0.35">
      <c r="A25" s="2" t="s">
        <v>13012</v>
      </c>
      <c r="B25" s="2" t="s">
        <v>18</v>
      </c>
      <c r="C25" s="4" t="s">
        <v>13013</v>
      </c>
      <c r="D25" s="16" t="s">
        <v>62</v>
      </c>
      <c r="E25" s="4" t="str">
        <f t="shared" si="0"/>
        <v>MO-CPV-080 - Procedimento para Isolar tubulações agua resfriamento</v>
      </c>
    </row>
    <row r="26" spans="1:5" ht="20.149999999999999" customHeight="1" x14ac:dyDescent="0.35">
      <c r="A26" s="2" t="s">
        <v>13014</v>
      </c>
      <c r="B26" s="2" t="s">
        <v>18</v>
      </c>
      <c r="C26" s="4" t="s">
        <v>13015</v>
      </c>
      <c r="D26" s="16" t="s">
        <v>62</v>
      </c>
      <c r="E26" s="4" t="str">
        <f t="shared" si="0"/>
        <v>MO-CPV-100 - Procedimento Op. fechamento seccionadoras</v>
      </c>
    </row>
    <row r="27" spans="1:5" ht="20.149999999999999" customHeight="1" x14ac:dyDescent="0.35">
      <c r="A27" s="2" t="s">
        <v>13016</v>
      </c>
      <c r="B27" s="2" t="s">
        <v>13017</v>
      </c>
      <c r="C27" s="4" t="s">
        <v>13018</v>
      </c>
      <c r="D27" s="16" t="s">
        <v>62</v>
      </c>
      <c r="E27" s="4" t="str">
        <f t="shared" si="0"/>
        <v>MO-CTG-080 - Anexo II - Uso do coletor de dados</v>
      </c>
    </row>
    <row r="28" spans="1:5" ht="20.149999999999999" customHeight="1" x14ac:dyDescent="0.35">
      <c r="A28" s="2" t="s">
        <v>13016</v>
      </c>
      <c r="B28" s="2" t="s">
        <v>13017</v>
      </c>
      <c r="C28" s="4" t="s">
        <v>13019</v>
      </c>
      <c r="D28" s="16" t="s">
        <v>62</v>
      </c>
      <c r="E28" s="4" t="str">
        <f t="shared" si="0"/>
        <v>MO-CTG-080 - Anexo I - Manual Pratico Sistema MDM</v>
      </c>
    </row>
    <row r="29" spans="1:5" ht="20.149999999999999" customHeight="1" x14ac:dyDescent="0.35">
      <c r="A29" s="2" t="s">
        <v>13016</v>
      </c>
      <c r="B29" s="2" t="s">
        <v>13017</v>
      </c>
      <c r="C29" s="4" t="s">
        <v>13020</v>
      </c>
      <c r="D29" s="16" t="s">
        <v>62</v>
      </c>
      <c r="E29" s="4" t="str">
        <f t="shared" si="0"/>
        <v>MO-CTG-080 - Manual de Uso Sistema MDM</v>
      </c>
    </row>
    <row r="30" spans="1:5" ht="20.149999999999999" customHeight="1" x14ac:dyDescent="0.35">
      <c r="A30" s="2" t="s">
        <v>12030</v>
      </c>
      <c r="B30" s="2" t="s">
        <v>13</v>
      </c>
      <c r="C30" s="4" t="s">
        <v>12984</v>
      </c>
      <c r="D30" s="16" t="s">
        <v>62</v>
      </c>
      <c r="E30" s="4" t="str">
        <f t="shared" si="0"/>
        <v xml:space="preserve">MO-JUR-001 - Manual de Operação </v>
      </c>
    </row>
    <row r="31" spans="1:5" ht="20.149999999999999" customHeight="1" x14ac:dyDescent="0.35">
      <c r="A31" s="2" t="s">
        <v>13021</v>
      </c>
      <c r="B31" s="2" t="s">
        <v>13</v>
      </c>
      <c r="C31" s="4" t="s">
        <v>13022</v>
      </c>
      <c r="D31" s="16" t="s">
        <v>62</v>
      </c>
      <c r="E31" s="4" t="str">
        <f t="shared" si="0"/>
        <v xml:space="preserve">MO-JUR-010 - Relação de Alarmes e Providências </v>
      </c>
    </row>
    <row r="32" spans="1:5" ht="20.149999999999999" customHeight="1" x14ac:dyDescent="0.35">
      <c r="A32" s="2" t="s">
        <v>13023</v>
      </c>
      <c r="B32" s="2" t="s">
        <v>13</v>
      </c>
      <c r="C32" s="4" t="s">
        <v>13000</v>
      </c>
      <c r="D32" s="16" t="s">
        <v>62</v>
      </c>
      <c r="E32" s="4" t="str">
        <f t="shared" si="0"/>
        <v xml:space="preserve">MO-JUR-020 - Manual de Partida e Parada </v>
      </c>
    </row>
    <row r="33" spans="1:5" ht="20.149999999999999" customHeight="1" x14ac:dyDescent="0.35">
      <c r="A33" s="2" t="s">
        <v>13024</v>
      </c>
      <c r="B33" s="2" t="s">
        <v>13</v>
      </c>
      <c r="C33" s="4" t="s">
        <v>12993</v>
      </c>
      <c r="D33" s="16" t="s">
        <v>62</v>
      </c>
      <c r="E33" s="4" t="str">
        <f t="shared" si="0"/>
        <v>MO-JUR-030 - Manual de Operação GAE</v>
      </c>
    </row>
    <row r="34" spans="1:5" ht="20.149999999999999" customHeight="1" x14ac:dyDescent="0.35">
      <c r="A34" s="2" t="s">
        <v>13025</v>
      </c>
      <c r="B34" s="2" t="s">
        <v>13</v>
      </c>
      <c r="C34" s="4" t="s">
        <v>12995</v>
      </c>
      <c r="D34" s="16" t="s">
        <v>62</v>
      </c>
      <c r="E34" s="4" t="str">
        <f t="shared" si="0"/>
        <v>MO-JUR-040 - Manual de Manobras nos Sistemas Hidráulicos</v>
      </c>
    </row>
    <row r="35" spans="1:5" ht="20.149999999999999" customHeight="1" x14ac:dyDescent="0.35">
      <c r="A35" s="2" t="s">
        <v>13026</v>
      </c>
      <c r="B35" s="2" t="s">
        <v>13</v>
      </c>
      <c r="C35" s="4" t="s">
        <v>13013</v>
      </c>
      <c r="D35" s="16" t="s">
        <v>62</v>
      </c>
      <c r="E35" s="4" t="str">
        <f t="shared" si="0"/>
        <v>MO-JUR-080 - Procedimento para Isolar tubulações agua resfriamento</v>
      </c>
    </row>
    <row r="36" spans="1:5" ht="20.149999999999999" customHeight="1" x14ac:dyDescent="0.35">
      <c r="A36" s="2" t="s">
        <v>13027</v>
      </c>
      <c r="B36" s="2" t="s">
        <v>13</v>
      </c>
      <c r="C36" s="4" t="s">
        <v>13015</v>
      </c>
      <c r="D36" s="16" t="s">
        <v>62</v>
      </c>
      <c r="E36" s="4" t="str">
        <f t="shared" si="0"/>
        <v>MO-JUR-100 - Procedimento Op. fechamento seccionadoras</v>
      </c>
    </row>
    <row r="37" spans="1:5" ht="20.149999999999999" customHeight="1" x14ac:dyDescent="0.35">
      <c r="A37" s="2" t="s">
        <v>12573</v>
      </c>
      <c r="B37" s="2" t="s">
        <v>21</v>
      </c>
      <c r="C37" s="4" t="s">
        <v>12984</v>
      </c>
      <c r="D37" s="16" t="s">
        <v>62</v>
      </c>
      <c r="E37" s="4" t="str">
        <f t="shared" ref="E37:E72" si="1">A37&amp;" - "&amp;C37</f>
        <v xml:space="preserve">MO-PLM-001 - Manual de Operação </v>
      </c>
    </row>
    <row r="38" spans="1:5" ht="20.149999999999999" customHeight="1" x14ac:dyDescent="0.35">
      <c r="A38" s="2" t="s">
        <v>13028</v>
      </c>
      <c r="B38" s="2" t="s">
        <v>21</v>
      </c>
      <c r="C38" s="4" t="s">
        <v>12986</v>
      </c>
      <c r="D38" s="16" t="s">
        <v>62</v>
      </c>
      <c r="E38" s="4" t="str">
        <f t="shared" si="1"/>
        <v>MO-PLM-010 - Relação de Alarmes e Providências</v>
      </c>
    </row>
    <row r="39" spans="1:5" ht="20.149999999999999" customHeight="1" x14ac:dyDescent="0.35">
      <c r="A39" s="2" t="s">
        <v>13029</v>
      </c>
      <c r="B39" s="2" t="s">
        <v>21</v>
      </c>
      <c r="C39" s="4" t="s">
        <v>13030</v>
      </c>
      <c r="D39" s="16" t="s">
        <v>62</v>
      </c>
      <c r="E39" s="4" t="str">
        <f t="shared" si="1"/>
        <v xml:space="preserve">MO-PLM-020 - Manual de Parada </v>
      </c>
    </row>
    <row r="40" spans="1:5" ht="20.149999999999999" customHeight="1" x14ac:dyDescent="0.35">
      <c r="A40" s="2" t="s">
        <v>13029</v>
      </c>
      <c r="B40" s="2" t="s">
        <v>21</v>
      </c>
      <c r="C40" s="4" t="s">
        <v>13031</v>
      </c>
      <c r="D40" s="16" t="s">
        <v>62</v>
      </c>
      <c r="E40" s="4" t="str">
        <f t="shared" si="1"/>
        <v>MO-PLM-020 - Manual de Partida</v>
      </c>
    </row>
    <row r="41" spans="1:5" ht="20.149999999999999" customHeight="1" x14ac:dyDescent="0.35">
      <c r="A41" s="2" t="s">
        <v>13032</v>
      </c>
      <c r="B41" s="2" t="s">
        <v>21</v>
      </c>
      <c r="C41" s="4" t="s">
        <v>12995</v>
      </c>
      <c r="D41" s="16" t="s">
        <v>62</v>
      </c>
      <c r="E41" s="4" t="str">
        <f t="shared" si="1"/>
        <v>MO-PLM-040 - Manual de Manobras nos Sistemas Hidráulicos</v>
      </c>
    </row>
    <row r="42" spans="1:5" ht="20.149999999999999" customHeight="1" x14ac:dyDescent="0.35">
      <c r="A42" s="2" t="s">
        <v>12649</v>
      </c>
      <c r="B42" s="2" t="s">
        <v>22</v>
      </c>
      <c r="C42" s="4" t="s">
        <v>12984</v>
      </c>
      <c r="D42" s="16" t="s">
        <v>62</v>
      </c>
      <c r="E42" s="4" t="str">
        <f t="shared" si="1"/>
        <v xml:space="preserve">MO-RET-001 - Manual de Operação </v>
      </c>
    </row>
    <row r="43" spans="1:5" ht="20.149999999999999" customHeight="1" x14ac:dyDescent="0.35">
      <c r="A43" s="2" t="s">
        <v>13033</v>
      </c>
      <c r="B43" s="2" t="s">
        <v>22</v>
      </c>
      <c r="C43" s="4" t="s">
        <v>12986</v>
      </c>
      <c r="D43" s="16" t="s">
        <v>62</v>
      </c>
      <c r="E43" s="4" t="str">
        <f t="shared" si="1"/>
        <v>MO-RET-010 - Relação de Alarmes e Providências</v>
      </c>
    </row>
    <row r="44" spans="1:5" ht="20.149999999999999" customHeight="1" x14ac:dyDescent="0.35">
      <c r="A44" s="2" t="s">
        <v>13034</v>
      </c>
      <c r="B44" s="2" t="s">
        <v>22</v>
      </c>
      <c r="C44" s="4" t="s">
        <v>13030</v>
      </c>
      <c r="D44" s="16" t="s">
        <v>62</v>
      </c>
      <c r="E44" s="4" t="str">
        <f t="shared" si="1"/>
        <v xml:space="preserve">MO-RET-020 - Manual de Parada </v>
      </c>
    </row>
    <row r="45" spans="1:5" ht="20.149999999999999" customHeight="1" x14ac:dyDescent="0.35">
      <c r="A45" s="2" t="s">
        <v>13034</v>
      </c>
      <c r="B45" s="2" t="s">
        <v>22</v>
      </c>
      <c r="C45" s="4" t="s">
        <v>13031</v>
      </c>
      <c r="D45" s="16" t="s">
        <v>62</v>
      </c>
      <c r="E45" s="4" t="str">
        <f t="shared" si="1"/>
        <v>MO-RET-020 - Manual de Partida</v>
      </c>
    </row>
    <row r="46" spans="1:5" ht="20.149999999999999" customHeight="1" x14ac:dyDescent="0.35">
      <c r="A46" s="2" t="s">
        <v>13035</v>
      </c>
      <c r="B46" s="2" t="s">
        <v>22</v>
      </c>
      <c r="C46" s="4" t="s">
        <v>12995</v>
      </c>
      <c r="D46" s="16" t="s">
        <v>62</v>
      </c>
      <c r="E46" s="4" t="str">
        <f t="shared" si="1"/>
        <v>MO-RET-040 - Manual de Manobras nos Sistemas Hidráulicos</v>
      </c>
    </row>
    <row r="47" spans="1:5" ht="20.149999999999999" customHeight="1" x14ac:dyDescent="0.35">
      <c r="A47" s="2" t="s">
        <v>12723</v>
      </c>
      <c r="B47" s="2" t="s">
        <v>20</v>
      </c>
      <c r="C47" s="4" t="s">
        <v>12984</v>
      </c>
      <c r="D47" s="16" t="s">
        <v>62</v>
      </c>
      <c r="E47" s="4" t="str">
        <f t="shared" si="1"/>
        <v xml:space="preserve">MO-ROS-001 - Manual de Operação </v>
      </c>
    </row>
    <row r="48" spans="1:5" ht="20.149999999999999" customHeight="1" x14ac:dyDescent="0.35">
      <c r="A48" s="2" t="s">
        <v>13036</v>
      </c>
      <c r="B48" s="2" t="s">
        <v>20</v>
      </c>
      <c r="C48" s="4" t="s">
        <v>12986</v>
      </c>
      <c r="D48" s="16" t="s">
        <v>62</v>
      </c>
      <c r="E48" s="4" t="str">
        <f t="shared" si="1"/>
        <v>MO-ROS-010 - Relação de Alarmes e Providências</v>
      </c>
    </row>
    <row r="49" spans="1:5" ht="20.149999999999999" customHeight="1" x14ac:dyDescent="0.35">
      <c r="A49" s="2" t="s">
        <v>13037</v>
      </c>
      <c r="B49" s="2" t="s">
        <v>20</v>
      </c>
      <c r="C49" s="4" t="s">
        <v>13000</v>
      </c>
      <c r="D49" s="16" t="s">
        <v>62</v>
      </c>
      <c r="E49" s="4" t="str">
        <f t="shared" si="1"/>
        <v xml:space="preserve">MO-ROS-020 - Manual de Partida e Parada </v>
      </c>
    </row>
    <row r="50" spans="1:5" ht="20.149999999999999" customHeight="1" x14ac:dyDescent="0.35">
      <c r="A50" s="2" t="s">
        <v>13038</v>
      </c>
      <c r="B50" s="2" t="s">
        <v>20</v>
      </c>
      <c r="C50" s="4" t="s">
        <v>13039</v>
      </c>
      <c r="D50" s="16" t="s">
        <v>62</v>
      </c>
      <c r="E50" s="4" t="str">
        <f t="shared" si="1"/>
        <v>MO-ROS-060   - Manual de Manobras nos Sistemas Hidraulicos RV</v>
      </c>
    </row>
    <row r="51" spans="1:5" ht="20.149999999999999" customHeight="1" x14ac:dyDescent="0.35">
      <c r="A51" s="2" t="s">
        <v>12213</v>
      </c>
      <c r="B51" s="2" t="s">
        <v>15</v>
      </c>
      <c r="C51" s="4" t="s">
        <v>12984</v>
      </c>
      <c r="D51" s="16" t="s">
        <v>62</v>
      </c>
      <c r="E51" s="4" t="str">
        <f t="shared" si="1"/>
        <v xml:space="preserve">MO-SAG-001 - Manual de Operação </v>
      </c>
    </row>
    <row r="52" spans="1:5" ht="20.149999999999999" customHeight="1" x14ac:dyDescent="0.35">
      <c r="A52" s="2" t="s">
        <v>13040</v>
      </c>
      <c r="B52" s="2" t="s">
        <v>15</v>
      </c>
      <c r="C52" s="4" t="s">
        <v>12988</v>
      </c>
      <c r="D52" s="16" t="s">
        <v>62</v>
      </c>
      <c r="E52" s="4" t="str">
        <f t="shared" si="1"/>
        <v>MO-SAG-020 - Manual de Partida e Parada UG1</v>
      </c>
    </row>
    <row r="53" spans="1:5" ht="20.149999999999999" customHeight="1" x14ac:dyDescent="0.35">
      <c r="A53" s="2" t="s">
        <v>13040</v>
      </c>
      <c r="B53" s="2" t="s">
        <v>15</v>
      </c>
      <c r="C53" s="4" t="s">
        <v>12989</v>
      </c>
      <c r="D53" s="16" t="s">
        <v>62</v>
      </c>
      <c r="E53" s="4" t="str">
        <f t="shared" si="1"/>
        <v>MO-SAG-020 - Manual de Partida e Parada UG2</v>
      </c>
    </row>
    <row r="54" spans="1:5" ht="20.149999999999999" customHeight="1" x14ac:dyDescent="0.35">
      <c r="A54" s="2" t="s">
        <v>13040</v>
      </c>
      <c r="B54" s="2" t="s">
        <v>15</v>
      </c>
      <c r="C54" s="4" t="s">
        <v>12990</v>
      </c>
      <c r="D54" s="16" t="s">
        <v>62</v>
      </c>
      <c r="E54" s="4" t="str">
        <f t="shared" si="1"/>
        <v>MO-SAG-020 - Manual de Partida e Parada UG3</v>
      </c>
    </row>
    <row r="55" spans="1:5" ht="20.149999999999999" customHeight="1" x14ac:dyDescent="0.35">
      <c r="A55" s="2" t="s">
        <v>13040</v>
      </c>
      <c r="B55" s="2" t="s">
        <v>15</v>
      </c>
      <c r="C55" s="4" t="s">
        <v>12991</v>
      </c>
      <c r="D55" s="16" t="s">
        <v>62</v>
      </c>
      <c r="E55" s="4" t="str">
        <f t="shared" si="1"/>
        <v>MO-SAG-020 - Manual de Partida e Parada UG4</v>
      </c>
    </row>
    <row r="56" spans="1:5" ht="20.149999999999999" customHeight="1" x14ac:dyDescent="0.35">
      <c r="A56" s="2" t="s">
        <v>12265</v>
      </c>
      <c r="B56" s="2" t="s">
        <v>15</v>
      </c>
      <c r="C56" s="4" t="s">
        <v>12993</v>
      </c>
      <c r="D56" s="16" t="s">
        <v>62</v>
      </c>
      <c r="E56" s="4" t="str">
        <f t="shared" si="1"/>
        <v>MO-SAG-030 - Manual de Operação GAE</v>
      </c>
    </row>
    <row r="57" spans="1:5" ht="20.149999999999999" customHeight="1" x14ac:dyDescent="0.35">
      <c r="A57" s="2" t="s">
        <v>13041</v>
      </c>
      <c r="B57" s="2" t="s">
        <v>19</v>
      </c>
      <c r="C57" s="4" t="s">
        <v>13013</v>
      </c>
      <c r="D57" s="16" t="s">
        <v>62</v>
      </c>
      <c r="E57" s="4" t="str">
        <f t="shared" si="1"/>
        <v>MO-CNOI-080 - Procedimento para Isolar tubulações agua resfriamento</v>
      </c>
    </row>
    <row r="58" spans="1:5" ht="20.149999999999999" customHeight="1" x14ac:dyDescent="0.35">
      <c r="A58" s="2" t="s">
        <v>13042</v>
      </c>
      <c r="B58" s="2" t="s">
        <v>19</v>
      </c>
      <c r="C58" s="4" t="s">
        <v>13013</v>
      </c>
      <c r="D58" s="16" t="s">
        <v>62</v>
      </c>
      <c r="E58" s="4" t="str">
        <f t="shared" si="1"/>
        <v>MO-CNOII-080 - Procedimento para Isolar tubulações agua resfriamento</v>
      </c>
    </row>
    <row r="59" spans="1:5" ht="20.149999999999999" customHeight="1" x14ac:dyDescent="0.35">
      <c r="A59" s="2" t="s">
        <v>13043</v>
      </c>
      <c r="B59" s="2" t="s">
        <v>19</v>
      </c>
      <c r="C59" s="4" t="s">
        <v>13013</v>
      </c>
      <c r="D59" s="16" t="s">
        <v>62</v>
      </c>
      <c r="E59" s="4" t="str">
        <f t="shared" si="1"/>
        <v>MO-SAG-080 - Procedimento para Isolar tubulações agua resfriamento</v>
      </c>
    </row>
    <row r="60" spans="1:5" ht="20.149999999999999" customHeight="1" x14ac:dyDescent="0.35">
      <c r="A60" s="2" t="s">
        <v>12806</v>
      </c>
      <c r="B60" s="2" t="s">
        <v>19</v>
      </c>
      <c r="C60" s="4" t="s">
        <v>12984</v>
      </c>
      <c r="D60" s="16" t="s">
        <v>62</v>
      </c>
      <c r="E60" s="4" t="str">
        <f t="shared" si="1"/>
        <v xml:space="preserve">MO-TAQ-001 - Manual de Operação </v>
      </c>
    </row>
    <row r="61" spans="1:5" ht="20.149999999999999" customHeight="1" x14ac:dyDescent="0.35">
      <c r="A61" s="2" t="s">
        <v>13044</v>
      </c>
      <c r="B61" s="2" t="s">
        <v>19</v>
      </c>
      <c r="C61" s="4" t="s">
        <v>13000</v>
      </c>
      <c r="D61" s="16" t="s">
        <v>62</v>
      </c>
      <c r="E61" s="4" t="str">
        <f t="shared" si="1"/>
        <v xml:space="preserve">MO-TAQ-020 - Manual de Partida e Parada </v>
      </c>
    </row>
    <row r="62" spans="1:5" ht="20.149999999999999" customHeight="1" x14ac:dyDescent="0.35">
      <c r="A62" s="2" t="s">
        <v>13045</v>
      </c>
      <c r="B62" s="2" t="s">
        <v>19</v>
      </c>
      <c r="C62" s="4" t="s">
        <v>13013</v>
      </c>
      <c r="D62" s="16" t="s">
        <v>62</v>
      </c>
      <c r="E62" s="4" t="str">
        <f t="shared" si="1"/>
        <v>MO-TAQ-080 - Procedimento para Isolar tubulações agua resfriamento</v>
      </c>
    </row>
    <row r="63" spans="1:5" ht="20.149999999999999" customHeight="1" x14ac:dyDescent="0.35">
      <c r="A63" s="2" t="s">
        <v>13046</v>
      </c>
      <c r="B63" s="2" t="s">
        <v>19</v>
      </c>
      <c r="C63" s="4" t="s">
        <v>13015</v>
      </c>
      <c r="D63" s="16" t="s">
        <v>62</v>
      </c>
      <c r="E63" s="4" t="str">
        <f t="shared" si="1"/>
        <v>MO-TAQ-100 - Procedimento Op. fechamento seccionadoras</v>
      </c>
    </row>
    <row r="64" spans="1:5" ht="20.149999999999999" customHeight="1" x14ac:dyDescent="0.35">
      <c r="A64" s="2" t="s">
        <v>13047</v>
      </c>
      <c r="B64" s="2" t="s">
        <v>13048</v>
      </c>
      <c r="C64" s="4" t="s">
        <v>13013</v>
      </c>
      <c r="D64" s="24" t="s">
        <v>13049</v>
      </c>
      <c r="E64" s="4" t="str">
        <f t="shared" si="1"/>
        <v>MO-XXX-080 - Procedimento para Isolar tubulações agua resfriamento</v>
      </c>
    </row>
    <row r="65" spans="1:5" ht="20.149999999999999" customHeight="1" x14ac:dyDescent="0.35">
      <c r="A65" s="2" t="s">
        <v>13050</v>
      </c>
      <c r="B65" s="2" t="s">
        <v>13048</v>
      </c>
      <c r="C65" s="4" t="s">
        <v>13051</v>
      </c>
      <c r="D65" s="24" t="s">
        <v>13049</v>
      </c>
      <c r="E65" s="4" t="str">
        <f t="shared" si="1"/>
        <v>MO-XXX-090 - Procedimento de Black Start</v>
      </c>
    </row>
    <row r="66" spans="1:5" ht="20.149999999999999" customHeight="1" x14ac:dyDescent="0.35">
      <c r="A66" s="2" t="s">
        <v>13052</v>
      </c>
      <c r="B66" s="2" t="s">
        <v>13048</v>
      </c>
      <c r="C66" s="4" t="s">
        <v>13015</v>
      </c>
      <c r="D66" s="24" t="s">
        <v>13049</v>
      </c>
      <c r="E66" s="4" t="str">
        <f t="shared" si="1"/>
        <v>MO-XXX-100 - Procedimento Op. fechamento seccionadoras</v>
      </c>
    </row>
    <row r="67" spans="1:5" ht="20.149999999999999" customHeight="1" x14ac:dyDescent="0.35">
      <c r="A67" s="2" t="s">
        <v>13053</v>
      </c>
      <c r="B67" s="2" t="s">
        <v>21</v>
      </c>
      <c r="C67" s="4" t="s">
        <v>13013</v>
      </c>
      <c r="D67" s="16" t="s">
        <v>62</v>
      </c>
      <c r="E67" s="4" t="str">
        <f>A67&amp;" - "&amp;C67</f>
        <v>MO-PLM-080 - Procedimento para Isolar tubulações agua resfriamento</v>
      </c>
    </row>
    <row r="68" spans="1:5" ht="20.149999999999999" customHeight="1" x14ac:dyDescent="0.35">
      <c r="A68" s="2" t="s">
        <v>13054</v>
      </c>
      <c r="B68" s="2" t="s">
        <v>21</v>
      </c>
      <c r="C68" s="4" t="s">
        <v>13015</v>
      </c>
      <c r="D68" s="16" t="s">
        <v>62</v>
      </c>
      <c r="E68" s="4" t="str">
        <f>A68&amp;" - "&amp;C68</f>
        <v>MO-PLM-100 - Procedimento Op. fechamento seccionadoras</v>
      </c>
    </row>
    <row r="69" spans="1:5" ht="20.149999999999999" customHeight="1" x14ac:dyDescent="0.35">
      <c r="A69" s="2" t="s">
        <v>13055</v>
      </c>
      <c r="B69" s="2" t="s">
        <v>22</v>
      </c>
      <c r="C69" s="4" t="s">
        <v>13013</v>
      </c>
      <c r="D69" s="16" t="s">
        <v>62</v>
      </c>
      <c r="E69" s="4" t="str">
        <f>A69&amp;" - "&amp;C69</f>
        <v>MO-RET-080 - Procedimento para Isolar tubulações agua resfriamento</v>
      </c>
    </row>
    <row r="70" spans="1:5" ht="20.149999999999999" customHeight="1" x14ac:dyDescent="0.35">
      <c r="A70" s="2" t="s">
        <v>13056</v>
      </c>
      <c r="B70" s="2" t="s">
        <v>22</v>
      </c>
      <c r="C70" s="4" t="s">
        <v>13015</v>
      </c>
      <c r="D70" s="16" t="s">
        <v>62</v>
      </c>
      <c r="E70" s="4" t="str">
        <f>A70&amp;" - "&amp;C70</f>
        <v>MO-RET-100 - Procedimento Op. fechamento seccionadoras</v>
      </c>
    </row>
    <row r="71" spans="1:5" ht="20.149999999999999" customHeight="1" x14ac:dyDescent="0.35">
      <c r="A71" s="2"/>
      <c r="B71" s="2"/>
      <c r="C71" s="4"/>
      <c r="D71" s="24"/>
      <c r="E71" s="4" t="str">
        <f t="shared" si="1"/>
        <v xml:space="preserve"> - </v>
      </c>
    </row>
    <row r="72" spans="1:5" ht="20.149999999999999" customHeight="1" x14ac:dyDescent="0.35">
      <c r="A72" s="2"/>
      <c r="B72" s="2"/>
      <c r="C72" s="4"/>
      <c r="D72" s="24"/>
      <c r="E72" s="4" t="str">
        <f t="shared" si="1"/>
        <v xml:space="preserve"> - </v>
      </c>
    </row>
    <row r="73" spans="1:5" ht="20.149999999999999" customHeight="1" x14ac:dyDescent="0.35">
      <c r="A73" s="2" t="s">
        <v>13041</v>
      </c>
      <c r="B73" s="2" t="s">
        <v>12997</v>
      </c>
      <c r="C73" s="4" t="s">
        <v>13013</v>
      </c>
      <c r="D73" s="16" t="s">
        <v>62</v>
      </c>
      <c r="E73" s="4" t="str">
        <f>A73&amp;" - "&amp;C73</f>
        <v>MO-CNOI-080 - Procedimento para Isolar tubulações agua resfriamento</v>
      </c>
    </row>
    <row r="74" spans="1:5" ht="20.149999999999999" customHeight="1" x14ac:dyDescent="0.35">
      <c r="A74" s="2" t="s">
        <v>13042</v>
      </c>
      <c r="B74" s="2" t="s">
        <v>13002</v>
      </c>
      <c r="C74" s="4" t="s">
        <v>13013</v>
      </c>
      <c r="D74" s="16" t="s">
        <v>62</v>
      </c>
      <c r="E74" s="4" t="str">
        <f>A74&amp;" - "&amp;C74</f>
        <v>MO-CNOII-080 - Procedimento para Isolar tubulações agua resfriamento</v>
      </c>
    </row>
    <row r="75" spans="1:5" ht="20.149999999999999" customHeight="1" x14ac:dyDescent="0.35">
      <c r="A75" s="2" t="s">
        <v>13043</v>
      </c>
      <c r="B75" s="2" t="s">
        <v>15</v>
      </c>
      <c r="C75" s="4" t="s">
        <v>13013</v>
      </c>
      <c r="D75" s="16" t="s">
        <v>62</v>
      </c>
      <c r="E75" s="4" t="str">
        <f>A75&amp;" - "&amp;C75</f>
        <v>MO-SAG-080 - Procedimento para Isolar tubulações agua resfriamento</v>
      </c>
    </row>
  </sheetData>
  <autoFilter ref="A4:E75" xr:uid="{7D359B1E-3D94-4F22-A8DF-547E493CDD05}"/>
  <mergeCells count="1">
    <mergeCell ref="A1:D3"/>
  </mergeCells>
  <phoneticPr fontId="11" type="noConversion"/>
  <conditionalFormatting sqref="D1:D1048576">
    <cfRule type="containsText" dxfId="8" priority="1" operator="containsText" text="Publicado">
      <formula>NOT(ISERROR(SEARCH("Publicado",D1)))</formula>
    </cfRule>
  </conditionalFormatting>
  <conditionalFormatting sqref="E1:E66 E71:E72 E76:E1048576">
    <cfRule type="duplicateValues" dxfId="7" priority="17"/>
  </conditionalFormatting>
  <conditionalFormatting sqref="E67">
    <cfRule type="duplicateValues" dxfId="6" priority="15"/>
  </conditionalFormatting>
  <conditionalFormatting sqref="E68">
    <cfRule type="duplicateValues" dxfId="5" priority="13"/>
  </conditionalFormatting>
  <conditionalFormatting sqref="E69">
    <cfRule type="duplicateValues" dxfId="4" priority="11"/>
  </conditionalFormatting>
  <conditionalFormatting sqref="E70">
    <cfRule type="duplicateValues" dxfId="3" priority="9"/>
  </conditionalFormatting>
  <conditionalFormatting sqref="E73">
    <cfRule type="duplicateValues" dxfId="2" priority="6"/>
  </conditionalFormatting>
  <conditionalFormatting sqref="E74">
    <cfRule type="duplicateValues" dxfId="1" priority="4"/>
  </conditionalFormatting>
  <conditionalFormatting sqref="E75">
    <cfRule type="duplicateValues" dxfId="0" priority="2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2" fitToHeight="0" orientation="portrait" horizontalDpi="300" verticalDpi="300" r:id="rId1"/>
  <customProperties>
    <customPr name="EpmWorksheetKeyString_GUID" r:id="rId2"/>
  </customPropertie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DD92-0EE8-43ED-B281-49C6EA6BCADB}">
  <sheetPr codeName="Planilha14"/>
  <dimension ref="A2:E8"/>
  <sheetViews>
    <sheetView showGridLines="0" workbookViewId="0">
      <selection activeCell="C30" sqref="C30"/>
    </sheetView>
  </sheetViews>
  <sheetFormatPr defaultRowHeight="14.5" x14ac:dyDescent="0.35"/>
  <cols>
    <col min="2" max="2" width="14.81640625" customWidth="1"/>
    <col min="3" max="3" width="20.54296875" customWidth="1"/>
  </cols>
  <sheetData>
    <row r="2" spans="1:5" x14ac:dyDescent="0.35">
      <c r="B2" s="256" t="s">
        <v>13057</v>
      </c>
      <c r="C2" s="256"/>
    </row>
    <row r="3" spans="1:5" x14ac:dyDescent="0.35">
      <c r="A3" t="s">
        <v>13058</v>
      </c>
      <c r="B3" s="29" t="s">
        <v>13059</v>
      </c>
      <c r="C3" s="29" t="s">
        <v>13060</v>
      </c>
    </row>
    <row r="4" spans="1:5" x14ac:dyDescent="0.35">
      <c r="B4" s="118" t="s">
        <v>13061</v>
      </c>
      <c r="C4" s="118" t="s">
        <v>13062</v>
      </c>
      <c r="D4">
        <f>E4*2</f>
        <v>730</v>
      </c>
      <c r="E4">
        <v>365</v>
      </c>
    </row>
    <row r="5" spans="1:5" x14ac:dyDescent="0.35">
      <c r="B5" s="119" t="s">
        <v>13063</v>
      </c>
      <c r="C5" s="119" t="s">
        <v>13064</v>
      </c>
      <c r="D5">
        <v>730</v>
      </c>
      <c r="E5">
        <v>180</v>
      </c>
    </row>
    <row r="6" spans="1:5" x14ac:dyDescent="0.35">
      <c r="B6" s="120" t="s">
        <v>13065</v>
      </c>
      <c r="C6" s="120" t="s">
        <v>581</v>
      </c>
      <c r="D6">
        <v>730</v>
      </c>
      <c r="E6">
        <v>90</v>
      </c>
    </row>
    <row r="7" spans="1:5" x14ac:dyDescent="0.35">
      <c r="B7" s="121" t="s">
        <v>1904</v>
      </c>
      <c r="C7" s="121" t="s">
        <v>1904</v>
      </c>
      <c r="E7">
        <v>0</v>
      </c>
    </row>
    <row r="8" spans="1:5" x14ac:dyDescent="0.35">
      <c r="B8" s="122" t="s">
        <v>1902</v>
      </c>
      <c r="C8" s="122" t="s">
        <v>1902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customProperties>
    <customPr name="EpmWorksheetKeyString_GU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4C9A-11D0-40C6-9514-0050436DD488}">
  <sheetPr codeName="Planilha6" filterMode="1"/>
  <dimension ref="A1:H4174"/>
  <sheetViews>
    <sheetView zoomScale="90" zoomScaleNormal="90" workbookViewId="0">
      <selection activeCell="C4190" sqref="C4190"/>
    </sheetView>
  </sheetViews>
  <sheetFormatPr defaultRowHeight="14.5" x14ac:dyDescent="0.35"/>
  <cols>
    <col min="1" max="2" width="17.453125" style="1" customWidth="1"/>
    <col min="3" max="3" width="19.26953125" style="1" customWidth="1"/>
    <col min="4" max="4" width="81.7265625" customWidth="1"/>
    <col min="5" max="5" width="14.1796875" customWidth="1"/>
    <col min="6" max="7" width="8.81640625" style="1"/>
    <col min="8" max="8" width="14.54296875" hidden="1" customWidth="1"/>
  </cols>
  <sheetData>
    <row r="1" spans="1:8" ht="47.15" customHeight="1" x14ac:dyDescent="0.35">
      <c r="A1" s="243" t="s">
        <v>3128</v>
      </c>
      <c r="B1" s="243"/>
      <c r="C1" s="243"/>
      <c r="D1" s="243"/>
      <c r="E1" s="243"/>
      <c r="F1" s="243"/>
      <c r="G1" s="257"/>
    </row>
    <row r="2" spans="1:8" x14ac:dyDescent="0.35">
      <c r="A2" s="40"/>
      <c r="B2" s="40"/>
      <c r="C2" s="40"/>
      <c r="D2" s="41"/>
      <c r="E2" s="45" t="s">
        <v>1901</v>
      </c>
      <c r="F2" s="29"/>
      <c r="G2" s="29"/>
    </row>
    <row r="3" spans="1:8" x14ac:dyDescent="0.35">
      <c r="A3" s="40"/>
      <c r="B3" s="40"/>
      <c r="C3" s="40"/>
      <c r="D3" s="41"/>
      <c r="E3" s="94">
        <f>COUNTIF(E4:E4771,"Publicado")</f>
        <v>4170</v>
      </c>
      <c r="F3" s="94">
        <f>COUNTIF(F4:F4771,"x")</f>
        <v>4170</v>
      </c>
      <c r="G3" s="124">
        <f>COUNTIF(G4:G4771,"x")</f>
        <v>115</v>
      </c>
    </row>
    <row r="4" spans="1:8" x14ac:dyDescent="0.35">
      <c r="A4" s="68" t="s">
        <v>379</v>
      </c>
      <c r="B4" s="68"/>
      <c r="C4" s="68" t="s">
        <v>48</v>
      </c>
      <c r="D4" s="69" t="s">
        <v>49</v>
      </c>
      <c r="E4" s="69" t="s">
        <v>54</v>
      </c>
      <c r="F4" s="29" t="s">
        <v>51</v>
      </c>
      <c r="G4" s="29" t="s">
        <v>3129</v>
      </c>
      <c r="H4" s="67" t="s">
        <v>3130</v>
      </c>
    </row>
    <row r="5" spans="1:8" hidden="1" x14ac:dyDescent="0.35">
      <c r="A5" s="29" t="s">
        <v>14</v>
      </c>
      <c r="B5" s="29" t="str">
        <f t="shared" ref="B5:B68" si="0">IF(OR(A5="ARN",A5="SDP"),MID(C5,4,7),MID(C5,4,6))</f>
        <v>CHV-00</v>
      </c>
      <c r="C5" s="29" t="s">
        <v>3131</v>
      </c>
      <c r="D5" s="67" t="s">
        <v>3132</v>
      </c>
      <c r="E5" s="96" t="s">
        <v>62</v>
      </c>
      <c r="F5" s="29" t="s">
        <v>61</v>
      </c>
      <c r="G5" s="29"/>
      <c r="H5" s="103">
        <f>_xlfn.XLOOKUP(B5,GM!$Q$5:$Q$756,GM!$J$5:$J$756)</f>
        <v>45202</v>
      </c>
    </row>
    <row r="6" spans="1:8" hidden="1" x14ac:dyDescent="0.35">
      <c r="A6" s="29" t="s">
        <v>14</v>
      </c>
      <c r="B6" s="29" t="str">
        <f t="shared" si="0"/>
        <v>CHV-00</v>
      </c>
      <c r="C6" s="29" t="s">
        <v>3133</v>
      </c>
      <c r="D6" s="67" t="s">
        <v>3134</v>
      </c>
      <c r="E6" s="96" t="s">
        <v>62</v>
      </c>
      <c r="F6" s="29" t="s">
        <v>61</v>
      </c>
      <c r="G6" s="29"/>
      <c r="H6" s="103">
        <f>_xlfn.XLOOKUP(B6,GM!$Q$5:$Q$756,GM!$J$5:$J$756)</f>
        <v>45202</v>
      </c>
    </row>
    <row r="7" spans="1:8" hidden="1" x14ac:dyDescent="0.35">
      <c r="A7" s="29" t="s">
        <v>14</v>
      </c>
      <c r="B7" s="29" t="str">
        <f t="shared" si="0"/>
        <v>CHV-00</v>
      </c>
      <c r="C7" s="29" t="s">
        <v>3135</v>
      </c>
      <c r="D7" s="67" t="s">
        <v>3136</v>
      </c>
      <c r="E7" s="96" t="s">
        <v>62</v>
      </c>
      <c r="F7" s="29" t="s">
        <v>61</v>
      </c>
      <c r="G7" s="29"/>
      <c r="H7" s="103">
        <f>_xlfn.XLOOKUP(B7,GM!$Q$5:$Q$756,GM!$J$5:$J$756)</f>
        <v>45202</v>
      </c>
    </row>
    <row r="8" spans="1:8" hidden="1" x14ac:dyDescent="0.35">
      <c r="A8" s="29" t="s">
        <v>14</v>
      </c>
      <c r="B8" s="29" t="str">
        <f t="shared" si="0"/>
        <v>CHV-00</v>
      </c>
      <c r="C8" s="29" t="s">
        <v>3137</v>
      </c>
      <c r="D8" s="67" t="s">
        <v>3138</v>
      </c>
      <c r="E8" s="96" t="s">
        <v>62</v>
      </c>
      <c r="F8" s="29" t="s">
        <v>61</v>
      </c>
      <c r="G8" s="29"/>
      <c r="H8" s="103">
        <f>_xlfn.XLOOKUP(B8,GM!$Q$5:$Q$756,GM!$J$5:$J$756)</f>
        <v>45202</v>
      </c>
    </row>
    <row r="9" spans="1:8" hidden="1" x14ac:dyDescent="0.35">
      <c r="A9" s="29" t="s">
        <v>14</v>
      </c>
      <c r="B9" s="29" t="str">
        <f t="shared" si="0"/>
        <v>CHV-00</v>
      </c>
      <c r="C9" s="29" t="s">
        <v>3139</v>
      </c>
      <c r="D9" s="67" t="s">
        <v>3140</v>
      </c>
      <c r="E9" s="96" t="s">
        <v>62</v>
      </c>
      <c r="F9" s="29" t="s">
        <v>61</v>
      </c>
      <c r="G9" s="29"/>
      <c r="H9" s="103">
        <f>_xlfn.XLOOKUP(B9,GM!$Q$5:$Q$756,GM!$J$5:$J$756)</f>
        <v>45202</v>
      </c>
    </row>
    <row r="10" spans="1:8" hidden="1" x14ac:dyDescent="0.35">
      <c r="A10" s="29" t="s">
        <v>14</v>
      </c>
      <c r="B10" s="29" t="str">
        <f t="shared" si="0"/>
        <v>CHV-00</v>
      </c>
      <c r="C10" s="29" t="s">
        <v>3141</v>
      </c>
      <c r="D10" s="67" t="s">
        <v>3142</v>
      </c>
      <c r="E10" s="96" t="s">
        <v>62</v>
      </c>
      <c r="F10" s="29" t="s">
        <v>61</v>
      </c>
      <c r="G10" s="29"/>
      <c r="H10" s="103">
        <f>_xlfn.XLOOKUP(B10,GM!$Q$5:$Q$756,GM!$J$5:$J$756)</f>
        <v>45202</v>
      </c>
    </row>
    <row r="11" spans="1:8" hidden="1" x14ac:dyDescent="0.35">
      <c r="A11" s="29" t="s">
        <v>14</v>
      </c>
      <c r="B11" s="29" t="str">
        <f t="shared" si="0"/>
        <v>CHV-00</v>
      </c>
      <c r="C11" s="29" t="s">
        <v>3143</v>
      </c>
      <c r="D11" s="67" t="s">
        <v>3144</v>
      </c>
      <c r="E11" s="96" t="s">
        <v>62</v>
      </c>
      <c r="F11" s="29" t="s">
        <v>61</v>
      </c>
      <c r="G11" s="29"/>
      <c r="H11" s="103">
        <f>_xlfn.XLOOKUP(B11,GM!$Q$5:$Q$756,GM!$J$5:$J$756)</f>
        <v>45202</v>
      </c>
    </row>
    <row r="12" spans="1:8" hidden="1" x14ac:dyDescent="0.35">
      <c r="A12" s="29" t="s">
        <v>14</v>
      </c>
      <c r="B12" s="29" t="str">
        <f t="shared" si="0"/>
        <v>CHV-00</v>
      </c>
      <c r="C12" s="29" t="s">
        <v>3145</v>
      </c>
      <c r="D12" s="67" t="s">
        <v>3146</v>
      </c>
      <c r="E12" s="96" t="s">
        <v>62</v>
      </c>
      <c r="F12" s="29" t="s">
        <v>61</v>
      </c>
      <c r="G12" s="29"/>
      <c r="H12" s="103">
        <f>_xlfn.XLOOKUP(B12,GM!$Q$5:$Q$756,GM!$J$5:$J$756)</f>
        <v>45202</v>
      </c>
    </row>
    <row r="13" spans="1:8" hidden="1" x14ac:dyDescent="0.35">
      <c r="A13" s="29" t="s">
        <v>14</v>
      </c>
      <c r="B13" s="29" t="str">
        <f t="shared" si="0"/>
        <v>CHV-00</v>
      </c>
      <c r="C13" s="29" t="s">
        <v>3147</v>
      </c>
      <c r="D13" s="67" t="s">
        <v>3148</v>
      </c>
      <c r="E13" s="96" t="s">
        <v>62</v>
      </c>
      <c r="F13" s="29" t="s">
        <v>61</v>
      </c>
      <c r="G13" s="29"/>
      <c r="H13" s="103">
        <f>_xlfn.XLOOKUP(B13,GM!$Q$5:$Q$756,GM!$J$5:$J$756)</f>
        <v>45202</v>
      </c>
    </row>
    <row r="14" spans="1:8" hidden="1" x14ac:dyDescent="0.35">
      <c r="A14" s="29" t="s">
        <v>14</v>
      </c>
      <c r="B14" s="29" t="str">
        <f t="shared" si="0"/>
        <v>CHV-01</v>
      </c>
      <c r="C14" s="29" t="s">
        <v>3149</v>
      </c>
      <c r="D14" s="67" t="s">
        <v>3150</v>
      </c>
      <c r="E14" s="96" t="s">
        <v>62</v>
      </c>
      <c r="F14" s="29" t="s">
        <v>61</v>
      </c>
      <c r="G14" s="29"/>
      <c r="H14" s="103">
        <f>_xlfn.XLOOKUP(B14,GM!$Q$5:$Q$756,GM!$J$5:$J$756)</f>
        <v>44739</v>
      </c>
    </row>
    <row r="15" spans="1:8" hidden="1" x14ac:dyDescent="0.35">
      <c r="A15" s="29" t="s">
        <v>14</v>
      </c>
      <c r="B15" s="29" t="str">
        <f t="shared" si="0"/>
        <v>CHV-01</v>
      </c>
      <c r="C15" s="29" t="s">
        <v>3151</v>
      </c>
      <c r="D15" s="67" t="s">
        <v>3152</v>
      </c>
      <c r="E15" s="96" t="s">
        <v>62</v>
      </c>
      <c r="F15" s="29" t="s">
        <v>61</v>
      </c>
      <c r="G15" s="29"/>
      <c r="H15" s="103">
        <f>_xlfn.XLOOKUP(B15,GM!$Q$5:$Q$756,GM!$J$5:$J$756)</f>
        <v>44739</v>
      </c>
    </row>
    <row r="16" spans="1:8" hidden="1" x14ac:dyDescent="0.35">
      <c r="A16" s="29" t="s">
        <v>14</v>
      </c>
      <c r="B16" s="29" t="str">
        <f t="shared" si="0"/>
        <v>CHV-01</v>
      </c>
      <c r="C16" s="29" t="s">
        <v>3153</v>
      </c>
      <c r="D16" s="67" t="s">
        <v>3154</v>
      </c>
      <c r="E16" s="96" t="s">
        <v>62</v>
      </c>
      <c r="F16" s="29" t="s">
        <v>61</v>
      </c>
      <c r="G16" s="29"/>
      <c r="H16" s="103">
        <f>_xlfn.XLOOKUP(B16,GM!$Q$5:$Q$756,GM!$J$5:$J$756)</f>
        <v>44739</v>
      </c>
    </row>
    <row r="17" spans="1:8" hidden="1" x14ac:dyDescent="0.35">
      <c r="A17" s="29" t="s">
        <v>14</v>
      </c>
      <c r="B17" s="29" t="str">
        <f t="shared" si="0"/>
        <v>CHV-01</v>
      </c>
      <c r="C17" s="29" t="s">
        <v>3155</v>
      </c>
      <c r="D17" s="67" t="s">
        <v>3156</v>
      </c>
      <c r="E17" s="96" t="s">
        <v>62</v>
      </c>
      <c r="F17" s="29" t="s">
        <v>61</v>
      </c>
      <c r="G17" s="29"/>
      <c r="H17" s="103">
        <f>_xlfn.XLOOKUP(B17,GM!$Q$5:$Q$756,GM!$J$5:$J$756)</f>
        <v>44739</v>
      </c>
    </row>
    <row r="18" spans="1:8" hidden="1" x14ac:dyDescent="0.35">
      <c r="A18" s="29" t="s">
        <v>14</v>
      </c>
      <c r="B18" s="29" t="str">
        <f t="shared" si="0"/>
        <v>CHV-01</v>
      </c>
      <c r="C18" s="29" t="s">
        <v>3157</v>
      </c>
      <c r="D18" s="67" t="s">
        <v>3158</v>
      </c>
      <c r="E18" s="96" t="s">
        <v>62</v>
      </c>
      <c r="F18" s="29" t="s">
        <v>61</v>
      </c>
      <c r="G18" s="29"/>
      <c r="H18" s="103">
        <f>_xlfn.XLOOKUP(B18,GM!$Q$5:$Q$756,GM!$J$5:$J$756)</f>
        <v>44739</v>
      </c>
    </row>
    <row r="19" spans="1:8" hidden="1" x14ac:dyDescent="0.35">
      <c r="A19" s="29" t="s">
        <v>14</v>
      </c>
      <c r="B19" s="29" t="str">
        <f t="shared" si="0"/>
        <v>CHV-01</v>
      </c>
      <c r="C19" s="29" t="s">
        <v>3159</v>
      </c>
      <c r="D19" s="67" t="s">
        <v>3160</v>
      </c>
      <c r="E19" s="96" t="s">
        <v>62</v>
      </c>
      <c r="F19" s="29" t="s">
        <v>61</v>
      </c>
      <c r="G19" s="29"/>
      <c r="H19" s="103">
        <f>_xlfn.XLOOKUP(B19,GM!$Q$5:$Q$756,GM!$J$5:$J$756)</f>
        <v>44739</v>
      </c>
    </row>
    <row r="20" spans="1:8" hidden="1" x14ac:dyDescent="0.35">
      <c r="A20" s="29" t="s">
        <v>14</v>
      </c>
      <c r="B20" s="29" t="str">
        <f t="shared" si="0"/>
        <v>CHV-01</v>
      </c>
      <c r="C20" s="29" t="s">
        <v>3161</v>
      </c>
      <c r="D20" s="67" t="s">
        <v>3162</v>
      </c>
      <c r="E20" s="96" t="s">
        <v>62</v>
      </c>
      <c r="F20" s="29" t="s">
        <v>61</v>
      </c>
      <c r="G20" s="29"/>
      <c r="H20" s="103">
        <f>_xlfn.XLOOKUP(B20,GM!$Q$5:$Q$756,GM!$J$5:$J$756)</f>
        <v>44739</v>
      </c>
    </row>
    <row r="21" spans="1:8" hidden="1" x14ac:dyDescent="0.35">
      <c r="A21" s="29" t="s">
        <v>14</v>
      </c>
      <c r="B21" s="29" t="str">
        <f t="shared" si="0"/>
        <v>CHV-01</v>
      </c>
      <c r="C21" s="29" t="s">
        <v>3163</v>
      </c>
      <c r="D21" s="67" t="s">
        <v>3164</v>
      </c>
      <c r="E21" s="96" t="s">
        <v>62</v>
      </c>
      <c r="F21" s="29" t="s">
        <v>61</v>
      </c>
      <c r="G21" s="29"/>
      <c r="H21" s="103">
        <f>_xlfn.XLOOKUP(B21,GM!$Q$5:$Q$756,GM!$J$5:$J$756)</f>
        <v>44739</v>
      </c>
    </row>
    <row r="22" spans="1:8" hidden="1" x14ac:dyDescent="0.35">
      <c r="A22" s="29" t="s">
        <v>14</v>
      </c>
      <c r="B22" s="29" t="str">
        <f t="shared" si="0"/>
        <v>CHV-01</v>
      </c>
      <c r="C22" s="29" t="s">
        <v>3165</v>
      </c>
      <c r="D22" s="67" t="s">
        <v>3166</v>
      </c>
      <c r="E22" s="96" t="s">
        <v>62</v>
      </c>
      <c r="F22" s="29" t="s">
        <v>61</v>
      </c>
      <c r="G22" s="29"/>
      <c r="H22" s="103">
        <f>_xlfn.XLOOKUP(B22,GM!$Q$5:$Q$756,GM!$J$5:$J$756)</f>
        <v>44739</v>
      </c>
    </row>
    <row r="23" spans="1:8" hidden="1" x14ac:dyDescent="0.35">
      <c r="A23" s="29" t="s">
        <v>14</v>
      </c>
      <c r="B23" s="29" t="str">
        <f t="shared" si="0"/>
        <v>CHV-01</v>
      </c>
      <c r="C23" s="29" t="s">
        <v>3167</v>
      </c>
      <c r="D23" s="67" t="s">
        <v>3168</v>
      </c>
      <c r="E23" s="96" t="s">
        <v>62</v>
      </c>
      <c r="F23" s="29" t="s">
        <v>61</v>
      </c>
      <c r="G23" s="29"/>
      <c r="H23" s="103">
        <f>_xlfn.XLOOKUP(B23,GM!$Q$5:$Q$756,GM!$J$5:$J$756)</f>
        <v>44739</v>
      </c>
    </row>
    <row r="24" spans="1:8" hidden="1" x14ac:dyDescent="0.35">
      <c r="A24" s="29" t="s">
        <v>14</v>
      </c>
      <c r="B24" s="29" t="str">
        <f t="shared" si="0"/>
        <v>CHV-01</v>
      </c>
      <c r="C24" s="29" t="s">
        <v>3169</v>
      </c>
      <c r="D24" s="67" t="s">
        <v>3170</v>
      </c>
      <c r="E24" s="96" t="s">
        <v>62</v>
      </c>
      <c r="F24" s="29" t="s">
        <v>61</v>
      </c>
      <c r="G24" s="29"/>
      <c r="H24" s="103">
        <f>_xlfn.XLOOKUP(B24,GM!$Q$5:$Q$756,GM!$J$5:$J$756)</f>
        <v>44739</v>
      </c>
    </row>
    <row r="25" spans="1:8" hidden="1" x14ac:dyDescent="0.35">
      <c r="A25" s="29" t="s">
        <v>14</v>
      </c>
      <c r="B25" s="29" t="str">
        <f t="shared" si="0"/>
        <v>CHV-01</v>
      </c>
      <c r="C25" s="29" t="s">
        <v>3171</v>
      </c>
      <c r="D25" s="67" t="s">
        <v>3172</v>
      </c>
      <c r="E25" s="96" t="s">
        <v>62</v>
      </c>
      <c r="F25" s="29" t="s">
        <v>61</v>
      </c>
      <c r="G25" s="29"/>
      <c r="H25" s="103">
        <f>_xlfn.XLOOKUP(B25,GM!$Q$5:$Q$756,GM!$J$5:$J$756)</f>
        <v>44739</v>
      </c>
    </row>
    <row r="26" spans="1:8" hidden="1" x14ac:dyDescent="0.35">
      <c r="A26" s="29" t="s">
        <v>14</v>
      </c>
      <c r="B26" s="29" t="str">
        <f t="shared" si="0"/>
        <v>CHV-01</v>
      </c>
      <c r="C26" s="29" t="s">
        <v>3173</v>
      </c>
      <c r="D26" s="67" t="s">
        <v>3174</v>
      </c>
      <c r="E26" s="96" t="s">
        <v>62</v>
      </c>
      <c r="F26" s="29" t="s">
        <v>61</v>
      </c>
      <c r="G26" s="29"/>
      <c r="H26" s="103">
        <f>_xlfn.XLOOKUP(B26,GM!$Q$5:$Q$756,GM!$J$5:$J$756)</f>
        <v>44739</v>
      </c>
    </row>
    <row r="27" spans="1:8" hidden="1" x14ac:dyDescent="0.35">
      <c r="A27" s="29" t="s">
        <v>14</v>
      </c>
      <c r="B27" s="29" t="str">
        <f t="shared" si="0"/>
        <v>CHV-01</v>
      </c>
      <c r="C27" s="29" t="s">
        <v>3175</v>
      </c>
      <c r="D27" s="67" t="s">
        <v>3176</v>
      </c>
      <c r="E27" s="96" t="s">
        <v>62</v>
      </c>
      <c r="F27" s="29" t="s">
        <v>61</v>
      </c>
      <c r="G27" s="29"/>
      <c r="H27" s="103">
        <f>_xlfn.XLOOKUP(B27,GM!$Q$5:$Q$756,GM!$J$5:$J$756)</f>
        <v>44739</v>
      </c>
    </row>
    <row r="28" spans="1:8" hidden="1" x14ac:dyDescent="0.35">
      <c r="A28" s="29" t="s">
        <v>14</v>
      </c>
      <c r="B28" s="29" t="str">
        <f t="shared" si="0"/>
        <v>CHV-01</v>
      </c>
      <c r="C28" s="29" t="s">
        <v>3177</v>
      </c>
      <c r="D28" s="67" t="s">
        <v>3178</v>
      </c>
      <c r="E28" s="96" t="s">
        <v>62</v>
      </c>
      <c r="F28" s="29" t="s">
        <v>61</v>
      </c>
      <c r="G28" s="29"/>
      <c r="H28" s="103">
        <f>_xlfn.XLOOKUP(B28,GM!$Q$5:$Q$756,GM!$J$5:$J$756)</f>
        <v>44739</v>
      </c>
    </row>
    <row r="29" spans="1:8" hidden="1" x14ac:dyDescent="0.35">
      <c r="A29" s="29" t="s">
        <v>14</v>
      </c>
      <c r="B29" s="29" t="str">
        <f t="shared" si="0"/>
        <v>CHV-01</v>
      </c>
      <c r="C29" s="29" t="s">
        <v>3179</v>
      </c>
      <c r="D29" s="67" t="s">
        <v>3180</v>
      </c>
      <c r="E29" s="96" t="s">
        <v>62</v>
      </c>
      <c r="F29" s="29" t="s">
        <v>61</v>
      </c>
      <c r="G29" s="29"/>
      <c r="H29" s="103">
        <f>_xlfn.XLOOKUP(B29,GM!$Q$5:$Q$756,GM!$J$5:$J$756)</f>
        <v>44739</v>
      </c>
    </row>
    <row r="30" spans="1:8" hidden="1" x14ac:dyDescent="0.35">
      <c r="A30" s="29" t="s">
        <v>14</v>
      </c>
      <c r="B30" s="29" t="str">
        <f t="shared" si="0"/>
        <v>CHV-01</v>
      </c>
      <c r="C30" s="29" t="s">
        <v>3181</v>
      </c>
      <c r="D30" s="67" t="s">
        <v>3182</v>
      </c>
      <c r="E30" s="96" t="s">
        <v>62</v>
      </c>
      <c r="F30" s="29" t="s">
        <v>61</v>
      </c>
      <c r="G30" s="29"/>
      <c r="H30" s="103">
        <f>_xlfn.XLOOKUP(B30,GM!$Q$5:$Q$756,GM!$J$5:$J$756)</f>
        <v>44739</v>
      </c>
    </row>
    <row r="31" spans="1:8" hidden="1" x14ac:dyDescent="0.35">
      <c r="A31" s="29" t="s">
        <v>14</v>
      </c>
      <c r="B31" s="29" t="str">
        <f t="shared" si="0"/>
        <v>CHV-01</v>
      </c>
      <c r="C31" s="29" t="s">
        <v>3183</v>
      </c>
      <c r="D31" s="67" t="s">
        <v>3184</v>
      </c>
      <c r="E31" s="96" t="s">
        <v>62</v>
      </c>
      <c r="F31" s="29" t="s">
        <v>61</v>
      </c>
      <c r="G31" s="29"/>
      <c r="H31" s="103">
        <f>_xlfn.XLOOKUP(B31,GM!$Q$5:$Q$756,GM!$J$5:$J$756)</f>
        <v>44739</v>
      </c>
    </row>
    <row r="32" spans="1:8" hidden="1" x14ac:dyDescent="0.35">
      <c r="A32" s="29" t="s">
        <v>14</v>
      </c>
      <c r="B32" s="29" t="str">
        <f t="shared" si="0"/>
        <v>CHV-01</v>
      </c>
      <c r="C32" s="29" t="s">
        <v>3185</v>
      </c>
      <c r="D32" s="67" t="s">
        <v>3186</v>
      </c>
      <c r="E32" s="96" t="s">
        <v>62</v>
      </c>
      <c r="F32" s="29" t="s">
        <v>61</v>
      </c>
      <c r="G32" s="29"/>
      <c r="H32" s="103">
        <f>_xlfn.XLOOKUP(B32,GM!$Q$5:$Q$756,GM!$J$5:$J$756)</f>
        <v>44739</v>
      </c>
    </row>
    <row r="33" spans="1:8" hidden="1" x14ac:dyDescent="0.35">
      <c r="A33" s="29" t="s">
        <v>14</v>
      </c>
      <c r="B33" s="29" t="str">
        <f t="shared" si="0"/>
        <v>CHV-02</v>
      </c>
      <c r="C33" s="29" t="s">
        <v>3187</v>
      </c>
      <c r="D33" s="67" t="s">
        <v>3188</v>
      </c>
      <c r="E33" s="96" t="s">
        <v>62</v>
      </c>
      <c r="F33" s="29" t="s">
        <v>61</v>
      </c>
      <c r="G33" s="29"/>
      <c r="H33" s="103">
        <f>_xlfn.XLOOKUP(B33,GM!$Q$5:$Q$756,GM!$J$5:$J$756)</f>
        <v>44739</v>
      </c>
    </row>
    <row r="34" spans="1:8" hidden="1" x14ac:dyDescent="0.35">
      <c r="A34" s="29" t="s">
        <v>14</v>
      </c>
      <c r="B34" s="29" t="str">
        <f t="shared" si="0"/>
        <v>CHV-02</v>
      </c>
      <c r="C34" s="29" t="s">
        <v>3189</v>
      </c>
      <c r="D34" s="67" t="s">
        <v>3190</v>
      </c>
      <c r="E34" s="96" t="s">
        <v>62</v>
      </c>
      <c r="F34" s="29" t="s">
        <v>61</v>
      </c>
      <c r="G34" s="29"/>
      <c r="H34" s="103">
        <f>_xlfn.XLOOKUP(B34,GM!$Q$5:$Q$756,GM!$J$5:$J$756)</f>
        <v>44739</v>
      </c>
    </row>
    <row r="35" spans="1:8" hidden="1" x14ac:dyDescent="0.35">
      <c r="A35" s="29" t="s">
        <v>14</v>
      </c>
      <c r="B35" s="29" t="str">
        <f t="shared" si="0"/>
        <v>CHV-02</v>
      </c>
      <c r="C35" s="29" t="s">
        <v>3191</v>
      </c>
      <c r="D35" s="67" t="s">
        <v>3192</v>
      </c>
      <c r="E35" s="96" t="s">
        <v>62</v>
      </c>
      <c r="F35" s="29" t="s">
        <v>61</v>
      </c>
      <c r="G35" s="29"/>
      <c r="H35" s="103">
        <f>_xlfn.XLOOKUP(B35,GM!$Q$5:$Q$756,GM!$J$5:$J$756)</f>
        <v>44739</v>
      </c>
    </row>
    <row r="36" spans="1:8" hidden="1" x14ac:dyDescent="0.35">
      <c r="A36" s="29" t="s">
        <v>14</v>
      </c>
      <c r="B36" s="29" t="str">
        <f t="shared" si="0"/>
        <v>CHV-02</v>
      </c>
      <c r="C36" s="29" t="s">
        <v>3193</v>
      </c>
      <c r="D36" s="67" t="s">
        <v>3194</v>
      </c>
      <c r="E36" s="96" t="s">
        <v>62</v>
      </c>
      <c r="F36" s="29" t="s">
        <v>61</v>
      </c>
      <c r="G36" s="29"/>
      <c r="H36" s="103">
        <f>_xlfn.XLOOKUP(B36,GM!$Q$5:$Q$756,GM!$J$5:$J$756)</f>
        <v>44739</v>
      </c>
    </row>
    <row r="37" spans="1:8" hidden="1" x14ac:dyDescent="0.35">
      <c r="A37" s="29" t="s">
        <v>14</v>
      </c>
      <c r="B37" s="29" t="str">
        <f t="shared" si="0"/>
        <v>CHV-02</v>
      </c>
      <c r="C37" s="29" t="s">
        <v>3195</v>
      </c>
      <c r="D37" s="67" t="s">
        <v>3196</v>
      </c>
      <c r="E37" s="96" t="s">
        <v>62</v>
      </c>
      <c r="F37" s="29" t="s">
        <v>61</v>
      </c>
      <c r="G37" s="29"/>
      <c r="H37" s="103">
        <f>_xlfn.XLOOKUP(B37,GM!$Q$5:$Q$756,GM!$J$5:$J$756)</f>
        <v>44739</v>
      </c>
    </row>
    <row r="38" spans="1:8" hidden="1" x14ac:dyDescent="0.35">
      <c r="A38" s="29" t="s">
        <v>14</v>
      </c>
      <c r="B38" s="29" t="str">
        <f t="shared" si="0"/>
        <v>CHV-02</v>
      </c>
      <c r="C38" s="29" t="s">
        <v>3197</v>
      </c>
      <c r="D38" s="67" t="s">
        <v>3198</v>
      </c>
      <c r="E38" s="96" t="s">
        <v>62</v>
      </c>
      <c r="F38" s="29" t="s">
        <v>61</v>
      </c>
      <c r="G38" s="29"/>
      <c r="H38" s="103">
        <f>_xlfn.XLOOKUP(B38,GM!$Q$5:$Q$756,GM!$J$5:$J$756)</f>
        <v>44739</v>
      </c>
    </row>
    <row r="39" spans="1:8" hidden="1" x14ac:dyDescent="0.35">
      <c r="A39" s="29" t="s">
        <v>14</v>
      </c>
      <c r="B39" s="29" t="str">
        <f t="shared" si="0"/>
        <v>CHV-02</v>
      </c>
      <c r="C39" s="29" t="s">
        <v>3199</v>
      </c>
      <c r="D39" s="67" t="s">
        <v>3200</v>
      </c>
      <c r="E39" s="96" t="s">
        <v>62</v>
      </c>
      <c r="F39" s="29" t="s">
        <v>61</v>
      </c>
      <c r="G39" s="29"/>
      <c r="H39" s="103">
        <f>_xlfn.XLOOKUP(B39,GM!$Q$5:$Q$756,GM!$J$5:$J$756)</f>
        <v>44739</v>
      </c>
    </row>
    <row r="40" spans="1:8" hidden="1" x14ac:dyDescent="0.35">
      <c r="A40" s="29" t="s">
        <v>14</v>
      </c>
      <c r="B40" s="29" t="str">
        <f t="shared" si="0"/>
        <v>CHV-02</v>
      </c>
      <c r="C40" s="29" t="s">
        <v>3201</v>
      </c>
      <c r="D40" s="67" t="s">
        <v>3202</v>
      </c>
      <c r="E40" s="96" t="s">
        <v>62</v>
      </c>
      <c r="F40" s="29" t="s">
        <v>61</v>
      </c>
      <c r="G40" s="29"/>
      <c r="H40" s="103">
        <f>_xlfn.XLOOKUP(B40,GM!$Q$5:$Q$756,GM!$J$5:$J$756)</f>
        <v>44739</v>
      </c>
    </row>
    <row r="41" spans="1:8" hidden="1" x14ac:dyDescent="0.35">
      <c r="A41" s="29" t="s">
        <v>14</v>
      </c>
      <c r="B41" s="29" t="str">
        <f t="shared" si="0"/>
        <v>CHV-02</v>
      </c>
      <c r="C41" s="29" t="s">
        <v>3203</v>
      </c>
      <c r="D41" s="67" t="s">
        <v>3204</v>
      </c>
      <c r="E41" s="96" t="s">
        <v>62</v>
      </c>
      <c r="F41" s="29" t="s">
        <v>61</v>
      </c>
      <c r="G41" s="29"/>
      <c r="H41" s="103">
        <f>_xlfn.XLOOKUP(B41,GM!$Q$5:$Q$756,GM!$J$5:$J$756)</f>
        <v>44739</v>
      </c>
    </row>
    <row r="42" spans="1:8" hidden="1" x14ac:dyDescent="0.35">
      <c r="A42" s="29" t="s">
        <v>14</v>
      </c>
      <c r="B42" s="29" t="str">
        <f t="shared" si="0"/>
        <v>CHV-02</v>
      </c>
      <c r="C42" s="29" t="s">
        <v>3205</v>
      </c>
      <c r="D42" s="67" t="s">
        <v>3206</v>
      </c>
      <c r="E42" s="96" t="s">
        <v>62</v>
      </c>
      <c r="F42" s="29" t="s">
        <v>61</v>
      </c>
      <c r="G42" s="29"/>
      <c r="H42" s="103">
        <f>_xlfn.XLOOKUP(B42,GM!$Q$5:$Q$756,GM!$J$5:$J$756)</f>
        <v>44739</v>
      </c>
    </row>
    <row r="43" spans="1:8" hidden="1" x14ac:dyDescent="0.35">
      <c r="A43" s="29" t="s">
        <v>14</v>
      </c>
      <c r="B43" s="29" t="str">
        <f t="shared" si="0"/>
        <v>CHV-02</v>
      </c>
      <c r="C43" s="29" t="s">
        <v>3207</v>
      </c>
      <c r="D43" s="67" t="s">
        <v>3208</v>
      </c>
      <c r="E43" s="96" t="s">
        <v>62</v>
      </c>
      <c r="F43" s="29" t="s">
        <v>61</v>
      </c>
      <c r="G43" s="29"/>
      <c r="H43" s="103">
        <f>_xlfn.XLOOKUP(B43,GM!$Q$5:$Q$756,GM!$J$5:$J$756)</f>
        <v>44739</v>
      </c>
    </row>
    <row r="44" spans="1:8" hidden="1" x14ac:dyDescent="0.35">
      <c r="A44" s="29" t="s">
        <v>14</v>
      </c>
      <c r="B44" s="29" t="str">
        <f t="shared" si="0"/>
        <v>CHV-02</v>
      </c>
      <c r="C44" s="29" t="s">
        <v>3209</v>
      </c>
      <c r="D44" s="67" t="s">
        <v>3210</v>
      </c>
      <c r="E44" s="96" t="s">
        <v>62</v>
      </c>
      <c r="F44" s="29" t="s">
        <v>61</v>
      </c>
      <c r="G44" s="29"/>
      <c r="H44" s="103">
        <f>_xlfn.XLOOKUP(B44,GM!$Q$5:$Q$756,GM!$J$5:$J$756)</f>
        <v>44739</v>
      </c>
    </row>
    <row r="45" spans="1:8" hidden="1" x14ac:dyDescent="0.35">
      <c r="A45" s="29" t="s">
        <v>14</v>
      </c>
      <c r="B45" s="29" t="str">
        <f t="shared" si="0"/>
        <v>CHV-02</v>
      </c>
      <c r="C45" s="29" t="s">
        <v>3211</v>
      </c>
      <c r="D45" s="67" t="s">
        <v>3212</v>
      </c>
      <c r="E45" s="96" t="s">
        <v>62</v>
      </c>
      <c r="F45" s="29" t="s">
        <v>61</v>
      </c>
      <c r="G45" s="29"/>
      <c r="H45" s="103">
        <f>_xlfn.XLOOKUP(B45,GM!$Q$5:$Q$756,GM!$J$5:$J$756)</f>
        <v>44739</v>
      </c>
    </row>
    <row r="46" spans="1:8" hidden="1" x14ac:dyDescent="0.35">
      <c r="A46" s="29" t="s">
        <v>14</v>
      </c>
      <c r="B46" s="29" t="str">
        <f t="shared" si="0"/>
        <v>CHV-02</v>
      </c>
      <c r="C46" s="29" t="s">
        <v>3213</v>
      </c>
      <c r="D46" s="67" t="s">
        <v>3214</v>
      </c>
      <c r="E46" s="96" t="s">
        <v>62</v>
      </c>
      <c r="F46" s="29" t="s">
        <v>61</v>
      </c>
      <c r="G46" s="29"/>
      <c r="H46" s="103">
        <f>_xlfn.XLOOKUP(B46,GM!$Q$5:$Q$756,GM!$J$5:$J$756)</f>
        <v>44739</v>
      </c>
    </row>
    <row r="47" spans="1:8" hidden="1" x14ac:dyDescent="0.35">
      <c r="A47" s="29" t="s">
        <v>14</v>
      </c>
      <c r="B47" s="29" t="str">
        <f t="shared" si="0"/>
        <v>CHV-02</v>
      </c>
      <c r="C47" s="29" t="s">
        <v>3215</v>
      </c>
      <c r="D47" s="67" t="s">
        <v>3216</v>
      </c>
      <c r="E47" s="96" t="s">
        <v>62</v>
      </c>
      <c r="F47" s="29" t="s">
        <v>61</v>
      </c>
      <c r="G47" s="29"/>
      <c r="H47" s="103">
        <f>_xlfn.XLOOKUP(B47,GM!$Q$5:$Q$756,GM!$J$5:$J$756)</f>
        <v>44739</v>
      </c>
    </row>
    <row r="48" spans="1:8" hidden="1" x14ac:dyDescent="0.35">
      <c r="A48" s="29" t="s">
        <v>14</v>
      </c>
      <c r="B48" s="29" t="str">
        <f t="shared" si="0"/>
        <v>CHV-02</v>
      </c>
      <c r="C48" s="29" t="s">
        <v>3217</v>
      </c>
      <c r="D48" s="67" t="s">
        <v>3218</v>
      </c>
      <c r="E48" s="96" t="s">
        <v>62</v>
      </c>
      <c r="F48" s="29" t="s">
        <v>61</v>
      </c>
      <c r="G48" s="29"/>
      <c r="H48" s="103">
        <f>_xlfn.XLOOKUP(B48,GM!$Q$5:$Q$756,GM!$J$5:$J$756)</f>
        <v>44739</v>
      </c>
    </row>
    <row r="49" spans="1:8" hidden="1" x14ac:dyDescent="0.35">
      <c r="A49" s="29" t="s">
        <v>14</v>
      </c>
      <c r="B49" s="29" t="str">
        <f t="shared" si="0"/>
        <v>CHV-02</v>
      </c>
      <c r="C49" s="29" t="s">
        <v>3219</v>
      </c>
      <c r="D49" s="67" t="s">
        <v>3220</v>
      </c>
      <c r="E49" s="96" t="s">
        <v>62</v>
      </c>
      <c r="F49" s="29" t="s">
        <v>61</v>
      </c>
      <c r="G49" s="29"/>
      <c r="H49" s="103">
        <f>_xlfn.XLOOKUP(B49,GM!$Q$5:$Q$756,GM!$J$5:$J$756)</f>
        <v>44739</v>
      </c>
    </row>
    <row r="50" spans="1:8" hidden="1" x14ac:dyDescent="0.35">
      <c r="A50" s="29" t="s">
        <v>14</v>
      </c>
      <c r="B50" s="29" t="str">
        <f t="shared" si="0"/>
        <v>CHV-02</v>
      </c>
      <c r="C50" s="29" t="s">
        <v>3221</v>
      </c>
      <c r="D50" s="67" t="s">
        <v>3222</v>
      </c>
      <c r="E50" s="96" t="s">
        <v>62</v>
      </c>
      <c r="F50" s="29" t="s">
        <v>61</v>
      </c>
      <c r="G50" s="29"/>
      <c r="H50" s="103">
        <f>_xlfn.XLOOKUP(B50,GM!$Q$5:$Q$756,GM!$J$5:$J$756)</f>
        <v>44739</v>
      </c>
    </row>
    <row r="51" spans="1:8" hidden="1" x14ac:dyDescent="0.35">
      <c r="A51" s="29" t="s">
        <v>14</v>
      </c>
      <c r="B51" s="29" t="str">
        <f t="shared" si="0"/>
        <v>CHV-02</v>
      </c>
      <c r="C51" s="29" t="s">
        <v>3223</v>
      </c>
      <c r="D51" s="67" t="s">
        <v>3224</v>
      </c>
      <c r="E51" s="96" t="s">
        <v>62</v>
      </c>
      <c r="F51" s="29" t="s">
        <v>61</v>
      </c>
      <c r="G51" s="29"/>
      <c r="H51" s="103">
        <f>_xlfn.XLOOKUP(B51,GM!$Q$5:$Q$756,GM!$J$5:$J$756)</f>
        <v>44739</v>
      </c>
    </row>
    <row r="52" spans="1:8" hidden="1" x14ac:dyDescent="0.35">
      <c r="A52" s="29" t="s">
        <v>14</v>
      </c>
      <c r="B52" s="29" t="str">
        <f t="shared" si="0"/>
        <v>CHV-02</v>
      </c>
      <c r="C52" s="29" t="s">
        <v>3225</v>
      </c>
      <c r="D52" s="67" t="s">
        <v>3226</v>
      </c>
      <c r="E52" s="96" t="s">
        <v>62</v>
      </c>
      <c r="F52" s="29" t="s">
        <v>61</v>
      </c>
      <c r="G52" s="29"/>
      <c r="H52" s="103">
        <f>_xlfn.XLOOKUP(B52,GM!$Q$5:$Q$756,GM!$J$5:$J$756)</f>
        <v>44739</v>
      </c>
    </row>
    <row r="53" spans="1:8" hidden="1" x14ac:dyDescent="0.35">
      <c r="A53" s="29" t="s">
        <v>14</v>
      </c>
      <c r="B53" s="29" t="str">
        <f t="shared" si="0"/>
        <v>CHV-02</v>
      </c>
      <c r="C53" s="29" t="s">
        <v>3227</v>
      </c>
      <c r="D53" s="67" t="s">
        <v>3228</v>
      </c>
      <c r="E53" s="96" t="s">
        <v>62</v>
      </c>
      <c r="F53" s="29" t="s">
        <v>61</v>
      </c>
      <c r="G53" s="29"/>
      <c r="H53" s="103">
        <f>_xlfn.XLOOKUP(B53,GM!$Q$5:$Q$756,GM!$J$5:$J$756)</f>
        <v>44739</v>
      </c>
    </row>
    <row r="54" spans="1:8" hidden="1" x14ac:dyDescent="0.35">
      <c r="A54" s="29" t="s">
        <v>14</v>
      </c>
      <c r="B54" s="29" t="str">
        <f t="shared" si="0"/>
        <v>CHV-02</v>
      </c>
      <c r="C54" s="29" t="s">
        <v>3229</v>
      </c>
      <c r="D54" s="67" t="s">
        <v>3230</v>
      </c>
      <c r="E54" s="96" t="s">
        <v>62</v>
      </c>
      <c r="F54" s="29" t="s">
        <v>61</v>
      </c>
      <c r="G54" s="29"/>
      <c r="H54" s="103">
        <f>_xlfn.XLOOKUP(B54,GM!$Q$5:$Q$756,GM!$J$5:$J$756)</f>
        <v>44739</v>
      </c>
    </row>
    <row r="55" spans="1:8" hidden="1" x14ac:dyDescent="0.35">
      <c r="A55" s="29" t="s">
        <v>14</v>
      </c>
      <c r="B55" s="29" t="str">
        <f t="shared" si="0"/>
        <v>CHV-02</v>
      </c>
      <c r="C55" s="29" t="s">
        <v>3231</v>
      </c>
      <c r="D55" s="67" t="s">
        <v>3232</v>
      </c>
      <c r="E55" s="96" t="s">
        <v>62</v>
      </c>
      <c r="F55" s="29" t="s">
        <v>61</v>
      </c>
      <c r="G55" s="29"/>
      <c r="H55" s="103">
        <f>_xlfn.XLOOKUP(B55,GM!$Q$5:$Q$756,GM!$J$5:$J$756)</f>
        <v>44739</v>
      </c>
    </row>
    <row r="56" spans="1:8" hidden="1" x14ac:dyDescent="0.35">
      <c r="A56" s="29" t="s">
        <v>14</v>
      </c>
      <c r="B56" s="29" t="str">
        <f t="shared" si="0"/>
        <v>CHV-02</v>
      </c>
      <c r="C56" s="29" t="s">
        <v>3233</v>
      </c>
      <c r="D56" s="67" t="s">
        <v>3234</v>
      </c>
      <c r="E56" s="96" t="s">
        <v>62</v>
      </c>
      <c r="F56" s="29" t="s">
        <v>61</v>
      </c>
      <c r="G56" s="29"/>
      <c r="H56" s="103">
        <f>_xlfn.XLOOKUP(B56,GM!$Q$5:$Q$756,GM!$J$5:$J$756)</f>
        <v>44739</v>
      </c>
    </row>
    <row r="57" spans="1:8" hidden="1" x14ac:dyDescent="0.35">
      <c r="A57" s="29" t="s">
        <v>14</v>
      </c>
      <c r="B57" s="29" t="str">
        <f t="shared" si="0"/>
        <v>CHV-02</v>
      </c>
      <c r="C57" s="29" t="s">
        <v>3235</v>
      </c>
      <c r="D57" s="67" t="s">
        <v>3236</v>
      </c>
      <c r="E57" s="96" t="s">
        <v>62</v>
      </c>
      <c r="F57" s="29" t="s">
        <v>61</v>
      </c>
      <c r="G57" s="29"/>
      <c r="H57" s="103">
        <f>_xlfn.XLOOKUP(B57,GM!$Q$5:$Q$756,GM!$J$5:$J$756)</f>
        <v>44739</v>
      </c>
    </row>
    <row r="58" spans="1:8" hidden="1" x14ac:dyDescent="0.35">
      <c r="A58" s="29" t="s">
        <v>14</v>
      </c>
      <c r="B58" s="29" t="str">
        <f t="shared" si="0"/>
        <v>CHV-02</v>
      </c>
      <c r="C58" s="29" t="s">
        <v>3237</v>
      </c>
      <c r="D58" s="67" t="s">
        <v>3238</v>
      </c>
      <c r="E58" s="96" t="s">
        <v>62</v>
      </c>
      <c r="F58" s="29" t="s">
        <v>61</v>
      </c>
      <c r="G58" s="29"/>
      <c r="H58" s="103">
        <f>_xlfn.XLOOKUP(B58,GM!$Q$5:$Q$756,GM!$J$5:$J$756)</f>
        <v>44739</v>
      </c>
    </row>
    <row r="59" spans="1:8" hidden="1" x14ac:dyDescent="0.35">
      <c r="A59" s="29" t="s">
        <v>14</v>
      </c>
      <c r="B59" s="29" t="str">
        <f t="shared" si="0"/>
        <v>CHV-03</v>
      </c>
      <c r="C59" s="29" t="s">
        <v>3239</v>
      </c>
      <c r="D59" s="67" t="s">
        <v>3240</v>
      </c>
      <c r="E59" s="96" t="s">
        <v>62</v>
      </c>
      <c r="F59" s="29" t="s">
        <v>61</v>
      </c>
      <c r="G59" s="29"/>
      <c r="H59" s="103">
        <f>_xlfn.XLOOKUP(B59,GM!$Q$5:$Q$756,GM!$J$5:$J$756)</f>
        <v>45506</v>
      </c>
    </row>
    <row r="60" spans="1:8" hidden="1" x14ac:dyDescent="0.35">
      <c r="A60" s="29" t="s">
        <v>14</v>
      </c>
      <c r="B60" s="29" t="str">
        <f t="shared" si="0"/>
        <v>CHV-03</v>
      </c>
      <c r="C60" s="29" t="s">
        <v>3241</v>
      </c>
      <c r="D60" s="67" t="s">
        <v>3242</v>
      </c>
      <c r="E60" s="96" t="s">
        <v>62</v>
      </c>
      <c r="F60" s="29" t="s">
        <v>61</v>
      </c>
      <c r="G60" s="29"/>
      <c r="H60" s="103">
        <f>_xlfn.XLOOKUP(B60,GM!$Q$5:$Q$756,GM!$J$5:$J$756)</f>
        <v>45506</v>
      </c>
    </row>
    <row r="61" spans="1:8" hidden="1" x14ac:dyDescent="0.35">
      <c r="A61" s="29" t="s">
        <v>14</v>
      </c>
      <c r="B61" s="29" t="str">
        <f t="shared" si="0"/>
        <v>CHV-03</v>
      </c>
      <c r="C61" s="29" t="s">
        <v>3243</v>
      </c>
      <c r="D61" s="67" t="s">
        <v>3244</v>
      </c>
      <c r="E61" s="96" t="s">
        <v>62</v>
      </c>
      <c r="F61" s="29" t="s">
        <v>61</v>
      </c>
      <c r="G61" s="29"/>
      <c r="H61" s="103">
        <f>_xlfn.XLOOKUP(B61,GM!$Q$5:$Q$756,GM!$J$5:$J$756)</f>
        <v>45506</v>
      </c>
    </row>
    <row r="62" spans="1:8" hidden="1" x14ac:dyDescent="0.35">
      <c r="A62" s="29" t="s">
        <v>14</v>
      </c>
      <c r="B62" s="29" t="str">
        <f t="shared" si="0"/>
        <v>CHV-03</v>
      </c>
      <c r="C62" s="29" t="s">
        <v>3245</v>
      </c>
      <c r="D62" s="67" t="s">
        <v>3246</v>
      </c>
      <c r="E62" s="96" t="s">
        <v>62</v>
      </c>
      <c r="F62" s="29" t="s">
        <v>61</v>
      </c>
      <c r="G62" s="29"/>
      <c r="H62" s="103">
        <f>_xlfn.XLOOKUP(B62,GM!$Q$5:$Q$756,GM!$J$5:$J$756)</f>
        <v>45506</v>
      </c>
    </row>
    <row r="63" spans="1:8" hidden="1" x14ac:dyDescent="0.35">
      <c r="A63" s="29" t="s">
        <v>14</v>
      </c>
      <c r="B63" s="29" t="str">
        <f t="shared" si="0"/>
        <v>CHV-03</v>
      </c>
      <c r="C63" s="29" t="s">
        <v>3247</v>
      </c>
      <c r="D63" s="67" t="s">
        <v>3248</v>
      </c>
      <c r="E63" s="96" t="s">
        <v>62</v>
      </c>
      <c r="F63" s="29" t="s">
        <v>61</v>
      </c>
      <c r="G63" s="29"/>
      <c r="H63" s="103">
        <f>_xlfn.XLOOKUP(B63,GM!$Q$5:$Q$756,GM!$J$5:$J$756)</f>
        <v>45506</v>
      </c>
    </row>
    <row r="64" spans="1:8" hidden="1" x14ac:dyDescent="0.35">
      <c r="A64" s="29" t="s">
        <v>14</v>
      </c>
      <c r="B64" s="29" t="str">
        <f t="shared" si="0"/>
        <v>CHV-03</v>
      </c>
      <c r="C64" s="29" t="s">
        <v>3249</v>
      </c>
      <c r="D64" s="67" t="s">
        <v>3250</v>
      </c>
      <c r="E64" s="96" t="s">
        <v>62</v>
      </c>
      <c r="F64" s="29" t="s">
        <v>61</v>
      </c>
      <c r="G64" s="29"/>
      <c r="H64" s="103">
        <f>_xlfn.XLOOKUP(B64,GM!$Q$5:$Q$756,GM!$J$5:$J$756)</f>
        <v>45506</v>
      </c>
    </row>
    <row r="65" spans="1:8" hidden="1" x14ac:dyDescent="0.35">
      <c r="A65" s="29" t="s">
        <v>14</v>
      </c>
      <c r="B65" s="29" t="str">
        <f t="shared" si="0"/>
        <v>CHV-03</v>
      </c>
      <c r="C65" s="29" t="s">
        <v>3251</v>
      </c>
      <c r="D65" s="67" t="s">
        <v>3252</v>
      </c>
      <c r="E65" s="96" t="s">
        <v>62</v>
      </c>
      <c r="F65" s="29" t="s">
        <v>61</v>
      </c>
      <c r="G65" s="29"/>
      <c r="H65" s="103">
        <f>_xlfn.XLOOKUP(B65,GM!$Q$5:$Q$756,GM!$J$5:$J$756)</f>
        <v>45506</v>
      </c>
    </row>
    <row r="66" spans="1:8" hidden="1" x14ac:dyDescent="0.35">
      <c r="A66" s="29" t="s">
        <v>14</v>
      </c>
      <c r="B66" s="29" t="str">
        <f t="shared" si="0"/>
        <v>CHV-03</v>
      </c>
      <c r="C66" s="29" t="s">
        <v>3253</v>
      </c>
      <c r="D66" s="67" t="s">
        <v>3254</v>
      </c>
      <c r="E66" s="96" t="s">
        <v>62</v>
      </c>
      <c r="F66" s="29" t="s">
        <v>61</v>
      </c>
      <c r="G66" s="29"/>
      <c r="H66" s="103">
        <f>_xlfn.XLOOKUP(B66,GM!$Q$5:$Q$756,GM!$J$5:$J$756)</f>
        <v>45506</v>
      </c>
    </row>
    <row r="67" spans="1:8" hidden="1" x14ac:dyDescent="0.35">
      <c r="A67" s="29" t="s">
        <v>14</v>
      </c>
      <c r="B67" s="29" t="str">
        <f t="shared" si="0"/>
        <v>CHV-03</v>
      </c>
      <c r="C67" s="29" t="s">
        <v>3255</v>
      </c>
      <c r="D67" s="67" t="s">
        <v>3256</v>
      </c>
      <c r="E67" s="96" t="s">
        <v>62</v>
      </c>
      <c r="F67" s="29" t="s">
        <v>61</v>
      </c>
      <c r="G67" s="29"/>
      <c r="H67" s="103">
        <f>_xlfn.XLOOKUP(B67,GM!$Q$5:$Q$756,GM!$J$5:$J$756)</f>
        <v>45506</v>
      </c>
    </row>
    <row r="68" spans="1:8" hidden="1" x14ac:dyDescent="0.35">
      <c r="A68" s="29" t="s">
        <v>14</v>
      </c>
      <c r="B68" s="29" t="str">
        <f t="shared" si="0"/>
        <v>CHV-03</v>
      </c>
      <c r="C68" s="29" t="s">
        <v>3257</v>
      </c>
      <c r="D68" s="67" t="s">
        <v>3258</v>
      </c>
      <c r="E68" s="96" t="s">
        <v>62</v>
      </c>
      <c r="F68" s="29" t="s">
        <v>61</v>
      </c>
      <c r="G68" s="29"/>
      <c r="H68" s="103">
        <f>_xlfn.XLOOKUP(B68,GM!$Q$5:$Q$756,GM!$J$5:$J$756)</f>
        <v>45506</v>
      </c>
    </row>
    <row r="69" spans="1:8" hidden="1" x14ac:dyDescent="0.35">
      <c r="A69" s="29" t="s">
        <v>14</v>
      </c>
      <c r="B69" s="29" t="str">
        <f t="shared" ref="B69:B132" si="1">IF(OR(A69="ARN",A69="SDP"),MID(C69,4,7),MID(C69,4,6))</f>
        <v>CHV-03</v>
      </c>
      <c r="C69" s="29" t="s">
        <v>3259</v>
      </c>
      <c r="D69" s="67" t="s">
        <v>3260</v>
      </c>
      <c r="E69" s="96" t="s">
        <v>62</v>
      </c>
      <c r="F69" s="29" t="s">
        <v>61</v>
      </c>
      <c r="G69" s="29"/>
      <c r="H69" s="103">
        <f>_xlfn.XLOOKUP(B69,GM!$Q$5:$Q$756,GM!$J$5:$J$756)</f>
        <v>45506</v>
      </c>
    </row>
    <row r="70" spans="1:8" hidden="1" x14ac:dyDescent="0.35">
      <c r="A70" s="29" t="s">
        <v>14</v>
      </c>
      <c r="B70" s="29" t="str">
        <f t="shared" si="1"/>
        <v>CHV-03</v>
      </c>
      <c r="C70" s="29" t="s">
        <v>3261</v>
      </c>
      <c r="D70" s="67" t="s">
        <v>3262</v>
      </c>
      <c r="E70" s="96" t="s">
        <v>62</v>
      </c>
      <c r="F70" s="29" t="s">
        <v>61</v>
      </c>
      <c r="G70" s="29"/>
      <c r="H70" s="103">
        <f>_xlfn.XLOOKUP(B70,GM!$Q$5:$Q$756,GM!$J$5:$J$756)</f>
        <v>45506</v>
      </c>
    </row>
    <row r="71" spans="1:8" hidden="1" x14ac:dyDescent="0.35">
      <c r="A71" s="29" t="s">
        <v>14</v>
      </c>
      <c r="B71" s="29" t="str">
        <f t="shared" si="1"/>
        <v>CHV-03</v>
      </c>
      <c r="C71" s="29" t="s">
        <v>3263</v>
      </c>
      <c r="D71" s="67" t="s">
        <v>3264</v>
      </c>
      <c r="E71" s="96" t="s">
        <v>62</v>
      </c>
      <c r="F71" s="29" t="s">
        <v>61</v>
      </c>
      <c r="G71" s="29"/>
      <c r="H71" s="103">
        <f>_xlfn.XLOOKUP(B71,GM!$Q$5:$Q$756,GM!$J$5:$J$756)</f>
        <v>45506</v>
      </c>
    </row>
    <row r="72" spans="1:8" hidden="1" x14ac:dyDescent="0.35">
      <c r="A72" s="29" t="s">
        <v>14</v>
      </c>
      <c r="B72" s="29" t="str">
        <f t="shared" si="1"/>
        <v>CHV-03</v>
      </c>
      <c r="C72" s="29" t="s">
        <v>3265</v>
      </c>
      <c r="D72" s="67" t="s">
        <v>3266</v>
      </c>
      <c r="E72" s="96" t="s">
        <v>62</v>
      </c>
      <c r="F72" s="29" t="s">
        <v>61</v>
      </c>
      <c r="G72" s="29"/>
      <c r="H72" s="103">
        <f>_xlfn.XLOOKUP(B72,GM!$Q$5:$Q$756,GM!$J$5:$J$756)</f>
        <v>45506</v>
      </c>
    </row>
    <row r="73" spans="1:8" hidden="1" x14ac:dyDescent="0.35">
      <c r="A73" s="29" t="s">
        <v>14</v>
      </c>
      <c r="B73" s="29" t="str">
        <f t="shared" si="1"/>
        <v>CHV-03</v>
      </c>
      <c r="C73" s="29" t="s">
        <v>3267</v>
      </c>
      <c r="D73" s="67" t="s">
        <v>3268</v>
      </c>
      <c r="E73" s="96" t="s">
        <v>62</v>
      </c>
      <c r="F73" s="29" t="s">
        <v>61</v>
      </c>
      <c r="G73" s="29"/>
      <c r="H73" s="103">
        <f>_xlfn.XLOOKUP(B73,GM!$Q$5:$Q$756,GM!$J$5:$J$756)</f>
        <v>45506</v>
      </c>
    </row>
    <row r="74" spans="1:8" hidden="1" x14ac:dyDescent="0.35">
      <c r="A74" s="29" t="s">
        <v>14</v>
      </c>
      <c r="B74" s="29" t="str">
        <f t="shared" si="1"/>
        <v>CHV-03</v>
      </c>
      <c r="C74" s="29" t="s">
        <v>3269</v>
      </c>
      <c r="D74" s="67" t="s">
        <v>3270</v>
      </c>
      <c r="E74" s="96" t="s">
        <v>62</v>
      </c>
      <c r="F74" s="29" t="s">
        <v>61</v>
      </c>
      <c r="G74" s="29"/>
      <c r="H74" s="103">
        <f>_xlfn.XLOOKUP(B74,GM!$Q$5:$Q$756,GM!$J$5:$J$756)</f>
        <v>45506</v>
      </c>
    </row>
    <row r="75" spans="1:8" hidden="1" x14ac:dyDescent="0.35">
      <c r="A75" s="29" t="s">
        <v>14</v>
      </c>
      <c r="B75" s="29" t="str">
        <f t="shared" si="1"/>
        <v>CHV-03</v>
      </c>
      <c r="C75" s="29" t="s">
        <v>3271</v>
      </c>
      <c r="D75" s="67" t="s">
        <v>3272</v>
      </c>
      <c r="E75" s="96" t="s">
        <v>62</v>
      </c>
      <c r="F75" s="29" t="s">
        <v>61</v>
      </c>
      <c r="G75" s="29"/>
      <c r="H75" s="103">
        <f>_xlfn.XLOOKUP(B75,GM!$Q$5:$Q$756,GM!$J$5:$J$756)</f>
        <v>45506</v>
      </c>
    </row>
    <row r="76" spans="1:8" hidden="1" x14ac:dyDescent="0.35">
      <c r="A76" s="29" t="s">
        <v>14</v>
      </c>
      <c r="B76" s="29" t="str">
        <f t="shared" si="1"/>
        <v>CHV-03</v>
      </c>
      <c r="C76" s="29" t="s">
        <v>3273</v>
      </c>
      <c r="D76" s="67" t="s">
        <v>3274</v>
      </c>
      <c r="E76" s="96" t="s">
        <v>62</v>
      </c>
      <c r="F76" s="29" t="s">
        <v>61</v>
      </c>
      <c r="G76" s="29"/>
      <c r="H76" s="103">
        <f>_xlfn.XLOOKUP(B76,GM!$Q$5:$Q$756,GM!$J$5:$J$756)</f>
        <v>45506</v>
      </c>
    </row>
    <row r="77" spans="1:8" hidden="1" x14ac:dyDescent="0.35">
      <c r="A77" s="29" t="s">
        <v>14</v>
      </c>
      <c r="B77" s="29" t="str">
        <f t="shared" si="1"/>
        <v>CHV-03</v>
      </c>
      <c r="C77" s="29" t="s">
        <v>3275</v>
      </c>
      <c r="D77" s="67" t="s">
        <v>3276</v>
      </c>
      <c r="E77" s="96" t="s">
        <v>62</v>
      </c>
      <c r="F77" s="29" t="s">
        <v>61</v>
      </c>
      <c r="G77" s="29"/>
      <c r="H77" s="103">
        <f>_xlfn.XLOOKUP(B77,GM!$Q$5:$Q$756,GM!$J$5:$J$756)</f>
        <v>45506</v>
      </c>
    </row>
    <row r="78" spans="1:8" hidden="1" x14ac:dyDescent="0.35">
      <c r="A78" s="29" t="s">
        <v>14</v>
      </c>
      <c r="B78" s="29" t="str">
        <f t="shared" si="1"/>
        <v>CHV-03</v>
      </c>
      <c r="C78" s="29" t="s">
        <v>3277</v>
      </c>
      <c r="D78" s="67" t="s">
        <v>3278</v>
      </c>
      <c r="E78" s="96" t="s">
        <v>62</v>
      </c>
      <c r="F78" s="29" t="s">
        <v>61</v>
      </c>
      <c r="G78" s="29"/>
      <c r="H78" s="103">
        <f>_xlfn.XLOOKUP(B78,GM!$Q$5:$Q$756,GM!$J$5:$J$756)</f>
        <v>45506</v>
      </c>
    </row>
    <row r="79" spans="1:8" hidden="1" x14ac:dyDescent="0.35">
      <c r="A79" s="29" t="s">
        <v>14</v>
      </c>
      <c r="B79" s="29" t="str">
        <f t="shared" si="1"/>
        <v>CHV-03</v>
      </c>
      <c r="C79" s="29" t="s">
        <v>3279</v>
      </c>
      <c r="D79" s="67" t="s">
        <v>3280</v>
      </c>
      <c r="E79" s="96" t="s">
        <v>62</v>
      </c>
      <c r="F79" s="29" t="s">
        <v>61</v>
      </c>
      <c r="G79" s="29"/>
      <c r="H79" s="103">
        <f>_xlfn.XLOOKUP(B79,GM!$Q$5:$Q$756,GM!$J$5:$J$756)</f>
        <v>45506</v>
      </c>
    </row>
    <row r="80" spans="1:8" hidden="1" x14ac:dyDescent="0.35">
      <c r="A80" s="29" t="s">
        <v>14</v>
      </c>
      <c r="B80" s="29" t="str">
        <f t="shared" si="1"/>
        <v>CHV-03</v>
      </c>
      <c r="C80" s="29" t="s">
        <v>3281</v>
      </c>
      <c r="D80" s="67" t="s">
        <v>3282</v>
      </c>
      <c r="E80" s="96" t="s">
        <v>62</v>
      </c>
      <c r="F80" s="29" t="s">
        <v>61</v>
      </c>
      <c r="G80" s="29"/>
      <c r="H80" s="103">
        <f>_xlfn.XLOOKUP(B80,GM!$Q$5:$Q$756,GM!$J$5:$J$756)</f>
        <v>45506</v>
      </c>
    </row>
    <row r="81" spans="1:8" hidden="1" x14ac:dyDescent="0.35">
      <c r="A81" s="29" t="s">
        <v>14</v>
      </c>
      <c r="B81" s="29" t="str">
        <f t="shared" si="1"/>
        <v>CHV-03</v>
      </c>
      <c r="C81" s="29" t="s">
        <v>3283</v>
      </c>
      <c r="D81" s="67" t="s">
        <v>3284</v>
      </c>
      <c r="E81" s="96" t="s">
        <v>62</v>
      </c>
      <c r="F81" s="29" t="s">
        <v>61</v>
      </c>
      <c r="G81" s="29"/>
      <c r="H81" s="103">
        <f>_xlfn.XLOOKUP(B81,GM!$Q$5:$Q$756,GM!$J$5:$J$756)</f>
        <v>45506</v>
      </c>
    </row>
    <row r="82" spans="1:8" hidden="1" x14ac:dyDescent="0.35">
      <c r="A82" s="29" t="s">
        <v>14</v>
      </c>
      <c r="B82" s="29" t="str">
        <f t="shared" si="1"/>
        <v>CHV-03</v>
      </c>
      <c r="C82" s="29" t="s">
        <v>3285</v>
      </c>
      <c r="D82" s="67" t="s">
        <v>3286</v>
      </c>
      <c r="E82" s="96" t="s">
        <v>62</v>
      </c>
      <c r="F82" s="29" t="s">
        <v>61</v>
      </c>
      <c r="G82" s="29"/>
      <c r="H82" s="103">
        <f>_xlfn.XLOOKUP(B82,GM!$Q$5:$Q$756,GM!$J$5:$J$756)</f>
        <v>45506</v>
      </c>
    </row>
    <row r="83" spans="1:8" hidden="1" x14ac:dyDescent="0.35">
      <c r="A83" s="29" t="s">
        <v>14</v>
      </c>
      <c r="B83" s="29" t="str">
        <f t="shared" si="1"/>
        <v>CHV-03</v>
      </c>
      <c r="C83" s="29" t="s">
        <v>3287</v>
      </c>
      <c r="D83" s="67" t="s">
        <v>3288</v>
      </c>
      <c r="E83" s="96" t="s">
        <v>62</v>
      </c>
      <c r="F83" s="29" t="s">
        <v>61</v>
      </c>
      <c r="G83" s="29"/>
      <c r="H83" s="103">
        <f>_xlfn.XLOOKUP(B83,GM!$Q$5:$Q$756,GM!$J$5:$J$756)</f>
        <v>45506</v>
      </c>
    </row>
    <row r="84" spans="1:8" hidden="1" x14ac:dyDescent="0.35">
      <c r="A84" s="29" t="s">
        <v>14</v>
      </c>
      <c r="B84" s="29" t="str">
        <f t="shared" si="1"/>
        <v>CHV-03</v>
      </c>
      <c r="C84" s="29" t="s">
        <v>3289</v>
      </c>
      <c r="D84" s="67" t="s">
        <v>3290</v>
      </c>
      <c r="E84" s="96" t="s">
        <v>62</v>
      </c>
      <c r="F84" s="29" t="s">
        <v>61</v>
      </c>
      <c r="G84" s="29"/>
      <c r="H84" s="103">
        <f>_xlfn.XLOOKUP(B84,GM!$Q$5:$Q$756,GM!$J$5:$J$756)</f>
        <v>45506</v>
      </c>
    </row>
    <row r="85" spans="1:8" hidden="1" x14ac:dyDescent="0.35">
      <c r="A85" s="29" t="s">
        <v>14</v>
      </c>
      <c r="B85" s="29" t="str">
        <f t="shared" si="1"/>
        <v>CHV-03</v>
      </c>
      <c r="C85" s="29" t="s">
        <v>3291</v>
      </c>
      <c r="D85" s="67" t="s">
        <v>3292</v>
      </c>
      <c r="E85" s="96" t="s">
        <v>62</v>
      </c>
      <c r="F85" s="29" t="s">
        <v>61</v>
      </c>
      <c r="G85" s="29"/>
      <c r="H85" s="103">
        <f>_xlfn.XLOOKUP(B85,GM!$Q$5:$Q$756,GM!$J$5:$J$756)</f>
        <v>45506</v>
      </c>
    </row>
    <row r="86" spans="1:8" hidden="1" x14ac:dyDescent="0.35">
      <c r="A86" s="29" t="s">
        <v>14</v>
      </c>
      <c r="B86" s="29" t="str">
        <f t="shared" si="1"/>
        <v>CHV-03</v>
      </c>
      <c r="C86" s="29" t="s">
        <v>3293</v>
      </c>
      <c r="D86" s="67" t="s">
        <v>3294</v>
      </c>
      <c r="E86" s="96" t="s">
        <v>62</v>
      </c>
      <c r="F86" s="29" t="s">
        <v>61</v>
      </c>
      <c r="G86" s="29"/>
      <c r="H86" s="103">
        <f>_xlfn.XLOOKUP(B86,GM!$Q$5:$Q$756,GM!$J$5:$J$756)</f>
        <v>45506</v>
      </c>
    </row>
    <row r="87" spans="1:8" hidden="1" x14ac:dyDescent="0.35">
      <c r="A87" s="29" t="s">
        <v>14</v>
      </c>
      <c r="B87" s="29" t="str">
        <f t="shared" si="1"/>
        <v>CHV-03</v>
      </c>
      <c r="C87" s="29" t="s">
        <v>3295</v>
      </c>
      <c r="D87" s="67" t="s">
        <v>3296</v>
      </c>
      <c r="E87" s="96" t="s">
        <v>62</v>
      </c>
      <c r="F87" s="29" t="s">
        <v>61</v>
      </c>
      <c r="G87" s="29"/>
      <c r="H87" s="103">
        <f>_xlfn.XLOOKUP(B87,GM!$Q$5:$Q$756,GM!$J$5:$J$756)</f>
        <v>45506</v>
      </c>
    </row>
    <row r="88" spans="1:8" hidden="1" x14ac:dyDescent="0.35">
      <c r="A88" s="29" t="s">
        <v>14</v>
      </c>
      <c r="B88" s="29" t="str">
        <f t="shared" si="1"/>
        <v>CHV-03</v>
      </c>
      <c r="C88" s="29" t="s">
        <v>3297</v>
      </c>
      <c r="D88" s="67" t="s">
        <v>3298</v>
      </c>
      <c r="E88" s="96" t="s">
        <v>62</v>
      </c>
      <c r="F88" s="29" t="s">
        <v>61</v>
      </c>
      <c r="G88" s="29"/>
      <c r="H88" s="103">
        <f>_xlfn.XLOOKUP(B88,GM!$Q$5:$Q$756,GM!$J$5:$J$756)</f>
        <v>45506</v>
      </c>
    </row>
    <row r="89" spans="1:8" hidden="1" x14ac:dyDescent="0.35">
      <c r="A89" s="29" t="s">
        <v>14</v>
      </c>
      <c r="B89" s="29" t="str">
        <f t="shared" si="1"/>
        <v>CHV-03</v>
      </c>
      <c r="C89" s="29" t="s">
        <v>3299</v>
      </c>
      <c r="D89" s="67" t="s">
        <v>3300</v>
      </c>
      <c r="E89" s="96" t="s">
        <v>62</v>
      </c>
      <c r="F89" s="29" t="s">
        <v>61</v>
      </c>
      <c r="G89" s="29"/>
      <c r="H89" s="103">
        <f>_xlfn.XLOOKUP(B89,GM!$Q$5:$Q$756,GM!$J$5:$J$756)</f>
        <v>45506</v>
      </c>
    </row>
    <row r="90" spans="1:8" hidden="1" x14ac:dyDescent="0.35">
      <c r="A90" s="29" t="s">
        <v>14</v>
      </c>
      <c r="B90" s="29" t="str">
        <f t="shared" si="1"/>
        <v>CHV-03</v>
      </c>
      <c r="C90" s="29" t="s">
        <v>3301</v>
      </c>
      <c r="D90" s="67" t="s">
        <v>3302</v>
      </c>
      <c r="E90" s="96" t="s">
        <v>62</v>
      </c>
      <c r="F90" s="29" t="s">
        <v>61</v>
      </c>
      <c r="G90" s="29"/>
      <c r="H90" s="103">
        <f>_xlfn.XLOOKUP(B90,GM!$Q$5:$Q$756,GM!$J$5:$J$756)</f>
        <v>45506</v>
      </c>
    </row>
    <row r="91" spans="1:8" hidden="1" x14ac:dyDescent="0.35">
      <c r="A91" s="29" t="s">
        <v>14</v>
      </c>
      <c r="B91" s="29" t="str">
        <f t="shared" si="1"/>
        <v>CHV-04</v>
      </c>
      <c r="C91" s="29" t="s">
        <v>3303</v>
      </c>
      <c r="D91" s="67" t="s">
        <v>3304</v>
      </c>
      <c r="E91" s="96" t="s">
        <v>62</v>
      </c>
      <c r="F91" s="29" t="s">
        <v>61</v>
      </c>
      <c r="G91" s="29"/>
      <c r="H91" s="103">
        <f>_xlfn.XLOOKUP(B91,GM!$Q$5:$Q$756,GM!$J$5:$J$756)</f>
        <v>46104</v>
      </c>
    </row>
    <row r="92" spans="1:8" hidden="1" x14ac:dyDescent="0.35">
      <c r="A92" s="29" t="s">
        <v>14</v>
      </c>
      <c r="B92" s="29" t="str">
        <f t="shared" si="1"/>
        <v>CHV-04</v>
      </c>
      <c r="C92" s="29" t="s">
        <v>3305</v>
      </c>
      <c r="D92" s="67" t="s">
        <v>3306</v>
      </c>
      <c r="E92" s="96" t="s">
        <v>62</v>
      </c>
      <c r="F92" s="29" t="s">
        <v>61</v>
      </c>
      <c r="G92" s="29"/>
      <c r="H92" s="103">
        <f>_xlfn.XLOOKUP(B92,GM!$Q$5:$Q$756,GM!$J$5:$J$756)</f>
        <v>46104</v>
      </c>
    </row>
    <row r="93" spans="1:8" hidden="1" x14ac:dyDescent="0.35">
      <c r="A93" s="29" t="s">
        <v>14</v>
      </c>
      <c r="B93" s="29" t="str">
        <f t="shared" si="1"/>
        <v>CHV-04</v>
      </c>
      <c r="C93" s="29" t="s">
        <v>3307</v>
      </c>
      <c r="D93" s="67" t="s">
        <v>3308</v>
      </c>
      <c r="E93" s="96" t="s">
        <v>62</v>
      </c>
      <c r="F93" s="29" t="s">
        <v>61</v>
      </c>
      <c r="G93" s="29"/>
      <c r="H93" s="103">
        <f>_xlfn.XLOOKUP(B93,GM!$Q$5:$Q$756,GM!$J$5:$J$756)</f>
        <v>46104</v>
      </c>
    </row>
    <row r="94" spans="1:8" hidden="1" x14ac:dyDescent="0.35">
      <c r="A94" s="29" t="s">
        <v>14</v>
      </c>
      <c r="B94" s="29" t="str">
        <f t="shared" si="1"/>
        <v>CHV-04</v>
      </c>
      <c r="C94" s="29" t="s">
        <v>3309</v>
      </c>
      <c r="D94" s="67" t="s">
        <v>3310</v>
      </c>
      <c r="E94" s="96" t="s">
        <v>62</v>
      </c>
      <c r="F94" s="29" t="s">
        <v>61</v>
      </c>
      <c r="G94" s="29"/>
      <c r="H94" s="103">
        <f>_xlfn.XLOOKUP(B94,GM!$Q$5:$Q$756,GM!$J$5:$J$756)</f>
        <v>46104</v>
      </c>
    </row>
    <row r="95" spans="1:8" hidden="1" x14ac:dyDescent="0.35">
      <c r="A95" s="29" t="s">
        <v>14</v>
      </c>
      <c r="B95" s="29" t="str">
        <f t="shared" si="1"/>
        <v>CHV-04</v>
      </c>
      <c r="C95" s="29" t="s">
        <v>3311</v>
      </c>
      <c r="D95" s="67" t="s">
        <v>3312</v>
      </c>
      <c r="E95" s="96" t="s">
        <v>62</v>
      </c>
      <c r="F95" s="29" t="s">
        <v>61</v>
      </c>
      <c r="G95" s="29"/>
      <c r="H95" s="103">
        <f>_xlfn.XLOOKUP(B95,GM!$Q$5:$Q$756,GM!$J$5:$J$756)</f>
        <v>46104</v>
      </c>
    </row>
    <row r="96" spans="1:8" hidden="1" x14ac:dyDescent="0.35">
      <c r="A96" s="29" t="s">
        <v>14</v>
      </c>
      <c r="B96" s="29" t="str">
        <f t="shared" si="1"/>
        <v>CHV-04</v>
      </c>
      <c r="C96" s="29" t="s">
        <v>3313</v>
      </c>
      <c r="D96" s="67" t="s">
        <v>3314</v>
      </c>
      <c r="E96" s="96" t="s">
        <v>62</v>
      </c>
      <c r="F96" s="29" t="s">
        <v>61</v>
      </c>
      <c r="G96" s="29"/>
      <c r="H96" s="103">
        <f>_xlfn.XLOOKUP(B96,GM!$Q$5:$Q$756,GM!$J$5:$J$756)</f>
        <v>46104</v>
      </c>
    </row>
    <row r="97" spans="1:8" hidden="1" x14ac:dyDescent="0.35">
      <c r="A97" s="29" t="s">
        <v>14</v>
      </c>
      <c r="B97" s="29" t="str">
        <f t="shared" si="1"/>
        <v>CHV-04</v>
      </c>
      <c r="C97" s="29" t="s">
        <v>3315</v>
      </c>
      <c r="D97" s="67" t="s">
        <v>3316</v>
      </c>
      <c r="E97" s="96" t="s">
        <v>62</v>
      </c>
      <c r="F97" s="29" t="s">
        <v>61</v>
      </c>
      <c r="G97" s="29"/>
      <c r="H97" s="103">
        <f>_xlfn.XLOOKUP(B97,GM!$Q$5:$Q$756,GM!$J$5:$J$756)</f>
        <v>46104</v>
      </c>
    </row>
    <row r="98" spans="1:8" hidden="1" x14ac:dyDescent="0.35">
      <c r="A98" s="29" t="s">
        <v>14</v>
      </c>
      <c r="B98" s="29" t="str">
        <f t="shared" si="1"/>
        <v>CHV-04</v>
      </c>
      <c r="C98" s="29" t="s">
        <v>3317</v>
      </c>
      <c r="D98" s="67" t="s">
        <v>3318</v>
      </c>
      <c r="E98" s="96" t="s">
        <v>62</v>
      </c>
      <c r="F98" s="29" t="s">
        <v>61</v>
      </c>
      <c r="G98" s="29"/>
      <c r="H98" s="103">
        <f>_xlfn.XLOOKUP(B98,GM!$Q$5:$Q$756,GM!$J$5:$J$756)</f>
        <v>46104</v>
      </c>
    </row>
    <row r="99" spans="1:8" hidden="1" x14ac:dyDescent="0.35">
      <c r="A99" s="29" t="s">
        <v>14</v>
      </c>
      <c r="B99" s="29" t="str">
        <f t="shared" si="1"/>
        <v>CHV-04</v>
      </c>
      <c r="C99" s="29" t="s">
        <v>3319</v>
      </c>
      <c r="D99" s="67" t="s">
        <v>3320</v>
      </c>
      <c r="E99" s="96" t="s">
        <v>62</v>
      </c>
      <c r="F99" s="29" t="s">
        <v>61</v>
      </c>
      <c r="G99" s="29"/>
      <c r="H99" s="103">
        <f>_xlfn.XLOOKUP(B99,GM!$Q$5:$Q$756,GM!$J$5:$J$756)</f>
        <v>46104</v>
      </c>
    </row>
    <row r="100" spans="1:8" hidden="1" x14ac:dyDescent="0.35">
      <c r="A100" s="29" t="s">
        <v>14</v>
      </c>
      <c r="B100" s="29" t="str">
        <f t="shared" si="1"/>
        <v>CHV-04</v>
      </c>
      <c r="C100" s="29" t="s">
        <v>3321</v>
      </c>
      <c r="D100" s="67" t="s">
        <v>3322</v>
      </c>
      <c r="E100" s="96" t="s">
        <v>62</v>
      </c>
      <c r="F100" s="29" t="s">
        <v>61</v>
      </c>
      <c r="G100" s="29"/>
      <c r="H100" s="103">
        <f>_xlfn.XLOOKUP(B100,GM!$Q$5:$Q$756,GM!$J$5:$J$756)</f>
        <v>46104</v>
      </c>
    </row>
    <row r="101" spans="1:8" hidden="1" x14ac:dyDescent="0.35">
      <c r="A101" s="29" t="s">
        <v>14</v>
      </c>
      <c r="B101" s="29" t="str">
        <f t="shared" si="1"/>
        <v>CHV-04</v>
      </c>
      <c r="C101" s="29" t="s">
        <v>3323</v>
      </c>
      <c r="D101" s="67" t="s">
        <v>3324</v>
      </c>
      <c r="E101" s="96" t="s">
        <v>62</v>
      </c>
      <c r="F101" s="29" t="s">
        <v>61</v>
      </c>
      <c r="G101" s="29"/>
      <c r="H101" s="103">
        <f>_xlfn.XLOOKUP(B101,GM!$Q$5:$Q$756,GM!$J$5:$J$756)</f>
        <v>46104</v>
      </c>
    </row>
    <row r="102" spans="1:8" hidden="1" x14ac:dyDescent="0.35">
      <c r="A102" s="29" t="s">
        <v>14</v>
      </c>
      <c r="B102" s="29" t="str">
        <f t="shared" si="1"/>
        <v>CHV-04</v>
      </c>
      <c r="C102" s="29" t="s">
        <v>3325</v>
      </c>
      <c r="D102" s="67" t="s">
        <v>3326</v>
      </c>
      <c r="E102" s="96" t="s">
        <v>62</v>
      </c>
      <c r="F102" s="29" t="s">
        <v>61</v>
      </c>
      <c r="G102" s="29"/>
      <c r="H102" s="103">
        <f>_xlfn.XLOOKUP(B102,GM!$Q$5:$Q$756,GM!$J$5:$J$756)</f>
        <v>46104</v>
      </c>
    </row>
    <row r="103" spans="1:8" hidden="1" x14ac:dyDescent="0.35">
      <c r="A103" s="29" t="s">
        <v>14</v>
      </c>
      <c r="B103" s="29" t="str">
        <f t="shared" si="1"/>
        <v>CHV-04</v>
      </c>
      <c r="C103" s="29" t="s">
        <v>3327</v>
      </c>
      <c r="D103" s="67" t="s">
        <v>3328</v>
      </c>
      <c r="E103" s="96" t="s">
        <v>62</v>
      </c>
      <c r="F103" s="29" t="s">
        <v>61</v>
      </c>
      <c r="G103" s="29"/>
      <c r="H103" s="103">
        <f>_xlfn.XLOOKUP(B103,GM!$Q$5:$Q$756,GM!$J$5:$J$756)</f>
        <v>46104</v>
      </c>
    </row>
    <row r="104" spans="1:8" hidden="1" x14ac:dyDescent="0.35">
      <c r="A104" s="29" t="s">
        <v>14</v>
      </c>
      <c r="B104" s="29" t="str">
        <f t="shared" si="1"/>
        <v>CHV-04</v>
      </c>
      <c r="C104" s="29" t="s">
        <v>3329</v>
      </c>
      <c r="D104" s="67" t="s">
        <v>3330</v>
      </c>
      <c r="E104" s="96" t="s">
        <v>62</v>
      </c>
      <c r="F104" s="29" t="s">
        <v>61</v>
      </c>
      <c r="G104" s="29"/>
      <c r="H104" s="103">
        <f>_xlfn.XLOOKUP(B104,GM!$Q$5:$Q$756,GM!$J$5:$J$756)</f>
        <v>46104</v>
      </c>
    </row>
    <row r="105" spans="1:8" hidden="1" x14ac:dyDescent="0.35">
      <c r="A105" s="29" t="s">
        <v>14</v>
      </c>
      <c r="B105" s="29" t="str">
        <f t="shared" si="1"/>
        <v>CHV-04</v>
      </c>
      <c r="C105" s="29" t="s">
        <v>3331</v>
      </c>
      <c r="D105" s="67" t="s">
        <v>3332</v>
      </c>
      <c r="E105" s="96" t="s">
        <v>62</v>
      </c>
      <c r="F105" s="29" t="s">
        <v>61</v>
      </c>
      <c r="G105" s="29"/>
      <c r="H105" s="103">
        <f>_xlfn.XLOOKUP(B105,GM!$Q$5:$Q$756,GM!$J$5:$J$756)</f>
        <v>46104</v>
      </c>
    </row>
    <row r="106" spans="1:8" hidden="1" x14ac:dyDescent="0.35">
      <c r="A106" s="29" t="s">
        <v>14</v>
      </c>
      <c r="B106" s="29" t="str">
        <f t="shared" si="1"/>
        <v>CHV-04</v>
      </c>
      <c r="C106" s="29" t="s">
        <v>3333</v>
      </c>
      <c r="D106" s="67" t="s">
        <v>3334</v>
      </c>
      <c r="E106" s="96" t="s">
        <v>62</v>
      </c>
      <c r="F106" s="29" t="s">
        <v>61</v>
      </c>
      <c r="G106" s="29"/>
      <c r="H106" s="103">
        <f>_xlfn.XLOOKUP(B106,GM!$Q$5:$Q$756,GM!$J$5:$J$756)</f>
        <v>46104</v>
      </c>
    </row>
    <row r="107" spans="1:8" hidden="1" x14ac:dyDescent="0.35">
      <c r="A107" s="29" t="s">
        <v>14</v>
      </c>
      <c r="B107" s="29" t="str">
        <f t="shared" si="1"/>
        <v>CHV-04</v>
      </c>
      <c r="C107" s="29" t="s">
        <v>3335</v>
      </c>
      <c r="D107" s="67" t="s">
        <v>3336</v>
      </c>
      <c r="E107" s="96" t="s">
        <v>62</v>
      </c>
      <c r="F107" s="29" t="s">
        <v>61</v>
      </c>
      <c r="G107" s="29"/>
      <c r="H107" s="103">
        <f>_xlfn.XLOOKUP(B107,GM!$Q$5:$Q$756,GM!$J$5:$J$756)</f>
        <v>46104</v>
      </c>
    </row>
    <row r="108" spans="1:8" hidden="1" x14ac:dyDescent="0.35">
      <c r="A108" s="29" t="s">
        <v>14</v>
      </c>
      <c r="B108" s="29" t="str">
        <f t="shared" si="1"/>
        <v>CHV-04</v>
      </c>
      <c r="C108" s="29" t="s">
        <v>3337</v>
      </c>
      <c r="D108" s="67" t="s">
        <v>3338</v>
      </c>
      <c r="E108" s="96" t="s">
        <v>62</v>
      </c>
      <c r="F108" s="29" t="s">
        <v>61</v>
      </c>
      <c r="G108" s="29"/>
      <c r="H108" s="103">
        <f>_xlfn.XLOOKUP(B108,GM!$Q$5:$Q$756,GM!$J$5:$J$756)</f>
        <v>46104</v>
      </c>
    </row>
    <row r="109" spans="1:8" hidden="1" x14ac:dyDescent="0.35">
      <c r="A109" s="29" t="s">
        <v>14</v>
      </c>
      <c r="B109" s="29" t="str">
        <f t="shared" si="1"/>
        <v>CHV-04</v>
      </c>
      <c r="C109" s="29" t="s">
        <v>3339</v>
      </c>
      <c r="D109" s="67" t="s">
        <v>3340</v>
      </c>
      <c r="E109" s="96" t="s">
        <v>62</v>
      </c>
      <c r="F109" s="29" t="s">
        <v>61</v>
      </c>
      <c r="G109" s="29"/>
      <c r="H109" s="103">
        <f>_xlfn.XLOOKUP(B109,GM!$Q$5:$Q$756,GM!$J$5:$J$756)</f>
        <v>46104</v>
      </c>
    </row>
    <row r="110" spans="1:8" hidden="1" x14ac:dyDescent="0.35">
      <c r="A110" s="29" t="s">
        <v>14</v>
      </c>
      <c r="B110" s="29" t="str">
        <f t="shared" si="1"/>
        <v>CHV-04</v>
      </c>
      <c r="C110" s="29" t="s">
        <v>3341</v>
      </c>
      <c r="D110" s="67" t="s">
        <v>3342</v>
      </c>
      <c r="E110" s="96" t="s">
        <v>62</v>
      </c>
      <c r="F110" s="29" t="s">
        <v>61</v>
      </c>
      <c r="G110" s="29"/>
      <c r="H110" s="103">
        <f>_xlfn.XLOOKUP(B110,GM!$Q$5:$Q$756,GM!$J$5:$J$756)</f>
        <v>46104</v>
      </c>
    </row>
    <row r="111" spans="1:8" hidden="1" x14ac:dyDescent="0.35">
      <c r="A111" s="29" t="s">
        <v>14</v>
      </c>
      <c r="B111" s="29" t="str">
        <f t="shared" si="1"/>
        <v>CHV-04</v>
      </c>
      <c r="C111" s="29" t="s">
        <v>3343</v>
      </c>
      <c r="D111" s="67" t="s">
        <v>3344</v>
      </c>
      <c r="E111" s="96" t="s">
        <v>62</v>
      </c>
      <c r="F111" s="29" t="s">
        <v>61</v>
      </c>
      <c r="G111" s="29"/>
      <c r="H111" s="103">
        <f>_xlfn.XLOOKUP(B111,GM!$Q$5:$Q$756,GM!$J$5:$J$756)</f>
        <v>46104</v>
      </c>
    </row>
    <row r="112" spans="1:8" hidden="1" x14ac:dyDescent="0.35">
      <c r="A112" s="29" t="s">
        <v>14</v>
      </c>
      <c r="B112" s="29" t="str">
        <f t="shared" si="1"/>
        <v>CHV-04</v>
      </c>
      <c r="C112" s="29" t="s">
        <v>3345</v>
      </c>
      <c r="D112" s="67" t="s">
        <v>3346</v>
      </c>
      <c r="E112" s="96" t="s">
        <v>62</v>
      </c>
      <c r="F112" s="29" t="s">
        <v>61</v>
      </c>
      <c r="G112" s="29"/>
      <c r="H112" s="103">
        <f>_xlfn.XLOOKUP(B112,GM!$Q$5:$Q$756,GM!$J$5:$J$756)</f>
        <v>46104</v>
      </c>
    </row>
    <row r="113" spans="1:8" hidden="1" x14ac:dyDescent="0.35">
      <c r="A113" s="29" t="s">
        <v>14</v>
      </c>
      <c r="B113" s="29" t="str">
        <f t="shared" si="1"/>
        <v>CHV-05</v>
      </c>
      <c r="C113" s="29" t="s">
        <v>3347</v>
      </c>
      <c r="D113" s="67" t="s">
        <v>3348</v>
      </c>
      <c r="E113" s="96" t="s">
        <v>62</v>
      </c>
      <c r="F113" s="29" t="s">
        <v>61</v>
      </c>
      <c r="G113" s="29"/>
      <c r="H113" s="103">
        <f>_xlfn.XLOOKUP(B113,GM!$Q$5:$Q$756,GM!$J$5:$J$756)</f>
        <v>46104</v>
      </c>
    </row>
    <row r="114" spans="1:8" hidden="1" x14ac:dyDescent="0.35">
      <c r="A114" s="29" t="s">
        <v>14</v>
      </c>
      <c r="B114" s="29" t="str">
        <f t="shared" si="1"/>
        <v>CHV-05</v>
      </c>
      <c r="C114" s="29" t="s">
        <v>3349</v>
      </c>
      <c r="D114" s="67" t="s">
        <v>3350</v>
      </c>
      <c r="E114" s="96" t="s">
        <v>62</v>
      </c>
      <c r="F114" s="29" t="s">
        <v>61</v>
      </c>
      <c r="G114" s="29"/>
      <c r="H114" s="103">
        <f>_xlfn.XLOOKUP(B114,GM!$Q$5:$Q$756,GM!$J$5:$J$756)</f>
        <v>46104</v>
      </c>
    </row>
    <row r="115" spans="1:8" hidden="1" x14ac:dyDescent="0.35">
      <c r="A115" s="29" t="s">
        <v>14</v>
      </c>
      <c r="B115" s="29" t="str">
        <f t="shared" si="1"/>
        <v>CHV-05</v>
      </c>
      <c r="C115" s="29" t="s">
        <v>3351</v>
      </c>
      <c r="D115" s="67" t="s">
        <v>3352</v>
      </c>
      <c r="E115" s="96" t="s">
        <v>62</v>
      </c>
      <c r="F115" s="29" t="s">
        <v>61</v>
      </c>
      <c r="G115" s="29"/>
      <c r="H115" s="103">
        <f>_xlfn.XLOOKUP(B115,GM!$Q$5:$Q$756,GM!$J$5:$J$756)</f>
        <v>46104</v>
      </c>
    </row>
    <row r="116" spans="1:8" hidden="1" x14ac:dyDescent="0.35">
      <c r="A116" s="29" t="s">
        <v>14</v>
      </c>
      <c r="B116" s="29" t="str">
        <f t="shared" si="1"/>
        <v>CHV-05</v>
      </c>
      <c r="C116" s="29" t="s">
        <v>3353</v>
      </c>
      <c r="D116" s="67" t="s">
        <v>3354</v>
      </c>
      <c r="E116" s="96" t="s">
        <v>62</v>
      </c>
      <c r="F116" s="29" t="s">
        <v>61</v>
      </c>
      <c r="G116" s="29"/>
      <c r="H116" s="103">
        <f>_xlfn.XLOOKUP(B116,GM!$Q$5:$Q$756,GM!$J$5:$J$756)</f>
        <v>46104</v>
      </c>
    </row>
    <row r="117" spans="1:8" hidden="1" x14ac:dyDescent="0.35">
      <c r="A117" s="29" t="s">
        <v>14</v>
      </c>
      <c r="B117" s="29" t="str">
        <f t="shared" si="1"/>
        <v>CHV-05</v>
      </c>
      <c r="C117" s="29" t="s">
        <v>3355</v>
      </c>
      <c r="D117" s="67" t="s">
        <v>3356</v>
      </c>
      <c r="E117" s="96" t="s">
        <v>62</v>
      </c>
      <c r="F117" s="29" t="s">
        <v>61</v>
      </c>
      <c r="G117" s="29"/>
      <c r="H117" s="103">
        <f>_xlfn.XLOOKUP(B117,GM!$Q$5:$Q$756,GM!$J$5:$J$756)</f>
        <v>46104</v>
      </c>
    </row>
    <row r="118" spans="1:8" hidden="1" x14ac:dyDescent="0.35">
      <c r="A118" s="29" t="s">
        <v>14</v>
      </c>
      <c r="B118" s="29" t="str">
        <f t="shared" si="1"/>
        <v>CHV-05</v>
      </c>
      <c r="C118" s="29" t="s">
        <v>3357</v>
      </c>
      <c r="D118" s="67" t="s">
        <v>3358</v>
      </c>
      <c r="E118" s="96" t="s">
        <v>62</v>
      </c>
      <c r="F118" s="29" t="s">
        <v>61</v>
      </c>
      <c r="G118" s="29"/>
      <c r="H118" s="103">
        <f>_xlfn.XLOOKUP(B118,GM!$Q$5:$Q$756,GM!$J$5:$J$756)</f>
        <v>46104</v>
      </c>
    </row>
    <row r="119" spans="1:8" hidden="1" x14ac:dyDescent="0.35">
      <c r="A119" s="29" t="s">
        <v>14</v>
      </c>
      <c r="B119" s="29" t="str">
        <f t="shared" si="1"/>
        <v>CHV-06</v>
      </c>
      <c r="C119" s="29" t="s">
        <v>3359</v>
      </c>
      <c r="D119" s="67" t="s">
        <v>3360</v>
      </c>
      <c r="E119" s="96" t="s">
        <v>62</v>
      </c>
      <c r="F119" s="29" t="s">
        <v>61</v>
      </c>
      <c r="G119" s="29"/>
      <c r="H119" s="103">
        <f>_xlfn.XLOOKUP(B119,GM!$Q$5:$Q$756,GM!$J$5:$J$756)</f>
        <v>46104</v>
      </c>
    </row>
    <row r="120" spans="1:8" hidden="1" x14ac:dyDescent="0.35">
      <c r="A120" s="29" t="s">
        <v>14</v>
      </c>
      <c r="B120" s="29" t="str">
        <f t="shared" si="1"/>
        <v>CHV-06</v>
      </c>
      <c r="C120" s="29" t="s">
        <v>3361</v>
      </c>
      <c r="D120" s="67" t="s">
        <v>3362</v>
      </c>
      <c r="E120" s="96" t="s">
        <v>62</v>
      </c>
      <c r="F120" s="29" t="s">
        <v>61</v>
      </c>
      <c r="G120" s="29"/>
      <c r="H120" s="103">
        <f>_xlfn.XLOOKUP(B120,GM!$Q$5:$Q$756,GM!$J$5:$J$756)</f>
        <v>46104</v>
      </c>
    </row>
    <row r="121" spans="1:8" hidden="1" x14ac:dyDescent="0.35">
      <c r="A121" s="29" t="s">
        <v>14</v>
      </c>
      <c r="B121" s="29" t="str">
        <f t="shared" si="1"/>
        <v>CHV-06</v>
      </c>
      <c r="C121" s="29" t="s">
        <v>3363</v>
      </c>
      <c r="D121" s="67" t="s">
        <v>3364</v>
      </c>
      <c r="E121" s="96" t="s">
        <v>62</v>
      </c>
      <c r="F121" s="29" t="s">
        <v>61</v>
      </c>
      <c r="G121" s="29"/>
      <c r="H121" s="103">
        <f>_xlfn.XLOOKUP(B121,GM!$Q$5:$Q$756,GM!$J$5:$J$756)</f>
        <v>46104</v>
      </c>
    </row>
    <row r="122" spans="1:8" hidden="1" x14ac:dyDescent="0.35">
      <c r="A122" s="29" t="s">
        <v>14</v>
      </c>
      <c r="B122" s="29" t="str">
        <f t="shared" si="1"/>
        <v>CHV-06</v>
      </c>
      <c r="C122" s="29" t="s">
        <v>3365</v>
      </c>
      <c r="D122" s="67" t="s">
        <v>3366</v>
      </c>
      <c r="E122" s="96" t="s">
        <v>62</v>
      </c>
      <c r="F122" s="29" t="s">
        <v>61</v>
      </c>
      <c r="G122" s="29"/>
      <c r="H122" s="103">
        <f>_xlfn.XLOOKUP(B122,GM!$Q$5:$Q$756,GM!$J$5:$J$756)</f>
        <v>46104</v>
      </c>
    </row>
    <row r="123" spans="1:8" hidden="1" x14ac:dyDescent="0.35">
      <c r="A123" s="29" t="s">
        <v>14</v>
      </c>
      <c r="B123" s="29" t="str">
        <f t="shared" si="1"/>
        <v>CHV-06</v>
      </c>
      <c r="C123" s="29" t="s">
        <v>3367</v>
      </c>
      <c r="D123" s="67" t="s">
        <v>3368</v>
      </c>
      <c r="E123" s="96" t="s">
        <v>62</v>
      </c>
      <c r="F123" s="29" t="s">
        <v>61</v>
      </c>
      <c r="G123" s="29"/>
      <c r="H123" s="103">
        <f>_xlfn.XLOOKUP(B123,GM!$Q$5:$Q$756,GM!$J$5:$J$756)</f>
        <v>46104</v>
      </c>
    </row>
    <row r="124" spans="1:8" hidden="1" x14ac:dyDescent="0.35">
      <c r="A124" s="29" t="s">
        <v>14</v>
      </c>
      <c r="B124" s="29" t="str">
        <f t="shared" si="1"/>
        <v>CHV-06</v>
      </c>
      <c r="C124" s="29" t="s">
        <v>3369</v>
      </c>
      <c r="D124" s="67" t="s">
        <v>3370</v>
      </c>
      <c r="E124" s="96" t="s">
        <v>62</v>
      </c>
      <c r="F124" s="29" t="s">
        <v>61</v>
      </c>
      <c r="G124" s="29"/>
      <c r="H124" s="103">
        <f>_xlfn.XLOOKUP(B124,GM!$Q$5:$Q$756,GM!$J$5:$J$756)</f>
        <v>46104</v>
      </c>
    </row>
    <row r="125" spans="1:8" hidden="1" x14ac:dyDescent="0.35">
      <c r="A125" s="29" t="s">
        <v>14</v>
      </c>
      <c r="B125" s="29" t="str">
        <f t="shared" si="1"/>
        <v>CHV-06</v>
      </c>
      <c r="C125" s="29" t="s">
        <v>3371</v>
      </c>
      <c r="D125" s="67" t="s">
        <v>3372</v>
      </c>
      <c r="E125" s="96" t="s">
        <v>62</v>
      </c>
      <c r="F125" s="29" t="s">
        <v>61</v>
      </c>
      <c r="G125" s="29"/>
      <c r="H125" s="103">
        <f>_xlfn.XLOOKUP(B125,GM!$Q$5:$Q$756,GM!$J$5:$J$756)</f>
        <v>46104</v>
      </c>
    </row>
    <row r="126" spans="1:8" hidden="1" x14ac:dyDescent="0.35">
      <c r="A126" s="29" t="s">
        <v>14</v>
      </c>
      <c r="B126" s="29" t="str">
        <f t="shared" si="1"/>
        <v>CHV-06</v>
      </c>
      <c r="C126" s="29" t="s">
        <v>3373</v>
      </c>
      <c r="D126" s="67" t="s">
        <v>3374</v>
      </c>
      <c r="E126" s="96" t="s">
        <v>62</v>
      </c>
      <c r="F126" s="29" t="s">
        <v>61</v>
      </c>
      <c r="G126" s="29"/>
      <c r="H126" s="103">
        <f>_xlfn.XLOOKUP(B126,GM!$Q$5:$Q$756,GM!$J$5:$J$756)</f>
        <v>46104</v>
      </c>
    </row>
    <row r="127" spans="1:8" hidden="1" x14ac:dyDescent="0.35">
      <c r="A127" s="29" t="s">
        <v>14</v>
      </c>
      <c r="B127" s="29" t="str">
        <f t="shared" si="1"/>
        <v>CHV-06</v>
      </c>
      <c r="C127" s="29" t="s">
        <v>3375</v>
      </c>
      <c r="D127" s="67" t="s">
        <v>3376</v>
      </c>
      <c r="E127" s="96" t="s">
        <v>62</v>
      </c>
      <c r="F127" s="29" t="s">
        <v>61</v>
      </c>
      <c r="G127" s="29"/>
      <c r="H127" s="103">
        <f>_xlfn.XLOOKUP(B127,GM!$Q$5:$Q$756,GM!$J$5:$J$756)</f>
        <v>46104</v>
      </c>
    </row>
    <row r="128" spans="1:8" hidden="1" x14ac:dyDescent="0.35">
      <c r="A128" s="29" t="s">
        <v>14</v>
      </c>
      <c r="B128" s="29" t="str">
        <f t="shared" si="1"/>
        <v>CHV-06</v>
      </c>
      <c r="C128" s="29" t="s">
        <v>3377</v>
      </c>
      <c r="D128" s="67" t="s">
        <v>3378</v>
      </c>
      <c r="E128" s="96" t="s">
        <v>62</v>
      </c>
      <c r="F128" s="29" t="s">
        <v>61</v>
      </c>
      <c r="G128" s="29"/>
      <c r="H128" s="103">
        <f>_xlfn.XLOOKUP(B128,GM!$Q$5:$Q$756,GM!$J$5:$J$756)</f>
        <v>46104</v>
      </c>
    </row>
    <row r="129" spans="1:8" hidden="1" x14ac:dyDescent="0.35">
      <c r="A129" s="29" t="s">
        <v>14</v>
      </c>
      <c r="B129" s="29" t="str">
        <f t="shared" si="1"/>
        <v>CHV-06</v>
      </c>
      <c r="C129" s="29" t="s">
        <v>3379</v>
      </c>
      <c r="D129" s="67" t="s">
        <v>3380</v>
      </c>
      <c r="E129" s="96" t="s">
        <v>62</v>
      </c>
      <c r="F129" s="29" t="s">
        <v>61</v>
      </c>
      <c r="G129" s="29"/>
      <c r="H129" s="103">
        <f>_xlfn.XLOOKUP(B129,GM!$Q$5:$Q$756,GM!$J$5:$J$756)</f>
        <v>46104</v>
      </c>
    </row>
    <row r="130" spans="1:8" hidden="1" x14ac:dyDescent="0.35">
      <c r="A130" s="29" t="s">
        <v>14</v>
      </c>
      <c r="B130" s="29" t="str">
        <f t="shared" si="1"/>
        <v>CHV-06</v>
      </c>
      <c r="C130" s="29" t="s">
        <v>3381</v>
      </c>
      <c r="D130" s="67" t="s">
        <v>3382</v>
      </c>
      <c r="E130" s="96" t="s">
        <v>62</v>
      </c>
      <c r="F130" s="29" t="s">
        <v>61</v>
      </c>
      <c r="G130" s="29"/>
      <c r="H130" s="103">
        <f>_xlfn.XLOOKUP(B130,GM!$Q$5:$Q$756,GM!$J$5:$J$756)</f>
        <v>46104</v>
      </c>
    </row>
    <row r="131" spans="1:8" hidden="1" x14ac:dyDescent="0.35">
      <c r="A131" s="29" t="s">
        <v>14</v>
      </c>
      <c r="B131" s="29" t="str">
        <f t="shared" si="1"/>
        <v>CHV-06</v>
      </c>
      <c r="C131" s="29" t="s">
        <v>3383</v>
      </c>
      <c r="D131" s="67" t="s">
        <v>3384</v>
      </c>
      <c r="E131" s="96" t="s">
        <v>62</v>
      </c>
      <c r="F131" s="29" t="s">
        <v>61</v>
      </c>
      <c r="G131" s="29"/>
      <c r="H131" s="103">
        <f>_xlfn.XLOOKUP(B131,GM!$Q$5:$Q$756,GM!$J$5:$J$756)</f>
        <v>46104</v>
      </c>
    </row>
    <row r="132" spans="1:8" hidden="1" x14ac:dyDescent="0.35">
      <c r="A132" s="29" t="s">
        <v>14</v>
      </c>
      <c r="B132" s="29" t="str">
        <f t="shared" si="1"/>
        <v>CHV-06</v>
      </c>
      <c r="C132" s="29" t="s">
        <v>3385</v>
      </c>
      <c r="D132" s="67" t="s">
        <v>3386</v>
      </c>
      <c r="E132" s="96" t="s">
        <v>62</v>
      </c>
      <c r="F132" s="29" t="s">
        <v>61</v>
      </c>
      <c r="G132" s="29"/>
      <c r="H132" s="103">
        <f>_xlfn.XLOOKUP(B132,GM!$Q$5:$Q$756,GM!$J$5:$J$756)</f>
        <v>46104</v>
      </c>
    </row>
    <row r="133" spans="1:8" hidden="1" x14ac:dyDescent="0.35">
      <c r="A133" s="29" t="s">
        <v>14</v>
      </c>
      <c r="B133" s="29" t="str">
        <f t="shared" ref="B133:B196" si="2">IF(OR(A133="ARN",A133="SDP"),MID(C133,4,7),MID(C133,4,6))</f>
        <v>CHV-06</v>
      </c>
      <c r="C133" s="29" t="s">
        <v>3387</v>
      </c>
      <c r="D133" s="67" t="s">
        <v>3388</v>
      </c>
      <c r="E133" s="96" t="s">
        <v>62</v>
      </c>
      <c r="F133" s="29" t="s">
        <v>61</v>
      </c>
      <c r="G133" s="29"/>
      <c r="H133" s="103">
        <f>_xlfn.XLOOKUP(B133,GM!$Q$5:$Q$756,GM!$J$5:$J$756)</f>
        <v>46104</v>
      </c>
    </row>
    <row r="134" spans="1:8" hidden="1" x14ac:dyDescent="0.35">
      <c r="A134" s="29" t="s">
        <v>14</v>
      </c>
      <c r="B134" s="29" t="str">
        <f t="shared" si="2"/>
        <v>CHV-06</v>
      </c>
      <c r="C134" s="29" t="s">
        <v>3389</v>
      </c>
      <c r="D134" s="67" t="s">
        <v>3390</v>
      </c>
      <c r="E134" s="96" t="s">
        <v>62</v>
      </c>
      <c r="F134" s="29" t="s">
        <v>61</v>
      </c>
      <c r="G134" s="29"/>
      <c r="H134" s="103">
        <f>_xlfn.XLOOKUP(B134,GM!$Q$5:$Q$756,GM!$J$5:$J$756)</f>
        <v>46104</v>
      </c>
    </row>
    <row r="135" spans="1:8" hidden="1" x14ac:dyDescent="0.35">
      <c r="A135" s="29" t="s">
        <v>14</v>
      </c>
      <c r="B135" s="29" t="str">
        <f t="shared" si="2"/>
        <v>CHV-06</v>
      </c>
      <c r="C135" s="29" t="s">
        <v>3391</v>
      </c>
      <c r="D135" s="67" t="s">
        <v>3392</v>
      </c>
      <c r="E135" s="96" t="s">
        <v>62</v>
      </c>
      <c r="F135" s="29" t="s">
        <v>61</v>
      </c>
      <c r="G135" s="29"/>
      <c r="H135" s="103">
        <f>_xlfn.XLOOKUP(B135,GM!$Q$5:$Q$756,GM!$J$5:$J$756)</f>
        <v>46104</v>
      </c>
    </row>
    <row r="136" spans="1:8" hidden="1" x14ac:dyDescent="0.35">
      <c r="A136" s="29" t="s">
        <v>14</v>
      </c>
      <c r="B136" s="29" t="str">
        <f t="shared" si="2"/>
        <v>CHV-07</v>
      </c>
      <c r="C136" s="29" t="s">
        <v>3393</v>
      </c>
      <c r="D136" s="67" t="s">
        <v>3394</v>
      </c>
      <c r="E136" s="96" t="s">
        <v>62</v>
      </c>
      <c r="F136" s="29" t="s">
        <v>61</v>
      </c>
      <c r="G136" s="29"/>
      <c r="H136" s="103">
        <f>_xlfn.XLOOKUP(B136,GM!$Q$5:$Q$756,GM!$J$5:$J$756)</f>
        <v>45959</v>
      </c>
    </row>
    <row r="137" spans="1:8" hidden="1" x14ac:dyDescent="0.35">
      <c r="A137" s="29" t="s">
        <v>14</v>
      </c>
      <c r="B137" s="29" t="str">
        <f t="shared" si="2"/>
        <v>CHV-07</v>
      </c>
      <c r="C137" s="29" t="s">
        <v>3395</v>
      </c>
      <c r="D137" s="67" t="s">
        <v>3396</v>
      </c>
      <c r="E137" s="96" t="s">
        <v>62</v>
      </c>
      <c r="F137" s="29" t="s">
        <v>61</v>
      </c>
      <c r="G137" s="29"/>
      <c r="H137" s="103">
        <f>_xlfn.XLOOKUP(B137,GM!$Q$5:$Q$756,GM!$J$5:$J$756)</f>
        <v>45959</v>
      </c>
    </row>
    <row r="138" spans="1:8" hidden="1" x14ac:dyDescent="0.35">
      <c r="A138" s="29" t="s">
        <v>14</v>
      </c>
      <c r="B138" s="29" t="str">
        <f t="shared" si="2"/>
        <v>CHV-07</v>
      </c>
      <c r="C138" s="29" t="s">
        <v>3397</v>
      </c>
      <c r="D138" s="67" t="s">
        <v>3398</v>
      </c>
      <c r="E138" s="96" t="s">
        <v>62</v>
      </c>
      <c r="F138" s="29" t="s">
        <v>61</v>
      </c>
      <c r="G138" s="29"/>
      <c r="H138" s="103">
        <f>_xlfn.XLOOKUP(B138,GM!$Q$5:$Q$756,GM!$J$5:$J$756)</f>
        <v>45959</v>
      </c>
    </row>
    <row r="139" spans="1:8" hidden="1" x14ac:dyDescent="0.35">
      <c r="A139" s="29" t="s">
        <v>14</v>
      </c>
      <c r="B139" s="29" t="str">
        <f t="shared" si="2"/>
        <v>CHV-07</v>
      </c>
      <c r="C139" s="29" t="s">
        <v>3399</v>
      </c>
      <c r="D139" s="67" t="s">
        <v>3400</v>
      </c>
      <c r="E139" s="96" t="s">
        <v>62</v>
      </c>
      <c r="F139" s="29" t="s">
        <v>61</v>
      </c>
      <c r="G139" s="29"/>
      <c r="H139" s="103">
        <f>_xlfn.XLOOKUP(B139,GM!$Q$5:$Q$756,GM!$J$5:$J$756)</f>
        <v>45959</v>
      </c>
    </row>
    <row r="140" spans="1:8" hidden="1" x14ac:dyDescent="0.35">
      <c r="A140" s="29" t="s">
        <v>14</v>
      </c>
      <c r="B140" s="29" t="str">
        <f t="shared" si="2"/>
        <v>CHV-07</v>
      </c>
      <c r="C140" s="29" t="s">
        <v>3401</v>
      </c>
      <c r="D140" s="67" t="s">
        <v>3402</v>
      </c>
      <c r="E140" s="96" t="s">
        <v>62</v>
      </c>
      <c r="F140" s="29" t="s">
        <v>61</v>
      </c>
      <c r="G140" s="29"/>
      <c r="H140" s="103">
        <f>_xlfn.XLOOKUP(B140,GM!$Q$5:$Q$756,GM!$J$5:$J$756)</f>
        <v>45959</v>
      </c>
    </row>
    <row r="141" spans="1:8" hidden="1" x14ac:dyDescent="0.35">
      <c r="A141" s="29" t="s">
        <v>14</v>
      </c>
      <c r="B141" s="29" t="str">
        <f t="shared" si="2"/>
        <v>CHV-07</v>
      </c>
      <c r="C141" s="29" t="s">
        <v>3403</v>
      </c>
      <c r="D141" s="67" t="s">
        <v>3404</v>
      </c>
      <c r="E141" s="96" t="s">
        <v>62</v>
      </c>
      <c r="F141" s="29" t="s">
        <v>61</v>
      </c>
      <c r="G141" s="29"/>
      <c r="H141" s="103">
        <f>_xlfn.XLOOKUP(B141,GM!$Q$5:$Q$756,GM!$J$5:$J$756)</f>
        <v>45959</v>
      </c>
    </row>
    <row r="142" spans="1:8" hidden="1" x14ac:dyDescent="0.35">
      <c r="A142" s="29" t="s">
        <v>14</v>
      </c>
      <c r="B142" s="29" t="str">
        <f t="shared" si="2"/>
        <v>CHV-09</v>
      </c>
      <c r="C142" s="29" t="s">
        <v>3405</v>
      </c>
      <c r="D142" s="67" t="s">
        <v>3406</v>
      </c>
      <c r="E142" s="96" t="s">
        <v>62</v>
      </c>
      <c r="F142" s="29" t="s">
        <v>61</v>
      </c>
      <c r="G142" s="29"/>
      <c r="H142" s="103">
        <f>_xlfn.XLOOKUP(B142,GM!$Q$5:$Q$756,GM!$J$5:$J$756)</f>
        <v>45959</v>
      </c>
    </row>
    <row r="143" spans="1:8" hidden="1" x14ac:dyDescent="0.35">
      <c r="A143" s="29" t="s">
        <v>14</v>
      </c>
      <c r="B143" s="29" t="str">
        <f t="shared" si="2"/>
        <v>CHV-09</v>
      </c>
      <c r="C143" s="29" t="s">
        <v>3407</v>
      </c>
      <c r="D143" s="67" t="s">
        <v>3408</v>
      </c>
      <c r="E143" s="96" t="s">
        <v>62</v>
      </c>
      <c r="F143" s="29" t="s">
        <v>61</v>
      </c>
      <c r="G143" s="29"/>
      <c r="H143" s="103">
        <f>_xlfn.XLOOKUP(B143,GM!$Q$5:$Q$756,GM!$J$5:$J$756)</f>
        <v>45959</v>
      </c>
    </row>
    <row r="144" spans="1:8" hidden="1" x14ac:dyDescent="0.35">
      <c r="A144" s="29" t="s">
        <v>14</v>
      </c>
      <c r="B144" s="29" t="str">
        <f t="shared" si="2"/>
        <v>CHV-09</v>
      </c>
      <c r="C144" s="29" t="s">
        <v>3409</v>
      </c>
      <c r="D144" s="67" t="s">
        <v>3410</v>
      </c>
      <c r="E144" s="96" t="s">
        <v>62</v>
      </c>
      <c r="F144" s="29" t="s">
        <v>61</v>
      </c>
      <c r="G144" s="29"/>
      <c r="H144" s="103">
        <f>_xlfn.XLOOKUP(B144,GM!$Q$5:$Q$756,GM!$J$5:$J$756)</f>
        <v>45959</v>
      </c>
    </row>
    <row r="145" spans="1:8" hidden="1" x14ac:dyDescent="0.35">
      <c r="A145" s="29" t="s">
        <v>14</v>
      </c>
      <c r="B145" s="29" t="str">
        <f t="shared" si="2"/>
        <v>CHV-09</v>
      </c>
      <c r="C145" s="29" t="s">
        <v>3411</v>
      </c>
      <c r="D145" s="67" t="s">
        <v>3412</v>
      </c>
      <c r="E145" s="96" t="s">
        <v>62</v>
      </c>
      <c r="F145" s="29" t="s">
        <v>61</v>
      </c>
      <c r="G145" s="29"/>
      <c r="H145" s="103">
        <f>_xlfn.XLOOKUP(B145,GM!$Q$5:$Q$756,GM!$J$5:$J$756)</f>
        <v>45959</v>
      </c>
    </row>
    <row r="146" spans="1:8" hidden="1" x14ac:dyDescent="0.35">
      <c r="A146" s="29" t="s">
        <v>14</v>
      </c>
      <c r="B146" s="29" t="str">
        <f t="shared" si="2"/>
        <v>CHV-09</v>
      </c>
      <c r="C146" s="29" t="s">
        <v>3413</v>
      </c>
      <c r="D146" s="67" t="s">
        <v>3414</v>
      </c>
      <c r="E146" s="96" t="s">
        <v>62</v>
      </c>
      <c r="F146" s="29" t="s">
        <v>61</v>
      </c>
      <c r="G146" s="29"/>
      <c r="H146" s="103">
        <f>_xlfn.XLOOKUP(B146,GM!$Q$5:$Q$756,GM!$J$5:$J$756)</f>
        <v>45959</v>
      </c>
    </row>
    <row r="147" spans="1:8" hidden="1" x14ac:dyDescent="0.35">
      <c r="A147" s="29" t="s">
        <v>14</v>
      </c>
      <c r="B147" s="29" t="str">
        <f t="shared" si="2"/>
        <v>CHV-09</v>
      </c>
      <c r="C147" s="29" t="s">
        <v>3415</v>
      </c>
      <c r="D147" s="67" t="s">
        <v>3416</v>
      </c>
      <c r="E147" s="96" t="s">
        <v>62</v>
      </c>
      <c r="F147" s="29" t="s">
        <v>61</v>
      </c>
      <c r="G147" s="29"/>
      <c r="H147" s="103">
        <f>_xlfn.XLOOKUP(B147,GM!$Q$5:$Q$756,GM!$J$5:$J$756)</f>
        <v>45959</v>
      </c>
    </row>
    <row r="148" spans="1:8" hidden="1" x14ac:dyDescent="0.35">
      <c r="A148" s="29" t="s">
        <v>14</v>
      </c>
      <c r="B148" s="29" t="str">
        <f t="shared" si="2"/>
        <v>CHV-09</v>
      </c>
      <c r="C148" s="29" t="s">
        <v>3417</v>
      </c>
      <c r="D148" s="67" t="s">
        <v>3418</v>
      </c>
      <c r="E148" s="96" t="s">
        <v>62</v>
      </c>
      <c r="F148" s="29" t="s">
        <v>61</v>
      </c>
      <c r="G148" s="29"/>
      <c r="H148" s="103">
        <f>_xlfn.XLOOKUP(B148,GM!$Q$5:$Q$756,GM!$J$5:$J$756)</f>
        <v>45959</v>
      </c>
    </row>
    <row r="149" spans="1:8" hidden="1" x14ac:dyDescent="0.35">
      <c r="A149" s="29" t="s">
        <v>14</v>
      </c>
      <c r="B149" s="29" t="str">
        <f t="shared" si="2"/>
        <v>CHV-09</v>
      </c>
      <c r="C149" s="29" t="s">
        <v>3419</v>
      </c>
      <c r="D149" s="67" t="s">
        <v>3420</v>
      </c>
      <c r="E149" s="96" t="s">
        <v>62</v>
      </c>
      <c r="F149" s="29" t="s">
        <v>61</v>
      </c>
      <c r="G149" s="29"/>
      <c r="H149" s="103">
        <f>_xlfn.XLOOKUP(B149,GM!$Q$5:$Q$756,GM!$J$5:$J$756)</f>
        <v>45959</v>
      </c>
    </row>
    <row r="150" spans="1:8" hidden="1" x14ac:dyDescent="0.35">
      <c r="A150" s="29" t="s">
        <v>14</v>
      </c>
      <c r="B150" s="29" t="str">
        <f t="shared" si="2"/>
        <v>CHV-09</v>
      </c>
      <c r="C150" s="29" t="s">
        <v>3421</v>
      </c>
      <c r="D150" s="67" t="s">
        <v>3422</v>
      </c>
      <c r="E150" s="96" t="s">
        <v>62</v>
      </c>
      <c r="F150" s="29" t="s">
        <v>61</v>
      </c>
      <c r="G150" s="29"/>
      <c r="H150" s="103">
        <f>_xlfn.XLOOKUP(B150,GM!$Q$5:$Q$756,GM!$J$5:$J$756)</f>
        <v>45959</v>
      </c>
    </row>
    <row r="151" spans="1:8" hidden="1" x14ac:dyDescent="0.35">
      <c r="A151" s="29" t="s">
        <v>14</v>
      </c>
      <c r="B151" s="29" t="str">
        <f t="shared" si="2"/>
        <v>CHV-10</v>
      </c>
      <c r="C151" s="29" t="s">
        <v>3423</v>
      </c>
      <c r="D151" s="67" t="s">
        <v>3424</v>
      </c>
      <c r="E151" s="96" t="s">
        <v>62</v>
      </c>
      <c r="F151" s="29" t="s">
        <v>61</v>
      </c>
      <c r="G151" s="29"/>
      <c r="H151" s="103">
        <f>_xlfn.XLOOKUP(B151,GM!$Q$5:$Q$756,GM!$J$5:$J$756)</f>
        <v>45959</v>
      </c>
    </row>
    <row r="152" spans="1:8" hidden="1" x14ac:dyDescent="0.35">
      <c r="A152" s="29" t="s">
        <v>14</v>
      </c>
      <c r="B152" s="29" t="str">
        <f t="shared" si="2"/>
        <v>CHV-10</v>
      </c>
      <c r="C152" s="29" t="s">
        <v>3425</v>
      </c>
      <c r="D152" s="67" t="s">
        <v>3426</v>
      </c>
      <c r="E152" s="96" t="s">
        <v>62</v>
      </c>
      <c r="F152" s="29" t="s">
        <v>61</v>
      </c>
      <c r="G152" s="29"/>
      <c r="H152" s="103">
        <f>_xlfn.XLOOKUP(B152,GM!$Q$5:$Q$756,GM!$J$5:$J$756)</f>
        <v>45959</v>
      </c>
    </row>
    <row r="153" spans="1:8" hidden="1" x14ac:dyDescent="0.35">
      <c r="A153" s="29" t="s">
        <v>14</v>
      </c>
      <c r="B153" s="29" t="str">
        <f t="shared" si="2"/>
        <v>CHV-10</v>
      </c>
      <c r="C153" s="29" t="s">
        <v>3427</v>
      </c>
      <c r="D153" s="67" t="s">
        <v>3428</v>
      </c>
      <c r="E153" s="96" t="s">
        <v>62</v>
      </c>
      <c r="F153" s="29" t="s">
        <v>61</v>
      </c>
      <c r="G153" s="29"/>
      <c r="H153" s="103">
        <f>_xlfn.XLOOKUP(B153,GM!$Q$5:$Q$756,GM!$J$5:$J$756)</f>
        <v>45959</v>
      </c>
    </row>
    <row r="154" spans="1:8" hidden="1" x14ac:dyDescent="0.35">
      <c r="A154" s="29" t="s">
        <v>14</v>
      </c>
      <c r="B154" s="29" t="str">
        <f t="shared" si="2"/>
        <v>CHV-10</v>
      </c>
      <c r="C154" s="29" t="s">
        <v>3429</v>
      </c>
      <c r="D154" s="67" t="s">
        <v>3430</v>
      </c>
      <c r="E154" s="96" t="s">
        <v>62</v>
      </c>
      <c r="F154" s="29" t="s">
        <v>61</v>
      </c>
      <c r="G154" s="29"/>
      <c r="H154" s="103">
        <f>_xlfn.XLOOKUP(B154,GM!$Q$5:$Q$756,GM!$J$5:$J$756)</f>
        <v>45959</v>
      </c>
    </row>
    <row r="155" spans="1:8" hidden="1" x14ac:dyDescent="0.35">
      <c r="A155" s="29" t="s">
        <v>14</v>
      </c>
      <c r="B155" s="29" t="str">
        <f t="shared" si="2"/>
        <v>CHV-10</v>
      </c>
      <c r="C155" s="29" t="s">
        <v>3431</v>
      </c>
      <c r="D155" s="67" t="s">
        <v>3432</v>
      </c>
      <c r="E155" s="96" t="s">
        <v>62</v>
      </c>
      <c r="F155" s="29" t="s">
        <v>61</v>
      </c>
      <c r="G155" s="29"/>
      <c r="H155" s="103">
        <f>_xlfn.XLOOKUP(B155,GM!$Q$5:$Q$756,GM!$J$5:$J$756)</f>
        <v>45959</v>
      </c>
    </row>
    <row r="156" spans="1:8" hidden="1" x14ac:dyDescent="0.35">
      <c r="A156" s="29" t="s">
        <v>14</v>
      </c>
      <c r="B156" s="29" t="str">
        <f t="shared" si="2"/>
        <v>CHV-10</v>
      </c>
      <c r="C156" s="29" t="s">
        <v>3433</v>
      </c>
      <c r="D156" s="67" t="s">
        <v>3434</v>
      </c>
      <c r="E156" s="96" t="s">
        <v>62</v>
      </c>
      <c r="F156" s="29" t="s">
        <v>61</v>
      </c>
      <c r="G156" s="29"/>
      <c r="H156" s="103">
        <f>_xlfn.XLOOKUP(B156,GM!$Q$5:$Q$756,GM!$J$5:$J$756)</f>
        <v>45959</v>
      </c>
    </row>
    <row r="157" spans="1:8" hidden="1" x14ac:dyDescent="0.35">
      <c r="A157" s="29" t="s">
        <v>14</v>
      </c>
      <c r="B157" s="29" t="str">
        <f t="shared" si="2"/>
        <v>CHV-10</v>
      </c>
      <c r="C157" s="29" t="s">
        <v>3435</v>
      </c>
      <c r="D157" s="67" t="s">
        <v>3436</v>
      </c>
      <c r="E157" s="96" t="s">
        <v>62</v>
      </c>
      <c r="F157" s="29" t="s">
        <v>61</v>
      </c>
      <c r="G157" s="29"/>
      <c r="H157" s="103">
        <f>_xlfn.XLOOKUP(B157,GM!$Q$5:$Q$756,GM!$J$5:$J$756)</f>
        <v>45959</v>
      </c>
    </row>
    <row r="158" spans="1:8" hidden="1" x14ac:dyDescent="0.35">
      <c r="A158" s="29" t="s">
        <v>14</v>
      </c>
      <c r="B158" s="29" t="str">
        <f t="shared" si="2"/>
        <v>CHV-10</v>
      </c>
      <c r="C158" s="29" t="s">
        <v>3437</v>
      </c>
      <c r="D158" s="67" t="s">
        <v>3438</v>
      </c>
      <c r="E158" s="96" t="s">
        <v>62</v>
      </c>
      <c r="F158" s="29" t="s">
        <v>61</v>
      </c>
      <c r="G158" s="29"/>
      <c r="H158" s="103">
        <f>_xlfn.XLOOKUP(B158,GM!$Q$5:$Q$756,GM!$J$5:$J$756)</f>
        <v>45959</v>
      </c>
    </row>
    <row r="159" spans="1:8" hidden="1" x14ac:dyDescent="0.35">
      <c r="A159" s="29" t="s">
        <v>14</v>
      </c>
      <c r="B159" s="29" t="str">
        <f t="shared" si="2"/>
        <v>CHV-11</v>
      </c>
      <c r="C159" s="29" t="s">
        <v>3439</v>
      </c>
      <c r="D159" s="67" t="s">
        <v>3440</v>
      </c>
      <c r="E159" s="96" t="s">
        <v>62</v>
      </c>
      <c r="F159" s="29" t="s">
        <v>61</v>
      </c>
      <c r="G159" s="29"/>
      <c r="H159" s="103">
        <f>_xlfn.XLOOKUP(B159,GM!$Q$5:$Q$756,GM!$J$5:$J$756)</f>
        <v>46104</v>
      </c>
    </row>
    <row r="160" spans="1:8" hidden="1" x14ac:dyDescent="0.35">
      <c r="A160" s="29" t="s">
        <v>14</v>
      </c>
      <c r="B160" s="29" t="str">
        <f t="shared" si="2"/>
        <v>CHV-11</v>
      </c>
      <c r="C160" s="29" t="s">
        <v>3441</v>
      </c>
      <c r="D160" s="67" t="s">
        <v>3442</v>
      </c>
      <c r="E160" s="96" t="s">
        <v>62</v>
      </c>
      <c r="F160" s="29" t="s">
        <v>61</v>
      </c>
      <c r="G160" s="29"/>
      <c r="H160" s="103">
        <f>_xlfn.XLOOKUP(B160,GM!$Q$5:$Q$756,GM!$J$5:$J$756)</f>
        <v>46104</v>
      </c>
    </row>
    <row r="161" spans="1:8" hidden="1" x14ac:dyDescent="0.35">
      <c r="A161" s="29" t="s">
        <v>14</v>
      </c>
      <c r="B161" s="29" t="str">
        <f t="shared" si="2"/>
        <v>CHV-11</v>
      </c>
      <c r="C161" s="29" t="s">
        <v>3443</v>
      </c>
      <c r="D161" s="67" t="s">
        <v>3444</v>
      </c>
      <c r="E161" s="96" t="s">
        <v>62</v>
      </c>
      <c r="F161" s="29" t="s">
        <v>61</v>
      </c>
      <c r="G161" s="29"/>
      <c r="H161" s="103">
        <f>_xlfn.XLOOKUP(B161,GM!$Q$5:$Q$756,GM!$J$5:$J$756)</f>
        <v>46104</v>
      </c>
    </row>
    <row r="162" spans="1:8" hidden="1" x14ac:dyDescent="0.35">
      <c r="A162" s="29" t="s">
        <v>14</v>
      </c>
      <c r="B162" s="29" t="str">
        <f t="shared" si="2"/>
        <v>CHV-11</v>
      </c>
      <c r="C162" s="29" t="s">
        <v>3445</v>
      </c>
      <c r="D162" s="67" t="s">
        <v>3446</v>
      </c>
      <c r="E162" s="96" t="s">
        <v>62</v>
      </c>
      <c r="F162" s="29" t="s">
        <v>61</v>
      </c>
      <c r="G162" s="29"/>
      <c r="H162" s="103">
        <f>_xlfn.XLOOKUP(B162,GM!$Q$5:$Q$756,GM!$J$5:$J$756)</f>
        <v>46104</v>
      </c>
    </row>
    <row r="163" spans="1:8" hidden="1" x14ac:dyDescent="0.35">
      <c r="A163" s="29" t="s">
        <v>14</v>
      </c>
      <c r="B163" s="29" t="str">
        <f t="shared" si="2"/>
        <v>CHV-12</v>
      </c>
      <c r="C163" s="29" t="s">
        <v>3447</v>
      </c>
      <c r="D163" s="67" t="s">
        <v>3448</v>
      </c>
      <c r="E163" s="96" t="s">
        <v>62</v>
      </c>
      <c r="F163" s="29" t="s">
        <v>61</v>
      </c>
      <c r="G163" s="29"/>
      <c r="H163" s="103">
        <f>_xlfn.XLOOKUP(B163,GM!$Q$5:$Q$756,GM!$J$5:$J$756)</f>
        <v>46104</v>
      </c>
    </row>
    <row r="164" spans="1:8" hidden="1" x14ac:dyDescent="0.35">
      <c r="A164" s="29" t="s">
        <v>14</v>
      </c>
      <c r="B164" s="29" t="str">
        <f t="shared" si="2"/>
        <v>CHV-13</v>
      </c>
      <c r="C164" s="29" t="s">
        <v>3449</v>
      </c>
      <c r="D164" s="67" t="s">
        <v>3450</v>
      </c>
      <c r="E164" s="96" t="s">
        <v>62</v>
      </c>
      <c r="F164" s="29" t="s">
        <v>61</v>
      </c>
      <c r="G164" s="29"/>
      <c r="H164" s="103">
        <f>_xlfn.XLOOKUP(B164,GM!$Q$5:$Q$756,GM!$J$5:$J$756)</f>
        <v>45202</v>
      </c>
    </row>
    <row r="165" spans="1:8" hidden="1" x14ac:dyDescent="0.35">
      <c r="A165" s="29" t="s">
        <v>14</v>
      </c>
      <c r="B165" s="29" t="str">
        <f t="shared" si="2"/>
        <v>CHV-13</v>
      </c>
      <c r="C165" s="29" t="s">
        <v>3451</v>
      </c>
      <c r="D165" s="67" t="s">
        <v>3452</v>
      </c>
      <c r="E165" s="96" t="s">
        <v>62</v>
      </c>
      <c r="F165" s="29" t="s">
        <v>61</v>
      </c>
      <c r="G165" s="29"/>
      <c r="H165" s="103">
        <f>_xlfn.XLOOKUP(B165,GM!$Q$5:$Q$756,GM!$J$5:$J$756)</f>
        <v>45202</v>
      </c>
    </row>
    <row r="166" spans="1:8" hidden="1" x14ac:dyDescent="0.35">
      <c r="A166" s="29" t="s">
        <v>14</v>
      </c>
      <c r="B166" s="29" t="str">
        <f t="shared" si="2"/>
        <v>CHV-13</v>
      </c>
      <c r="C166" s="29" t="s">
        <v>3453</v>
      </c>
      <c r="D166" s="67" t="s">
        <v>3454</v>
      </c>
      <c r="E166" s="96" t="s">
        <v>62</v>
      </c>
      <c r="F166" s="29" t="s">
        <v>61</v>
      </c>
      <c r="G166" s="29"/>
      <c r="H166" s="103">
        <f>_xlfn.XLOOKUP(B166,GM!$Q$5:$Q$756,GM!$J$5:$J$756)</f>
        <v>45202</v>
      </c>
    </row>
    <row r="167" spans="1:8" hidden="1" x14ac:dyDescent="0.35">
      <c r="A167" s="29" t="s">
        <v>14</v>
      </c>
      <c r="B167" s="29" t="str">
        <f t="shared" si="2"/>
        <v>CHV-13</v>
      </c>
      <c r="C167" s="29" t="s">
        <v>3455</v>
      </c>
      <c r="D167" s="67" t="s">
        <v>3456</v>
      </c>
      <c r="E167" s="96" t="s">
        <v>62</v>
      </c>
      <c r="F167" s="29" t="s">
        <v>61</v>
      </c>
      <c r="G167" s="29"/>
      <c r="H167" s="103">
        <f>_xlfn.XLOOKUP(B167,GM!$Q$5:$Q$756,GM!$J$5:$J$756)</f>
        <v>45202</v>
      </c>
    </row>
    <row r="168" spans="1:8" hidden="1" x14ac:dyDescent="0.35">
      <c r="A168" s="29" t="s">
        <v>14</v>
      </c>
      <c r="B168" s="29" t="str">
        <f t="shared" si="2"/>
        <v>CHV-13</v>
      </c>
      <c r="C168" s="29" t="s">
        <v>3457</v>
      </c>
      <c r="D168" s="67" t="s">
        <v>3458</v>
      </c>
      <c r="E168" s="96" t="s">
        <v>62</v>
      </c>
      <c r="F168" s="29" t="s">
        <v>61</v>
      </c>
      <c r="G168" s="29"/>
      <c r="H168" s="103">
        <f>_xlfn.XLOOKUP(B168,GM!$Q$5:$Q$756,GM!$J$5:$J$756)</f>
        <v>45202</v>
      </c>
    </row>
    <row r="169" spans="1:8" hidden="1" x14ac:dyDescent="0.35">
      <c r="A169" s="29" t="s">
        <v>14</v>
      </c>
      <c r="B169" s="29" t="str">
        <f t="shared" si="2"/>
        <v>CHV-13</v>
      </c>
      <c r="C169" s="29" t="s">
        <v>3459</v>
      </c>
      <c r="D169" s="67" t="s">
        <v>3460</v>
      </c>
      <c r="E169" s="96" t="s">
        <v>62</v>
      </c>
      <c r="F169" s="29" t="s">
        <v>61</v>
      </c>
      <c r="G169" s="29"/>
      <c r="H169" s="103">
        <f>_xlfn.XLOOKUP(B169,GM!$Q$5:$Q$756,GM!$J$5:$J$756)</f>
        <v>45202</v>
      </c>
    </row>
    <row r="170" spans="1:8" hidden="1" x14ac:dyDescent="0.35">
      <c r="A170" s="29" t="s">
        <v>14</v>
      </c>
      <c r="B170" s="29" t="str">
        <f t="shared" si="2"/>
        <v>CHV-14</v>
      </c>
      <c r="C170" s="29" t="s">
        <v>3461</v>
      </c>
      <c r="D170" s="67" t="s">
        <v>3462</v>
      </c>
      <c r="E170" s="96" t="s">
        <v>62</v>
      </c>
      <c r="F170" s="29" t="s">
        <v>61</v>
      </c>
      <c r="G170" s="29"/>
      <c r="H170" s="103">
        <f>_xlfn.XLOOKUP(B170,GM!$Q$5:$Q$756,GM!$J$5:$J$756)</f>
        <v>45202</v>
      </c>
    </row>
    <row r="171" spans="1:8" hidden="1" x14ac:dyDescent="0.35">
      <c r="A171" s="29" t="s">
        <v>14</v>
      </c>
      <c r="B171" s="29" t="str">
        <f t="shared" si="2"/>
        <v>CHV-15</v>
      </c>
      <c r="C171" s="29" t="s">
        <v>3463</v>
      </c>
      <c r="D171" s="67" t="s">
        <v>3464</v>
      </c>
      <c r="E171" s="96" t="s">
        <v>62</v>
      </c>
      <c r="F171" s="29" t="s">
        <v>61</v>
      </c>
      <c r="G171" s="29"/>
      <c r="H171" s="103">
        <f>_xlfn.XLOOKUP(B171,GM!$Q$5:$Q$756,GM!$J$5:$J$756)</f>
        <v>46104</v>
      </c>
    </row>
    <row r="172" spans="1:8" hidden="1" x14ac:dyDescent="0.35">
      <c r="A172" s="29" t="s">
        <v>14</v>
      </c>
      <c r="B172" s="29" t="str">
        <f t="shared" si="2"/>
        <v>CHV-15</v>
      </c>
      <c r="C172" s="29" t="s">
        <v>3465</v>
      </c>
      <c r="D172" s="67" t="s">
        <v>3466</v>
      </c>
      <c r="E172" s="96" t="s">
        <v>62</v>
      </c>
      <c r="F172" s="29" t="s">
        <v>61</v>
      </c>
      <c r="G172" s="29"/>
      <c r="H172" s="103">
        <f>_xlfn.XLOOKUP(B172,GM!$Q$5:$Q$756,GM!$J$5:$J$756)</f>
        <v>46104</v>
      </c>
    </row>
    <row r="173" spans="1:8" hidden="1" x14ac:dyDescent="0.35">
      <c r="A173" s="29" t="s">
        <v>14</v>
      </c>
      <c r="B173" s="29" t="str">
        <f t="shared" si="2"/>
        <v>CHV-15</v>
      </c>
      <c r="C173" s="29" t="s">
        <v>3467</v>
      </c>
      <c r="D173" s="67" t="s">
        <v>3468</v>
      </c>
      <c r="E173" s="96" t="s">
        <v>62</v>
      </c>
      <c r="F173" s="29" t="s">
        <v>61</v>
      </c>
      <c r="G173" s="29"/>
      <c r="H173" s="103">
        <f>_xlfn.XLOOKUP(B173,GM!$Q$5:$Q$756,GM!$J$5:$J$756)</f>
        <v>46104</v>
      </c>
    </row>
    <row r="174" spans="1:8" hidden="1" x14ac:dyDescent="0.35">
      <c r="A174" s="29" t="s">
        <v>14</v>
      </c>
      <c r="B174" s="29" t="str">
        <f t="shared" si="2"/>
        <v>CHV-15</v>
      </c>
      <c r="C174" s="29" t="s">
        <v>3469</v>
      </c>
      <c r="D174" s="67" t="s">
        <v>3470</v>
      </c>
      <c r="E174" s="96" t="s">
        <v>62</v>
      </c>
      <c r="F174" s="29" t="s">
        <v>61</v>
      </c>
      <c r="G174" s="29"/>
      <c r="H174" s="103">
        <f>_xlfn.XLOOKUP(B174,GM!$Q$5:$Q$756,GM!$J$5:$J$756)</f>
        <v>46104</v>
      </c>
    </row>
    <row r="175" spans="1:8" hidden="1" x14ac:dyDescent="0.35">
      <c r="A175" s="29" t="s">
        <v>14</v>
      </c>
      <c r="B175" s="29" t="str">
        <f t="shared" si="2"/>
        <v>CHV-15</v>
      </c>
      <c r="C175" s="29" t="s">
        <v>3471</v>
      </c>
      <c r="D175" s="67" t="s">
        <v>3472</v>
      </c>
      <c r="E175" s="96" t="s">
        <v>62</v>
      </c>
      <c r="F175" s="29" t="s">
        <v>61</v>
      </c>
      <c r="G175" s="29"/>
      <c r="H175" s="103">
        <f>_xlfn.XLOOKUP(B175,GM!$Q$5:$Q$756,GM!$J$5:$J$756)</f>
        <v>46104</v>
      </c>
    </row>
    <row r="176" spans="1:8" hidden="1" x14ac:dyDescent="0.35">
      <c r="A176" s="29" t="s">
        <v>14</v>
      </c>
      <c r="B176" s="29" t="str">
        <f t="shared" si="2"/>
        <v>CHV-15</v>
      </c>
      <c r="C176" s="29" t="s">
        <v>3473</v>
      </c>
      <c r="D176" s="67" t="s">
        <v>3474</v>
      </c>
      <c r="E176" s="96" t="s">
        <v>62</v>
      </c>
      <c r="F176" s="29" t="s">
        <v>61</v>
      </c>
      <c r="G176" s="29"/>
      <c r="H176" s="103">
        <f>_xlfn.XLOOKUP(B176,GM!$Q$5:$Q$756,GM!$J$5:$J$756)</f>
        <v>46104</v>
      </c>
    </row>
    <row r="177" spans="1:8" hidden="1" x14ac:dyDescent="0.35">
      <c r="A177" s="29" t="s">
        <v>14</v>
      </c>
      <c r="B177" s="29" t="str">
        <f t="shared" si="2"/>
        <v>CHV-15</v>
      </c>
      <c r="C177" s="29" t="s">
        <v>3475</v>
      </c>
      <c r="D177" s="67" t="s">
        <v>3476</v>
      </c>
      <c r="E177" s="96" t="s">
        <v>62</v>
      </c>
      <c r="F177" s="29" t="s">
        <v>61</v>
      </c>
      <c r="G177" s="29"/>
      <c r="H177" s="103">
        <f>_xlfn.XLOOKUP(B177,GM!$Q$5:$Q$756,GM!$J$5:$J$756)</f>
        <v>46104</v>
      </c>
    </row>
    <row r="178" spans="1:8" hidden="1" x14ac:dyDescent="0.35">
      <c r="A178" s="29" t="s">
        <v>14</v>
      </c>
      <c r="B178" s="29" t="str">
        <f t="shared" si="2"/>
        <v>CHV-15</v>
      </c>
      <c r="C178" s="29" t="s">
        <v>3477</v>
      </c>
      <c r="D178" s="67" t="s">
        <v>3478</v>
      </c>
      <c r="E178" s="96" t="s">
        <v>62</v>
      </c>
      <c r="F178" s="29" t="s">
        <v>61</v>
      </c>
      <c r="G178" s="29"/>
      <c r="H178" s="103">
        <f>_xlfn.XLOOKUP(B178,GM!$Q$5:$Q$756,GM!$J$5:$J$756)</f>
        <v>46104</v>
      </c>
    </row>
    <row r="179" spans="1:8" hidden="1" x14ac:dyDescent="0.35">
      <c r="A179" s="29" t="s">
        <v>14</v>
      </c>
      <c r="B179" s="29" t="str">
        <f t="shared" si="2"/>
        <v>CHV-15</v>
      </c>
      <c r="C179" s="29" t="s">
        <v>3479</v>
      </c>
      <c r="D179" s="67" t="s">
        <v>3480</v>
      </c>
      <c r="E179" s="96" t="s">
        <v>62</v>
      </c>
      <c r="F179" s="29" t="s">
        <v>61</v>
      </c>
      <c r="G179" s="29"/>
      <c r="H179" s="103">
        <f>_xlfn.XLOOKUP(B179,GM!$Q$5:$Q$756,GM!$J$5:$J$756)</f>
        <v>46104</v>
      </c>
    </row>
    <row r="180" spans="1:8" hidden="1" x14ac:dyDescent="0.35">
      <c r="A180" s="29" t="s">
        <v>14</v>
      </c>
      <c r="B180" s="29" t="str">
        <f t="shared" si="2"/>
        <v>CHV-15</v>
      </c>
      <c r="C180" s="29" t="s">
        <v>3481</v>
      </c>
      <c r="D180" s="67" t="s">
        <v>3482</v>
      </c>
      <c r="E180" s="96" t="s">
        <v>62</v>
      </c>
      <c r="F180" s="29" t="s">
        <v>61</v>
      </c>
      <c r="G180" s="29"/>
      <c r="H180" s="103">
        <f>_xlfn.XLOOKUP(B180,GM!$Q$5:$Q$756,GM!$J$5:$J$756)</f>
        <v>46104</v>
      </c>
    </row>
    <row r="181" spans="1:8" hidden="1" x14ac:dyDescent="0.35">
      <c r="A181" s="29" t="s">
        <v>14</v>
      </c>
      <c r="B181" s="29" t="str">
        <f t="shared" si="2"/>
        <v>CHV-15</v>
      </c>
      <c r="C181" s="29" t="s">
        <v>3483</v>
      </c>
      <c r="D181" s="67" t="s">
        <v>3484</v>
      </c>
      <c r="E181" s="96" t="s">
        <v>62</v>
      </c>
      <c r="F181" s="29" t="s">
        <v>61</v>
      </c>
      <c r="G181" s="29"/>
      <c r="H181" s="103">
        <f>_xlfn.XLOOKUP(B181,GM!$Q$5:$Q$756,GM!$J$5:$J$756)</f>
        <v>46104</v>
      </c>
    </row>
    <row r="182" spans="1:8" hidden="1" x14ac:dyDescent="0.35">
      <c r="A182" s="29" t="s">
        <v>14</v>
      </c>
      <c r="B182" s="29" t="str">
        <f t="shared" si="2"/>
        <v>CHV-15</v>
      </c>
      <c r="C182" s="29" t="s">
        <v>3485</v>
      </c>
      <c r="D182" s="67" t="s">
        <v>3486</v>
      </c>
      <c r="E182" s="96" t="s">
        <v>62</v>
      </c>
      <c r="F182" s="29" t="s">
        <v>61</v>
      </c>
      <c r="G182" s="29"/>
      <c r="H182" s="103">
        <f>_xlfn.XLOOKUP(B182,GM!$Q$5:$Q$756,GM!$J$5:$J$756)</f>
        <v>46104</v>
      </c>
    </row>
    <row r="183" spans="1:8" hidden="1" x14ac:dyDescent="0.35">
      <c r="A183" s="29" t="s">
        <v>14</v>
      </c>
      <c r="B183" s="29" t="str">
        <f t="shared" si="2"/>
        <v>CHV-15</v>
      </c>
      <c r="C183" s="29" t="s">
        <v>3487</v>
      </c>
      <c r="D183" s="67" t="s">
        <v>3488</v>
      </c>
      <c r="E183" s="96" t="s">
        <v>62</v>
      </c>
      <c r="F183" s="29" t="s">
        <v>61</v>
      </c>
      <c r="G183" s="29"/>
      <c r="H183" s="103">
        <f>_xlfn.XLOOKUP(B183,GM!$Q$5:$Q$756,GM!$J$5:$J$756)</f>
        <v>46104</v>
      </c>
    </row>
    <row r="184" spans="1:8" hidden="1" x14ac:dyDescent="0.35">
      <c r="A184" s="29" t="s">
        <v>14</v>
      </c>
      <c r="B184" s="29" t="str">
        <f t="shared" si="2"/>
        <v>CHV-15</v>
      </c>
      <c r="C184" s="29" t="s">
        <v>3489</v>
      </c>
      <c r="D184" s="67" t="s">
        <v>3490</v>
      </c>
      <c r="E184" s="96" t="s">
        <v>62</v>
      </c>
      <c r="F184" s="29" t="s">
        <v>61</v>
      </c>
      <c r="G184" s="29"/>
      <c r="H184" s="103">
        <f>_xlfn.XLOOKUP(B184,GM!$Q$5:$Q$756,GM!$J$5:$J$756)</f>
        <v>46104</v>
      </c>
    </row>
    <row r="185" spans="1:8" hidden="1" x14ac:dyDescent="0.35">
      <c r="A185" s="29" t="s">
        <v>14</v>
      </c>
      <c r="B185" s="29" t="str">
        <f t="shared" si="2"/>
        <v>CHV-15</v>
      </c>
      <c r="C185" s="29" t="s">
        <v>3491</v>
      </c>
      <c r="D185" s="67" t="s">
        <v>3492</v>
      </c>
      <c r="E185" s="96" t="s">
        <v>62</v>
      </c>
      <c r="F185" s="29" t="s">
        <v>61</v>
      </c>
      <c r="G185" s="29"/>
      <c r="H185" s="103">
        <f>_xlfn.XLOOKUP(B185,GM!$Q$5:$Q$756,GM!$J$5:$J$756)</f>
        <v>46104</v>
      </c>
    </row>
    <row r="186" spans="1:8" hidden="1" x14ac:dyDescent="0.35">
      <c r="A186" s="29" t="s">
        <v>14</v>
      </c>
      <c r="B186" s="29" t="str">
        <f t="shared" si="2"/>
        <v>CHV-15</v>
      </c>
      <c r="C186" s="29" t="s">
        <v>3493</v>
      </c>
      <c r="D186" s="67" t="s">
        <v>3494</v>
      </c>
      <c r="E186" s="96" t="s">
        <v>62</v>
      </c>
      <c r="F186" s="29" t="s">
        <v>61</v>
      </c>
      <c r="G186" s="29"/>
      <c r="H186" s="103">
        <f>_xlfn.XLOOKUP(B186,GM!$Q$5:$Q$756,GM!$J$5:$J$756)</f>
        <v>46104</v>
      </c>
    </row>
    <row r="187" spans="1:8" hidden="1" x14ac:dyDescent="0.35">
      <c r="A187" s="29" t="s">
        <v>14</v>
      </c>
      <c r="B187" s="29" t="str">
        <f t="shared" si="2"/>
        <v>CHV-15</v>
      </c>
      <c r="C187" s="29" t="s">
        <v>3495</v>
      </c>
      <c r="D187" s="67" t="s">
        <v>3496</v>
      </c>
      <c r="E187" s="96" t="s">
        <v>62</v>
      </c>
      <c r="F187" s="29" t="s">
        <v>61</v>
      </c>
      <c r="G187" s="29"/>
      <c r="H187" s="103">
        <f>_xlfn.XLOOKUP(B187,GM!$Q$5:$Q$756,GM!$J$5:$J$756)</f>
        <v>46104</v>
      </c>
    </row>
    <row r="188" spans="1:8" hidden="1" x14ac:dyDescent="0.35">
      <c r="A188" s="29" t="s">
        <v>14</v>
      </c>
      <c r="B188" s="29" t="str">
        <f t="shared" si="2"/>
        <v>CHV-15</v>
      </c>
      <c r="C188" s="29" t="s">
        <v>3497</v>
      </c>
      <c r="D188" s="67" t="s">
        <v>3498</v>
      </c>
      <c r="E188" s="96" t="s">
        <v>62</v>
      </c>
      <c r="F188" s="29" t="s">
        <v>61</v>
      </c>
      <c r="G188" s="29"/>
      <c r="H188" s="103">
        <f>_xlfn.XLOOKUP(B188,GM!$Q$5:$Q$756,GM!$J$5:$J$756)</f>
        <v>46104</v>
      </c>
    </row>
    <row r="189" spans="1:8" hidden="1" x14ac:dyDescent="0.35">
      <c r="A189" s="29" t="s">
        <v>14</v>
      </c>
      <c r="B189" s="29" t="str">
        <f t="shared" si="2"/>
        <v>CHV-15</v>
      </c>
      <c r="C189" s="29" t="s">
        <v>3499</v>
      </c>
      <c r="D189" s="67" t="s">
        <v>3500</v>
      </c>
      <c r="E189" s="96" t="s">
        <v>62</v>
      </c>
      <c r="F189" s="29" t="s">
        <v>61</v>
      </c>
      <c r="G189" s="29"/>
      <c r="H189" s="103">
        <f>_xlfn.XLOOKUP(B189,GM!$Q$5:$Q$756,GM!$J$5:$J$756)</f>
        <v>46104</v>
      </c>
    </row>
    <row r="190" spans="1:8" hidden="1" x14ac:dyDescent="0.35">
      <c r="A190" s="29" t="s">
        <v>14</v>
      </c>
      <c r="B190" s="29" t="str">
        <f t="shared" si="2"/>
        <v>CHV-15</v>
      </c>
      <c r="C190" s="29" t="s">
        <v>3501</v>
      </c>
      <c r="D190" s="67" t="s">
        <v>3502</v>
      </c>
      <c r="E190" s="96" t="s">
        <v>62</v>
      </c>
      <c r="F190" s="29" t="s">
        <v>61</v>
      </c>
      <c r="G190" s="29"/>
      <c r="H190" s="103">
        <f>_xlfn.XLOOKUP(B190,GM!$Q$5:$Q$756,GM!$J$5:$J$756)</f>
        <v>46104</v>
      </c>
    </row>
    <row r="191" spans="1:8" hidden="1" x14ac:dyDescent="0.35">
      <c r="A191" s="29" t="s">
        <v>14</v>
      </c>
      <c r="B191" s="29" t="str">
        <f t="shared" si="2"/>
        <v>CHV-15</v>
      </c>
      <c r="C191" s="29" t="s">
        <v>3503</v>
      </c>
      <c r="D191" s="67" t="s">
        <v>3504</v>
      </c>
      <c r="E191" s="96" t="s">
        <v>62</v>
      </c>
      <c r="F191" s="29" t="s">
        <v>61</v>
      </c>
      <c r="G191" s="29"/>
      <c r="H191" s="103">
        <f>_xlfn.XLOOKUP(B191,GM!$Q$5:$Q$756,GM!$J$5:$J$756)</f>
        <v>46104</v>
      </c>
    </row>
    <row r="192" spans="1:8" hidden="1" x14ac:dyDescent="0.35">
      <c r="A192" s="29" t="s">
        <v>14</v>
      </c>
      <c r="B192" s="29" t="str">
        <f t="shared" si="2"/>
        <v>CHV-15</v>
      </c>
      <c r="C192" s="29" t="s">
        <v>3505</v>
      </c>
      <c r="D192" s="67" t="s">
        <v>3506</v>
      </c>
      <c r="E192" s="96" t="s">
        <v>62</v>
      </c>
      <c r="F192" s="29" t="s">
        <v>61</v>
      </c>
      <c r="G192" s="29"/>
      <c r="H192" s="103">
        <f>_xlfn.XLOOKUP(B192,GM!$Q$5:$Q$756,GM!$J$5:$J$756)</f>
        <v>46104</v>
      </c>
    </row>
    <row r="193" spans="1:8" hidden="1" x14ac:dyDescent="0.35">
      <c r="A193" s="29" t="s">
        <v>14</v>
      </c>
      <c r="B193" s="29" t="str">
        <f t="shared" si="2"/>
        <v>CHV-15</v>
      </c>
      <c r="C193" s="29" t="s">
        <v>3507</v>
      </c>
      <c r="D193" s="67" t="s">
        <v>3508</v>
      </c>
      <c r="E193" s="96" t="s">
        <v>62</v>
      </c>
      <c r="F193" s="29" t="s">
        <v>61</v>
      </c>
      <c r="G193" s="29"/>
      <c r="H193" s="103">
        <f>_xlfn.XLOOKUP(B193,GM!$Q$5:$Q$756,GM!$J$5:$J$756)</f>
        <v>46104</v>
      </c>
    </row>
    <row r="194" spans="1:8" hidden="1" x14ac:dyDescent="0.35">
      <c r="A194" s="29" t="s">
        <v>14</v>
      </c>
      <c r="B194" s="29" t="str">
        <f t="shared" si="2"/>
        <v>CHV-15</v>
      </c>
      <c r="C194" s="29" t="s">
        <v>3509</v>
      </c>
      <c r="D194" s="67" t="s">
        <v>3510</v>
      </c>
      <c r="E194" s="96" t="s">
        <v>62</v>
      </c>
      <c r="F194" s="29" t="s">
        <v>61</v>
      </c>
      <c r="G194" s="29"/>
      <c r="H194" s="103">
        <f>_xlfn.XLOOKUP(B194,GM!$Q$5:$Q$756,GM!$J$5:$J$756)</f>
        <v>46104</v>
      </c>
    </row>
    <row r="195" spans="1:8" hidden="1" x14ac:dyDescent="0.35">
      <c r="A195" s="29" t="s">
        <v>14</v>
      </c>
      <c r="B195" s="29" t="str">
        <f t="shared" si="2"/>
        <v>CHV-15</v>
      </c>
      <c r="C195" s="29" t="s">
        <v>3511</v>
      </c>
      <c r="D195" s="67" t="s">
        <v>3512</v>
      </c>
      <c r="E195" s="96" t="s">
        <v>62</v>
      </c>
      <c r="F195" s="29" t="s">
        <v>61</v>
      </c>
      <c r="G195" s="29"/>
      <c r="H195" s="103">
        <f>_xlfn.XLOOKUP(B195,GM!$Q$5:$Q$756,GM!$J$5:$J$756)</f>
        <v>46104</v>
      </c>
    </row>
    <row r="196" spans="1:8" hidden="1" x14ac:dyDescent="0.35">
      <c r="A196" s="29" t="s">
        <v>14</v>
      </c>
      <c r="B196" s="29" t="str">
        <f t="shared" si="2"/>
        <v>CHV-17</v>
      </c>
      <c r="C196" s="29" t="s">
        <v>3513</v>
      </c>
      <c r="D196" s="67" t="s">
        <v>3514</v>
      </c>
      <c r="E196" s="96" t="s">
        <v>62</v>
      </c>
      <c r="F196" s="29" t="s">
        <v>61</v>
      </c>
      <c r="G196" s="29"/>
      <c r="H196" s="103">
        <f>_xlfn.XLOOKUP(B196,GM!$Q$5:$Q$756,GM!$J$5:$J$756)</f>
        <v>45202</v>
      </c>
    </row>
    <row r="197" spans="1:8" hidden="1" x14ac:dyDescent="0.35">
      <c r="A197" s="29" t="s">
        <v>14</v>
      </c>
      <c r="B197" s="29" t="str">
        <f t="shared" ref="B197:B260" si="3">IF(OR(A197="ARN",A197="SDP"),MID(C197,4,7),MID(C197,4,6))</f>
        <v>CHV-17</v>
      </c>
      <c r="C197" s="29" t="s">
        <v>3515</v>
      </c>
      <c r="D197" s="67" t="s">
        <v>3516</v>
      </c>
      <c r="E197" s="96" t="s">
        <v>62</v>
      </c>
      <c r="F197" s="29" t="s">
        <v>61</v>
      </c>
      <c r="G197" s="29"/>
      <c r="H197" s="103">
        <f>_xlfn.XLOOKUP(B197,GM!$Q$5:$Q$756,GM!$J$5:$J$756)</f>
        <v>45202</v>
      </c>
    </row>
    <row r="198" spans="1:8" hidden="1" x14ac:dyDescent="0.35">
      <c r="A198" s="29" t="s">
        <v>14</v>
      </c>
      <c r="B198" s="29" t="str">
        <f t="shared" si="3"/>
        <v>CHV-17</v>
      </c>
      <c r="C198" s="29" t="s">
        <v>3517</v>
      </c>
      <c r="D198" s="67" t="s">
        <v>3518</v>
      </c>
      <c r="E198" s="96" t="s">
        <v>62</v>
      </c>
      <c r="F198" s="29" t="s">
        <v>61</v>
      </c>
      <c r="G198" s="29"/>
      <c r="H198" s="103">
        <f>_xlfn.XLOOKUP(B198,GM!$Q$5:$Q$756,GM!$J$5:$J$756)</f>
        <v>45202</v>
      </c>
    </row>
    <row r="199" spans="1:8" hidden="1" x14ac:dyDescent="0.35">
      <c r="A199" s="29" t="s">
        <v>14</v>
      </c>
      <c r="B199" s="29" t="str">
        <f t="shared" si="3"/>
        <v>CHV-17</v>
      </c>
      <c r="C199" s="29" t="s">
        <v>3519</v>
      </c>
      <c r="D199" s="67" t="s">
        <v>3520</v>
      </c>
      <c r="E199" s="96" t="s">
        <v>62</v>
      </c>
      <c r="F199" s="29" t="s">
        <v>61</v>
      </c>
      <c r="G199" s="29"/>
      <c r="H199" s="103">
        <f>_xlfn.XLOOKUP(B199,GM!$Q$5:$Q$756,GM!$J$5:$J$756)</f>
        <v>45202</v>
      </c>
    </row>
    <row r="200" spans="1:8" hidden="1" x14ac:dyDescent="0.35">
      <c r="A200" s="29" t="s">
        <v>14</v>
      </c>
      <c r="B200" s="29" t="str">
        <f t="shared" si="3"/>
        <v>CHV-17</v>
      </c>
      <c r="C200" s="29" t="s">
        <v>3521</v>
      </c>
      <c r="D200" s="67" t="s">
        <v>3522</v>
      </c>
      <c r="E200" s="96" t="s">
        <v>62</v>
      </c>
      <c r="F200" s="29" t="s">
        <v>61</v>
      </c>
      <c r="G200" s="29"/>
      <c r="H200" s="103">
        <f>_xlfn.XLOOKUP(B200,GM!$Q$5:$Q$756,GM!$J$5:$J$756)</f>
        <v>45202</v>
      </c>
    </row>
    <row r="201" spans="1:8" hidden="1" x14ac:dyDescent="0.35">
      <c r="A201" s="29" t="s">
        <v>14</v>
      </c>
      <c r="B201" s="29" t="str">
        <f t="shared" si="3"/>
        <v>CHV-17</v>
      </c>
      <c r="C201" s="29" t="s">
        <v>3523</v>
      </c>
      <c r="D201" s="67" t="s">
        <v>3524</v>
      </c>
      <c r="E201" s="96" t="s">
        <v>62</v>
      </c>
      <c r="F201" s="29" t="s">
        <v>61</v>
      </c>
      <c r="G201" s="29"/>
      <c r="H201" s="103">
        <f>_xlfn.XLOOKUP(B201,GM!$Q$5:$Q$756,GM!$J$5:$J$756)</f>
        <v>45202</v>
      </c>
    </row>
    <row r="202" spans="1:8" hidden="1" x14ac:dyDescent="0.35">
      <c r="A202" s="29" t="s">
        <v>14</v>
      </c>
      <c r="B202" s="29" t="str">
        <f t="shared" si="3"/>
        <v>CHV-18</v>
      </c>
      <c r="C202" s="29" t="s">
        <v>3525</v>
      </c>
      <c r="D202" s="67" t="s">
        <v>3526</v>
      </c>
      <c r="E202" s="96" t="s">
        <v>62</v>
      </c>
      <c r="F202" s="29" t="s">
        <v>61</v>
      </c>
      <c r="G202" s="29"/>
      <c r="H202" s="103">
        <f>_xlfn.XLOOKUP(B202,GM!$Q$5:$Q$756,GM!$J$5:$J$756)</f>
        <v>45645</v>
      </c>
    </row>
    <row r="203" spans="1:8" hidden="1" x14ac:dyDescent="0.35">
      <c r="A203" s="29" t="s">
        <v>14</v>
      </c>
      <c r="B203" s="29" t="str">
        <f t="shared" si="3"/>
        <v>CHV-18</v>
      </c>
      <c r="C203" s="29" t="s">
        <v>3527</v>
      </c>
      <c r="D203" s="67" t="s">
        <v>3528</v>
      </c>
      <c r="E203" s="96" t="s">
        <v>62</v>
      </c>
      <c r="F203" s="29" t="s">
        <v>61</v>
      </c>
      <c r="G203" s="29"/>
      <c r="H203" s="103">
        <f>_xlfn.XLOOKUP(B203,GM!$Q$5:$Q$756,GM!$J$5:$J$756)</f>
        <v>45645</v>
      </c>
    </row>
    <row r="204" spans="1:8" hidden="1" x14ac:dyDescent="0.35">
      <c r="A204" s="29" t="s">
        <v>14</v>
      </c>
      <c r="B204" s="29" t="str">
        <f t="shared" si="3"/>
        <v>CHV-18</v>
      </c>
      <c r="C204" s="29" t="s">
        <v>3529</v>
      </c>
      <c r="D204" s="67" t="s">
        <v>3530</v>
      </c>
      <c r="E204" s="96" t="s">
        <v>62</v>
      </c>
      <c r="F204" s="29" t="s">
        <v>61</v>
      </c>
      <c r="G204" s="29"/>
      <c r="H204" s="103">
        <f>_xlfn.XLOOKUP(B204,GM!$Q$5:$Q$756,GM!$J$5:$J$756)</f>
        <v>45645</v>
      </c>
    </row>
    <row r="205" spans="1:8" hidden="1" x14ac:dyDescent="0.35">
      <c r="A205" s="29" t="s">
        <v>14</v>
      </c>
      <c r="B205" s="29" t="str">
        <f t="shared" si="3"/>
        <v>CHV-18</v>
      </c>
      <c r="C205" s="29" t="s">
        <v>3531</v>
      </c>
      <c r="D205" s="67" t="s">
        <v>3532</v>
      </c>
      <c r="E205" s="96" t="s">
        <v>62</v>
      </c>
      <c r="F205" s="29" t="s">
        <v>61</v>
      </c>
      <c r="G205" s="29"/>
      <c r="H205" s="103">
        <f>_xlfn.XLOOKUP(B205,GM!$Q$5:$Q$756,GM!$J$5:$J$756)</f>
        <v>45645</v>
      </c>
    </row>
    <row r="206" spans="1:8" hidden="1" x14ac:dyDescent="0.35">
      <c r="A206" s="29" t="s">
        <v>14</v>
      </c>
      <c r="B206" s="29" t="str">
        <f t="shared" si="3"/>
        <v>CHV-18</v>
      </c>
      <c r="C206" s="29" t="s">
        <v>3533</v>
      </c>
      <c r="D206" s="67" t="s">
        <v>3534</v>
      </c>
      <c r="E206" s="96" t="s">
        <v>62</v>
      </c>
      <c r="F206" s="29" t="s">
        <v>61</v>
      </c>
      <c r="G206" s="29"/>
      <c r="H206" s="103">
        <f>_xlfn.XLOOKUP(B206,GM!$Q$5:$Q$756,GM!$J$5:$J$756)</f>
        <v>45645</v>
      </c>
    </row>
    <row r="207" spans="1:8" hidden="1" x14ac:dyDescent="0.35">
      <c r="A207" s="29" t="s">
        <v>14</v>
      </c>
      <c r="B207" s="29" t="str">
        <f t="shared" si="3"/>
        <v>CHV-18</v>
      </c>
      <c r="C207" s="29" t="s">
        <v>3535</v>
      </c>
      <c r="D207" s="67" t="s">
        <v>3536</v>
      </c>
      <c r="E207" s="96" t="s">
        <v>62</v>
      </c>
      <c r="F207" s="29" t="s">
        <v>61</v>
      </c>
      <c r="G207" s="29"/>
      <c r="H207" s="103">
        <f>_xlfn.XLOOKUP(B207,GM!$Q$5:$Q$756,GM!$J$5:$J$756)</f>
        <v>45645</v>
      </c>
    </row>
    <row r="208" spans="1:8" hidden="1" x14ac:dyDescent="0.35">
      <c r="A208" s="29" t="s">
        <v>14</v>
      </c>
      <c r="B208" s="29" t="str">
        <f t="shared" si="3"/>
        <v>CHV-18</v>
      </c>
      <c r="C208" s="29" t="s">
        <v>3537</v>
      </c>
      <c r="D208" s="67" t="s">
        <v>3538</v>
      </c>
      <c r="E208" s="96" t="s">
        <v>62</v>
      </c>
      <c r="F208" s="29" t="s">
        <v>61</v>
      </c>
      <c r="G208" s="29"/>
      <c r="H208" s="103">
        <f>_xlfn.XLOOKUP(B208,GM!$Q$5:$Q$756,GM!$J$5:$J$756)</f>
        <v>45645</v>
      </c>
    </row>
    <row r="209" spans="1:8" hidden="1" x14ac:dyDescent="0.35">
      <c r="A209" s="29" t="s">
        <v>14</v>
      </c>
      <c r="B209" s="29" t="str">
        <f t="shared" si="3"/>
        <v>CHV-18</v>
      </c>
      <c r="C209" s="29" t="s">
        <v>3539</v>
      </c>
      <c r="D209" s="67" t="s">
        <v>3540</v>
      </c>
      <c r="E209" s="96" t="s">
        <v>62</v>
      </c>
      <c r="F209" s="29" t="s">
        <v>61</v>
      </c>
      <c r="G209" s="29"/>
      <c r="H209" s="103">
        <f>_xlfn.XLOOKUP(B209,GM!$Q$5:$Q$756,GM!$J$5:$J$756)</f>
        <v>45645</v>
      </c>
    </row>
    <row r="210" spans="1:8" hidden="1" x14ac:dyDescent="0.35">
      <c r="A210" s="29" t="s">
        <v>14</v>
      </c>
      <c r="B210" s="29" t="str">
        <f t="shared" si="3"/>
        <v>CHV-19</v>
      </c>
      <c r="C210" s="29" t="s">
        <v>3541</v>
      </c>
      <c r="D210" s="67" t="s">
        <v>3542</v>
      </c>
      <c r="E210" s="96" t="s">
        <v>62</v>
      </c>
      <c r="F210" s="29" t="s">
        <v>61</v>
      </c>
      <c r="G210" s="29"/>
      <c r="H210" s="103">
        <f>_xlfn.XLOOKUP(B210,GM!$Q$5:$Q$756,GM!$J$5:$J$756)</f>
        <v>45959</v>
      </c>
    </row>
    <row r="211" spans="1:8" hidden="1" x14ac:dyDescent="0.35">
      <c r="A211" s="29" t="s">
        <v>14</v>
      </c>
      <c r="B211" s="29" t="str">
        <f t="shared" si="3"/>
        <v>CHV-19</v>
      </c>
      <c r="C211" s="29" t="s">
        <v>3543</v>
      </c>
      <c r="D211" s="67" t="s">
        <v>3544</v>
      </c>
      <c r="E211" s="96" t="s">
        <v>62</v>
      </c>
      <c r="F211" s="29" t="s">
        <v>61</v>
      </c>
      <c r="G211" s="29"/>
      <c r="H211" s="103">
        <f>_xlfn.XLOOKUP(B211,GM!$Q$5:$Q$756,GM!$J$5:$J$756)</f>
        <v>45959</v>
      </c>
    </row>
    <row r="212" spans="1:8" hidden="1" x14ac:dyDescent="0.35">
      <c r="A212" s="29" t="s">
        <v>14</v>
      </c>
      <c r="B212" s="29" t="str">
        <f t="shared" si="3"/>
        <v>CHV-19</v>
      </c>
      <c r="C212" s="29" t="s">
        <v>3545</v>
      </c>
      <c r="D212" s="67" t="s">
        <v>3546</v>
      </c>
      <c r="E212" s="96" t="s">
        <v>62</v>
      </c>
      <c r="F212" s="29" t="s">
        <v>61</v>
      </c>
      <c r="G212" s="29"/>
      <c r="H212" s="103">
        <f>_xlfn.XLOOKUP(B212,GM!$Q$5:$Q$756,GM!$J$5:$J$756)</f>
        <v>45959</v>
      </c>
    </row>
    <row r="213" spans="1:8" hidden="1" x14ac:dyDescent="0.35">
      <c r="A213" s="29" t="s">
        <v>14</v>
      </c>
      <c r="B213" s="29" t="str">
        <f t="shared" si="3"/>
        <v>CHV-19</v>
      </c>
      <c r="C213" s="29" t="s">
        <v>3547</v>
      </c>
      <c r="D213" s="67" t="s">
        <v>3548</v>
      </c>
      <c r="E213" s="96" t="s">
        <v>62</v>
      </c>
      <c r="F213" s="29" t="s">
        <v>61</v>
      </c>
      <c r="G213" s="29"/>
      <c r="H213" s="103">
        <f>_xlfn.XLOOKUP(B213,GM!$Q$5:$Q$756,GM!$J$5:$J$756)</f>
        <v>45959</v>
      </c>
    </row>
    <row r="214" spans="1:8" hidden="1" x14ac:dyDescent="0.35">
      <c r="A214" s="29" t="s">
        <v>14</v>
      </c>
      <c r="B214" s="29" t="str">
        <f t="shared" si="3"/>
        <v>CHV-20</v>
      </c>
      <c r="C214" s="29" t="s">
        <v>3549</v>
      </c>
      <c r="D214" s="67" t="s">
        <v>3550</v>
      </c>
      <c r="E214" s="96" t="s">
        <v>62</v>
      </c>
      <c r="F214" s="29" t="s">
        <v>61</v>
      </c>
      <c r="G214" s="29"/>
      <c r="H214" s="103">
        <f>_xlfn.XLOOKUP(B214,GM!$Q$5:$Q$756,GM!$J$5:$J$756)</f>
        <v>44889</v>
      </c>
    </row>
    <row r="215" spans="1:8" hidden="1" x14ac:dyDescent="0.35">
      <c r="A215" s="29" t="s">
        <v>14</v>
      </c>
      <c r="B215" s="29" t="str">
        <f t="shared" si="3"/>
        <v>CHV-20</v>
      </c>
      <c r="C215" s="29" t="s">
        <v>3551</v>
      </c>
      <c r="D215" s="67" t="s">
        <v>3552</v>
      </c>
      <c r="E215" s="96" t="s">
        <v>62</v>
      </c>
      <c r="F215" s="29" t="s">
        <v>61</v>
      </c>
      <c r="G215" s="29"/>
      <c r="H215" s="103">
        <f>_xlfn.XLOOKUP(B215,GM!$Q$5:$Q$756,GM!$J$5:$J$756)</f>
        <v>44889</v>
      </c>
    </row>
    <row r="216" spans="1:8" hidden="1" x14ac:dyDescent="0.35">
      <c r="A216" s="29" t="s">
        <v>14</v>
      </c>
      <c r="B216" s="29" t="str">
        <f t="shared" si="3"/>
        <v>CHV-20</v>
      </c>
      <c r="C216" s="29" t="s">
        <v>3553</v>
      </c>
      <c r="D216" s="67" t="s">
        <v>3554</v>
      </c>
      <c r="E216" s="96" t="s">
        <v>62</v>
      </c>
      <c r="F216" s="29" t="s">
        <v>61</v>
      </c>
      <c r="G216" s="29"/>
      <c r="H216" s="103">
        <f>_xlfn.XLOOKUP(B216,GM!$Q$5:$Q$756,GM!$J$5:$J$756)</f>
        <v>44889</v>
      </c>
    </row>
    <row r="217" spans="1:8" hidden="1" x14ac:dyDescent="0.35">
      <c r="A217" s="29" t="s">
        <v>14</v>
      </c>
      <c r="B217" s="29" t="str">
        <f t="shared" si="3"/>
        <v>CHV-20</v>
      </c>
      <c r="C217" s="29" t="s">
        <v>3555</v>
      </c>
      <c r="D217" s="67" t="s">
        <v>3556</v>
      </c>
      <c r="E217" s="96" t="s">
        <v>62</v>
      </c>
      <c r="F217" s="29" t="s">
        <v>61</v>
      </c>
      <c r="G217" s="29"/>
      <c r="H217" s="103">
        <f>_xlfn.XLOOKUP(B217,GM!$Q$5:$Q$756,GM!$J$5:$J$756)</f>
        <v>44889</v>
      </c>
    </row>
    <row r="218" spans="1:8" hidden="1" x14ac:dyDescent="0.35">
      <c r="A218" s="29" t="s">
        <v>14</v>
      </c>
      <c r="B218" s="29" t="str">
        <f t="shared" si="3"/>
        <v>CHV-20</v>
      </c>
      <c r="C218" s="29" t="s">
        <v>3557</v>
      </c>
      <c r="D218" s="67" t="s">
        <v>3558</v>
      </c>
      <c r="E218" s="96" t="s">
        <v>62</v>
      </c>
      <c r="F218" s="29" t="s">
        <v>61</v>
      </c>
      <c r="G218" s="29"/>
      <c r="H218" s="103">
        <f>_xlfn.XLOOKUP(B218,GM!$Q$5:$Q$756,GM!$J$5:$J$756)</f>
        <v>44889</v>
      </c>
    </row>
    <row r="219" spans="1:8" hidden="1" x14ac:dyDescent="0.35">
      <c r="A219" s="29" t="s">
        <v>14</v>
      </c>
      <c r="B219" s="29" t="str">
        <f t="shared" si="3"/>
        <v>CHV-20</v>
      </c>
      <c r="C219" s="29" t="s">
        <v>3559</v>
      </c>
      <c r="D219" s="67" t="s">
        <v>3560</v>
      </c>
      <c r="E219" s="96" t="s">
        <v>62</v>
      </c>
      <c r="F219" s="29" t="s">
        <v>61</v>
      </c>
      <c r="G219" s="29"/>
      <c r="H219" s="103">
        <f>_xlfn.XLOOKUP(B219,GM!$Q$5:$Q$756,GM!$J$5:$J$756)</f>
        <v>44889</v>
      </c>
    </row>
    <row r="220" spans="1:8" hidden="1" x14ac:dyDescent="0.35">
      <c r="A220" s="29" t="s">
        <v>14</v>
      </c>
      <c r="B220" s="29" t="str">
        <f t="shared" si="3"/>
        <v>CHV-20</v>
      </c>
      <c r="C220" s="29" t="s">
        <v>3561</v>
      </c>
      <c r="D220" s="67" t="s">
        <v>3562</v>
      </c>
      <c r="E220" s="96" t="s">
        <v>62</v>
      </c>
      <c r="F220" s="29" t="s">
        <v>61</v>
      </c>
      <c r="G220" s="29"/>
      <c r="H220" s="103">
        <f>_xlfn.XLOOKUP(B220,GM!$Q$5:$Q$756,GM!$J$5:$J$756)</f>
        <v>44889</v>
      </c>
    </row>
    <row r="221" spans="1:8" hidden="1" x14ac:dyDescent="0.35">
      <c r="A221" s="29" t="s">
        <v>14</v>
      </c>
      <c r="B221" s="29" t="str">
        <f t="shared" si="3"/>
        <v>CHV-21</v>
      </c>
      <c r="C221" s="29" t="s">
        <v>3563</v>
      </c>
      <c r="D221" s="67" t="s">
        <v>3564</v>
      </c>
      <c r="E221" s="96" t="s">
        <v>62</v>
      </c>
      <c r="F221" s="29" t="s">
        <v>61</v>
      </c>
      <c r="G221" s="29"/>
      <c r="H221" s="103">
        <f>_xlfn.XLOOKUP(B221,GM!$Q$5:$Q$756,GM!$J$5:$J$756)</f>
        <v>45645</v>
      </c>
    </row>
    <row r="222" spans="1:8" hidden="1" x14ac:dyDescent="0.35">
      <c r="A222" s="29" t="s">
        <v>14</v>
      </c>
      <c r="B222" s="29" t="str">
        <f t="shared" si="3"/>
        <v>CHV-21</v>
      </c>
      <c r="C222" s="29" t="s">
        <v>3565</v>
      </c>
      <c r="D222" s="67" t="s">
        <v>3566</v>
      </c>
      <c r="E222" s="96" t="s">
        <v>62</v>
      </c>
      <c r="F222" s="29" t="s">
        <v>61</v>
      </c>
      <c r="G222" s="29"/>
      <c r="H222" s="103">
        <f>_xlfn.XLOOKUP(B222,GM!$Q$5:$Q$756,GM!$J$5:$J$756)</f>
        <v>45645</v>
      </c>
    </row>
    <row r="223" spans="1:8" hidden="1" x14ac:dyDescent="0.35">
      <c r="A223" s="29" t="s">
        <v>14</v>
      </c>
      <c r="B223" s="29" t="str">
        <f t="shared" si="3"/>
        <v>CHV-21</v>
      </c>
      <c r="C223" s="29" t="s">
        <v>3567</v>
      </c>
      <c r="D223" s="67" t="s">
        <v>3568</v>
      </c>
      <c r="E223" s="96" t="s">
        <v>62</v>
      </c>
      <c r="F223" s="29" t="s">
        <v>61</v>
      </c>
      <c r="G223" s="29"/>
      <c r="H223" s="103">
        <f>_xlfn.XLOOKUP(B223,GM!$Q$5:$Q$756,GM!$J$5:$J$756)</f>
        <v>45645</v>
      </c>
    </row>
    <row r="224" spans="1:8" hidden="1" x14ac:dyDescent="0.35">
      <c r="A224" s="29" t="s">
        <v>14</v>
      </c>
      <c r="B224" s="29" t="str">
        <f t="shared" si="3"/>
        <v>CHV-21</v>
      </c>
      <c r="C224" s="29" t="s">
        <v>3569</v>
      </c>
      <c r="D224" s="67" t="s">
        <v>3570</v>
      </c>
      <c r="E224" s="96" t="s">
        <v>62</v>
      </c>
      <c r="F224" s="29" t="s">
        <v>61</v>
      </c>
      <c r="G224" s="29"/>
      <c r="H224" s="103">
        <f>_xlfn.XLOOKUP(B224,GM!$Q$5:$Q$756,GM!$J$5:$J$756)</f>
        <v>45645</v>
      </c>
    </row>
    <row r="225" spans="1:8" hidden="1" x14ac:dyDescent="0.35">
      <c r="A225" s="29" t="s">
        <v>14</v>
      </c>
      <c r="B225" s="29" t="str">
        <f t="shared" si="3"/>
        <v>CHV-21</v>
      </c>
      <c r="C225" s="29" t="s">
        <v>3571</v>
      </c>
      <c r="D225" s="67" t="s">
        <v>3572</v>
      </c>
      <c r="E225" s="96" t="s">
        <v>62</v>
      </c>
      <c r="F225" s="29" t="s">
        <v>61</v>
      </c>
      <c r="G225" s="29"/>
      <c r="H225" s="103">
        <f>_xlfn.XLOOKUP(B225,GM!$Q$5:$Q$756,GM!$J$5:$J$756)</f>
        <v>45645</v>
      </c>
    </row>
    <row r="226" spans="1:8" hidden="1" x14ac:dyDescent="0.35">
      <c r="A226" s="29" t="s">
        <v>14</v>
      </c>
      <c r="B226" s="29" t="str">
        <f t="shared" si="3"/>
        <v>CHV-21</v>
      </c>
      <c r="C226" s="29" t="s">
        <v>3573</v>
      </c>
      <c r="D226" s="67" t="s">
        <v>3574</v>
      </c>
      <c r="E226" s="96" t="s">
        <v>62</v>
      </c>
      <c r="F226" s="29" t="s">
        <v>61</v>
      </c>
      <c r="G226" s="29"/>
      <c r="H226" s="103">
        <f>_xlfn.XLOOKUP(B226,GM!$Q$5:$Q$756,GM!$J$5:$J$756)</f>
        <v>45645</v>
      </c>
    </row>
    <row r="227" spans="1:8" hidden="1" x14ac:dyDescent="0.35">
      <c r="A227" s="29" t="s">
        <v>14</v>
      </c>
      <c r="B227" s="29" t="str">
        <f t="shared" si="3"/>
        <v>CHV-22</v>
      </c>
      <c r="C227" s="29" t="s">
        <v>3575</v>
      </c>
      <c r="D227" s="67" t="s">
        <v>3576</v>
      </c>
      <c r="E227" s="96" t="s">
        <v>62</v>
      </c>
      <c r="F227" s="29" t="s">
        <v>61</v>
      </c>
      <c r="G227" s="29" t="s">
        <v>371</v>
      </c>
      <c r="H227" s="103">
        <f>_xlfn.XLOOKUP(B227,GM!$Q$5:$Q$756,GM!$J$5:$J$756)</f>
        <v>44861</v>
      </c>
    </row>
    <row r="228" spans="1:8" hidden="1" x14ac:dyDescent="0.35">
      <c r="A228" s="29" t="s">
        <v>14</v>
      </c>
      <c r="B228" s="29" t="str">
        <f t="shared" si="3"/>
        <v>CHV-23</v>
      </c>
      <c r="C228" s="29" t="s">
        <v>3577</v>
      </c>
      <c r="D228" s="67" t="s">
        <v>3578</v>
      </c>
      <c r="E228" s="96" t="s">
        <v>62</v>
      </c>
      <c r="F228" s="29" t="s">
        <v>61</v>
      </c>
      <c r="G228" s="29" t="s">
        <v>371</v>
      </c>
      <c r="H228" s="103">
        <f>_xlfn.XLOOKUP(B228,GM!$Q$5:$Q$756,GM!$J$5:$J$756)</f>
        <v>44739</v>
      </c>
    </row>
    <row r="229" spans="1:8" hidden="1" x14ac:dyDescent="0.35">
      <c r="A229" s="29" t="s">
        <v>14</v>
      </c>
      <c r="B229" s="29" t="str">
        <f t="shared" si="3"/>
        <v>CHV-24</v>
      </c>
      <c r="C229" s="29" t="s">
        <v>3579</v>
      </c>
      <c r="D229" s="67" t="s">
        <v>3580</v>
      </c>
      <c r="E229" s="96" t="s">
        <v>62</v>
      </c>
      <c r="F229" s="29" t="s">
        <v>61</v>
      </c>
      <c r="G229" s="29" t="s">
        <v>371</v>
      </c>
      <c r="H229" s="103">
        <f>_xlfn.XLOOKUP(B229,GM!$Q$5:$Q$756,GM!$J$5:$J$756)</f>
        <v>44739</v>
      </c>
    </row>
    <row r="230" spans="1:8" hidden="1" x14ac:dyDescent="0.35">
      <c r="A230" s="29" t="s">
        <v>14</v>
      </c>
      <c r="B230" s="29" t="str">
        <f t="shared" si="3"/>
        <v>CHV-25</v>
      </c>
      <c r="C230" s="29" t="s">
        <v>3581</v>
      </c>
      <c r="D230" s="67" t="s">
        <v>3582</v>
      </c>
      <c r="E230" s="96" t="s">
        <v>62</v>
      </c>
      <c r="F230" s="29" t="s">
        <v>61</v>
      </c>
      <c r="G230" s="29"/>
      <c r="H230" s="103">
        <f>_xlfn.XLOOKUP(B230,GM!$Q$5:$Q$756,GM!$J$5:$J$756)</f>
        <v>46009</v>
      </c>
    </row>
    <row r="231" spans="1:8" hidden="1" x14ac:dyDescent="0.35">
      <c r="A231" s="29" t="s">
        <v>14</v>
      </c>
      <c r="B231" s="29" t="str">
        <f t="shared" si="3"/>
        <v>CHV-25</v>
      </c>
      <c r="C231" s="29" t="s">
        <v>3583</v>
      </c>
      <c r="D231" s="67" t="s">
        <v>3584</v>
      </c>
      <c r="E231" s="96" t="s">
        <v>62</v>
      </c>
      <c r="F231" s="29" t="s">
        <v>61</v>
      </c>
      <c r="G231" s="29"/>
      <c r="H231" s="103">
        <f>_xlfn.XLOOKUP(B231,GM!$Q$5:$Q$756,GM!$J$5:$J$756)</f>
        <v>46009</v>
      </c>
    </row>
    <row r="232" spans="1:8" hidden="1" x14ac:dyDescent="0.35">
      <c r="A232" s="29" t="s">
        <v>14</v>
      </c>
      <c r="B232" s="29" t="str">
        <f t="shared" si="3"/>
        <v>CHV-26</v>
      </c>
      <c r="C232" s="29" t="s">
        <v>3585</v>
      </c>
      <c r="D232" s="67" t="s">
        <v>3586</v>
      </c>
      <c r="E232" s="96" t="s">
        <v>62</v>
      </c>
      <c r="F232" s="29" t="s">
        <v>61</v>
      </c>
      <c r="G232" s="29" t="s">
        <v>371</v>
      </c>
      <c r="H232" s="103">
        <f>_xlfn.XLOOKUP(B232,GM!$Q$5:$Q$756,GM!$J$5:$J$756)</f>
        <v>44739</v>
      </c>
    </row>
    <row r="233" spans="1:8" hidden="1" x14ac:dyDescent="0.35">
      <c r="A233" s="29" t="s">
        <v>14</v>
      </c>
      <c r="B233" s="29" t="str">
        <f t="shared" si="3"/>
        <v>CHV-27</v>
      </c>
      <c r="C233" s="29" t="s">
        <v>3587</v>
      </c>
      <c r="D233" s="67" t="s">
        <v>3588</v>
      </c>
      <c r="E233" s="96" t="s">
        <v>62</v>
      </c>
      <c r="F233" s="29" t="s">
        <v>61</v>
      </c>
      <c r="G233" s="29" t="s">
        <v>371</v>
      </c>
      <c r="H233" s="103">
        <f>_xlfn.XLOOKUP(B233,GM!$Q$5:$Q$756,GM!$J$5:$J$756)</f>
        <v>44739</v>
      </c>
    </row>
    <row r="234" spans="1:8" hidden="1" x14ac:dyDescent="0.35">
      <c r="A234" s="29" t="s">
        <v>14</v>
      </c>
      <c r="B234" s="29" t="str">
        <f t="shared" si="3"/>
        <v>CHV-28</v>
      </c>
      <c r="C234" s="29" t="s">
        <v>3589</v>
      </c>
      <c r="D234" s="67" t="s">
        <v>3590</v>
      </c>
      <c r="E234" s="96" t="s">
        <v>62</v>
      </c>
      <c r="F234" s="29" t="s">
        <v>61</v>
      </c>
      <c r="G234" s="29"/>
      <c r="H234" s="103">
        <f>_xlfn.XLOOKUP(B234,GM!$Q$5:$Q$756,GM!$J$5:$J$756)</f>
        <v>45202</v>
      </c>
    </row>
    <row r="235" spans="1:8" hidden="1" x14ac:dyDescent="0.35">
      <c r="A235" s="29" t="s">
        <v>14</v>
      </c>
      <c r="B235" s="29" t="str">
        <f t="shared" si="3"/>
        <v>CHV-29</v>
      </c>
      <c r="C235" s="29" t="s">
        <v>3591</v>
      </c>
      <c r="D235" s="67" t="s">
        <v>3592</v>
      </c>
      <c r="E235" s="96" t="s">
        <v>62</v>
      </c>
      <c r="F235" s="29" t="s">
        <v>61</v>
      </c>
      <c r="G235" s="29"/>
      <c r="H235" s="103">
        <f>_xlfn.XLOOKUP(B235,GM!$Q$5:$Q$756,GM!$J$5:$J$756)</f>
        <v>45202</v>
      </c>
    </row>
    <row r="236" spans="1:8" hidden="1" x14ac:dyDescent="0.35">
      <c r="A236" s="29" t="s">
        <v>14</v>
      </c>
      <c r="B236" s="29" t="str">
        <f t="shared" si="3"/>
        <v>CHV-30</v>
      </c>
      <c r="C236" s="29" t="s">
        <v>3593</v>
      </c>
      <c r="D236" s="67" t="s">
        <v>3594</v>
      </c>
      <c r="E236" s="96" t="s">
        <v>62</v>
      </c>
      <c r="F236" s="29" t="s">
        <v>61</v>
      </c>
      <c r="G236" s="29"/>
      <c r="H236" s="103">
        <f>_xlfn.XLOOKUP(B236,GM!$Q$5:$Q$756,GM!$J$5:$J$756)</f>
        <v>44838</v>
      </c>
    </row>
    <row r="237" spans="1:8" hidden="1" x14ac:dyDescent="0.35">
      <c r="A237" s="29" t="s">
        <v>14</v>
      </c>
      <c r="B237" s="29" t="str">
        <f t="shared" si="3"/>
        <v>CHV-30</v>
      </c>
      <c r="C237" s="29" t="s">
        <v>3595</v>
      </c>
      <c r="D237" s="67" t="s">
        <v>3596</v>
      </c>
      <c r="E237" s="96" t="s">
        <v>62</v>
      </c>
      <c r="F237" s="29" t="s">
        <v>61</v>
      </c>
      <c r="G237" s="29"/>
      <c r="H237" s="103">
        <f>_xlfn.XLOOKUP(B237,GM!$Q$5:$Q$756,GM!$J$5:$J$756)</f>
        <v>44838</v>
      </c>
    </row>
    <row r="238" spans="1:8" hidden="1" x14ac:dyDescent="0.35">
      <c r="A238" s="29" t="s">
        <v>14</v>
      </c>
      <c r="B238" s="29" t="str">
        <f t="shared" si="3"/>
        <v>CHV-33</v>
      </c>
      <c r="C238" s="29" t="s">
        <v>3597</v>
      </c>
      <c r="D238" s="67" t="s">
        <v>3598</v>
      </c>
      <c r="E238" s="96" t="s">
        <v>62</v>
      </c>
      <c r="F238" s="29" t="s">
        <v>61</v>
      </c>
      <c r="G238" s="29" t="s">
        <v>371</v>
      </c>
      <c r="H238" s="103" t="e">
        <f>_xlfn.XLOOKUP(B238,GM!$Q$5:$Q$756,GM!$J$5:$J$756)</f>
        <v>#N/A</v>
      </c>
    </row>
    <row r="239" spans="1:8" hidden="1" x14ac:dyDescent="0.35">
      <c r="A239" s="29" t="s">
        <v>14</v>
      </c>
      <c r="B239" s="29" t="str">
        <f t="shared" si="3"/>
        <v>CHV-40</v>
      </c>
      <c r="C239" s="29" t="s">
        <v>3599</v>
      </c>
      <c r="D239" s="67" t="s">
        <v>3600</v>
      </c>
      <c r="E239" s="96" t="s">
        <v>62</v>
      </c>
      <c r="F239" s="29" t="s">
        <v>61</v>
      </c>
      <c r="G239" s="29"/>
      <c r="H239" s="103">
        <f>_xlfn.XLOOKUP(B239,GM!$Q$5:$Q$756,GM!$J$5:$J$756)</f>
        <v>45202</v>
      </c>
    </row>
    <row r="240" spans="1:8" hidden="1" x14ac:dyDescent="0.35">
      <c r="A240" s="29" t="s">
        <v>14</v>
      </c>
      <c r="B240" s="29" t="str">
        <f t="shared" si="3"/>
        <v>CHV-40</v>
      </c>
      <c r="C240" s="29" t="s">
        <v>3601</v>
      </c>
      <c r="D240" s="67" t="s">
        <v>3602</v>
      </c>
      <c r="E240" s="96" t="s">
        <v>62</v>
      </c>
      <c r="F240" s="29" t="s">
        <v>61</v>
      </c>
      <c r="G240" s="29"/>
      <c r="H240" s="103">
        <f>_xlfn.XLOOKUP(B240,GM!$Q$5:$Q$756,GM!$J$5:$J$756)</f>
        <v>45202</v>
      </c>
    </row>
    <row r="241" spans="1:8" hidden="1" x14ac:dyDescent="0.35">
      <c r="A241" s="29" t="s">
        <v>14</v>
      </c>
      <c r="B241" s="29" t="str">
        <f t="shared" si="3"/>
        <v>CHV-41</v>
      </c>
      <c r="C241" s="29" t="s">
        <v>3603</v>
      </c>
      <c r="D241" s="67" t="s">
        <v>3604</v>
      </c>
      <c r="E241" s="96" t="s">
        <v>62</v>
      </c>
      <c r="F241" s="29" t="s">
        <v>61</v>
      </c>
      <c r="G241" s="29"/>
      <c r="H241" s="103">
        <f>_xlfn.XLOOKUP(B241,GM!$Q$5:$Q$756,GM!$J$5:$J$756)</f>
        <v>45202</v>
      </c>
    </row>
    <row r="242" spans="1:8" hidden="1" x14ac:dyDescent="0.35">
      <c r="A242" s="29" t="s">
        <v>14</v>
      </c>
      <c r="B242" s="29" t="str">
        <f t="shared" si="3"/>
        <v>CHV-41</v>
      </c>
      <c r="C242" s="29" t="s">
        <v>3605</v>
      </c>
      <c r="D242" s="67" t="s">
        <v>3606</v>
      </c>
      <c r="E242" s="96" t="s">
        <v>62</v>
      </c>
      <c r="F242" s="29" t="s">
        <v>61</v>
      </c>
      <c r="G242" s="29"/>
      <c r="H242" s="103">
        <f>_xlfn.XLOOKUP(B242,GM!$Q$5:$Q$756,GM!$J$5:$J$756)</f>
        <v>45202</v>
      </c>
    </row>
    <row r="243" spans="1:8" hidden="1" x14ac:dyDescent="0.35">
      <c r="A243" s="29" t="s">
        <v>14</v>
      </c>
      <c r="B243" s="29" t="str">
        <f t="shared" si="3"/>
        <v>CHV-41</v>
      </c>
      <c r="C243" s="29" t="s">
        <v>3607</v>
      </c>
      <c r="D243" s="67" t="s">
        <v>3608</v>
      </c>
      <c r="E243" s="96" t="s">
        <v>62</v>
      </c>
      <c r="F243" s="29" t="s">
        <v>61</v>
      </c>
      <c r="G243" s="29"/>
      <c r="H243" s="103">
        <f>_xlfn.XLOOKUP(B243,GM!$Q$5:$Q$756,GM!$J$5:$J$756)</f>
        <v>45202</v>
      </c>
    </row>
    <row r="244" spans="1:8" hidden="1" x14ac:dyDescent="0.35">
      <c r="A244" s="29" t="s">
        <v>14</v>
      </c>
      <c r="B244" s="29" t="str">
        <f t="shared" si="3"/>
        <v>CHV-51</v>
      </c>
      <c r="C244" s="29" t="s">
        <v>3609</v>
      </c>
      <c r="D244" s="67" t="s">
        <v>3610</v>
      </c>
      <c r="E244" s="96" t="s">
        <v>62</v>
      </c>
      <c r="F244" s="29" t="s">
        <v>61</v>
      </c>
      <c r="G244" s="29"/>
      <c r="H244" s="103">
        <f>_xlfn.XLOOKUP(B244,GM!$Q$5:$Q$756,GM!$J$5:$J$756)</f>
        <v>45959</v>
      </c>
    </row>
    <row r="245" spans="1:8" hidden="1" x14ac:dyDescent="0.35">
      <c r="A245" s="29" t="s">
        <v>14</v>
      </c>
      <c r="B245" s="29" t="str">
        <f t="shared" si="3"/>
        <v>CHV-51</v>
      </c>
      <c r="C245" s="29" t="s">
        <v>3611</v>
      </c>
      <c r="D245" s="67" t="s">
        <v>3612</v>
      </c>
      <c r="E245" s="96" t="s">
        <v>62</v>
      </c>
      <c r="F245" s="29" t="s">
        <v>61</v>
      </c>
      <c r="G245" s="29"/>
      <c r="H245" s="103">
        <f>_xlfn.XLOOKUP(B245,GM!$Q$5:$Q$756,GM!$J$5:$J$756)</f>
        <v>45959</v>
      </c>
    </row>
    <row r="246" spans="1:8" hidden="1" x14ac:dyDescent="0.35">
      <c r="A246" s="29" t="s">
        <v>14</v>
      </c>
      <c r="B246" s="29" t="str">
        <f t="shared" si="3"/>
        <v>CHV-51</v>
      </c>
      <c r="C246" s="29" t="s">
        <v>3613</v>
      </c>
      <c r="D246" s="67" t="s">
        <v>3614</v>
      </c>
      <c r="E246" s="96" t="s">
        <v>62</v>
      </c>
      <c r="F246" s="29" t="s">
        <v>61</v>
      </c>
      <c r="G246" s="29"/>
      <c r="H246" s="103">
        <f>_xlfn.XLOOKUP(B246,GM!$Q$5:$Q$756,GM!$J$5:$J$756)</f>
        <v>45959</v>
      </c>
    </row>
    <row r="247" spans="1:8" hidden="1" x14ac:dyDescent="0.35">
      <c r="A247" s="29" t="s">
        <v>14</v>
      </c>
      <c r="B247" s="29" t="str">
        <f t="shared" si="3"/>
        <v>CHV-51</v>
      </c>
      <c r="C247" s="29" t="s">
        <v>3615</v>
      </c>
      <c r="D247" s="67" t="s">
        <v>3616</v>
      </c>
      <c r="E247" s="96" t="s">
        <v>62</v>
      </c>
      <c r="F247" s="29" t="s">
        <v>61</v>
      </c>
      <c r="G247" s="29"/>
      <c r="H247" s="103">
        <f>_xlfn.XLOOKUP(B247,GM!$Q$5:$Q$756,GM!$J$5:$J$756)</f>
        <v>45959</v>
      </c>
    </row>
    <row r="248" spans="1:8" hidden="1" x14ac:dyDescent="0.35">
      <c r="A248" s="29" t="s">
        <v>14</v>
      </c>
      <c r="B248" s="29" t="str">
        <f t="shared" si="3"/>
        <v>CHV-51</v>
      </c>
      <c r="C248" s="29" t="s">
        <v>3617</v>
      </c>
      <c r="D248" s="67" t="s">
        <v>3618</v>
      </c>
      <c r="E248" s="96" t="s">
        <v>62</v>
      </c>
      <c r="F248" s="29" t="s">
        <v>61</v>
      </c>
      <c r="G248" s="29"/>
      <c r="H248" s="103">
        <f>_xlfn.XLOOKUP(B248,GM!$Q$5:$Q$756,GM!$J$5:$J$756)</f>
        <v>45959</v>
      </c>
    </row>
    <row r="249" spans="1:8" hidden="1" x14ac:dyDescent="0.35">
      <c r="A249" s="29" t="s">
        <v>14</v>
      </c>
      <c r="B249" s="29" t="str">
        <f t="shared" si="3"/>
        <v>CHV-51</v>
      </c>
      <c r="C249" s="29" t="s">
        <v>3619</v>
      </c>
      <c r="D249" s="67" t="s">
        <v>3620</v>
      </c>
      <c r="E249" s="96" t="s">
        <v>62</v>
      </c>
      <c r="F249" s="29" t="s">
        <v>61</v>
      </c>
      <c r="G249" s="29"/>
      <c r="H249" s="103">
        <f>_xlfn.XLOOKUP(B249,GM!$Q$5:$Q$756,GM!$J$5:$J$756)</f>
        <v>45959</v>
      </c>
    </row>
    <row r="250" spans="1:8" hidden="1" x14ac:dyDescent="0.35">
      <c r="A250" s="29" t="s">
        <v>14</v>
      </c>
      <c r="B250" s="29" t="str">
        <f t="shared" si="3"/>
        <v>CHV-51</v>
      </c>
      <c r="C250" s="29" t="s">
        <v>3621</v>
      </c>
      <c r="D250" s="67" t="s">
        <v>3622</v>
      </c>
      <c r="E250" s="96" t="s">
        <v>62</v>
      </c>
      <c r="F250" s="29" t="s">
        <v>61</v>
      </c>
      <c r="G250" s="29"/>
      <c r="H250" s="103">
        <f>_xlfn.XLOOKUP(B250,GM!$Q$5:$Q$756,GM!$J$5:$J$756)</f>
        <v>45959</v>
      </c>
    </row>
    <row r="251" spans="1:8" hidden="1" x14ac:dyDescent="0.35">
      <c r="A251" s="29" t="s">
        <v>14</v>
      </c>
      <c r="B251" s="29" t="str">
        <f t="shared" si="3"/>
        <v>CHV-51</v>
      </c>
      <c r="C251" s="29" t="s">
        <v>3623</v>
      </c>
      <c r="D251" s="67" t="s">
        <v>3624</v>
      </c>
      <c r="E251" s="96" t="s">
        <v>62</v>
      </c>
      <c r="F251" s="29" t="s">
        <v>61</v>
      </c>
      <c r="G251" s="29"/>
      <c r="H251" s="103">
        <f>_xlfn.XLOOKUP(B251,GM!$Q$5:$Q$756,GM!$J$5:$J$756)</f>
        <v>45959</v>
      </c>
    </row>
    <row r="252" spans="1:8" hidden="1" x14ac:dyDescent="0.35">
      <c r="A252" s="29" t="s">
        <v>14</v>
      </c>
      <c r="B252" s="29" t="str">
        <f t="shared" si="3"/>
        <v>CHV-51</v>
      </c>
      <c r="C252" s="29" t="s">
        <v>3625</v>
      </c>
      <c r="D252" s="67" t="s">
        <v>3626</v>
      </c>
      <c r="E252" s="96" t="s">
        <v>62</v>
      </c>
      <c r="F252" s="29" t="s">
        <v>61</v>
      </c>
      <c r="G252" s="29"/>
      <c r="H252" s="103">
        <f>_xlfn.XLOOKUP(B252,GM!$Q$5:$Q$756,GM!$J$5:$J$756)</f>
        <v>45959</v>
      </c>
    </row>
    <row r="253" spans="1:8" hidden="1" x14ac:dyDescent="0.35">
      <c r="A253" s="29" t="s">
        <v>14</v>
      </c>
      <c r="B253" s="29" t="str">
        <f t="shared" si="3"/>
        <v>CHV-51</v>
      </c>
      <c r="C253" s="29" t="s">
        <v>3627</v>
      </c>
      <c r="D253" s="67" t="s">
        <v>3628</v>
      </c>
      <c r="E253" s="96" t="s">
        <v>62</v>
      </c>
      <c r="F253" s="29" t="s">
        <v>61</v>
      </c>
      <c r="G253" s="29"/>
      <c r="H253" s="103">
        <f>_xlfn.XLOOKUP(B253,GM!$Q$5:$Q$756,GM!$J$5:$J$756)</f>
        <v>45959</v>
      </c>
    </row>
    <row r="254" spans="1:8" hidden="1" x14ac:dyDescent="0.35">
      <c r="A254" s="29" t="s">
        <v>14</v>
      </c>
      <c r="B254" s="29" t="str">
        <f t="shared" si="3"/>
        <v>CHV-51</v>
      </c>
      <c r="C254" s="29" t="s">
        <v>3629</v>
      </c>
      <c r="D254" s="67" t="s">
        <v>3630</v>
      </c>
      <c r="E254" s="96" t="s">
        <v>62</v>
      </c>
      <c r="F254" s="29" t="s">
        <v>61</v>
      </c>
      <c r="G254" s="29"/>
      <c r="H254" s="103">
        <f>_xlfn.XLOOKUP(B254,GM!$Q$5:$Q$756,GM!$J$5:$J$756)</f>
        <v>45959</v>
      </c>
    </row>
    <row r="255" spans="1:8" hidden="1" x14ac:dyDescent="0.35">
      <c r="A255" s="29" t="s">
        <v>14</v>
      </c>
      <c r="B255" s="29" t="str">
        <f t="shared" si="3"/>
        <v>CHV-51</v>
      </c>
      <c r="C255" s="29" t="s">
        <v>3631</v>
      </c>
      <c r="D255" s="67" t="s">
        <v>3632</v>
      </c>
      <c r="E255" s="96" t="s">
        <v>62</v>
      </c>
      <c r="F255" s="29" t="s">
        <v>61</v>
      </c>
      <c r="G255" s="29"/>
      <c r="H255" s="103">
        <f>_xlfn.XLOOKUP(B255,GM!$Q$5:$Q$756,GM!$J$5:$J$756)</f>
        <v>45959</v>
      </c>
    </row>
    <row r="256" spans="1:8" hidden="1" x14ac:dyDescent="0.35">
      <c r="A256" s="29" t="s">
        <v>14</v>
      </c>
      <c r="B256" s="29" t="str">
        <f t="shared" si="3"/>
        <v>CHV-51</v>
      </c>
      <c r="C256" s="29" t="s">
        <v>3633</v>
      </c>
      <c r="D256" s="67" t="s">
        <v>3634</v>
      </c>
      <c r="E256" s="96" t="s">
        <v>62</v>
      </c>
      <c r="F256" s="29" t="s">
        <v>61</v>
      </c>
      <c r="G256" s="29"/>
      <c r="H256" s="103">
        <f>_xlfn.XLOOKUP(B256,GM!$Q$5:$Q$756,GM!$J$5:$J$756)</f>
        <v>45959</v>
      </c>
    </row>
    <row r="257" spans="1:8" hidden="1" x14ac:dyDescent="0.35">
      <c r="A257" s="29" t="s">
        <v>14</v>
      </c>
      <c r="B257" s="29" t="str">
        <f t="shared" si="3"/>
        <v>CHV-58</v>
      </c>
      <c r="C257" s="29" t="s">
        <v>3635</v>
      </c>
      <c r="D257" s="67" t="s">
        <v>3636</v>
      </c>
      <c r="E257" s="96" t="s">
        <v>62</v>
      </c>
      <c r="F257" s="29" t="s">
        <v>61</v>
      </c>
      <c r="G257" s="29" t="s">
        <v>371</v>
      </c>
      <c r="H257" s="103" t="e">
        <f>_xlfn.XLOOKUP(B257,GM!$Q$5:$Q$756,GM!$J$5:$J$756)</f>
        <v>#N/A</v>
      </c>
    </row>
    <row r="258" spans="1:8" hidden="1" x14ac:dyDescent="0.35">
      <c r="A258" s="29" t="s">
        <v>14</v>
      </c>
      <c r="B258" s="29" t="str">
        <f t="shared" si="3"/>
        <v>CHV-59</v>
      </c>
      <c r="C258" s="29" t="s">
        <v>3637</v>
      </c>
      <c r="D258" s="67" t="s">
        <v>3638</v>
      </c>
      <c r="E258" s="96" t="s">
        <v>62</v>
      </c>
      <c r="F258" s="29" t="s">
        <v>61</v>
      </c>
      <c r="G258" s="29"/>
      <c r="H258" s="103">
        <f>_xlfn.XLOOKUP(B258,GM!$Q$5:$Q$756,GM!$J$5:$J$756)</f>
        <v>45462</v>
      </c>
    </row>
    <row r="259" spans="1:8" hidden="1" x14ac:dyDescent="0.35">
      <c r="A259" s="29" t="s">
        <v>14</v>
      </c>
      <c r="B259" s="29" t="str">
        <f t="shared" si="3"/>
        <v>CHV-59</v>
      </c>
      <c r="C259" s="29" t="s">
        <v>3639</v>
      </c>
      <c r="D259" s="67" t="s">
        <v>3640</v>
      </c>
      <c r="E259" s="96" t="s">
        <v>62</v>
      </c>
      <c r="F259" s="29" t="s">
        <v>61</v>
      </c>
      <c r="G259" s="29"/>
      <c r="H259" s="103">
        <f>_xlfn.XLOOKUP(B259,GM!$Q$5:$Q$756,GM!$J$5:$J$756)</f>
        <v>45462</v>
      </c>
    </row>
    <row r="260" spans="1:8" hidden="1" x14ac:dyDescent="0.35">
      <c r="A260" s="29" t="s">
        <v>14</v>
      </c>
      <c r="B260" s="29" t="str">
        <f t="shared" si="3"/>
        <v>CHV-60</v>
      </c>
      <c r="C260" s="29" t="s">
        <v>3641</v>
      </c>
      <c r="D260" s="67" t="s">
        <v>3642</v>
      </c>
      <c r="E260" s="96" t="s">
        <v>62</v>
      </c>
      <c r="F260" s="29" t="s">
        <v>61</v>
      </c>
      <c r="G260" s="29" t="s">
        <v>371</v>
      </c>
      <c r="H260" s="103">
        <f>_xlfn.XLOOKUP(B260,GM!$Q$5:$Q$756,GM!$J$5:$J$756)</f>
        <v>44819</v>
      </c>
    </row>
    <row r="261" spans="1:8" hidden="1" x14ac:dyDescent="0.35">
      <c r="A261" s="29" t="s">
        <v>14</v>
      </c>
      <c r="B261" s="29" t="str">
        <f t="shared" ref="B261:B324" si="4">IF(OR(A261="ARN",A261="SDP"),MID(C261,4,7),MID(C261,4,6))</f>
        <v>CHV-61</v>
      </c>
      <c r="C261" s="29" t="s">
        <v>3643</v>
      </c>
      <c r="D261" s="67" t="s">
        <v>3644</v>
      </c>
      <c r="E261" s="96" t="s">
        <v>62</v>
      </c>
      <c r="F261" s="29" t="s">
        <v>61</v>
      </c>
      <c r="G261" s="29"/>
      <c r="H261" s="103">
        <f>_xlfn.XLOOKUP(B261,GM!$Q$5:$Q$756,GM!$J$5:$J$756)</f>
        <v>44926</v>
      </c>
    </row>
    <row r="262" spans="1:8" hidden="1" x14ac:dyDescent="0.35">
      <c r="A262" s="29" t="s">
        <v>14</v>
      </c>
      <c r="B262" s="29" t="str">
        <f t="shared" si="4"/>
        <v>CHV-62</v>
      </c>
      <c r="C262" s="29" t="s">
        <v>3645</v>
      </c>
      <c r="D262" s="67" t="s">
        <v>3646</v>
      </c>
      <c r="E262" s="96" t="s">
        <v>62</v>
      </c>
      <c r="F262" s="29" t="s">
        <v>61</v>
      </c>
      <c r="G262" s="29"/>
      <c r="H262" s="103">
        <f>_xlfn.XLOOKUP(B262,GM!$Q$5:$Q$756,GM!$J$5:$J$756)</f>
        <v>44926</v>
      </c>
    </row>
    <row r="263" spans="1:8" hidden="1" x14ac:dyDescent="0.35">
      <c r="A263" s="29" t="s">
        <v>14</v>
      </c>
      <c r="B263" s="29" t="str">
        <f t="shared" si="4"/>
        <v>CHV-64</v>
      </c>
      <c r="C263" s="29" t="s">
        <v>3647</v>
      </c>
      <c r="D263" s="67" t="s">
        <v>3648</v>
      </c>
      <c r="E263" s="96" t="s">
        <v>62</v>
      </c>
      <c r="F263" s="29" t="s">
        <v>61</v>
      </c>
      <c r="G263" s="29"/>
      <c r="H263" s="103">
        <f>_xlfn.XLOOKUP(B263,GM!$Q$5:$Q$756,GM!$J$5:$J$756)</f>
        <v>45202</v>
      </c>
    </row>
    <row r="264" spans="1:8" hidden="1" x14ac:dyDescent="0.35">
      <c r="A264" s="29" t="s">
        <v>14</v>
      </c>
      <c r="B264" s="29" t="str">
        <f t="shared" si="4"/>
        <v>CHV-65</v>
      </c>
      <c r="C264" s="29" t="s">
        <v>3649</v>
      </c>
      <c r="D264" s="67" t="s">
        <v>3650</v>
      </c>
      <c r="E264" s="96" t="s">
        <v>62</v>
      </c>
      <c r="F264" s="29" t="s">
        <v>61</v>
      </c>
      <c r="G264" s="29"/>
      <c r="H264" s="103">
        <f>_xlfn.XLOOKUP(B264,GM!$Q$5:$Q$756,GM!$J$5:$J$756)</f>
        <v>45202</v>
      </c>
    </row>
    <row r="265" spans="1:8" hidden="1" x14ac:dyDescent="0.35">
      <c r="A265" s="29" t="s">
        <v>14</v>
      </c>
      <c r="B265" s="29" t="str">
        <f t="shared" si="4"/>
        <v>CHV-66</v>
      </c>
      <c r="C265" s="29" t="s">
        <v>3651</v>
      </c>
      <c r="D265" s="67" t="s">
        <v>3652</v>
      </c>
      <c r="E265" s="96" t="s">
        <v>62</v>
      </c>
      <c r="F265" s="29" t="s">
        <v>61</v>
      </c>
      <c r="G265" s="29"/>
      <c r="H265" s="103">
        <f>_xlfn.XLOOKUP(B265,GM!$Q$5:$Q$756,GM!$J$5:$J$756)</f>
        <v>45202</v>
      </c>
    </row>
    <row r="266" spans="1:8" hidden="1" x14ac:dyDescent="0.35">
      <c r="A266" s="29" t="s">
        <v>14</v>
      </c>
      <c r="B266" s="29" t="str">
        <f t="shared" si="4"/>
        <v>CHV-67</v>
      </c>
      <c r="C266" s="29" t="s">
        <v>3653</v>
      </c>
      <c r="D266" s="67" t="s">
        <v>3654</v>
      </c>
      <c r="E266" s="96" t="s">
        <v>62</v>
      </c>
      <c r="F266" s="29" t="s">
        <v>61</v>
      </c>
      <c r="G266" s="29"/>
      <c r="H266" s="103" t="e">
        <f>_xlfn.XLOOKUP(B266,GM!$Q$5:$Q$756,GM!$J$5:$J$756)</f>
        <v>#N/A</v>
      </c>
    </row>
    <row r="267" spans="1:8" hidden="1" x14ac:dyDescent="0.35">
      <c r="A267" s="29" t="s">
        <v>14</v>
      </c>
      <c r="B267" s="29" t="str">
        <f t="shared" si="4"/>
        <v>CHV-68</v>
      </c>
      <c r="C267" s="29" t="s">
        <v>3655</v>
      </c>
      <c r="D267" s="67" t="s">
        <v>3656</v>
      </c>
      <c r="E267" s="96" t="s">
        <v>62</v>
      </c>
      <c r="F267" s="29" t="s">
        <v>61</v>
      </c>
      <c r="G267" s="29"/>
      <c r="H267" s="103" t="e">
        <f>_xlfn.XLOOKUP(B267,GM!$Q$5:$Q$756,GM!$J$5:$J$756)</f>
        <v>#N/A</v>
      </c>
    </row>
    <row r="268" spans="1:8" hidden="1" x14ac:dyDescent="0.35">
      <c r="A268" s="29" t="s">
        <v>16</v>
      </c>
      <c r="B268" s="29" t="str">
        <f t="shared" si="4"/>
        <v>CN1-00</v>
      </c>
      <c r="C268" s="29" t="s">
        <v>3657</v>
      </c>
      <c r="D268" s="67" t="s">
        <v>3658</v>
      </c>
      <c r="E268" s="96" t="s">
        <v>62</v>
      </c>
      <c r="F268" s="29" t="s">
        <v>61</v>
      </c>
      <c r="G268" s="29"/>
      <c r="H268" s="103">
        <f>_xlfn.XLOOKUP(B268,GM!$Q$5:$Q$756,GM!$J$5:$J$756)</f>
        <v>45202</v>
      </c>
    </row>
    <row r="269" spans="1:8" hidden="1" x14ac:dyDescent="0.35">
      <c r="A269" s="29" t="s">
        <v>16</v>
      </c>
      <c r="B269" s="29" t="str">
        <f t="shared" si="4"/>
        <v>CN1-00</v>
      </c>
      <c r="C269" s="29" t="s">
        <v>3659</v>
      </c>
      <c r="D269" s="67" t="s">
        <v>3660</v>
      </c>
      <c r="E269" s="96" t="s">
        <v>62</v>
      </c>
      <c r="F269" s="29" t="s">
        <v>61</v>
      </c>
      <c r="G269" s="29"/>
      <c r="H269" s="103">
        <f>_xlfn.XLOOKUP(B269,GM!$Q$5:$Q$756,GM!$J$5:$J$756)</f>
        <v>45202</v>
      </c>
    </row>
    <row r="270" spans="1:8" hidden="1" x14ac:dyDescent="0.35">
      <c r="A270" s="29" t="s">
        <v>16</v>
      </c>
      <c r="B270" s="29" t="str">
        <f t="shared" si="4"/>
        <v>CN1-00</v>
      </c>
      <c r="C270" s="29" t="s">
        <v>3661</v>
      </c>
      <c r="D270" s="67" t="s">
        <v>3662</v>
      </c>
      <c r="E270" s="96" t="s">
        <v>62</v>
      </c>
      <c r="F270" s="29" t="s">
        <v>61</v>
      </c>
      <c r="G270" s="29"/>
      <c r="H270" s="103">
        <f>_xlfn.XLOOKUP(B270,GM!$Q$5:$Q$756,GM!$J$5:$J$756)</f>
        <v>45202</v>
      </c>
    </row>
    <row r="271" spans="1:8" hidden="1" x14ac:dyDescent="0.35">
      <c r="A271" s="29" t="s">
        <v>16</v>
      </c>
      <c r="B271" s="29" t="str">
        <f t="shared" si="4"/>
        <v>CN1-00</v>
      </c>
      <c r="C271" s="29" t="s">
        <v>3663</v>
      </c>
      <c r="D271" s="67" t="s">
        <v>3664</v>
      </c>
      <c r="E271" s="96" t="s">
        <v>62</v>
      </c>
      <c r="F271" s="29" t="s">
        <v>61</v>
      </c>
      <c r="G271" s="29"/>
      <c r="H271" s="103">
        <f>_xlfn.XLOOKUP(B271,GM!$Q$5:$Q$756,GM!$J$5:$J$756)</f>
        <v>45202</v>
      </c>
    </row>
    <row r="272" spans="1:8" hidden="1" x14ac:dyDescent="0.35">
      <c r="A272" s="29" t="s">
        <v>16</v>
      </c>
      <c r="B272" s="29" t="str">
        <f t="shared" si="4"/>
        <v>CN1-00</v>
      </c>
      <c r="C272" s="29" t="s">
        <v>3665</v>
      </c>
      <c r="D272" s="67" t="s">
        <v>3666</v>
      </c>
      <c r="E272" s="96" t="s">
        <v>62</v>
      </c>
      <c r="F272" s="29" t="s">
        <v>61</v>
      </c>
      <c r="G272" s="29"/>
      <c r="H272" s="103">
        <f>_xlfn.XLOOKUP(B272,GM!$Q$5:$Q$756,GM!$J$5:$J$756)</f>
        <v>45202</v>
      </c>
    </row>
    <row r="273" spans="1:8" hidden="1" x14ac:dyDescent="0.35">
      <c r="A273" s="29" t="s">
        <v>16</v>
      </c>
      <c r="B273" s="29" t="str">
        <f t="shared" si="4"/>
        <v>CN1-00</v>
      </c>
      <c r="C273" s="29" t="s">
        <v>3667</v>
      </c>
      <c r="D273" s="67" t="s">
        <v>3668</v>
      </c>
      <c r="E273" s="96" t="s">
        <v>62</v>
      </c>
      <c r="F273" s="29" t="s">
        <v>61</v>
      </c>
      <c r="G273" s="29"/>
      <c r="H273" s="103">
        <f>_xlfn.XLOOKUP(B273,GM!$Q$5:$Q$756,GM!$J$5:$J$756)</f>
        <v>45202</v>
      </c>
    </row>
    <row r="274" spans="1:8" hidden="1" x14ac:dyDescent="0.35">
      <c r="A274" s="29" t="s">
        <v>16</v>
      </c>
      <c r="B274" s="29" t="str">
        <f t="shared" si="4"/>
        <v>CN1-00</v>
      </c>
      <c r="C274" s="29" t="s">
        <v>3669</v>
      </c>
      <c r="D274" s="67" t="s">
        <v>3670</v>
      </c>
      <c r="E274" s="96" t="s">
        <v>62</v>
      </c>
      <c r="F274" s="29" t="s">
        <v>61</v>
      </c>
      <c r="G274" s="29"/>
      <c r="H274" s="103">
        <f>_xlfn.XLOOKUP(B274,GM!$Q$5:$Q$756,GM!$J$5:$J$756)</f>
        <v>45202</v>
      </c>
    </row>
    <row r="275" spans="1:8" hidden="1" x14ac:dyDescent="0.35">
      <c r="A275" s="29" t="s">
        <v>16</v>
      </c>
      <c r="B275" s="29" t="str">
        <f t="shared" si="4"/>
        <v>CN1-00</v>
      </c>
      <c r="C275" s="29" t="s">
        <v>3671</v>
      </c>
      <c r="D275" s="67" t="s">
        <v>3672</v>
      </c>
      <c r="E275" s="96" t="s">
        <v>62</v>
      </c>
      <c r="F275" s="29" t="s">
        <v>61</v>
      </c>
      <c r="G275" s="29"/>
      <c r="H275" s="103">
        <f>_xlfn.XLOOKUP(B275,GM!$Q$5:$Q$756,GM!$J$5:$J$756)</f>
        <v>45202</v>
      </c>
    </row>
    <row r="276" spans="1:8" hidden="1" x14ac:dyDescent="0.35">
      <c r="A276" s="29" t="s">
        <v>16</v>
      </c>
      <c r="B276" s="29" t="str">
        <f t="shared" si="4"/>
        <v>CN1-00</v>
      </c>
      <c r="C276" s="29" t="s">
        <v>3673</v>
      </c>
      <c r="D276" s="67" t="s">
        <v>3674</v>
      </c>
      <c r="E276" s="96" t="s">
        <v>62</v>
      </c>
      <c r="F276" s="29" t="s">
        <v>61</v>
      </c>
      <c r="G276" s="29"/>
      <c r="H276" s="103">
        <f>_xlfn.XLOOKUP(B276,GM!$Q$5:$Q$756,GM!$J$5:$J$756)</f>
        <v>45202</v>
      </c>
    </row>
    <row r="277" spans="1:8" hidden="1" x14ac:dyDescent="0.35">
      <c r="A277" s="29" t="s">
        <v>16</v>
      </c>
      <c r="B277" s="29" t="str">
        <f t="shared" si="4"/>
        <v>CN1-01</v>
      </c>
      <c r="C277" s="29" t="s">
        <v>3675</v>
      </c>
      <c r="D277" s="67" t="s">
        <v>3676</v>
      </c>
      <c r="E277" s="96" t="s">
        <v>62</v>
      </c>
      <c r="F277" s="29" t="s">
        <v>61</v>
      </c>
      <c r="G277" s="29"/>
      <c r="H277" s="103">
        <f>_xlfn.XLOOKUP(B277,GM!$Q$5:$Q$756,GM!$J$5:$J$756)</f>
        <v>44739</v>
      </c>
    </row>
    <row r="278" spans="1:8" hidden="1" x14ac:dyDescent="0.35">
      <c r="A278" s="29" t="s">
        <v>16</v>
      </c>
      <c r="B278" s="29" t="str">
        <f t="shared" si="4"/>
        <v>CN1-01</v>
      </c>
      <c r="C278" s="29" t="s">
        <v>3677</v>
      </c>
      <c r="D278" s="67" t="s">
        <v>3678</v>
      </c>
      <c r="E278" s="96" t="s">
        <v>62</v>
      </c>
      <c r="F278" s="29" t="s">
        <v>61</v>
      </c>
      <c r="G278" s="29"/>
      <c r="H278" s="103">
        <f>_xlfn.XLOOKUP(B278,GM!$Q$5:$Q$756,GM!$J$5:$J$756)</f>
        <v>44739</v>
      </c>
    </row>
    <row r="279" spans="1:8" hidden="1" x14ac:dyDescent="0.35">
      <c r="A279" s="29" t="s">
        <v>16</v>
      </c>
      <c r="B279" s="29" t="str">
        <f t="shared" si="4"/>
        <v>CN1-01</v>
      </c>
      <c r="C279" s="29" t="s">
        <v>3679</v>
      </c>
      <c r="D279" s="67" t="s">
        <v>3680</v>
      </c>
      <c r="E279" s="96" t="s">
        <v>62</v>
      </c>
      <c r="F279" s="29" t="s">
        <v>61</v>
      </c>
      <c r="G279" s="29"/>
      <c r="H279" s="103">
        <f>_xlfn.XLOOKUP(B279,GM!$Q$5:$Q$756,GM!$J$5:$J$756)</f>
        <v>44739</v>
      </c>
    </row>
    <row r="280" spans="1:8" hidden="1" x14ac:dyDescent="0.35">
      <c r="A280" s="29" t="s">
        <v>16</v>
      </c>
      <c r="B280" s="29" t="str">
        <f t="shared" si="4"/>
        <v>CN1-01</v>
      </c>
      <c r="C280" s="29" t="s">
        <v>3681</v>
      </c>
      <c r="D280" s="67" t="s">
        <v>3682</v>
      </c>
      <c r="E280" s="96" t="s">
        <v>62</v>
      </c>
      <c r="F280" s="29" t="s">
        <v>61</v>
      </c>
      <c r="G280" s="29"/>
      <c r="H280" s="103">
        <f>_xlfn.XLOOKUP(B280,GM!$Q$5:$Q$756,GM!$J$5:$J$756)</f>
        <v>44739</v>
      </c>
    </row>
    <row r="281" spans="1:8" hidden="1" x14ac:dyDescent="0.35">
      <c r="A281" s="29" t="s">
        <v>16</v>
      </c>
      <c r="B281" s="29" t="str">
        <f t="shared" si="4"/>
        <v>CN1-01</v>
      </c>
      <c r="C281" s="29" t="s">
        <v>3683</v>
      </c>
      <c r="D281" s="67" t="s">
        <v>3684</v>
      </c>
      <c r="E281" s="96" t="s">
        <v>62</v>
      </c>
      <c r="F281" s="29" t="s">
        <v>61</v>
      </c>
      <c r="G281" s="29"/>
      <c r="H281" s="103">
        <f>_xlfn.XLOOKUP(B281,GM!$Q$5:$Q$756,GM!$J$5:$J$756)</f>
        <v>44739</v>
      </c>
    </row>
    <row r="282" spans="1:8" hidden="1" x14ac:dyDescent="0.35">
      <c r="A282" s="29" t="s">
        <v>16</v>
      </c>
      <c r="B282" s="29" t="str">
        <f t="shared" si="4"/>
        <v>CN1-01</v>
      </c>
      <c r="C282" s="29" t="s">
        <v>3685</v>
      </c>
      <c r="D282" s="67" t="s">
        <v>3686</v>
      </c>
      <c r="E282" s="96" t="s">
        <v>62</v>
      </c>
      <c r="F282" s="29" t="s">
        <v>61</v>
      </c>
      <c r="G282" s="29"/>
      <c r="H282" s="103">
        <f>_xlfn.XLOOKUP(B282,GM!$Q$5:$Q$756,GM!$J$5:$J$756)</f>
        <v>44739</v>
      </c>
    </row>
    <row r="283" spans="1:8" hidden="1" x14ac:dyDescent="0.35">
      <c r="A283" s="29" t="s">
        <v>16</v>
      </c>
      <c r="B283" s="29" t="str">
        <f t="shared" si="4"/>
        <v>CN1-01</v>
      </c>
      <c r="C283" s="29" t="s">
        <v>3687</v>
      </c>
      <c r="D283" s="67" t="s">
        <v>3688</v>
      </c>
      <c r="E283" s="96" t="s">
        <v>62</v>
      </c>
      <c r="F283" s="29" t="s">
        <v>61</v>
      </c>
      <c r="G283" s="29"/>
      <c r="H283" s="103">
        <f>_xlfn.XLOOKUP(B283,GM!$Q$5:$Q$756,GM!$J$5:$J$756)</f>
        <v>44739</v>
      </c>
    </row>
    <row r="284" spans="1:8" hidden="1" x14ac:dyDescent="0.35">
      <c r="A284" s="29" t="s">
        <v>16</v>
      </c>
      <c r="B284" s="29" t="str">
        <f t="shared" si="4"/>
        <v>CN1-01</v>
      </c>
      <c r="C284" s="29" t="s">
        <v>3689</v>
      </c>
      <c r="D284" s="67" t="s">
        <v>3690</v>
      </c>
      <c r="E284" s="96" t="s">
        <v>62</v>
      </c>
      <c r="F284" s="29" t="s">
        <v>61</v>
      </c>
      <c r="G284" s="29"/>
      <c r="H284" s="103">
        <f>_xlfn.XLOOKUP(B284,GM!$Q$5:$Q$756,GM!$J$5:$J$756)</f>
        <v>44739</v>
      </c>
    </row>
    <row r="285" spans="1:8" hidden="1" x14ac:dyDescent="0.35">
      <c r="A285" s="29" t="s">
        <v>16</v>
      </c>
      <c r="B285" s="29" t="str">
        <f t="shared" si="4"/>
        <v>CN1-01</v>
      </c>
      <c r="C285" s="29" t="s">
        <v>3691</v>
      </c>
      <c r="D285" s="67" t="s">
        <v>3692</v>
      </c>
      <c r="E285" s="96" t="s">
        <v>62</v>
      </c>
      <c r="F285" s="29" t="s">
        <v>61</v>
      </c>
      <c r="G285" s="29"/>
      <c r="H285" s="103">
        <f>_xlfn.XLOOKUP(B285,GM!$Q$5:$Q$756,GM!$J$5:$J$756)</f>
        <v>44739</v>
      </c>
    </row>
    <row r="286" spans="1:8" hidden="1" x14ac:dyDescent="0.35">
      <c r="A286" s="29" t="s">
        <v>16</v>
      </c>
      <c r="B286" s="29" t="str">
        <f t="shared" si="4"/>
        <v>CN1-01</v>
      </c>
      <c r="C286" s="29" t="s">
        <v>3693</v>
      </c>
      <c r="D286" s="67" t="s">
        <v>3694</v>
      </c>
      <c r="E286" s="96" t="s">
        <v>62</v>
      </c>
      <c r="F286" s="29" t="s">
        <v>61</v>
      </c>
      <c r="G286" s="29"/>
      <c r="H286" s="103">
        <f>_xlfn.XLOOKUP(B286,GM!$Q$5:$Q$756,GM!$J$5:$J$756)</f>
        <v>44739</v>
      </c>
    </row>
    <row r="287" spans="1:8" hidden="1" x14ac:dyDescent="0.35">
      <c r="A287" s="29" t="s">
        <v>16</v>
      </c>
      <c r="B287" s="29" t="str">
        <f t="shared" si="4"/>
        <v>CN1-01</v>
      </c>
      <c r="C287" s="29" t="s">
        <v>3695</v>
      </c>
      <c r="D287" s="67" t="s">
        <v>3696</v>
      </c>
      <c r="E287" s="96" t="s">
        <v>62</v>
      </c>
      <c r="F287" s="29" t="s">
        <v>61</v>
      </c>
      <c r="G287" s="29"/>
      <c r="H287" s="103">
        <f>_xlfn.XLOOKUP(B287,GM!$Q$5:$Q$756,GM!$J$5:$J$756)</f>
        <v>44739</v>
      </c>
    </row>
    <row r="288" spans="1:8" hidden="1" x14ac:dyDescent="0.35">
      <c r="A288" s="29" t="s">
        <v>16</v>
      </c>
      <c r="B288" s="29" t="str">
        <f t="shared" si="4"/>
        <v>CN1-01</v>
      </c>
      <c r="C288" s="29" t="s">
        <v>3697</v>
      </c>
      <c r="D288" s="67" t="s">
        <v>3698</v>
      </c>
      <c r="E288" s="96" t="s">
        <v>62</v>
      </c>
      <c r="F288" s="29" t="s">
        <v>61</v>
      </c>
      <c r="G288" s="29"/>
      <c r="H288" s="103">
        <f>_xlfn.XLOOKUP(B288,GM!$Q$5:$Q$756,GM!$J$5:$J$756)</f>
        <v>44739</v>
      </c>
    </row>
    <row r="289" spans="1:8" hidden="1" x14ac:dyDescent="0.35">
      <c r="A289" s="29" t="s">
        <v>16</v>
      </c>
      <c r="B289" s="29" t="str">
        <f t="shared" si="4"/>
        <v>CN1-01</v>
      </c>
      <c r="C289" s="29" t="s">
        <v>3699</v>
      </c>
      <c r="D289" s="67" t="s">
        <v>3700</v>
      </c>
      <c r="E289" s="96" t="s">
        <v>62</v>
      </c>
      <c r="F289" s="29" t="s">
        <v>61</v>
      </c>
      <c r="G289" s="29"/>
      <c r="H289" s="103">
        <f>_xlfn.XLOOKUP(B289,GM!$Q$5:$Q$756,GM!$J$5:$J$756)</f>
        <v>44739</v>
      </c>
    </row>
    <row r="290" spans="1:8" hidden="1" x14ac:dyDescent="0.35">
      <c r="A290" s="29" t="s">
        <v>16</v>
      </c>
      <c r="B290" s="29" t="str">
        <f t="shared" si="4"/>
        <v>CN1-01</v>
      </c>
      <c r="C290" s="29" t="s">
        <v>3701</v>
      </c>
      <c r="D290" s="67" t="s">
        <v>3702</v>
      </c>
      <c r="E290" s="96" t="s">
        <v>62</v>
      </c>
      <c r="F290" s="29" t="s">
        <v>61</v>
      </c>
      <c r="G290" s="29"/>
      <c r="H290" s="103">
        <f>_xlfn.XLOOKUP(B290,GM!$Q$5:$Q$756,GM!$J$5:$J$756)</f>
        <v>44739</v>
      </c>
    </row>
    <row r="291" spans="1:8" hidden="1" x14ac:dyDescent="0.35">
      <c r="A291" s="29" t="s">
        <v>16</v>
      </c>
      <c r="B291" s="29" t="str">
        <f t="shared" si="4"/>
        <v>CN1-01</v>
      </c>
      <c r="C291" s="29" t="s">
        <v>3703</v>
      </c>
      <c r="D291" s="67" t="s">
        <v>3704</v>
      </c>
      <c r="E291" s="96" t="s">
        <v>62</v>
      </c>
      <c r="F291" s="29" t="s">
        <v>61</v>
      </c>
      <c r="G291" s="29"/>
      <c r="H291" s="103">
        <f>_xlfn.XLOOKUP(B291,GM!$Q$5:$Q$756,GM!$J$5:$J$756)</f>
        <v>44739</v>
      </c>
    </row>
    <row r="292" spans="1:8" hidden="1" x14ac:dyDescent="0.35">
      <c r="A292" s="29" t="s">
        <v>16</v>
      </c>
      <c r="B292" s="29" t="str">
        <f t="shared" si="4"/>
        <v>CN1-01</v>
      </c>
      <c r="C292" s="29" t="s">
        <v>3705</v>
      </c>
      <c r="D292" s="67" t="s">
        <v>3706</v>
      </c>
      <c r="E292" s="96" t="s">
        <v>62</v>
      </c>
      <c r="F292" s="29" t="s">
        <v>61</v>
      </c>
      <c r="G292" s="29"/>
      <c r="H292" s="103">
        <f>_xlfn.XLOOKUP(B292,GM!$Q$5:$Q$756,GM!$J$5:$J$756)</f>
        <v>44739</v>
      </c>
    </row>
    <row r="293" spans="1:8" hidden="1" x14ac:dyDescent="0.35">
      <c r="A293" s="29" t="s">
        <v>16</v>
      </c>
      <c r="B293" s="29" t="str">
        <f t="shared" si="4"/>
        <v>CN1-01</v>
      </c>
      <c r="C293" s="29" t="s">
        <v>3707</v>
      </c>
      <c r="D293" s="67" t="s">
        <v>3708</v>
      </c>
      <c r="E293" s="96" t="s">
        <v>62</v>
      </c>
      <c r="F293" s="29" t="s">
        <v>61</v>
      </c>
      <c r="G293" s="29"/>
      <c r="H293" s="103">
        <f>_xlfn.XLOOKUP(B293,GM!$Q$5:$Q$756,GM!$J$5:$J$756)</f>
        <v>44739</v>
      </c>
    </row>
    <row r="294" spans="1:8" hidden="1" x14ac:dyDescent="0.35">
      <c r="A294" s="29" t="s">
        <v>16</v>
      </c>
      <c r="B294" s="29" t="str">
        <f t="shared" si="4"/>
        <v>CN1-01</v>
      </c>
      <c r="C294" s="29" t="s">
        <v>3709</v>
      </c>
      <c r="D294" s="67" t="s">
        <v>3710</v>
      </c>
      <c r="E294" s="96" t="s">
        <v>62</v>
      </c>
      <c r="F294" s="29" t="s">
        <v>61</v>
      </c>
      <c r="G294" s="29"/>
      <c r="H294" s="103">
        <f>_xlfn.XLOOKUP(B294,GM!$Q$5:$Q$756,GM!$J$5:$J$756)</f>
        <v>44739</v>
      </c>
    </row>
    <row r="295" spans="1:8" hidden="1" x14ac:dyDescent="0.35">
      <c r="A295" s="29" t="s">
        <v>16</v>
      </c>
      <c r="B295" s="29" t="str">
        <f t="shared" si="4"/>
        <v>CN1-01</v>
      </c>
      <c r="C295" s="29" t="s">
        <v>3711</v>
      </c>
      <c r="D295" s="67" t="s">
        <v>3712</v>
      </c>
      <c r="E295" s="96" t="s">
        <v>62</v>
      </c>
      <c r="F295" s="29" t="s">
        <v>61</v>
      </c>
      <c r="G295" s="29"/>
      <c r="H295" s="103">
        <f>_xlfn.XLOOKUP(B295,GM!$Q$5:$Q$756,GM!$J$5:$J$756)</f>
        <v>44739</v>
      </c>
    </row>
    <row r="296" spans="1:8" hidden="1" x14ac:dyDescent="0.35">
      <c r="A296" s="29" t="s">
        <v>16</v>
      </c>
      <c r="B296" s="29" t="str">
        <f t="shared" si="4"/>
        <v>CN1-01</v>
      </c>
      <c r="C296" s="29" t="s">
        <v>3713</v>
      </c>
      <c r="D296" s="67" t="s">
        <v>3714</v>
      </c>
      <c r="E296" s="96" t="s">
        <v>62</v>
      </c>
      <c r="F296" s="29" t="s">
        <v>61</v>
      </c>
      <c r="G296" s="29"/>
      <c r="H296" s="103">
        <f>_xlfn.XLOOKUP(B296,GM!$Q$5:$Q$756,GM!$J$5:$J$756)</f>
        <v>44739</v>
      </c>
    </row>
    <row r="297" spans="1:8" hidden="1" x14ac:dyDescent="0.35">
      <c r="A297" s="29" t="s">
        <v>16</v>
      </c>
      <c r="B297" s="29" t="str">
        <f t="shared" si="4"/>
        <v>CN1-01</v>
      </c>
      <c r="C297" s="29" t="s">
        <v>3715</v>
      </c>
      <c r="D297" s="67" t="s">
        <v>3716</v>
      </c>
      <c r="E297" s="96" t="s">
        <v>62</v>
      </c>
      <c r="F297" s="29" t="s">
        <v>61</v>
      </c>
      <c r="G297" s="29"/>
      <c r="H297" s="103">
        <f>_xlfn.XLOOKUP(B297,GM!$Q$5:$Q$756,GM!$J$5:$J$756)</f>
        <v>44739</v>
      </c>
    </row>
    <row r="298" spans="1:8" hidden="1" x14ac:dyDescent="0.35">
      <c r="A298" s="29" t="s">
        <v>16</v>
      </c>
      <c r="B298" s="29" t="str">
        <f t="shared" si="4"/>
        <v>CN1-01</v>
      </c>
      <c r="C298" s="29" t="s">
        <v>3717</v>
      </c>
      <c r="D298" s="67" t="s">
        <v>3718</v>
      </c>
      <c r="E298" s="96" t="s">
        <v>62</v>
      </c>
      <c r="F298" s="29" t="s">
        <v>61</v>
      </c>
      <c r="G298" s="29"/>
      <c r="H298" s="103">
        <f>_xlfn.XLOOKUP(B298,GM!$Q$5:$Q$756,GM!$J$5:$J$756)</f>
        <v>44739</v>
      </c>
    </row>
    <row r="299" spans="1:8" hidden="1" x14ac:dyDescent="0.35">
      <c r="A299" s="29" t="s">
        <v>16</v>
      </c>
      <c r="B299" s="29" t="str">
        <f t="shared" si="4"/>
        <v>CN1-01</v>
      </c>
      <c r="C299" s="29" t="s">
        <v>3719</v>
      </c>
      <c r="D299" s="67" t="s">
        <v>3720</v>
      </c>
      <c r="E299" s="96" t="s">
        <v>62</v>
      </c>
      <c r="F299" s="29" t="s">
        <v>61</v>
      </c>
      <c r="G299" s="29"/>
      <c r="H299" s="103">
        <f>_xlfn.XLOOKUP(B299,GM!$Q$5:$Q$756,GM!$J$5:$J$756)</f>
        <v>44739</v>
      </c>
    </row>
    <row r="300" spans="1:8" hidden="1" x14ac:dyDescent="0.35">
      <c r="A300" s="29" t="s">
        <v>16</v>
      </c>
      <c r="B300" s="29" t="str">
        <f t="shared" si="4"/>
        <v>CN1-01</v>
      </c>
      <c r="C300" s="29" t="s">
        <v>3721</v>
      </c>
      <c r="D300" s="67" t="s">
        <v>3722</v>
      </c>
      <c r="E300" s="96" t="s">
        <v>62</v>
      </c>
      <c r="F300" s="29" t="s">
        <v>61</v>
      </c>
      <c r="G300" s="29"/>
      <c r="H300" s="103">
        <f>_xlfn.XLOOKUP(B300,GM!$Q$5:$Q$756,GM!$J$5:$J$756)</f>
        <v>44739</v>
      </c>
    </row>
    <row r="301" spans="1:8" hidden="1" x14ac:dyDescent="0.35">
      <c r="A301" s="29" t="s">
        <v>16</v>
      </c>
      <c r="B301" s="29" t="str">
        <f t="shared" si="4"/>
        <v>CN1-01</v>
      </c>
      <c r="C301" s="29" t="s">
        <v>3723</v>
      </c>
      <c r="D301" s="67" t="s">
        <v>3724</v>
      </c>
      <c r="E301" s="96" t="s">
        <v>62</v>
      </c>
      <c r="F301" s="29" t="s">
        <v>61</v>
      </c>
      <c r="G301" s="29"/>
      <c r="H301" s="103">
        <f>_xlfn.XLOOKUP(B301,GM!$Q$5:$Q$756,GM!$J$5:$J$756)</f>
        <v>44739</v>
      </c>
    </row>
    <row r="302" spans="1:8" hidden="1" x14ac:dyDescent="0.35">
      <c r="A302" s="29" t="s">
        <v>16</v>
      </c>
      <c r="B302" s="29" t="str">
        <f t="shared" si="4"/>
        <v>CN1-01</v>
      </c>
      <c r="C302" s="29" t="s">
        <v>3725</v>
      </c>
      <c r="D302" s="67" t="s">
        <v>3726</v>
      </c>
      <c r="E302" s="96" t="s">
        <v>62</v>
      </c>
      <c r="F302" s="29" t="s">
        <v>61</v>
      </c>
      <c r="G302" s="29"/>
      <c r="H302" s="103">
        <f>_xlfn.XLOOKUP(B302,GM!$Q$5:$Q$756,GM!$J$5:$J$756)</f>
        <v>44739</v>
      </c>
    </row>
    <row r="303" spans="1:8" hidden="1" x14ac:dyDescent="0.35">
      <c r="A303" s="29" t="s">
        <v>16</v>
      </c>
      <c r="B303" s="29" t="str">
        <f t="shared" si="4"/>
        <v>CN1-02</v>
      </c>
      <c r="C303" s="29" t="s">
        <v>3727</v>
      </c>
      <c r="D303" s="67" t="s">
        <v>3728</v>
      </c>
      <c r="E303" s="96" t="s">
        <v>62</v>
      </c>
      <c r="F303" s="29" t="s">
        <v>61</v>
      </c>
      <c r="G303" s="29"/>
      <c r="H303" s="103">
        <f>_xlfn.XLOOKUP(B303,GM!$Q$5:$Q$756,GM!$J$5:$J$756)</f>
        <v>44739</v>
      </c>
    </row>
    <row r="304" spans="1:8" hidden="1" x14ac:dyDescent="0.35">
      <c r="A304" s="29" t="s">
        <v>16</v>
      </c>
      <c r="B304" s="29" t="str">
        <f t="shared" si="4"/>
        <v>CN1-02</v>
      </c>
      <c r="C304" s="29" t="s">
        <v>3729</v>
      </c>
      <c r="D304" s="67" t="s">
        <v>3730</v>
      </c>
      <c r="E304" s="96" t="s">
        <v>62</v>
      </c>
      <c r="F304" s="29" t="s">
        <v>61</v>
      </c>
      <c r="G304" s="29"/>
      <c r="H304" s="103">
        <f>_xlfn.XLOOKUP(B304,GM!$Q$5:$Q$756,GM!$J$5:$J$756)</f>
        <v>44739</v>
      </c>
    </row>
    <row r="305" spans="1:8" hidden="1" x14ac:dyDescent="0.35">
      <c r="A305" s="29" t="s">
        <v>16</v>
      </c>
      <c r="B305" s="29" t="str">
        <f t="shared" si="4"/>
        <v>CN1-02</v>
      </c>
      <c r="C305" s="29" t="s">
        <v>3731</v>
      </c>
      <c r="D305" s="67" t="s">
        <v>3732</v>
      </c>
      <c r="E305" s="96" t="s">
        <v>62</v>
      </c>
      <c r="F305" s="29" t="s">
        <v>61</v>
      </c>
      <c r="G305" s="29"/>
      <c r="H305" s="103">
        <f>_xlfn.XLOOKUP(B305,GM!$Q$5:$Q$756,GM!$J$5:$J$756)</f>
        <v>44739</v>
      </c>
    </row>
    <row r="306" spans="1:8" hidden="1" x14ac:dyDescent="0.35">
      <c r="A306" s="29" t="s">
        <v>16</v>
      </c>
      <c r="B306" s="29" t="str">
        <f t="shared" si="4"/>
        <v>CN1-02</v>
      </c>
      <c r="C306" s="29" t="s">
        <v>3733</v>
      </c>
      <c r="D306" s="67" t="s">
        <v>3734</v>
      </c>
      <c r="E306" s="96" t="s">
        <v>62</v>
      </c>
      <c r="F306" s="29" t="s">
        <v>61</v>
      </c>
      <c r="G306" s="29"/>
      <c r="H306" s="103">
        <f>_xlfn.XLOOKUP(B306,GM!$Q$5:$Q$756,GM!$J$5:$J$756)</f>
        <v>44739</v>
      </c>
    </row>
    <row r="307" spans="1:8" hidden="1" x14ac:dyDescent="0.35">
      <c r="A307" s="29" t="s">
        <v>16</v>
      </c>
      <c r="B307" s="29" t="str">
        <f t="shared" si="4"/>
        <v>CN1-02</v>
      </c>
      <c r="C307" s="29" t="s">
        <v>3735</v>
      </c>
      <c r="D307" s="67" t="s">
        <v>3736</v>
      </c>
      <c r="E307" s="96" t="s">
        <v>62</v>
      </c>
      <c r="F307" s="29" t="s">
        <v>61</v>
      </c>
      <c r="G307" s="29"/>
      <c r="H307" s="103">
        <f>_xlfn.XLOOKUP(B307,GM!$Q$5:$Q$756,GM!$J$5:$J$756)</f>
        <v>44739</v>
      </c>
    </row>
    <row r="308" spans="1:8" hidden="1" x14ac:dyDescent="0.35">
      <c r="A308" s="29" t="s">
        <v>16</v>
      </c>
      <c r="B308" s="29" t="str">
        <f t="shared" si="4"/>
        <v>CN1-02</v>
      </c>
      <c r="C308" s="29" t="s">
        <v>3737</v>
      </c>
      <c r="D308" s="67" t="s">
        <v>3738</v>
      </c>
      <c r="E308" s="96" t="s">
        <v>62</v>
      </c>
      <c r="F308" s="29" t="s">
        <v>61</v>
      </c>
      <c r="G308" s="29"/>
      <c r="H308" s="103">
        <f>_xlfn.XLOOKUP(B308,GM!$Q$5:$Q$756,GM!$J$5:$J$756)</f>
        <v>44739</v>
      </c>
    </row>
    <row r="309" spans="1:8" hidden="1" x14ac:dyDescent="0.35">
      <c r="A309" s="29" t="s">
        <v>16</v>
      </c>
      <c r="B309" s="29" t="str">
        <f t="shared" si="4"/>
        <v>CN1-02</v>
      </c>
      <c r="C309" s="29" t="s">
        <v>3739</v>
      </c>
      <c r="D309" s="67" t="s">
        <v>3740</v>
      </c>
      <c r="E309" s="96" t="s">
        <v>62</v>
      </c>
      <c r="F309" s="29" t="s">
        <v>61</v>
      </c>
      <c r="G309" s="29"/>
      <c r="H309" s="103">
        <f>_xlfn.XLOOKUP(B309,GM!$Q$5:$Q$756,GM!$J$5:$J$756)</f>
        <v>44739</v>
      </c>
    </row>
    <row r="310" spans="1:8" hidden="1" x14ac:dyDescent="0.35">
      <c r="A310" s="29" t="s">
        <v>16</v>
      </c>
      <c r="B310" s="29" t="str">
        <f t="shared" si="4"/>
        <v>CN1-02</v>
      </c>
      <c r="C310" s="29" t="s">
        <v>3741</v>
      </c>
      <c r="D310" s="67" t="s">
        <v>3742</v>
      </c>
      <c r="E310" s="96" t="s">
        <v>62</v>
      </c>
      <c r="F310" s="29" t="s">
        <v>61</v>
      </c>
      <c r="G310" s="29"/>
      <c r="H310" s="103">
        <f>_xlfn.XLOOKUP(B310,GM!$Q$5:$Q$756,GM!$J$5:$J$756)</f>
        <v>44739</v>
      </c>
    </row>
    <row r="311" spans="1:8" hidden="1" x14ac:dyDescent="0.35">
      <c r="A311" s="29" t="s">
        <v>16</v>
      </c>
      <c r="B311" s="29" t="str">
        <f t="shared" si="4"/>
        <v>CN1-02</v>
      </c>
      <c r="C311" s="29" t="s">
        <v>3743</v>
      </c>
      <c r="D311" s="67" t="s">
        <v>3744</v>
      </c>
      <c r="E311" s="96" t="s">
        <v>62</v>
      </c>
      <c r="F311" s="29" t="s">
        <v>61</v>
      </c>
      <c r="G311" s="29"/>
      <c r="H311" s="103">
        <f>_xlfn.XLOOKUP(B311,GM!$Q$5:$Q$756,GM!$J$5:$J$756)</f>
        <v>44739</v>
      </c>
    </row>
    <row r="312" spans="1:8" hidden="1" x14ac:dyDescent="0.35">
      <c r="A312" s="29" t="s">
        <v>16</v>
      </c>
      <c r="B312" s="29" t="str">
        <f t="shared" si="4"/>
        <v>CN1-02</v>
      </c>
      <c r="C312" s="29" t="s">
        <v>3745</v>
      </c>
      <c r="D312" s="67" t="s">
        <v>3746</v>
      </c>
      <c r="E312" s="96" t="s">
        <v>62</v>
      </c>
      <c r="F312" s="29" t="s">
        <v>61</v>
      </c>
      <c r="G312" s="29"/>
      <c r="H312" s="103">
        <f>_xlfn.XLOOKUP(B312,GM!$Q$5:$Q$756,GM!$J$5:$J$756)</f>
        <v>44739</v>
      </c>
    </row>
    <row r="313" spans="1:8" hidden="1" x14ac:dyDescent="0.35">
      <c r="A313" s="29" t="s">
        <v>16</v>
      </c>
      <c r="B313" s="29" t="str">
        <f t="shared" si="4"/>
        <v>CN1-02</v>
      </c>
      <c r="C313" s="29" t="s">
        <v>3747</v>
      </c>
      <c r="D313" s="67" t="s">
        <v>3748</v>
      </c>
      <c r="E313" s="96" t="s">
        <v>62</v>
      </c>
      <c r="F313" s="29" t="s">
        <v>61</v>
      </c>
      <c r="G313" s="29"/>
      <c r="H313" s="103">
        <f>_xlfn.XLOOKUP(B313,GM!$Q$5:$Q$756,GM!$J$5:$J$756)</f>
        <v>44739</v>
      </c>
    </row>
    <row r="314" spans="1:8" hidden="1" x14ac:dyDescent="0.35">
      <c r="A314" s="29" t="s">
        <v>16</v>
      </c>
      <c r="B314" s="29" t="str">
        <f t="shared" si="4"/>
        <v>CN1-02</v>
      </c>
      <c r="C314" s="29" t="s">
        <v>3749</v>
      </c>
      <c r="D314" s="67" t="s">
        <v>3750</v>
      </c>
      <c r="E314" s="96" t="s">
        <v>62</v>
      </c>
      <c r="F314" s="29" t="s">
        <v>61</v>
      </c>
      <c r="G314" s="29"/>
      <c r="H314" s="103">
        <f>_xlfn.XLOOKUP(B314,GM!$Q$5:$Q$756,GM!$J$5:$J$756)</f>
        <v>44739</v>
      </c>
    </row>
    <row r="315" spans="1:8" hidden="1" x14ac:dyDescent="0.35">
      <c r="A315" s="29" t="s">
        <v>16</v>
      </c>
      <c r="B315" s="29" t="str">
        <f t="shared" si="4"/>
        <v>CN1-02</v>
      </c>
      <c r="C315" s="29" t="s">
        <v>3751</v>
      </c>
      <c r="D315" s="67" t="s">
        <v>3752</v>
      </c>
      <c r="E315" s="96" t="s">
        <v>62</v>
      </c>
      <c r="F315" s="29" t="s">
        <v>61</v>
      </c>
      <c r="G315" s="29"/>
      <c r="H315" s="103">
        <f>_xlfn.XLOOKUP(B315,GM!$Q$5:$Q$756,GM!$J$5:$J$756)</f>
        <v>44739</v>
      </c>
    </row>
    <row r="316" spans="1:8" hidden="1" x14ac:dyDescent="0.35">
      <c r="A316" s="29" t="s">
        <v>16</v>
      </c>
      <c r="B316" s="29" t="str">
        <f t="shared" si="4"/>
        <v>CN1-02</v>
      </c>
      <c r="C316" s="29" t="s">
        <v>3753</v>
      </c>
      <c r="D316" s="67" t="s">
        <v>3754</v>
      </c>
      <c r="E316" s="96" t="s">
        <v>62</v>
      </c>
      <c r="F316" s="29" t="s">
        <v>61</v>
      </c>
      <c r="G316" s="29"/>
      <c r="H316" s="103">
        <f>_xlfn.XLOOKUP(B316,GM!$Q$5:$Q$756,GM!$J$5:$J$756)</f>
        <v>44739</v>
      </c>
    </row>
    <row r="317" spans="1:8" hidden="1" x14ac:dyDescent="0.35">
      <c r="A317" s="29" t="s">
        <v>16</v>
      </c>
      <c r="B317" s="29" t="str">
        <f t="shared" si="4"/>
        <v>CN1-02</v>
      </c>
      <c r="C317" s="29" t="s">
        <v>3755</v>
      </c>
      <c r="D317" s="67" t="s">
        <v>3756</v>
      </c>
      <c r="E317" s="96" t="s">
        <v>62</v>
      </c>
      <c r="F317" s="29" t="s">
        <v>61</v>
      </c>
      <c r="G317" s="29"/>
      <c r="H317" s="103">
        <f>_xlfn.XLOOKUP(B317,GM!$Q$5:$Q$756,GM!$J$5:$J$756)</f>
        <v>44739</v>
      </c>
    </row>
    <row r="318" spans="1:8" hidden="1" x14ac:dyDescent="0.35">
      <c r="A318" s="29" t="s">
        <v>16</v>
      </c>
      <c r="B318" s="29" t="str">
        <f t="shared" si="4"/>
        <v>CN1-02</v>
      </c>
      <c r="C318" s="29" t="s">
        <v>3757</v>
      </c>
      <c r="D318" s="67" t="s">
        <v>3758</v>
      </c>
      <c r="E318" s="96" t="s">
        <v>62</v>
      </c>
      <c r="F318" s="29" t="s">
        <v>61</v>
      </c>
      <c r="G318" s="29"/>
      <c r="H318" s="103">
        <f>_xlfn.XLOOKUP(B318,GM!$Q$5:$Q$756,GM!$J$5:$J$756)</f>
        <v>44739</v>
      </c>
    </row>
    <row r="319" spans="1:8" hidden="1" x14ac:dyDescent="0.35">
      <c r="A319" s="29" t="s">
        <v>16</v>
      </c>
      <c r="B319" s="29" t="str">
        <f t="shared" si="4"/>
        <v>CN1-02</v>
      </c>
      <c r="C319" s="29" t="s">
        <v>3759</v>
      </c>
      <c r="D319" s="67" t="s">
        <v>3760</v>
      </c>
      <c r="E319" s="96" t="s">
        <v>62</v>
      </c>
      <c r="F319" s="29" t="s">
        <v>61</v>
      </c>
      <c r="G319" s="29"/>
      <c r="H319" s="103">
        <f>_xlfn.XLOOKUP(B319,GM!$Q$5:$Q$756,GM!$J$5:$J$756)</f>
        <v>44739</v>
      </c>
    </row>
    <row r="320" spans="1:8" hidden="1" x14ac:dyDescent="0.35">
      <c r="A320" s="29" t="s">
        <v>16</v>
      </c>
      <c r="B320" s="29" t="str">
        <f t="shared" si="4"/>
        <v>CN1-02</v>
      </c>
      <c r="C320" s="29" t="s">
        <v>3761</v>
      </c>
      <c r="D320" s="67" t="s">
        <v>3762</v>
      </c>
      <c r="E320" s="96" t="s">
        <v>62</v>
      </c>
      <c r="F320" s="29" t="s">
        <v>61</v>
      </c>
      <c r="G320" s="29"/>
      <c r="H320" s="103">
        <f>_xlfn.XLOOKUP(B320,GM!$Q$5:$Q$756,GM!$J$5:$J$756)</f>
        <v>44739</v>
      </c>
    </row>
    <row r="321" spans="1:8" hidden="1" x14ac:dyDescent="0.35">
      <c r="A321" s="29" t="s">
        <v>16</v>
      </c>
      <c r="B321" s="29" t="str">
        <f t="shared" si="4"/>
        <v>CN1-02</v>
      </c>
      <c r="C321" s="29" t="s">
        <v>3763</v>
      </c>
      <c r="D321" s="67" t="s">
        <v>3764</v>
      </c>
      <c r="E321" s="96" t="s">
        <v>62</v>
      </c>
      <c r="F321" s="29" t="s">
        <v>61</v>
      </c>
      <c r="G321" s="29"/>
      <c r="H321" s="103">
        <f>_xlfn.XLOOKUP(B321,GM!$Q$5:$Q$756,GM!$J$5:$J$756)</f>
        <v>44739</v>
      </c>
    </row>
    <row r="322" spans="1:8" hidden="1" x14ac:dyDescent="0.35">
      <c r="A322" s="29" t="s">
        <v>16</v>
      </c>
      <c r="B322" s="29" t="str">
        <f t="shared" si="4"/>
        <v>CN1-03</v>
      </c>
      <c r="C322" s="29" t="s">
        <v>3765</v>
      </c>
      <c r="D322" s="67" t="s">
        <v>3766</v>
      </c>
      <c r="E322" s="96" t="s">
        <v>62</v>
      </c>
      <c r="F322" s="29" t="s">
        <v>61</v>
      </c>
      <c r="G322" s="29"/>
      <c r="H322" s="103">
        <f>_xlfn.XLOOKUP(B322,GM!$Q$5:$Q$756,GM!$J$5:$J$756)</f>
        <v>45506</v>
      </c>
    </row>
    <row r="323" spans="1:8" hidden="1" x14ac:dyDescent="0.35">
      <c r="A323" s="29" t="s">
        <v>16</v>
      </c>
      <c r="B323" s="29" t="str">
        <f t="shared" si="4"/>
        <v>CN1-03</v>
      </c>
      <c r="C323" s="29" t="s">
        <v>3767</v>
      </c>
      <c r="D323" s="67" t="s">
        <v>3768</v>
      </c>
      <c r="E323" s="96" t="s">
        <v>62</v>
      </c>
      <c r="F323" s="29" t="s">
        <v>61</v>
      </c>
      <c r="G323" s="29"/>
      <c r="H323" s="103">
        <f>_xlfn.XLOOKUP(B323,GM!$Q$5:$Q$756,GM!$J$5:$J$756)</f>
        <v>45506</v>
      </c>
    </row>
    <row r="324" spans="1:8" hidden="1" x14ac:dyDescent="0.35">
      <c r="A324" s="29" t="s">
        <v>16</v>
      </c>
      <c r="B324" s="29" t="str">
        <f t="shared" si="4"/>
        <v>CN1-03</v>
      </c>
      <c r="C324" s="29" t="s">
        <v>3769</v>
      </c>
      <c r="D324" s="67" t="s">
        <v>3770</v>
      </c>
      <c r="E324" s="96" t="s">
        <v>62</v>
      </c>
      <c r="F324" s="29" t="s">
        <v>61</v>
      </c>
      <c r="G324" s="29"/>
      <c r="H324" s="103">
        <f>_xlfn.XLOOKUP(B324,GM!$Q$5:$Q$756,GM!$J$5:$J$756)</f>
        <v>45506</v>
      </c>
    </row>
    <row r="325" spans="1:8" hidden="1" x14ac:dyDescent="0.35">
      <c r="A325" s="29" t="s">
        <v>16</v>
      </c>
      <c r="B325" s="29" t="str">
        <f t="shared" ref="B325:B388" si="5">IF(OR(A325="ARN",A325="SDP"),MID(C325,4,7),MID(C325,4,6))</f>
        <v>CN1-03</v>
      </c>
      <c r="C325" s="29" t="s">
        <v>3771</v>
      </c>
      <c r="D325" s="67" t="s">
        <v>3772</v>
      </c>
      <c r="E325" s="96" t="s">
        <v>62</v>
      </c>
      <c r="F325" s="29" t="s">
        <v>61</v>
      </c>
      <c r="G325" s="29"/>
      <c r="H325" s="103">
        <f>_xlfn.XLOOKUP(B325,GM!$Q$5:$Q$756,GM!$J$5:$J$756)</f>
        <v>45506</v>
      </c>
    </row>
    <row r="326" spans="1:8" hidden="1" x14ac:dyDescent="0.35">
      <c r="A326" s="29" t="s">
        <v>16</v>
      </c>
      <c r="B326" s="29" t="str">
        <f t="shared" si="5"/>
        <v>CN1-03</v>
      </c>
      <c r="C326" s="29" t="s">
        <v>3773</v>
      </c>
      <c r="D326" s="67" t="s">
        <v>3774</v>
      </c>
      <c r="E326" s="96" t="s">
        <v>62</v>
      </c>
      <c r="F326" s="29" t="s">
        <v>61</v>
      </c>
      <c r="G326" s="29"/>
      <c r="H326" s="103">
        <f>_xlfn.XLOOKUP(B326,GM!$Q$5:$Q$756,GM!$J$5:$J$756)</f>
        <v>45506</v>
      </c>
    </row>
    <row r="327" spans="1:8" hidden="1" x14ac:dyDescent="0.35">
      <c r="A327" s="29" t="s">
        <v>16</v>
      </c>
      <c r="B327" s="29" t="str">
        <f t="shared" si="5"/>
        <v>CN1-03</v>
      </c>
      <c r="C327" s="29" t="s">
        <v>3775</v>
      </c>
      <c r="D327" s="67" t="s">
        <v>3776</v>
      </c>
      <c r="E327" s="96" t="s">
        <v>62</v>
      </c>
      <c r="F327" s="29" t="s">
        <v>61</v>
      </c>
      <c r="G327" s="29"/>
      <c r="H327" s="103">
        <f>_xlfn.XLOOKUP(B327,GM!$Q$5:$Q$756,GM!$J$5:$J$756)</f>
        <v>45506</v>
      </c>
    </row>
    <row r="328" spans="1:8" hidden="1" x14ac:dyDescent="0.35">
      <c r="A328" s="29" t="s">
        <v>16</v>
      </c>
      <c r="B328" s="29" t="str">
        <f t="shared" si="5"/>
        <v>CN1-03</v>
      </c>
      <c r="C328" s="29" t="s">
        <v>3777</v>
      </c>
      <c r="D328" s="67" t="s">
        <v>3778</v>
      </c>
      <c r="E328" s="96" t="s">
        <v>62</v>
      </c>
      <c r="F328" s="29" t="s">
        <v>61</v>
      </c>
      <c r="G328" s="29"/>
      <c r="H328" s="103">
        <f>_xlfn.XLOOKUP(B328,GM!$Q$5:$Q$756,GM!$J$5:$J$756)</f>
        <v>45506</v>
      </c>
    </row>
    <row r="329" spans="1:8" hidden="1" x14ac:dyDescent="0.35">
      <c r="A329" s="29" t="s">
        <v>16</v>
      </c>
      <c r="B329" s="29" t="str">
        <f t="shared" si="5"/>
        <v>CN1-03</v>
      </c>
      <c r="C329" s="29" t="s">
        <v>3779</v>
      </c>
      <c r="D329" s="67" t="s">
        <v>3780</v>
      </c>
      <c r="E329" s="96" t="s">
        <v>62</v>
      </c>
      <c r="F329" s="29" t="s">
        <v>61</v>
      </c>
      <c r="G329" s="29"/>
      <c r="H329" s="103">
        <f>_xlfn.XLOOKUP(B329,GM!$Q$5:$Q$756,GM!$J$5:$J$756)</f>
        <v>45506</v>
      </c>
    </row>
    <row r="330" spans="1:8" hidden="1" x14ac:dyDescent="0.35">
      <c r="A330" s="29" t="s">
        <v>16</v>
      </c>
      <c r="B330" s="29" t="str">
        <f t="shared" si="5"/>
        <v>CN1-03</v>
      </c>
      <c r="C330" s="29" t="s">
        <v>3781</v>
      </c>
      <c r="D330" s="67" t="s">
        <v>3782</v>
      </c>
      <c r="E330" s="96" t="s">
        <v>62</v>
      </c>
      <c r="F330" s="29" t="s">
        <v>61</v>
      </c>
      <c r="G330" s="29"/>
      <c r="H330" s="103">
        <f>_xlfn.XLOOKUP(B330,GM!$Q$5:$Q$756,GM!$J$5:$J$756)</f>
        <v>45506</v>
      </c>
    </row>
    <row r="331" spans="1:8" hidden="1" x14ac:dyDescent="0.35">
      <c r="A331" s="29" t="s">
        <v>16</v>
      </c>
      <c r="B331" s="29" t="str">
        <f t="shared" si="5"/>
        <v>CN1-03</v>
      </c>
      <c r="C331" s="29" t="s">
        <v>3783</v>
      </c>
      <c r="D331" s="67" t="s">
        <v>3784</v>
      </c>
      <c r="E331" s="96" t="s">
        <v>62</v>
      </c>
      <c r="F331" s="29" t="s">
        <v>61</v>
      </c>
      <c r="G331" s="29"/>
      <c r="H331" s="103">
        <f>_xlfn.XLOOKUP(B331,GM!$Q$5:$Q$756,GM!$J$5:$J$756)</f>
        <v>45506</v>
      </c>
    </row>
    <row r="332" spans="1:8" hidden="1" x14ac:dyDescent="0.35">
      <c r="A332" s="29" t="s">
        <v>16</v>
      </c>
      <c r="B332" s="29" t="str">
        <f t="shared" si="5"/>
        <v>CN1-03</v>
      </c>
      <c r="C332" s="29" t="s">
        <v>3785</v>
      </c>
      <c r="D332" s="67" t="s">
        <v>3786</v>
      </c>
      <c r="E332" s="96" t="s">
        <v>62</v>
      </c>
      <c r="F332" s="29" t="s">
        <v>61</v>
      </c>
      <c r="G332" s="29"/>
      <c r="H332" s="103">
        <f>_xlfn.XLOOKUP(B332,GM!$Q$5:$Q$756,GM!$J$5:$J$756)</f>
        <v>45506</v>
      </c>
    </row>
    <row r="333" spans="1:8" hidden="1" x14ac:dyDescent="0.35">
      <c r="A333" s="29" t="s">
        <v>16</v>
      </c>
      <c r="B333" s="29" t="str">
        <f t="shared" si="5"/>
        <v>CN1-03</v>
      </c>
      <c r="C333" s="29" t="s">
        <v>3787</v>
      </c>
      <c r="D333" s="67" t="s">
        <v>3788</v>
      </c>
      <c r="E333" s="96" t="s">
        <v>62</v>
      </c>
      <c r="F333" s="29" t="s">
        <v>61</v>
      </c>
      <c r="G333" s="29"/>
      <c r="H333" s="103">
        <f>_xlfn.XLOOKUP(B333,GM!$Q$5:$Q$756,GM!$J$5:$J$756)</f>
        <v>45506</v>
      </c>
    </row>
    <row r="334" spans="1:8" hidden="1" x14ac:dyDescent="0.35">
      <c r="A334" s="29" t="s">
        <v>16</v>
      </c>
      <c r="B334" s="29" t="str">
        <f t="shared" si="5"/>
        <v>CN1-03</v>
      </c>
      <c r="C334" s="29" t="s">
        <v>3789</v>
      </c>
      <c r="D334" s="67" t="s">
        <v>3790</v>
      </c>
      <c r="E334" s="96" t="s">
        <v>62</v>
      </c>
      <c r="F334" s="29" t="s">
        <v>61</v>
      </c>
      <c r="G334" s="29"/>
      <c r="H334" s="103">
        <f>_xlfn.XLOOKUP(B334,GM!$Q$5:$Q$756,GM!$J$5:$J$756)</f>
        <v>45506</v>
      </c>
    </row>
    <row r="335" spans="1:8" hidden="1" x14ac:dyDescent="0.35">
      <c r="A335" s="29" t="s">
        <v>16</v>
      </c>
      <c r="B335" s="29" t="str">
        <f t="shared" si="5"/>
        <v>CN1-03</v>
      </c>
      <c r="C335" s="29" t="s">
        <v>3791</v>
      </c>
      <c r="D335" s="67" t="s">
        <v>3792</v>
      </c>
      <c r="E335" s="96" t="s">
        <v>62</v>
      </c>
      <c r="F335" s="29" t="s">
        <v>61</v>
      </c>
      <c r="G335" s="29"/>
      <c r="H335" s="103">
        <f>_xlfn.XLOOKUP(B335,GM!$Q$5:$Q$756,GM!$J$5:$J$756)</f>
        <v>45506</v>
      </c>
    </row>
    <row r="336" spans="1:8" hidden="1" x14ac:dyDescent="0.35">
      <c r="A336" s="29" t="s">
        <v>16</v>
      </c>
      <c r="B336" s="29" t="str">
        <f t="shared" si="5"/>
        <v>CN1-03</v>
      </c>
      <c r="C336" s="29" t="s">
        <v>3793</v>
      </c>
      <c r="D336" s="67" t="s">
        <v>3794</v>
      </c>
      <c r="E336" s="96" t="s">
        <v>62</v>
      </c>
      <c r="F336" s="29" t="s">
        <v>61</v>
      </c>
      <c r="G336" s="29"/>
      <c r="H336" s="103">
        <f>_xlfn.XLOOKUP(B336,GM!$Q$5:$Q$756,GM!$J$5:$J$756)</f>
        <v>45506</v>
      </c>
    </row>
    <row r="337" spans="1:8" hidden="1" x14ac:dyDescent="0.35">
      <c r="A337" s="29" t="s">
        <v>16</v>
      </c>
      <c r="B337" s="29" t="str">
        <f t="shared" si="5"/>
        <v>CN1-03</v>
      </c>
      <c r="C337" s="29" t="s">
        <v>3795</v>
      </c>
      <c r="D337" s="67" t="s">
        <v>3796</v>
      </c>
      <c r="E337" s="96" t="s">
        <v>62</v>
      </c>
      <c r="F337" s="29" t="s">
        <v>61</v>
      </c>
      <c r="G337" s="29"/>
      <c r="H337" s="103">
        <f>_xlfn.XLOOKUP(B337,GM!$Q$5:$Q$756,GM!$J$5:$J$756)</f>
        <v>45506</v>
      </c>
    </row>
    <row r="338" spans="1:8" hidden="1" x14ac:dyDescent="0.35">
      <c r="A338" s="29" t="s">
        <v>16</v>
      </c>
      <c r="B338" s="29" t="str">
        <f t="shared" si="5"/>
        <v>CN1-03</v>
      </c>
      <c r="C338" s="29" t="s">
        <v>3797</v>
      </c>
      <c r="D338" s="67" t="s">
        <v>3798</v>
      </c>
      <c r="E338" s="96" t="s">
        <v>62</v>
      </c>
      <c r="F338" s="29" t="s">
        <v>61</v>
      </c>
      <c r="G338" s="29"/>
      <c r="H338" s="103">
        <f>_xlfn.XLOOKUP(B338,GM!$Q$5:$Q$756,GM!$J$5:$J$756)</f>
        <v>45506</v>
      </c>
    </row>
    <row r="339" spans="1:8" hidden="1" x14ac:dyDescent="0.35">
      <c r="A339" s="29" t="s">
        <v>16</v>
      </c>
      <c r="B339" s="29" t="str">
        <f t="shared" si="5"/>
        <v>CN1-03</v>
      </c>
      <c r="C339" s="29" t="s">
        <v>3799</v>
      </c>
      <c r="D339" s="67" t="s">
        <v>3800</v>
      </c>
      <c r="E339" s="96" t="s">
        <v>62</v>
      </c>
      <c r="F339" s="29" t="s">
        <v>61</v>
      </c>
      <c r="G339" s="29"/>
      <c r="H339" s="103">
        <f>_xlfn.XLOOKUP(B339,GM!$Q$5:$Q$756,GM!$J$5:$J$756)</f>
        <v>45506</v>
      </c>
    </row>
    <row r="340" spans="1:8" hidden="1" x14ac:dyDescent="0.35">
      <c r="A340" s="29" t="s">
        <v>16</v>
      </c>
      <c r="B340" s="29" t="str">
        <f t="shared" si="5"/>
        <v>CN1-03</v>
      </c>
      <c r="C340" s="29" t="s">
        <v>3801</v>
      </c>
      <c r="D340" s="67" t="s">
        <v>3802</v>
      </c>
      <c r="E340" s="96" t="s">
        <v>62</v>
      </c>
      <c r="F340" s="29" t="s">
        <v>61</v>
      </c>
      <c r="G340" s="29"/>
      <c r="H340" s="103">
        <f>_xlfn.XLOOKUP(B340,GM!$Q$5:$Q$756,GM!$J$5:$J$756)</f>
        <v>45506</v>
      </c>
    </row>
    <row r="341" spans="1:8" hidden="1" x14ac:dyDescent="0.35">
      <c r="A341" s="29" t="s">
        <v>16</v>
      </c>
      <c r="B341" s="29" t="str">
        <f t="shared" si="5"/>
        <v>CN1-03</v>
      </c>
      <c r="C341" s="29" t="s">
        <v>3803</v>
      </c>
      <c r="D341" s="67" t="s">
        <v>3804</v>
      </c>
      <c r="E341" s="96" t="s">
        <v>62</v>
      </c>
      <c r="F341" s="29" t="s">
        <v>61</v>
      </c>
      <c r="G341" s="29"/>
      <c r="H341" s="103">
        <f>_xlfn.XLOOKUP(B341,GM!$Q$5:$Q$756,GM!$J$5:$J$756)</f>
        <v>45506</v>
      </c>
    </row>
    <row r="342" spans="1:8" hidden="1" x14ac:dyDescent="0.35">
      <c r="A342" s="29" t="s">
        <v>16</v>
      </c>
      <c r="B342" s="29" t="str">
        <f t="shared" si="5"/>
        <v>CN1-03</v>
      </c>
      <c r="C342" s="29" t="s">
        <v>3805</v>
      </c>
      <c r="D342" s="67" t="s">
        <v>3806</v>
      </c>
      <c r="E342" s="96" t="s">
        <v>62</v>
      </c>
      <c r="F342" s="29" t="s">
        <v>61</v>
      </c>
      <c r="G342" s="29"/>
      <c r="H342" s="103">
        <f>_xlfn.XLOOKUP(B342,GM!$Q$5:$Q$756,GM!$J$5:$J$756)</f>
        <v>45506</v>
      </c>
    </row>
    <row r="343" spans="1:8" hidden="1" x14ac:dyDescent="0.35">
      <c r="A343" s="29" t="s">
        <v>16</v>
      </c>
      <c r="B343" s="29" t="str">
        <f t="shared" si="5"/>
        <v>CN1-03</v>
      </c>
      <c r="C343" s="29" t="s">
        <v>3807</v>
      </c>
      <c r="D343" s="67" t="s">
        <v>3808</v>
      </c>
      <c r="E343" s="96" t="s">
        <v>62</v>
      </c>
      <c r="F343" s="29" t="s">
        <v>61</v>
      </c>
      <c r="G343" s="29"/>
      <c r="H343" s="103">
        <f>_xlfn.XLOOKUP(B343,GM!$Q$5:$Q$756,GM!$J$5:$J$756)</f>
        <v>45506</v>
      </c>
    </row>
    <row r="344" spans="1:8" hidden="1" x14ac:dyDescent="0.35">
      <c r="A344" s="29" t="s">
        <v>16</v>
      </c>
      <c r="B344" s="29" t="str">
        <f t="shared" si="5"/>
        <v>CN1-03</v>
      </c>
      <c r="C344" s="29" t="s">
        <v>3809</v>
      </c>
      <c r="D344" s="67" t="s">
        <v>3810</v>
      </c>
      <c r="E344" s="96" t="s">
        <v>62</v>
      </c>
      <c r="F344" s="29" t="s">
        <v>61</v>
      </c>
      <c r="G344" s="29"/>
      <c r="H344" s="103">
        <f>_xlfn.XLOOKUP(B344,GM!$Q$5:$Q$756,GM!$J$5:$J$756)</f>
        <v>45506</v>
      </c>
    </row>
    <row r="345" spans="1:8" hidden="1" x14ac:dyDescent="0.35">
      <c r="A345" s="29" t="s">
        <v>16</v>
      </c>
      <c r="B345" s="29" t="str">
        <f t="shared" si="5"/>
        <v>CN1-03</v>
      </c>
      <c r="C345" s="29" t="s">
        <v>3811</v>
      </c>
      <c r="D345" s="67" t="s">
        <v>3812</v>
      </c>
      <c r="E345" s="96" t="s">
        <v>62</v>
      </c>
      <c r="F345" s="29" t="s">
        <v>61</v>
      </c>
      <c r="G345" s="29"/>
      <c r="H345" s="103">
        <f>_xlfn.XLOOKUP(B345,GM!$Q$5:$Q$756,GM!$J$5:$J$756)</f>
        <v>45506</v>
      </c>
    </row>
    <row r="346" spans="1:8" hidden="1" x14ac:dyDescent="0.35">
      <c r="A346" s="29" t="s">
        <v>16</v>
      </c>
      <c r="B346" s="29" t="str">
        <f t="shared" si="5"/>
        <v>CN1-03</v>
      </c>
      <c r="C346" s="29" t="s">
        <v>3813</v>
      </c>
      <c r="D346" s="67" t="s">
        <v>3814</v>
      </c>
      <c r="E346" s="96" t="s">
        <v>62</v>
      </c>
      <c r="F346" s="29" t="s">
        <v>61</v>
      </c>
      <c r="G346" s="29"/>
      <c r="H346" s="103">
        <f>_xlfn.XLOOKUP(B346,GM!$Q$5:$Q$756,GM!$J$5:$J$756)</f>
        <v>45506</v>
      </c>
    </row>
    <row r="347" spans="1:8" hidden="1" x14ac:dyDescent="0.35">
      <c r="A347" s="29" t="s">
        <v>16</v>
      </c>
      <c r="B347" s="29" t="str">
        <f t="shared" si="5"/>
        <v>CN1-03</v>
      </c>
      <c r="C347" s="29" t="s">
        <v>3815</v>
      </c>
      <c r="D347" s="67" t="s">
        <v>3816</v>
      </c>
      <c r="E347" s="96" t="s">
        <v>62</v>
      </c>
      <c r="F347" s="29" t="s">
        <v>61</v>
      </c>
      <c r="G347" s="29"/>
      <c r="H347" s="103">
        <f>_xlfn.XLOOKUP(B347,GM!$Q$5:$Q$756,GM!$J$5:$J$756)</f>
        <v>45506</v>
      </c>
    </row>
    <row r="348" spans="1:8" hidden="1" x14ac:dyDescent="0.35">
      <c r="A348" s="29" t="s">
        <v>16</v>
      </c>
      <c r="B348" s="29" t="str">
        <f t="shared" si="5"/>
        <v>CN1-03</v>
      </c>
      <c r="C348" s="29" t="s">
        <v>3817</v>
      </c>
      <c r="D348" s="67" t="s">
        <v>3818</v>
      </c>
      <c r="E348" s="96" t="s">
        <v>62</v>
      </c>
      <c r="F348" s="29" t="s">
        <v>61</v>
      </c>
      <c r="G348" s="29"/>
      <c r="H348" s="103">
        <f>_xlfn.XLOOKUP(B348,GM!$Q$5:$Q$756,GM!$J$5:$J$756)</f>
        <v>45506</v>
      </c>
    </row>
    <row r="349" spans="1:8" hidden="1" x14ac:dyDescent="0.35">
      <c r="A349" s="29" t="s">
        <v>16</v>
      </c>
      <c r="B349" s="29" t="str">
        <f t="shared" si="5"/>
        <v>CN1-03</v>
      </c>
      <c r="C349" s="29" t="s">
        <v>3819</v>
      </c>
      <c r="D349" s="67" t="s">
        <v>3820</v>
      </c>
      <c r="E349" s="96" t="s">
        <v>62</v>
      </c>
      <c r="F349" s="29" t="s">
        <v>61</v>
      </c>
      <c r="G349" s="29"/>
      <c r="H349" s="103">
        <f>_xlfn.XLOOKUP(B349,GM!$Q$5:$Q$756,GM!$J$5:$J$756)</f>
        <v>45506</v>
      </c>
    </row>
    <row r="350" spans="1:8" hidden="1" x14ac:dyDescent="0.35">
      <c r="A350" s="29" t="s">
        <v>16</v>
      </c>
      <c r="B350" s="29" t="str">
        <f t="shared" si="5"/>
        <v>CN1-03</v>
      </c>
      <c r="C350" s="29" t="s">
        <v>3821</v>
      </c>
      <c r="D350" s="67" t="s">
        <v>3822</v>
      </c>
      <c r="E350" s="96" t="s">
        <v>62</v>
      </c>
      <c r="F350" s="29" t="s">
        <v>61</v>
      </c>
      <c r="G350" s="29"/>
      <c r="H350" s="103">
        <f>_xlfn.XLOOKUP(B350,GM!$Q$5:$Q$756,GM!$J$5:$J$756)</f>
        <v>45506</v>
      </c>
    </row>
    <row r="351" spans="1:8" hidden="1" x14ac:dyDescent="0.35">
      <c r="A351" s="29" t="s">
        <v>16</v>
      </c>
      <c r="B351" s="29" t="str">
        <f t="shared" si="5"/>
        <v>CN1-03</v>
      </c>
      <c r="C351" s="29" t="s">
        <v>3823</v>
      </c>
      <c r="D351" s="67" t="s">
        <v>3824</v>
      </c>
      <c r="E351" s="96" t="s">
        <v>62</v>
      </c>
      <c r="F351" s="29" t="s">
        <v>61</v>
      </c>
      <c r="G351" s="29"/>
      <c r="H351" s="103">
        <f>_xlfn.XLOOKUP(B351,GM!$Q$5:$Q$756,GM!$J$5:$J$756)</f>
        <v>45506</v>
      </c>
    </row>
    <row r="352" spans="1:8" hidden="1" x14ac:dyDescent="0.35">
      <c r="A352" s="29" t="s">
        <v>16</v>
      </c>
      <c r="B352" s="29" t="str">
        <f t="shared" si="5"/>
        <v>CN1-03</v>
      </c>
      <c r="C352" s="29" t="s">
        <v>3825</v>
      </c>
      <c r="D352" s="67" t="s">
        <v>3826</v>
      </c>
      <c r="E352" s="96" t="s">
        <v>62</v>
      </c>
      <c r="F352" s="29" t="s">
        <v>61</v>
      </c>
      <c r="G352" s="29"/>
      <c r="H352" s="103">
        <f>_xlfn.XLOOKUP(B352,GM!$Q$5:$Q$756,GM!$J$5:$J$756)</f>
        <v>45506</v>
      </c>
    </row>
    <row r="353" spans="1:8" hidden="1" x14ac:dyDescent="0.35">
      <c r="A353" s="29" t="s">
        <v>16</v>
      </c>
      <c r="B353" s="29" t="str">
        <f t="shared" si="5"/>
        <v>CN1-03</v>
      </c>
      <c r="C353" s="29" t="s">
        <v>3827</v>
      </c>
      <c r="D353" s="67" t="s">
        <v>3828</v>
      </c>
      <c r="E353" s="96" t="s">
        <v>62</v>
      </c>
      <c r="F353" s="29" t="s">
        <v>61</v>
      </c>
      <c r="G353" s="29"/>
      <c r="H353" s="103">
        <f>_xlfn.XLOOKUP(B353,GM!$Q$5:$Q$756,GM!$J$5:$J$756)</f>
        <v>45506</v>
      </c>
    </row>
    <row r="354" spans="1:8" hidden="1" x14ac:dyDescent="0.35">
      <c r="A354" s="29" t="s">
        <v>16</v>
      </c>
      <c r="B354" s="29" t="str">
        <f t="shared" si="5"/>
        <v>CN1-04</v>
      </c>
      <c r="C354" s="29" t="s">
        <v>3829</v>
      </c>
      <c r="D354" s="67" t="s">
        <v>3830</v>
      </c>
      <c r="E354" s="96" t="s">
        <v>62</v>
      </c>
      <c r="F354" s="29" t="s">
        <v>61</v>
      </c>
      <c r="G354" s="29"/>
      <c r="H354" s="103">
        <f>_xlfn.XLOOKUP(B354,GM!$Q$5:$Q$756,GM!$J$5:$J$756)</f>
        <v>46107</v>
      </c>
    </row>
    <row r="355" spans="1:8" hidden="1" x14ac:dyDescent="0.35">
      <c r="A355" s="29" t="s">
        <v>16</v>
      </c>
      <c r="B355" s="29" t="str">
        <f t="shared" si="5"/>
        <v>CN1-04</v>
      </c>
      <c r="C355" s="29" t="s">
        <v>3831</v>
      </c>
      <c r="D355" s="67" t="s">
        <v>3832</v>
      </c>
      <c r="E355" s="96" t="s">
        <v>62</v>
      </c>
      <c r="F355" s="29" t="s">
        <v>61</v>
      </c>
      <c r="G355" s="29"/>
      <c r="H355" s="103">
        <f>_xlfn.XLOOKUP(B355,GM!$Q$5:$Q$756,GM!$J$5:$J$756)</f>
        <v>46107</v>
      </c>
    </row>
    <row r="356" spans="1:8" hidden="1" x14ac:dyDescent="0.35">
      <c r="A356" s="29" t="s">
        <v>16</v>
      </c>
      <c r="B356" s="29" t="str">
        <f t="shared" si="5"/>
        <v>CN1-04</v>
      </c>
      <c r="C356" s="29" t="s">
        <v>3833</v>
      </c>
      <c r="D356" s="67" t="s">
        <v>3834</v>
      </c>
      <c r="E356" s="96" t="s">
        <v>62</v>
      </c>
      <c r="F356" s="29" t="s">
        <v>61</v>
      </c>
      <c r="G356" s="29"/>
      <c r="H356" s="103">
        <f>_xlfn.XLOOKUP(B356,GM!$Q$5:$Q$756,GM!$J$5:$J$756)</f>
        <v>46107</v>
      </c>
    </row>
    <row r="357" spans="1:8" hidden="1" x14ac:dyDescent="0.35">
      <c r="A357" s="29" t="s">
        <v>16</v>
      </c>
      <c r="B357" s="29" t="str">
        <f t="shared" si="5"/>
        <v>CN1-04</v>
      </c>
      <c r="C357" s="29" t="s">
        <v>3835</v>
      </c>
      <c r="D357" s="67" t="s">
        <v>3836</v>
      </c>
      <c r="E357" s="96" t="s">
        <v>62</v>
      </c>
      <c r="F357" s="29" t="s">
        <v>61</v>
      </c>
      <c r="G357" s="29"/>
      <c r="H357" s="103">
        <f>_xlfn.XLOOKUP(B357,GM!$Q$5:$Q$756,GM!$J$5:$J$756)</f>
        <v>46107</v>
      </c>
    </row>
    <row r="358" spans="1:8" hidden="1" x14ac:dyDescent="0.35">
      <c r="A358" s="29" t="s">
        <v>16</v>
      </c>
      <c r="B358" s="29" t="str">
        <f t="shared" si="5"/>
        <v>CN1-04</v>
      </c>
      <c r="C358" s="29" t="s">
        <v>3837</v>
      </c>
      <c r="D358" s="67" t="s">
        <v>3838</v>
      </c>
      <c r="E358" s="96" t="s">
        <v>62</v>
      </c>
      <c r="F358" s="29" t="s">
        <v>61</v>
      </c>
      <c r="G358" s="29"/>
      <c r="H358" s="103">
        <f>_xlfn.XLOOKUP(B358,GM!$Q$5:$Q$756,GM!$J$5:$J$756)</f>
        <v>46107</v>
      </c>
    </row>
    <row r="359" spans="1:8" hidden="1" x14ac:dyDescent="0.35">
      <c r="A359" s="29" t="s">
        <v>16</v>
      </c>
      <c r="B359" s="29" t="str">
        <f t="shared" si="5"/>
        <v>CN1-04</v>
      </c>
      <c r="C359" s="29" t="s">
        <v>3839</v>
      </c>
      <c r="D359" s="67" t="s">
        <v>3840</v>
      </c>
      <c r="E359" s="96" t="s">
        <v>62</v>
      </c>
      <c r="F359" s="29" t="s">
        <v>61</v>
      </c>
      <c r="G359" s="29"/>
      <c r="H359" s="103">
        <f>_xlfn.XLOOKUP(B359,GM!$Q$5:$Q$756,GM!$J$5:$J$756)</f>
        <v>46107</v>
      </c>
    </row>
    <row r="360" spans="1:8" hidden="1" x14ac:dyDescent="0.35">
      <c r="A360" s="29" t="s">
        <v>16</v>
      </c>
      <c r="B360" s="29" t="str">
        <f t="shared" si="5"/>
        <v>CN1-04</v>
      </c>
      <c r="C360" s="29" t="s">
        <v>3841</v>
      </c>
      <c r="D360" s="67" t="s">
        <v>3842</v>
      </c>
      <c r="E360" s="96" t="s">
        <v>62</v>
      </c>
      <c r="F360" s="29" t="s">
        <v>61</v>
      </c>
      <c r="G360" s="29"/>
      <c r="H360" s="103">
        <f>_xlfn.XLOOKUP(B360,GM!$Q$5:$Q$756,GM!$J$5:$J$756)</f>
        <v>46107</v>
      </c>
    </row>
    <row r="361" spans="1:8" hidden="1" x14ac:dyDescent="0.35">
      <c r="A361" s="29" t="s">
        <v>16</v>
      </c>
      <c r="B361" s="29" t="str">
        <f t="shared" si="5"/>
        <v>CN1-04</v>
      </c>
      <c r="C361" s="29" t="s">
        <v>3843</v>
      </c>
      <c r="D361" s="67" t="s">
        <v>3844</v>
      </c>
      <c r="E361" s="96" t="s">
        <v>62</v>
      </c>
      <c r="F361" s="29" t="s">
        <v>61</v>
      </c>
      <c r="G361" s="29"/>
      <c r="H361" s="103">
        <f>_xlfn.XLOOKUP(B361,GM!$Q$5:$Q$756,GM!$J$5:$J$756)</f>
        <v>46107</v>
      </c>
    </row>
    <row r="362" spans="1:8" hidden="1" x14ac:dyDescent="0.35">
      <c r="A362" s="29" t="s">
        <v>16</v>
      </c>
      <c r="B362" s="29" t="str">
        <f t="shared" si="5"/>
        <v>CN1-04</v>
      </c>
      <c r="C362" s="29" t="s">
        <v>3845</v>
      </c>
      <c r="D362" s="67" t="s">
        <v>3846</v>
      </c>
      <c r="E362" s="96" t="s">
        <v>62</v>
      </c>
      <c r="F362" s="29" t="s">
        <v>61</v>
      </c>
      <c r="G362" s="29"/>
      <c r="H362" s="103">
        <f>_xlfn.XLOOKUP(B362,GM!$Q$5:$Q$756,GM!$J$5:$J$756)</f>
        <v>46107</v>
      </c>
    </row>
    <row r="363" spans="1:8" hidden="1" x14ac:dyDescent="0.35">
      <c r="A363" s="29" t="s">
        <v>16</v>
      </c>
      <c r="B363" s="29" t="str">
        <f t="shared" si="5"/>
        <v>CN1-04</v>
      </c>
      <c r="C363" s="29" t="s">
        <v>3847</v>
      </c>
      <c r="D363" s="67" t="s">
        <v>3848</v>
      </c>
      <c r="E363" s="96" t="s">
        <v>62</v>
      </c>
      <c r="F363" s="29" t="s">
        <v>61</v>
      </c>
      <c r="G363" s="29"/>
      <c r="H363" s="103">
        <f>_xlfn.XLOOKUP(B363,GM!$Q$5:$Q$756,GM!$J$5:$J$756)</f>
        <v>46107</v>
      </c>
    </row>
    <row r="364" spans="1:8" hidden="1" x14ac:dyDescent="0.35">
      <c r="A364" s="29" t="s">
        <v>16</v>
      </c>
      <c r="B364" s="29" t="str">
        <f t="shared" si="5"/>
        <v>CN1-04</v>
      </c>
      <c r="C364" s="29" t="s">
        <v>3849</v>
      </c>
      <c r="D364" s="67" t="s">
        <v>3850</v>
      </c>
      <c r="E364" s="96" t="s">
        <v>62</v>
      </c>
      <c r="F364" s="29" t="s">
        <v>61</v>
      </c>
      <c r="G364" s="29"/>
      <c r="H364" s="103">
        <f>_xlfn.XLOOKUP(B364,GM!$Q$5:$Q$756,GM!$J$5:$J$756)</f>
        <v>46107</v>
      </c>
    </row>
    <row r="365" spans="1:8" hidden="1" x14ac:dyDescent="0.35">
      <c r="A365" s="29" t="s">
        <v>16</v>
      </c>
      <c r="B365" s="29" t="str">
        <f t="shared" si="5"/>
        <v>CN1-04</v>
      </c>
      <c r="C365" s="29" t="s">
        <v>3851</v>
      </c>
      <c r="D365" s="67" t="s">
        <v>3852</v>
      </c>
      <c r="E365" s="96" t="s">
        <v>62</v>
      </c>
      <c r="F365" s="29" t="s">
        <v>61</v>
      </c>
      <c r="G365" s="29"/>
      <c r="H365" s="103">
        <f>_xlfn.XLOOKUP(B365,GM!$Q$5:$Q$756,GM!$J$5:$J$756)</f>
        <v>46107</v>
      </c>
    </row>
    <row r="366" spans="1:8" hidden="1" x14ac:dyDescent="0.35">
      <c r="A366" s="29" t="s">
        <v>16</v>
      </c>
      <c r="B366" s="29" t="str">
        <f t="shared" si="5"/>
        <v>CN1-04</v>
      </c>
      <c r="C366" s="29" t="s">
        <v>3853</v>
      </c>
      <c r="D366" s="67" t="s">
        <v>3854</v>
      </c>
      <c r="E366" s="96" t="s">
        <v>62</v>
      </c>
      <c r="F366" s="29" t="s">
        <v>61</v>
      </c>
      <c r="G366" s="29"/>
      <c r="H366" s="103">
        <f>_xlfn.XLOOKUP(B366,GM!$Q$5:$Q$756,GM!$J$5:$J$756)</f>
        <v>46107</v>
      </c>
    </row>
    <row r="367" spans="1:8" hidden="1" x14ac:dyDescent="0.35">
      <c r="A367" s="29" t="s">
        <v>16</v>
      </c>
      <c r="B367" s="29" t="str">
        <f t="shared" si="5"/>
        <v>CN1-04</v>
      </c>
      <c r="C367" s="29" t="s">
        <v>3855</v>
      </c>
      <c r="D367" s="67" t="s">
        <v>3856</v>
      </c>
      <c r="E367" s="96" t="s">
        <v>62</v>
      </c>
      <c r="F367" s="29" t="s">
        <v>61</v>
      </c>
      <c r="G367" s="29"/>
      <c r="H367" s="103">
        <f>_xlfn.XLOOKUP(B367,GM!$Q$5:$Q$756,GM!$J$5:$J$756)</f>
        <v>46107</v>
      </c>
    </row>
    <row r="368" spans="1:8" hidden="1" x14ac:dyDescent="0.35">
      <c r="A368" s="29" t="s">
        <v>16</v>
      </c>
      <c r="B368" s="29" t="str">
        <f t="shared" si="5"/>
        <v>CN1-04</v>
      </c>
      <c r="C368" s="29" t="s">
        <v>3857</v>
      </c>
      <c r="D368" s="67" t="s">
        <v>3858</v>
      </c>
      <c r="E368" s="96" t="s">
        <v>62</v>
      </c>
      <c r="F368" s="29" t="s">
        <v>61</v>
      </c>
      <c r="G368" s="29"/>
      <c r="H368" s="103">
        <f>_xlfn.XLOOKUP(B368,GM!$Q$5:$Q$756,GM!$J$5:$J$756)</f>
        <v>46107</v>
      </c>
    </row>
    <row r="369" spans="1:8" hidden="1" x14ac:dyDescent="0.35">
      <c r="A369" s="29" t="s">
        <v>16</v>
      </c>
      <c r="B369" s="29" t="str">
        <f t="shared" si="5"/>
        <v>CN1-04</v>
      </c>
      <c r="C369" s="29" t="s">
        <v>3859</v>
      </c>
      <c r="D369" s="67" t="s">
        <v>3860</v>
      </c>
      <c r="E369" s="96" t="s">
        <v>62</v>
      </c>
      <c r="F369" s="29" t="s">
        <v>61</v>
      </c>
      <c r="G369" s="29"/>
      <c r="H369" s="103">
        <f>_xlfn.XLOOKUP(B369,GM!$Q$5:$Q$756,GM!$J$5:$J$756)</f>
        <v>46107</v>
      </c>
    </row>
    <row r="370" spans="1:8" hidden="1" x14ac:dyDescent="0.35">
      <c r="A370" s="29" t="s">
        <v>16</v>
      </c>
      <c r="B370" s="29" t="str">
        <f t="shared" si="5"/>
        <v>CN1-04</v>
      </c>
      <c r="C370" s="29" t="s">
        <v>3861</v>
      </c>
      <c r="D370" s="67" t="s">
        <v>3862</v>
      </c>
      <c r="E370" s="96" t="s">
        <v>62</v>
      </c>
      <c r="F370" s="29" t="s">
        <v>61</v>
      </c>
      <c r="G370" s="29"/>
      <c r="H370" s="103">
        <f>_xlfn.XLOOKUP(B370,GM!$Q$5:$Q$756,GM!$J$5:$J$756)</f>
        <v>46107</v>
      </c>
    </row>
    <row r="371" spans="1:8" hidden="1" x14ac:dyDescent="0.35">
      <c r="A371" s="29" t="s">
        <v>16</v>
      </c>
      <c r="B371" s="29" t="str">
        <f t="shared" si="5"/>
        <v>CN1-04</v>
      </c>
      <c r="C371" s="29" t="s">
        <v>3863</v>
      </c>
      <c r="D371" s="67" t="s">
        <v>3864</v>
      </c>
      <c r="E371" s="96" t="s">
        <v>62</v>
      </c>
      <c r="F371" s="29" t="s">
        <v>61</v>
      </c>
      <c r="G371" s="29"/>
      <c r="H371" s="103">
        <f>_xlfn.XLOOKUP(B371,GM!$Q$5:$Q$756,GM!$J$5:$J$756)</f>
        <v>46107</v>
      </c>
    </row>
    <row r="372" spans="1:8" hidden="1" x14ac:dyDescent="0.35">
      <c r="A372" s="29" t="s">
        <v>16</v>
      </c>
      <c r="B372" s="29" t="str">
        <f t="shared" si="5"/>
        <v>CN1-04</v>
      </c>
      <c r="C372" s="29" t="s">
        <v>3865</v>
      </c>
      <c r="D372" s="67" t="s">
        <v>3866</v>
      </c>
      <c r="E372" s="96" t="s">
        <v>62</v>
      </c>
      <c r="F372" s="29" t="s">
        <v>61</v>
      </c>
      <c r="G372" s="29"/>
      <c r="H372" s="103">
        <f>_xlfn.XLOOKUP(B372,GM!$Q$5:$Q$756,GM!$J$5:$J$756)</f>
        <v>46107</v>
      </c>
    </row>
    <row r="373" spans="1:8" hidden="1" x14ac:dyDescent="0.35">
      <c r="A373" s="29" t="s">
        <v>16</v>
      </c>
      <c r="B373" s="29" t="str">
        <f t="shared" si="5"/>
        <v>CN1-04</v>
      </c>
      <c r="C373" s="29" t="s">
        <v>3867</v>
      </c>
      <c r="D373" s="67" t="s">
        <v>3868</v>
      </c>
      <c r="E373" s="96" t="s">
        <v>62</v>
      </c>
      <c r="F373" s="29" t="s">
        <v>61</v>
      </c>
      <c r="G373" s="29"/>
      <c r="H373" s="103">
        <f>_xlfn.XLOOKUP(B373,GM!$Q$5:$Q$756,GM!$J$5:$J$756)</f>
        <v>46107</v>
      </c>
    </row>
    <row r="374" spans="1:8" hidden="1" x14ac:dyDescent="0.35">
      <c r="A374" s="29" t="s">
        <v>16</v>
      </c>
      <c r="B374" s="29" t="str">
        <f t="shared" si="5"/>
        <v>CN1-04</v>
      </c>
      <c r="C374" s="29" t="s">
        <v>3869</v>
      </c>
      <c r="D374" s="67" t="s">
        <v>3870</v>
      </c>
      <c r="E374" s="96" t="s">
        <v>62</v>
      </c>
      <c r="F374" s="29" t="s">
        <v>61</v>
      </c>
      <c r="G374" s="29"/>
      <c r="H374" s="103">
        <f>_xlfn.XLOOKUP(B374,GM!$Q$5:$Q$756,GM!$J$5:$J$756)</f>
        <v>46107</v>
      </c>
    </row>
    <row r="375" spans="1:8" hidden="1" x14ac:dyDescent="0.35">
      <c r="A375" s="29" t="s">
        <v>16</v>
      </c>
      <c r="B375" s="29" t="str">
        <f t="shared" si="5"/>
        <v>CN1-04</v>
      </c>
      <c r="C375" s="29" t="s">
        <v>3871</v>
      </c>
      <c r="D375" s="67" t="s">
        <v>3872</v>
      </c>
      <c r="E375" s="96" t="s">
        <v>62</v>
      </c>
      <c r="F375" s="29" t="s">
        <v>61</v>
      </c>
      <c r="G375" s="29"/>
      <c r="H375" s="103">
        <f>_xlfn.XLOOKUP(B375,GM!$Q$5:$Q$756,GM!$J$5:$J$756)</f>
        <v>46107</v>
      </c>
    </row>
    <row r="376" spans="1:8" hidden="1" x14ac:dyDescent="0.35">
      <c r="A376" s="29" t="s">
        <v>16</v>
      </c>
      <c r="B376" s="29" t="str">
        <f t="shared" si="5"/>
        <v>CN1-05</v>
      </c>
      <c r="C376" s="29" t="s">
        <v>3873</v>
      </c>
      <c r="D376" s="67" t="s">
        <v>3874</v>
      </c>
      <c r="E376" s="96" t="s">
        <v>62</v>
      </c>
      <c r="F376" s="29" t="s">
        <v>61</v>
      </c>
      <c r="G376" s="29"/>
      <c r="H376" s="103">
        <f>_xlfn.XLOOKUP(B376,GM!$Q$5:$Q$756,GM!$J$5:$J$756)</f>
        <v>46107</v>
      </c>
    </row>
    <row r="377" spans="1:8" hidden="1" x14ac:dyDescent="0.35">
      <c r="A377" s="29" t="s">
        <v>16</v>
      </c>
      <c r="B377" s="29" t="str">
        <f t="shared" si="5"/>
        <v>CN1-05</v>
      </c>
      <c r="C377" s="29" t="s">
        <v>3875</v>
      </c>
      <c r="D377" s="67" t="s">
        <v>3876</v>
      </c>
      <c r="E377" s="96" t="s">
        <v>62</v>
      </c>
      <c r="F377" s="29" t="s">
        <v>61</v>
      </c>
      <c r="G377" s="29"/>
      <c r="H377" s="103">
        <f>_xlfn.XLOOKUP(B377,GM!$Q$5:$Q$756,GM!$J$5:$J$756)</f>
        <v>46107</v>
      </c>
    </row>
    <row r="378" spans="1:8" hidden="1" x14ac:dyDescent="0.35">
      <c r="A378" s="29" t="s">
        <v>16</v>
      </c>
      <c r="B378" s="29" t="str">
        <f t="shared" si="5"/>
        <v>CN1-05</v>
      </c>
      <c r="C378" s="29" t="s">
        <v>3877</v>
      </c>
      <c r="D378" s="67" t="s">
        <v>3878</v>
      </c>
      <c r="E378" s="96" t="s">
        <v>62</v>
      </c>
      <c r="F378" s="29" t="s">
        <v>61</v>
      </c>
      <c r="G378" s="29"/>
      <c r="H378" s="103">
        <f>_xlfn.XLOOKUP(B378,GM!$Q$5:$Q$756,GM!$J$5:$J$756)</f>
        <v>46107</v>
      </c>
    </row>
    <row r="379" spans="1:8" hidden="1" x14ac:dyDescent="0.35">
      <c r="A379" s="29" t="s">
        <v>16</v>
      </c>
      <c r="B379" s="29" t="str">
        <f t="shared" si="5"/>
        <v>CN1-05</v>
      </c>
      <c r="C379" s="29" t="s">
        <v>3879</v>
      </c>
      <c r="D379" s="67" t="s">
        <v>3880</v>
      </c>
      <c r="E379" s="96" t="s">
        <v>62</v>
      </c>
      <c r="F379" s="29" t="s">
        <v>61</v>
      </c>
      <c r="G379" s="29"/>
      <c r="H379" s="103">
        <f>_xlfn.XLOOKUP(B379,GM!$Q$5:$Q$756,GM!$J$5:$J$756)</f>
        <v>46107</v>
      </c>
    </row>
    <row r="380" spans="1:8" hidden="1" x14ac:dyDescent="0.35">
      <c r="A380" s="29" t="s">
        <v>16</v>
      </c>
      <c r="B380" s="29" t="str">
        <f t="shared" si="5"/>
        <v>CN1-05</v>
      </c>
      <c r="C380" s="29" t="s">
        <v>3881</v>
      </c>
      <c r="D380" s="67" t="s">
        <v>3882</v>
      </c>
      <c r="E380" s="96" t="s">
        <v>62</v>
      </c>
      <c r="F380" s="29" t="s">
        <v>61</v>
      </c>
      <c r="G380" s="29"/>
      <c r="H380" s="103">
        <f>_xlfn.XLOOKUP(B380,GM!$Q$5:$Q$756,GM!$J$5:$J$756)</f>
        <v>46107</v>
      </c>
    </row>
    <row r="381" spans="1:8" hidden="1" x14ac:dyDescent="0.35">
      <c r="A381" s="29" t="s">
        <v>16</v>
      </c>
      <c r="B381" s="29" t="str">
        <f t="shared" si="5"/>
        <v>CN1-05</v>
      </c>
      <c r="C381" s="29" t="s">
        <v>3883</v>
      </c>
      <c r="D381" s="67" t="s">
        <v>3884</v>
      </c>
      <c r="E381" s="96" t="s">
        <v>62</v>
      </c>
      <c r="F381" s="29" t="s">
        <v>61</v>
      </c>
      <c r="G381" s="29"/>
      <c r="H381" s="103">
        <f>_xlfn.XLOOKUP(B381,GM!$Q$5:$Q$756,GM!$J$5:$J$756)</f>
        <v>46107</v>
      </c>
    </row>
    <row r="382" spans="1:8" hidden="1" x14ac:dyDescent="0.35">
      <c r="A382" s="29" t="s">
        <v>16</v>
      </c>
      <c r="B382" s="29" t="str">
        <f t="shared" si="5"/>
        <v>CN1-05</v>
      </c>
      <c r="C382" s="29" t="s">
        <v>3885</v>
      </c>
      <c r="D382" s="67" t="s">
        <v>3886</v>
      </c>
      <c r="E382" s="96" t="s">
        <v>62</v>
      </c>
      <c r="F382" s="29" t="s">
        <v>61</v>
      </c>
      <c r="G382" s="29"/>
      <c r="H382" s="103">
        <f>_xlfn.XLOOKUP(B382,GM!$Q$5:$Q$756,GM!$J$5:$J$756)</f>
        <v>46107</v>
      </c>
    </row>
    <row r="383" spans="1:8" hidden="1" x14ac:dyDescent="0.35">
      <c r="A383" s="29" t="s">
        <v>16</v>
      </c>
      <c r="B383" s="29" t="str">
        <f t="shared" si="5"/>
        <v>CN1-05</v>
      </c>
      <c r="C383" s="29" t="s">
        <v>3887</v>
      </c>
      <c r="D383" s="67" t="s">
        <v>3888</v>
      </c>
      <c r="E383" s="96" t="s">
        <v>62</v>
      </c>
      <c r="F383" s="29" t="s">
        <v>61</v>
      </c>
      <c r="G383" s="29"/>
      <c r="H383" s="103">
        <f>_xlfn.XLOOKUP(B383,GM!$Q$5:$Q$756,GM!$J$5:$J$756)</f>
        <v>46107</v>
      </c>
    </row>
    <row r="384" spans="1:8" hidden="1" x14ac:dyDescent="0.35">
      <c r="A384" s="29" t="s">
        <v>16</v>
      </c>
      <c r="B384" s="29" t="str">
        <f t="shared" si="5"/>
        <v>CN1-06</v>
      </c>
      <c r="C384" s="29" t="s">
        <v>3889</v>
      </c>
      <c r="D384" s="67" t="s">
        <v>3890</v>
      </c>
      <c r="E384" s="96" t="s">
        <v>62</v>
      </c>
      <c r="F384" s="29" t="s">
        <v>61</v>
      </c>
      <c r="G384" s="29"/>
      <c r="H384" s="103">
        <f>_xlfn.XLOOKUP(B384,GM!$Q$5:$Q$756,GM!$J$5:$J$756)</f>
        <v>46107</v>
      </c>
    </row>
    <row r="385" spans="1:8" hidden="1" x14ac:dyDescent="0.35">
      <c r="A385" s="29" t="s">
        <v>16</v>
      </c>
      <c r="B385" s="29" t="str">
        <f t="shared" si="5"/>
        <v>CN1-06</v>
      </c>
      <c r="C385" s="29" t="s">
        <v>3891</v>
      </c>
      <c r="D385" s="67" t="s">
        <v>3892</v>
      </c>
      <c r="E385" s="96" t="s">
        <v>62</v>
      </c>
      <c r="F385" s="29" t="s">
        <v>61</v>
      </c>
      <c r="G385" s="29"/>
      <c r="H385" s="103">
        <f>_xlfn.XLOOKUP(B385,GM!$Q$5:$Q$756,GM!$J$5:$J$756)</f>
        <v>46107</v>
      </c>
    </row>
    <row r="386" spans="1:8" hidden="1" x14ac:dyDescent="0.35">
      <c r="A386" s="29" t="s">
        <v>16</v>
      </c>
      <c r="B386" s="29" t="str">
        <f t="shared" si="5"/>
        <v>CN1-06</v>
      </c>
      <c r="C386" s="29" t="s">
        <v>3893</v>
      </c>
      <c r="D386" s="67" t="s">
        <v>3894</v>
      </c>
      <c r="E386" s="96" t="s">
        <v>62</v>
      </c>
      <c r="F386" s="29" t="s">
        <v>61</v>
      </c>
      <c r="G386" s="29"/>
      <c r="H386" s="103">
        <f>_xlfn.XLOOKUP(B386,GM!$Q$5:$Q$756,GM!$J$5:$J$756)</f>
        <v>46107</v>
      </c>
    </row>
    <row r="387" spans="1:8" hidden="1" x14ac:dyDescent="0.35">
      <c r="A387" s="29" t="s">
        <v>16</v>
      </c>
      <c r="B387" s="29" t="str">
        <f t="shared" si="5"/>
        <v>CN1-06</v>
      </c>
      <c r="C387" s="29" t="s">
        <v>3895</v>
      </c>
      <c r="D387" s="67" t="s">
        <v>3896</v>
      </c>
      <c r="E387" s="96" t="s">
        <v>62</v>
      </c>
      <c r="F387" s="29" t="s">
        <v>61</v>
      </c>
      <c r="G387" s="29"/>
      <c r="H387" s="103">
        <f>_xlfn.XLOOKUP(B387,GM!$Q$5:$Q$756,GM!$J$5:$J$756)</f>
        <v>46107</v>
      </c>
    </row>
    <row r="388" spans="1:8" hidden="1" x14ac:dyDescent="0.35">
      <c r="A388" s="29" t="s">
        <v>16</v>
      </c>
      <c r="B388" s="29" t="str">
        <f t="shared" si="5"/>
        <v>CN1-06</v>
      </c>
      <c r="C388" s="29" t="s">
        <v>3897</v>
      </c>
      <c r="D388" s="67" t="s">
        <v>3898</v>
      </c>
      <c r="E388" s="96" t="s">
        <v>62</v>
      </c>
      <c r="F388" s="29" t="s">
        <v>61</v>
      </c>
      <c r="G388" s="29"/>
      <c r="H388" s="103">
        <f>_xlfn.XLOOKUP(B388,GM!$Q$5:$Q$756,GM!$J$5:$J$756)</f>
        <v>46107</v>
      </c>
    </row>
    <row r="389" spans="1:8" hidden="1" x14ac:dyDescent="0.35">
      <c r="A389" s="29" t="s">
        <v>16</v>
      </c>
      <c r="B389" s="29" t="str">
        <f t="shared" ref="B389:B452" si="6">IF(OR(A389="ARN",A389="SDP"),MID(C389,4,7),MID(C389,4,6))</f>
        <v>CN1-06</v>
      </c>
      <c r="C389" s="29" t="s">
        <v>3899</v>
      </c>
      <c r="D389" s="67" t="s">
        <v>3900</v>
      </c>
      <c r="E389" s="96" t="s">
        <v>62</v>
      </c>
      <c r="F389" s="29" t="s">
        <v>61</v>
      </c>
      <c r="G389" s="29"/>
      <c r="H389" s="103">
        <f>_xlfn.XLOOKUP(B389,GM!$Q$5:$Q$756,GM!$J$5:$J$756)</f>
        <v>46107</v>
      </c>
    </row>
    <row r="390" spans="1:8" hidden="1" x14ac:dyDescent="0.35">
      <c r="A390" s="29" t="s">
        <v>16</v>
      </c>
      <c r="B390" s="29" t="str">
        <f t="shared" si="6"/>
        <v>CN1-06</v>
      </c>
      <c r="C390" s="29" t="s">
        <v>3901</v>
      </c>
      <c r="D390" s="67" t="s">
        <v>3902</v>
      </c>
      <c r="E390" s="96" t="s">
        <v>62</v>
      </c>
      <c r="F390" s="29" t="s">
        <v>61</v>
      </c>
      <c r="G390" s="29"/>
      <c r="H390" s="103">
        <f>_xlfn.XLOOKUP(B390,GM!$Q$5:$Q$756,GM!$J$5:$J$756)</f>
        <v>46107</v>
      </c>
    </row>
    <row r="391" spans="1:8" hidden="1" x14ac:dyDescent="0.35">
      <c r="A391" s="29" t="s">
        <v>16</v>
      </c>
      <c r="B391" s="29" t="str">
        <f t="shared" si="6"/>
        <v>CN1-06</v>
      </c>
      <c r="C391" s="29" t="s">
        <v>3903</v>
      </c>
      <c r="D391" s="67" t="s">
        <v>3904</v>
      </c>
      <c r="E391" s="96" t="s">
        <v>62</v>
      </c>
      <c r="F391" s="29" t="s">
        <v>61</v>
      </c>
      <c r="G391" s="29"/>
      <c r="H391" s="103">
        <f>_xlfn.XLOOKUP(B391,GM!$Q$5:$Q$756,GM!$J$5:$J$756)</f>
        <v>46107</v>
      </c>
    </row>
    <row r="392" spans="1:8" hidden="1" x14ac:dyDescent="0.35">
      <c r="A392" s="29" t="s">
        <v>16</v>
      </c>
      <c r="B392" s="29" t="str">
        <f t="shared" si="6"/>
        <v>CN1-06</v>
      </c>
      <c r="C392" s="29" t="s">
        <v>3905</v>
      </c>
      <c r="D392" s="67" t="s">
        <v>3906</v>
      </c>
      <c r="E392" s="96" t="s">
        <v>62</v>
      </c>
      <c r="F392" s="29" t="s">
        <v>61</v>
      </c>
      <c r="G392" s="29"/>
      <c r="H392" s="103">
        <f>_xlfn.XLOOKUP(B392,GM!$Q$5:$Q$756,GM!$J$5:$J$756)</f>
        <v>46107</v>
      </c>
    </row>
    <row r="393" spans="1:8" hidden="1" x14ac:dyDescent="0.35">
      <c r="A393" s="29" t="s">
        <v>16</v>
      </c>
      <c r="B393" s="29" t="str">
        <f t="shared" si="6"/>
        <v>CN1-06</v>
      </c>
      <c r="C393" s="29" t="s">
        <v>3907</v>
      </c>
      <c r="D393" s="67" t="s">
        <v>3908</v>
      </c>
      <c r="E393" s="96" t="s">
        <v>62</v>
      </c>
      <c r="F393" s="29" t="s">
        <v>61</v>
      </c>
      <c r="G393" s="29"/>
      <c r="H393" s="103">
        <f>_xlfn.XLOOKUP(B393,GM!$Q$5:$Q$756,GM!$J$5:$J$756)</f>
        <v>46107</v>
      </c>
    </row>
    <row r="394" spans="1:8" hidden="1" x14ac:dyDescent="0.35">
      <c r="A394" s="29" t="s">
        <v>16</v>
      </c>
      <c r="B394" s="29" t="str">
        <f t="shared" si="6"/>
        <v>CN1-06</v>
      </c>
      <c r="C394" s="29" t="s">
        <v>3909</v>
      </c>
      <c r="D394" s="67" t="s">
        <v>3910</v>
      </c>
      <c r="E394" s="96" t="s">
        <v>62</v>
      </c>
      <c r="F394" s="29" t="s">
        <v>61</v>
      </c>
      <c r="G394" s="29"/>
      <c r="H394" s="103">
        <f>_xlfn.XLOOKUP(B394,GM!$Q$5:$Q$756,GM!$J$5:$J$756)</f>
        <v>46107</v>
      </c>
    </row>
    <row r="395" spans="1:8" hidden="1" x14ac:dyDescent="0.35">
      <c r="A395" s="29" t="s">
        <v>16</v>
      </c>
      <c r="B395" s="29" t="str">
        <f t="shared" si="6"/>
        <v>CN1-06</v>
      </c>
      <c r="C395" s="29" t="s">
        <v>3911</v>
      </c>
      <c r="D395" s="67" t="s">
        <v>3912</v>
      </c>
      <c r="E395" s="96" t="s">
        <v>62</v>
      </c>
      <c r="F395" s="29" t="s">
        <v>61</v>
      </c>
      <c r="G395" s="29"/>
      <c r="H395" s="103">
        <f>_xlfn.XLOOKUP(B395,GM!$Q$5:$Q$756,GM!$J$5:$J$756)</f>
        <v>46107</v>
      </c>
    </row>
    <row r="396" spans="1:8" hidden="1" x14ac:dyDescent="0.35">
      <c r="A396" s="29" t="s">
        <v>16</v>
      </c>
      <c r="B396" s="29" t="str">
        <f t="shared" si="6"/>
        <v>CN1-06</v>
      </c>
      <c r="C396" s="29" t="s">
        <v>3913</v>
      </c>
      <c r="D396" s="67" t="s">
        <v>3914</v>
      </c>
      <c r="E396" s="96" t="s">
        <v>62</v>
      </c>
      <c r="F396" s="29" t="s">
        <v>61</v>
      </c>
      <c r="G396" s="29"/>
      <c r="H396" s="103">
        <f>_xlfn.XLOOKUP(B396,GM!$Q$5:$Q$756,GM!$J$5:$J$756)</f>
        <v>46107</v>
      </c>
    </row>
    <row r="397" spans="1:8" hidden="1" x14ac:dyDescent="0.35">
      <c r="A397" s="29" t="s">
        <v>16</v>
      </c>
      <c r="B397" s="29" t="str">
        <f t="shared" si="6"/>
        <v>CN1-06</v>
      </c>
      <c r="C397" s="29" t="s">
        <v>3915</v>
      </c>
      <c r="D397" s="67" t="s">
        <v>3916</v>
      </c>
      <c r="E397" s="96" t="s">
        <v>62</v>
      </c>
      <c r="F397" s="29" t="s">
        <v>61</v>
      </c>
      <c r="G397" s="29"/>
      <c r="H397" s="103">
        <f>_xlfn.XLOOKUP(B397,GM!$Q$5:$Q$756,GM!$J$5:$J$756)</f>
        <v>46107</v>
      </c>
    </row>
    <row r="398" spans="1:8" hidden="1" x14ac:dyDescent="0.35">
      <c r="A398" s="29" t="s">
        <v>16</v>
      </c>
      <c r="B398" s="29" t="str">
        <f t="shared" si="6"/>
        <v>CN1-06</v>
      </c>
      <c r="C398" s="29" t="s">
        <v>3917</v>
      </c>
      <c r="D398" s="67" t="s">
        <v>3918</v>
      </c>
      <c r="E398" s="96" t="s">
        <v>62</v>
      </c>
      <c r="F398" s="29" t="s">
        <v>61</v>
      </c>
      <c r="G398" s="29"/>
      <c r="H398" s="103">
        <f>_xlfn.XLOOKUP(B398,GM!$Q$5:$Q$756,GM!$J$5:$J$756)</f>
        <v>46107</v>
      </c>
    </row>
    <row r="399" spans="1:8" hidden="1" x14ac:dyDescent="0.35">
      <c r="A399" s="29" t="s">
        <v>16</v>
      </c>
      <c r="B399" s="29" t="str">
        <f t="shared" si="6"/>
        <v>CN1-06</v>
      </c>
      <c r="C399" s="29" t="s">
        <v>3919</v>
      </c>
      <c r="D399" s="67" t="s">
        <v>3920</v>
      </c>
      <c r="E399" s="96" t="s">
        <v>62</v>
      </c>
      <c r="F399" s="29" t="s">
        <v>61</v>
      </c>
      <c r="G399" s="29"/>
      <c r="H399" s="103">
        <f>_xlfn.XLOOKUP(B399,GM!$Q$5:$Q$756,GM!$J$5:$J$756)</f>
        <v>46107</v>
      </c>
    </row>
    <row r="400" spans="1:8" hidden="1" x14ac:dyDescent="0.35">
      <c r="A400" s="29" t="s">
        <v>16</v>
      </c>
      <c r="B400" s="29" t="str">
        <f t="shared" si="6"/>
        <v>CN1-06</v>
      </c>
      <c r="C400" s="29" t="s">
        <v>3919</v>
      </c>
      <c r="D400" s="67" t="s">
        <v>3921</v>
      </c>
      <c r="E400" s="96" t="s">
        <v>62</v>
      </c>
      <c r="F400" s="29" t="s">
        <v>61</v>
      </c>
      <c r="G400" s="29"/>
      <c r="H400" s="103">
        <f>_xlfn.XLOOKUP(B400,GM!$Q$5:$Q$756,GM!$J$5:$J$756)</f>
        <v>46107</v>
      </c>
    </row>
    <row r="401" spans="1:8" hidden="1" x14ac:dyDescent="0.35">
      <c r="A401" s="29" t="s">
        <v>16</v>
      </c>
      <c r="B401" s="29" t="str">
        <f t="shared" si="6"/>
        <v>CN1-06</v>
      </c>
      <c r="C401" s="29" t="s">
        <v>3922</v>
      </c>
      <c r="D401" s="67" t="s">
        <v>3923</v>
      </c>
      <c r="E401" s="96" t="s">
        <v>62</v>
      </c>
      <c r="F401" s="29" t="s">
        <v>61</v>
      </c>
      <c r="G401" s="29"/>
      <c r="H401" s="103">
        <f>_xlfn.XLOOKUP(B401,GM!$Q$5:$Q$756,GM!$J$5:$J$756)</f>
        <v>46107</v>
      </c>
    </row>
    <row r="402" spans="1:8" hidden="1" x14ac:dyDescent="0.35">
      <c r="A402" s="29" t="s">
        <v>16</v>
      </c>
      <c r="B402" s="29" t="str">
        <f t="shared" si="6"/>
        <v>CN1-07</v>
      </c>
      <c r="C402" s="29" t="s">
        <v>3924</v>
      </c>
      <c r="D402" s="67" t="s">
        <v>3925</v>
      </c>
      <c r="E402" s="96" t="s">
        <v>62</v>
      </c>
      <c r="F402" s="29" t="s">
        <v>61</v>
      </c>
      <c r="G402" s="29"/>
      <c r="H402" s="103">
        <f>_xlfn.XLOOKUP(B402,GM!$Q$5:$Q$756,GM!$J$5:$J$756)</f>
        <v>45959</v>
      </c>
    </row>
    <row r="403" spans="1:8" hidden="1" x14ac:dyDescent="0.35">
      <c r="A403" s="29" t="s">
        <v>16</v>
      </c>
      <c r="B403" s="29" t="str">
        <f t="shared" si="6"/>
        <v>CN1-07</v>
      </c>
      <c r="C403" s="29" t="s">
        <v>3926</v>
      </c>
      <c r="D403" s="67" t="s">
        <v>3927</v>
      </c>
      <c r="E403" s="96" t="s">
        <v>62</v>
      </c>
      <c r="F403" s="29" t="s">
        <v>61</v>
      </c>
      <c r="G403" s="29"/>
      <c r="H403" s="103">
        <f>_xlfn.XLOOKUP(B403,GM!$Q$5:$Q$756,GM!$J$5:$J$756)</f>
        <v>45959</v>
      </c>
    </row>
    <row r="404" spans="1:8" hidden="1" x14ac:dyDescent="0.35">
      <c r="A404" s="29" t="s">
        <v>16</v>
      </c>
      <c r="B404" s="29" t="str">
        <f t="shared" si="6"/>
        <v>CN1-07</v>
      </c>
      <c r="C404" s="29" t="s">
        <v>3928</v>
      </c>
      <c r="D404" s="67" t="s">
        <v>3929</v>
      </c>
      <c r="E404" s="96" t="s">
        <v>62</v>
      </c>
      <c r="F404" s="29" t="s">
        <v>61</v>
      </c>
      <c r="G404" s="29"/>
      <c r="H404" s="103">
        <f>_xlfn.XLOOKUP(B404,GM!$Q$5:$Q$756,GM!$J$5:$J$756)</f>
        <v>45959</v>
      </c>
    </row>
    <row r="405" spans="1:8" hidden="1" x14ac:dyDescent="0.35">
      <c r="A405" s="29" t="s">
        <v>16</v>
      </c>
      <c r="B405" s="29" t="str">
        <f t="shared" si="6"/>
        <v>CN1-07</v>
      </c>
      <c r="C405" s="29" t="s">
        <v>3930</v>
      </c>
      <c r="D405" s="67" t="s">
        <v>3931</v>
      </c>
      <c r="E405" s="96" t="s">
        <v>62</v>
      </c>
      <c r="F405" s="29" t="s">
        <v>61</v>
      </c>
      <c r="G405" s="29"/>
      <c r="H405" s="103">
        <f>_xlfn.XLOOKUP(B405,GM!$Q$5:$Q$756,GM!$J$5:$J$756)</f>
        <v>45959</v>
      </c>
    </row>
    <row r="406" spans="1:8" hidden="1" x14ac:dyDescent="0.35">
      <c r="A406" s="29" t="s">
        <v>16</v>
      </c>
      <c r="B406" s="29" t="str">
        <f t="shared" si="6"/>
        <v>CN1-07</v>
      </c>
      <c r="C406" s="29" t="s">
        <v>3932</v>
      </c>
      <c r="D406" s="67" t="s">
        <v>3933</v>
      </c>
      <c r="E406" s="96" t="s">
        <v>62</v>
      </c>
      <c r="F406" s="29" t="s">
        <v>61</v>
      </c>
      <c r="G406" s="29"/>
      <c r="H406" s="103">
        <f>_xlfn.XLOOKUP(B406,GM!$Q$5:$Q$756,GM!$J$5:$J$756)</f>
        <v>45959</v>
      </c>
    </row>
    <row r="407" spans="1:8" hidden="1" x14ac:dyDescent="0.35">
      <c r="A407" s="29" t="s">
        <v>16</v>
      </c>
      <c r="B407" s="29" t="str">
        <f t="shared" si="6"/>
        <v>CN1-09</v>
      </c>
      <c r="C407" s="29" t="s">
        <v>3934</v>
      </c>
      <c r="D407" s="67" t="s">
        <v>3935</v>
      </c>
      <c r="E407" s="96" t="s">
        <v>62</v>
      </c>
      <c r="F407" s="29" t="s">
        <v>61</v>
      </c>
      <c r="G407" s="29"/>
      <c r="H407" s="103">
        <f>_xlfn.XLOOKUP(B407,GM!$Q$5:$Q$756,GM!$J$5:$J$756)</f>
        <v>45959</v>
      </c>
    </row>
    <row r="408" spans="1:8" hidden="1" x14ac:dyDescent="0.35">
      <c r="A408" s="29" t="s">
        <v>16</v>
      </c>
      <c r="B408" s="29" t="str">
        <f t="shared" si="6"/>
        <v>CN1-09</v>
      </c>
      <c r="C408" s="29" t="s">
        <v>3936</v>
      </c>
      <c r="D408" s="67" t="s">
        <v>3937</v>
      </c>
      <c r="E408" s="96" t="s">
        <v>62</v>
      </c>
      <c r="F408" s="29" t="s">
        <v>61</v>
      </c>
      <c r="G408" s="29"/>
      <c r="H408" s="103">
        <f>_xlfn.XLOOKUP(B408,GM!$Q$5:$Q$756,GM!$J$5:$J$756)</f>
        <v>45959</v>
      </c>
    </row>
    <row r="409" spans="1:8" hidden="1" x14ac:dyDescent="0.35">
      <c r="A409" s="29" t="s">
        <v>16</v>
      </c>
      <c r="B409" s="29" t="str">
        <f t="shared" si="6"/>
        <v>CN1-09</v>
      </c>
      <c r="C409" s="29" t="s">
        <v>3938</v>
      </c>
      <c r="D409" s="67" t="s">
        <v>3939</v>
      </c>
      <c r="E409" s="96" t="s">
        <v>62</v>
      </c>
      <c r="F409" s="29" t="s">
        <v>61</v>
      </c>
      <c r="G409" s="29"/>
      <c r="H409" s="103">
        <f>_xlfn.XLOOKUP(B409,GM!$Q$5:$Q$756,GM!$J$5:$J$756)</f>
        <v>45959</v>
      </c>
    </row>
    <row r="410" spans="1:8" hidden="1" x14ac:dyDescent="0.35">
      <c r="A410" s="29" t="s">
        <v>16</v>
      </c>
      <c r="B410" s="29" t="str">
        <f t="shared" si="6"/>
        <v>CN1-09</v>
      </c>
      <c r="C410" s="29" t="s">
        <v>3940</v>
      </c>
      <c r="D410" s="67" t="s">
        <v>3941</v>
      </c>
      <c r="E410" s="96" t="s">
        <v>62</v>
      </c>
      <c r="F410" s="29" t="s">
        <v>61</v>
      </c>
      <c r="G410" s="29"/>
      <c r="H410" s="103">
        <f>_xlfn.XLOOKUP(B410,GM!$Q$5:$Q$756,GM!$J$5:$J$756)</f>
        <v>45959</v>
      </c>
    </row>
    <row r="411" spans="1:8" hidden="1" x14ac:dyDescent="0.35">
      <c r="A411" s="29" t="s">
        <v>16</v>
      </c>
      <c r="B411" s="29" t="str">
        <f t="shared" si="6"/>
        <v>CN1-09</v>
      </c>
      <c r="C411" s="29" t="s">
        <v>3942</v>
      </c>
      <c r="D411" s="67" t="s">
        <v>3943</v>
      </c>
      <c r="E411" s="96" t="s">
        <v>62</v>
      </c>
      <c r="F411" s="29" t="s">
        <v>61</v>
      </c>
      <c r="G411" s="29"/>
      <c r="H411" s="103">
        <f>_xlfn.XLOOKUP(B411,GM!$Q$5:$Q$756,GM!$J$5:$J$756)</f>
        <v>45959</v>
      </c>
    </row>
    <row r="412" spans="1:8" hidden="1" x14ac:dyDescent="0.35">
      <c r="A412" s="29" t="s">
        <v>16</v>
      </c>
      <c r="B412" s="29" t="str">
        <f t="shared" si="6"/>
        <v>CN1-09</v>
      </c>
      <c r="C412" s="29" t="s">
        <v>3944</v>
      </c>
      <c r="D412" s="67" t="s">
        <v>3945</v>
      </c>
      <c r="E412" s="96" t="s">
        <v>62</v>
      </c>
      <c r="F412" s="29" t="s">
        <v>61</v>
      </c>
      <c r="G412" s="29"/>
      <c r="H412" s="103">
        <f>_xlfn.XLOOKUP(B412,GM!$Q$5:$Q$756,GM!$J$5:$J$756)</f>
        <v>45959</v>
      </c>
    </row>
    <row r="413" spans="1:8" hidden="1" x14ac:dyDescent="0.35">
      <c r="A413" s="29" t="s">
        <v>16</v>
      </c>
      <c r="B413" s="29" t="str">
        <f t="shared" si="6"/>
        <v>CN1-09</v>
      </c>
      <c r="C413" s="29" t="s">
        <v>3946</v>
      </c>
      <c r="D413" s="67" t="s">
        <v>3947</v>
      </c>
      <c r="E413" s="96" t="s">
        <v>62</v>
      </c>
      <c r="F413" s="29" t="s">
        <v>61</v>
      </c>
      <c r="G413" s="29"/>
      <c r="H413" s="103">
        <f>_xlfn.XLOOKUP(B413,GM!$Q$5:$Q$756,GM!$J$5:$J$756)</f>
        <v>45959</v>
      </c>
    </row>
    <row r="414" spans="1:8" hidden="1" x14ac:dyDescent="0.35">
      <c r="A414" s="29" t="s">
        <v>16</v>
      </c>
      <c r="B414" s="29" t="str">
        <f t="shared" si="6"/>
        <v>CN1-09</v>
      </c>
      <c r="C414" s="29" t="s">
        <v>3948</v>
      </c>
      <c r="D414" s="67" t="s">
        <v>3949</v>
      </c>
      <c r="E414" s="96" t="s">
        <v>62</v>
      </c>
      <c r="F414" s="29" t="s">
        <v>61</v>
      </c>
      <c r="G414" s="29"/>
      <c r="H414" s="103">
        <f>_xlfn.XLOOKUP(B414,GM!$Q$5:$Q$756,GM!$J$5:$J$756)</f>
        <v>45959</v>
      </c>
    </row>
    <row r="415" spans="1:8" hidden="1" x14ac:dyDescent="0.35">
      <c r="A415" s="29" t="s">
        <v>16</v>
      </c>
      <c r="B415" s="29" t="str">
        <f t="shared" si="6"/>
        <v>CN1-09</v>
      </c>
      <c r="C415" s="29" t="s">
        <v>3950</v>
      </c>
      <c r="D415" s="67" t="s">
        <v>3951</v>
      </c>
      <c r="E415" s="96" t="s">
        <v>62</v>
      </c>
      <c r="F415" s="29" t="s">
        <v>61</v>
      </c>
      <c r="G415" s="29"/>
      <c r="H415" s="103">
        <f>_xlfn.XLOOKUP(B415,GM!$Q$5:$Q$756,GM!$J$5:$J$756)</f>
        <v>45959</v>
      </c>
    </row>
    <row r="416" spans="1:8" hidden="1" x14ac:dyDescent="0.35">
      <c r="A416" s="29" t="s">
        <v>16</v>
      </c>
      <c r="B416" s="29" t="str">
        <f t="shared" si="6"/>
        <v>CN1-10</v>
      </c>
      <c r="C416" s="29" t="s">
        <v>3952</v>
      </c>
      <c r="D416" s="67" t="s">
        <v>3953</v>
      </c>
      <c r="E416" s="96" t="s">
        <v>62</v>
      </c>
      <c r="F416" s="29" t="s">
        <v>61</v>
      </c>
      <c r="G416" s="29"/>
      <c r="H416" s="103">
        <f>_xlfn.XLOOKUP(B416,GM!$Q$5:$Q$756,GM!$J$5:$J$756)</f>
        <v>45959</v>
      </c>
    </row>
    <row r="417" spans="1:8" hidden="1" x14ac:dyDescent="0.35">
      <c r="A417" s="29" t="s">
        <v>16</v>
      </c>
      <c r="B417" s="29" t="str">
        <f t="shared" si="6"/>
        <v>CN1-10</v>
      </c>
      <c r="C417" s="29" t="s">
        <v>3954</v>
      </c>
      <c r="D417" s="67" t="s">
        <v>3955</v>
      </c>
      <c r="E417" s="96" t="s">
        <v>62</v>
      </c>
      <c r="F417" s="29" t="s">
        <v>61</v>
      </c>
      <c r="G417" s="29"/>
      <c r="H417" s="103">
        <f>_xlfn.XLOOKUP(B417,GM!$Q$5:$Q$756,GM!$J$5:$J$756)</f>
        <v>45959</v>
      </c>
    </row>
    <row r="418" spans="1:8" hidden="1" x14ac:dyDescent="0.35">
      <c r="A418" s="29" t="s">
        <v>16</v>
      </c>
      <c r="B418" s="29" t="str">
        <f t="shared" si="6"/>
        <v>CN1-10</v>
      </c>
      <c r="C418" s="29" t="s">
        <v>3956</v>
      </c>
      <c r="D418" s="67" t="s">
        <v>3957</v>
      </c>
      <c r="E418" s="96" t="s">
        <v>62</v>
      </c>
      <c r="F418" s="29" t="s">
        <v>61</v>
      </c>
      <c r="G418" s="29"/>
      <c r="H418" s="103">
        <f>_xlfn.XLOOKUP(B418,GM!$Q$5:$Q$756,GM!$J$5:$J$756)</f>
        <v>45959</v>
      </c>
    </row>
    <row r="419" spans="1:8" hidden="1" x14ac:dyDescent="0.35">
      <c r="A419" s="29" t="s">
        <v>16</v>
      </c>
      <c r="B419" s="29" t="str">
        <f t="shared" si="6"/>
        <v>CN1-10</v>
      </c>
      <c r="C419" s="29" t="s">
        <v>3958</v>
      </c>
      <c r="D419" s="67" t="s">
        <v>3959</v>
      </c>
      <c r="E419" s="96" t="s">
        <v>62</v>
      </c>
      <c r="F419" s="29" t="s">
        <v>61</v>
      </c>
      <c r="G419" s="29"/>
      <c r="H419" s="103">
        <f>_xlfn.XLOOKUP(B419,GM!$Q$5:$Q$756,GM!$J$5:$J$756)</f>
        <v>45959</v>
      </c>
    </row>
    <row r="420" spans="1:8" hidden="1" x14ac:dyDescent="0.35">
      <c r="A420" s="29" t="s">
        <v>16</v>
      </c>
      <c r="B420" s="29" t="str">
        <f t="shared" si="6"/>
        <v>CN1-10</v>
      </c>
      <c r="C420" s="29" t="s">
        <v>3960</v>
      </c>
      <c r="D420" s="67" t="s">
        <v>3961</v>
      </c>
      <c r="E420" s="96" t="s">
        <v>62</v>
      </c>
      <c r="F420" s="29" t="s">
        <v>61</v>
      </c>
      <c r="G420" s="29"/>
      <c r="H420" s="103">
        <f>_xlfn.XLOOKUP(B420,GM!$Q$5:$Q$756,GM!$J$5:$J$756)</f>
        <v>45959</v>
      </c>
    </row>
    <row r="421" spans="1:8" hidden="1" x14ac:dyDescent="0.35">
      <c r="A421" s="29" t="s">
        <v>16</v>
      </c>
      <c r="B421" s="29" t="str">
        <f t="shared" si="6"/>
        <v>CN1-10</v>
      </c>
      <c r="C421" s="29" t="s">
        <v>3962</v>
      </c>
      <c r="D421" s="67" t="s">
        <v>3963</v>
      </c>
      <c r="E421" s="96" t="s">
        <v>62</v>
      </c>
      <c r="F421" s="29" t="s">
        <v>61</v>
      </c>
      <c r="G421" s="29"/>
      <c r="H421" s="103">
        <f>_xlfn.XLOOKUP(B421,GM!$Q$5:$Q$756,GM!$J$5:$J$756)</f>
        <v>45959</v>
      </c>
    </row>
    <row r="422" spans="1:8" hidden="1" x14ac:dyDescent="0.35">
      <c r="A422" s="29" t="s">
        <v>16</v>
      </c>
      <c r="B422" s="29" t="str">
        <f t="shared" si="6"/>
        <v>CN1-10</v>
      </c>
      <c r="C422" s="29" t="s">
        <v>3964</v>
      </c>
      <c r="D422" s="67" t="s">
        <v>3965</v>
      </c>
      <c r="E422" s="96" t="s">
        <v>62</v>
      </c>
      <c r="F422" s="29" t="s">
        <v>61</v>
      </c>
      <c r="G422" s="29"/>
      <c r="H422" s="103">
        <f>_xlfn.XLOOKUP(B422,GM!$Q$5:$Q$756,GM!$J$5:$J$756)</f>
        <v>45959</v>
      </c>
    </row>
    <row r="423" spans="1:8" hidden="1" x14ac:dyDescent="0.35">
      <c r="A423" s="29" t="s">
        <v>16</v>
      </c>
      <c r="B423" s="29" t="str">
        <f t="shared" si="6"/>
        <v>CN1-10</v>
      </c>
      <c r="C423" s="29" t="s">
        <v>3966</v>
      </c>
      <c r="D423" s="67" t="s">
        <v>3967</v>
      </c>
      <c r="E423" s="96" t="s">
        <v>62</v>
      </c>
      <c r="F423" s="29" t="s">
        <v>61</v>
      </c>
      <c r="G423" s="29"/>
      <c r="H423" s="103">
        <f>_xlfn.XLOOKUP(B423,GM!$Q$5:$Q$756,GM!$J$5:$J$756)</f>
        <v>45959</v>
      </c>
    </row>
    <row r="424" spans="1:8" hidden="1" x14ac:dyDescent="0.35">
      <c r="A424" s="29" t="s">
        <v>16</v>
      </c>
      <c r="B424" s="29" t="str">
        <f t="shared" si="6"/>
        <v>CN1-11</v>
      </c>
      <c r="C424" s="29" t="s">
        <v>3968</v>
      </c>
      <c r="D424" s="67" t="s">
        <v>3969</v>
      </c>
      <c r="E424" s="96" t="s">
        <v>62</v>
      </c>
      <c r="F424" s="29" t="s">
        <v>61</v>
      </c>
      <c r="G424" s="29"/>
      <c r="H424" s="103">
        <f>_xlfn.XLOOKUP(B424,GM!$Q$5:$Q$756,GM!$J$5:$J$756)</f>
        <v>46107</v>
      </c>
    </row>
    <row r="425" spans="1:8" hidden="1" x14ac:dyDescent="0.35">
      <c r="A425" s="29" t="s">
        <v>16</v>
      </c>
      <c r="B425" s="29" t="str">
        <f t="shared" si="6"/>
        <v>CN1-11</v>
      </c>
      <c r="C425" s="29" t="s">
        <v>3970</v>
      </c>
      <c r="D425" s="67" t="s">
        <v>3971</v>
      </c>
      <c r="E425" s="96" t="s">
        <v>62</v>
      </c>
      <c r="F425" s="29" t="s">
        <v>61</v>
      </c>
      <c r="G425" s="29"/>
      <c r="H425" s="103">
        <f>_xlfn.XLOOKUP(B425,GM!$Q$5:$Q$756,GM!$J$5:$J$756)</f>
        <v>46107</v>
      </c>
    </row>
    <row r="426" spans="1:8" hidden="1" x14ac:dyDescent="0.35">
      <c r="A426" s="29" t="s">
        <v>16</v>
      </c>
      <c r="B426" s="29" t="str">
        <f t="shared" si="6"/>
        <v>CN1-11</v>
      </c>
      <c r="C426" s="29" t="s">
        <v>3972</v>
      </c>
      <c r="D426" s="67" t="s">
        <v>3973</v>
      </c>
      <c r="E426" s="96" t="s">
        <v>62</v>
      </c>
      <c r="F426" s="29" t="s">
        <v>61</v>
      </c>
      <c r="G426" s="29"/>
      <c r="H426" s="103">
        <f>_xlfn.XLOOKUP(B426,GM!$Q$5:$Q$756,GM!$J$5:$J$756)</f>
        <v>46107</v>
      </c>
    </row>
    <row r="427" spans="1:8" hidden="1" x14ac:dyDescent="0.35">
      <c r="A427" s="29" t="s">
        <v>16</v>
      </c>
      <c r="B427" s="29" t="str">
        <f t="shared" si="6"/>
        <v>CN1-11</v>
      </c>
      <c r="C427" s="29" t="s">
        <v>3974</v>
      </c>
      <c r="D427" s="67" t="s">
        <v>3975</v>
      </c>
      <c r="E427" s="96" t="s">
        <v>62</v>
      </c>
      <c r="F427" s="29" t="s">
        <v>61</v>
      </c>
      <c r="G427" s="29"/>
      <c r="H427" s="103">
        <f>_xlfn.XLOOKUP(B427,GM!$Q$5:$Q$756,GM!$J$5:$J$756)</f>
        <v>46107</v>
      </c>
    </row>
    <row r="428" spans="1:8" hidden="1" x14ac:dyDescent="0.35">
      <c r="A428" s="29" t="s">
        <v>16</v>
      </c>
      <c r="B428" s="29" t="str">
        <f t="shared" si="6"/>
        <v>CN1-12</v>
      </c>
      <c r="C428" s="29" t="s">
        <v>3976</v>
      </c>
      <c r="D428" s="67" t="s">
        <v>3977</v>
      </c>
      <c r="E428" s="96" t="s">
        <v>62</v>
      </c>
      <c r="F428" s="29" t="s">
        <v>61</v>
      </c>
      <c r="G428" s="29"/>
      <c r="H428" s="103">
        <f>_xlfn.XLOOKUP(B428,GM!$Q$5:$Q$756,GM!$J$5:$J$756)</f>
        <v>46107</v>
      </c>
    </row>
    <row r="429" spans="1:8" hidden="1" x14ac:dyDescent="0.35">
      <c r="A429" s="29" t="s">
        <v>16</v>
      </c>
      <c r="B429" s="29" t="str">
        <f t="shared" si="6"/>
        <v>CN1-13</v>
      </c>
      <c r="C429" s="29" t="s">
        <v>3978</v>
      </c>
      <c r="D429" s="67" t="s">
        <v>3979</v>
      </c>
      <c r="E429" s="96" t="s">
        <v>62</v>
      </c>
      <c r="F429" s="29" t="s">
        <v>61</v>
      </c>
      <c r="G429" s="29"/>
      <c r="H429" s="103">
        <f>_xlfn.XLOOKUP(B429,GM!$Q$5:$Q$756,GM!$J$5:$J$756)</f>
        <v>46107</v>
      </c>
    </row>
    <row r="430" spans="1:8" hidden="1" x14ac:dyDescent="0.35">
      <c r="A430" s="29" t="s">
        <v>16</v>
      </c>
      <c r="B430" s="29" t="str">
        <f t="shared" si="6"/>
        <v>CN1-13</v>
      </c>
      <c r="C430" s="29" t="s">
        <v>3980</v>
      </c>
      <c r="D430" s="67" t="s">
        <v>3981</v>
      </c>
      <c r="E430" s="96" t="s">
        <v>62</v>
      </c>
      <c r="F430" s="29" t="s">
        <v>61</v>
      </c>
      <c r="G430" s="29"/>
      <c r="H430" s="103">
        <f>_xlfn.XLOOKUP(B430,GM!$Q$5:$Q$756,GM!$J$5:$J$756)</f>
        <v>46107</v>
      </c>
    </row>
    <row r="431" spans="1:8" hidden="1" x14ac:dyDescent="0.35">
      <c r="A431" s="29" t="s">
        <v>16</v>
      </c>
      <c r="B431" s="29" t="str">
        <f t="shared" si="6"/>
        <v>CN1-13</v>
      </c>
      <c r="C431" s="29" t="s">
        <v>3982</v>
      </c>
      <c r="D431" s="67" t="s">
        <v>3983</v>
      </c>
      <c r="E431" s="96" t="s">
        <v>62</v>
      </c>
      <c r="F431" s="29" t="s">
        <v>61</v>
      </c>
      <c r="G431" s="29"/>
      <c r="H431" s="103">
        <f>_xlfn.XLOOKUP(B431,GM!$Q$5:$Q$756,GM!$J$5:$J$756)</f>
        <v>46107</v>
      </c>
    </row>
    <row r="432" spans="1:8" hidden="1" x14ac:dyDescent="0.35">
      <c r="A432" s="29" t="s">
        <v>16</v>
      </c>
      <c r="B432" s="29" t="str">
        <f t="shared" si="6"/>
        <v>CN1-13</v>
      </c>
      <c r="C432" s="29" t="s">
        <v>3984</v>
      </c>
      <c r="D432" s="67" t="s">
        <v>3985</v>
      </c>
      <c r="E432" s="96" t="s">
        <v>62</v>
      </c>
      <c r="F432" s="29" t="s">
        <v>61</v>
      </c>
      <c r="G432" s="29"/>
      <c r="H432" s="103">
        <f>_xlfn.XLOOKUP(B432,GM!$Q$5:$Q$756,GM!$J$5:$J$756)</f>
        <v>46107</v>
      </c>
    </row>
    <row r="433" spans="1:8" hidden="1" x14ac:dyDescent="0.35">
      <c r="A433" s="29" t="s">
        <v>16</v>
      </c>
      <c r="B433" s="29" t="str">
        <f t="shared" si="6"/>
        <v>CN1-13</v>
      </c>
      <c r="C433" s="29" t="s">
        <v>3986</v>
      </c>
      <c r="D433" s="67" t="s">
        <v>3987</v>
      </c>
      <c r="E433" s="96" t="s">
        <v>62</v>
      </c>
      <c r="F433" s="29" t="s">
        <v>61</v>
      </c>
      <c r="G433" s="29"/>
      <c r="H433" s="103">
        <f>_xlfn.XLOOKUP(B433,GM!$Q$5:$Q$756,GM!$J$5:$J$756)</f>
        <v>46107</v>
      </c>
    </row>
    <row r="434" spans="1:8" hidden="1" x14ac:dyDescent="0.35">
      <c r="A434" s="29" t="s">
        <v>16</v>
      </c>
      <c r="B434" s="29" t="str">
        <f t="shared" si="6"/>
        <v>CN1-13</v>
      </c>
      <c r="C434" s="29" t="s">
        <v>3988</v>
      </c>
      <c r="D434" s="67" t="s">
        <v>3989</v>
      </c>
      <c r="E434" s="96" t="s">
        <v>62</v>
      </c>
      <c r="F434" s="29" t="s">
        <v>61</v>
      </c>
      <c r="G434" s="29"/>
      <c r="H434" s="103">
        <f>_xlfn.XLOOKUP(B434,GM!$Q$5:$Q$756,GM!$J$5:$J$756)</f>
        <v>46107</v>
      </c>
    </row>
    <row r="435" spans="1:8" hidden="1" x14ac:dyDescent="0.35">
      <c r="A435" s="29" t="s">
        <v>16</v>
      </c>
      <c r="B435" s="29" t="str">
        <f t="shared" si="6"/>
        <v>CN1-14</v>
      </c>
      <c r="C435" s="29" t="s">
        <v>3990</v>
      </c>
      <c r="D435" s="67" t="s">
        <v>3991</v>
      </c>
      <c r="E435" s="96" t="s">
        <v>62</v>
      </c>
      <c r="F435" s="29" t="s">
        <v>61</v>
      </c>
      <c r="G435" s="29"/>
      <c r="H435" s="103">
        <f>_xlfn.XLOOKUP(B435,GM!$Q$5:$Q$756,GM!$J$5:$J$756)</f>
        <v>45202</v>
      </c>
    </row>
    <row r="436" spans="1:8" hidden="1" x14ac:dyDescent="0.35">
      <c r="A436" s="29" t="s">
        <v>16</v>
      </c>
      <c r="B436" s="29" t="str">
        <f t="shared" si="6"/>
        <v>CN1-15</v>
      </c>
      <c r="C436" s="29" t="s">
        <v>3992</v>
      </c>
      <c r="D436" s="67" t="s">
        <v>3993</v>
      </c>
      <c r="E436" s="96" t="s">
        <v>62</v>
      </c>
      <c r="F436" s="29" t="s">
        <v>61</v>
      </c>
      <c r="G436" s="29"/>
      <c r="H436" s="103">
        <f>_xlfn.XLOOKUP(B436,GM!$Q$5:$Q$756,GM!$J$5:$J$756)</f>
        <v>46107</v>
      </c>
    </row>
    <row r="437" spans="1:8" hidden="1" x14ac:dyDescent="0.35">
      <c r="A437" s="29" t="s">
        <v>16</v>
      </c>
      <c r="B437" s="29" t="str">
        <f t="shared" si="6"/>
        <v>CN1-15</v>
      </c>
      <c r="C437" s="29" t="s">
        <v>3994</v>
      </c>
      <c r="D437" s="67" t="s">
        <v>3995</v>
      </c>
      <c r="E437" s="96" t="s">
        <v>62</v>
      </c>
      <c r="F437" s="29" t="s">
        <v>61</v>
      </c>
      <c r="G437" s="29"/>
      <c r="H437" s="103">
        <f>_xlfn.XLOOKUP(B437,GM!$Q$5:$Q$756,GM!$J$5:$J$756)</f>
        <v>46107</v>
      </c>
    </row>
    <row r="438" spans="1:8" hidden="1" x14ac:dyDescent="0.35">
      <c r="A438" s="29" t="s">
        <v>16</v>
      </c>
      <c r="B438" s="29" t="str">
        <f t="shared" si="6"/>
        <v>CN1-15</v>
      </c>
      <c r="C438" s="29" t="s">
        <v>3996</v>
      </c>
      <c r="D438" s="67" t="s">
        <v>3997</v>
      </c>
      <c r="E438" s="96" t="s">
        <v>62</v>
      </c>
      <c r="F438" s="29" t="s">
        <v>61</v>
      </c>
      <c r="G438" s="29"/>
      <c r="H438" s="103">
        <f>_xlfn.XLOOKUP(B438,GM!$Q$5:$Q$756,GM!$J$5:$J$756)</f>
        <v>46107</v>
      </c>
    </row>
    <row r="439" spans="1:8" hidden="1" x14ac:dyDescent="0.35">
      <c r="A439" s="29" t="s">
        <v>16</v>
      </c>
      <c r="B439" s="29" t="str">
        <f t="shared" si="6"/>
        <v>CN1-15</v>
      </c>
      <c r="C439" s="29" t="s">
        <v>3998</v>
      </c>
      <c r="D439" s="67" t="s">
        <v>3999</v>
      </c>
      <c r="E439" s="96" t="s">
        <v>62</v>
      </c>
      <c r="F439" s="29" t="s">
        <v>61</v>
      </c>
      <c r="G439" s="29"/>
      <c r="H439" s="103">
        <f>_xlfn.XLOOKUP(B439,GM!$Q$5:$Q$756,GM!$J$5:$J$756)</f>
        <v>46107</v>
      </c>
    </row>
    <row r="440" spans="1:8" hidden="1" x14ac:dyDescent="0.35">
      <c r="A440" s="29" t="s">
        <v>16</v>
      </c>
      <c r="B440" s="29" t="str">
        <f t="shared" si="6"/>
        <v>CN1-15</v>
      </c>
      <c r="C440" s="29" t="s">
        <v>4000</v>
      </c>
      <c r="D440" s="67" t="s">
        <v>4001</v>
      </c>
      <c r="E440" s="96" t="s">
        <v>62</v>
      </c>
      <c r="F440" s="29" t="s">
        <v>61</v>
      </c>
      <c r="G440" s="29"/>
      <c r="H440" s="103">
        <f>_xlfn.XLOOKUP(B440,GM!$Q$5:$Q$756,GM!$J$5:$J$756)</f>
        <v>46107</v>
      </c>
    </row>
    <row r="441" spans="1:8" hidden="1" x14ac:dyDescent="0.35">
      <c r="A441" s="29" t="s">
        <v>16</v>
      </c>
      <c r="B441" s="29" t="str">
        <f t="shared" si="6"/>
        <v>CN1-15</v>
      </c>
      <c r="C441" s="29" t="s">
        <v>4002</v>
      </c>
      <c r="D441" s="67" t="s">
        <v>4003</v>
      </c>
      <c r="E441" s="96" t="s">
        <v>62</v>
      </c>
      <c r="F441" s="29" t="s">
        <v>61</v>
      </c>
      <c r="G441" s="29"/>
      <c r="H441" s="103">
        <f>_xlfn.XLOOKUP(B441,GM!$Q$5:$Q$756,GM!$J$5:$J$756)</f>
        <v>46107</v>
      </c>
    </row>
    <row r="442" spans="1:8" hidden="1" x14ac:dyDescent="0.35">
      <c r="A442" s="29" t="s">
        <v>16</v>
      </c>
      <c r="B442" s="29" t="str">
        <f t="shared" si="6"/>
        <v>CN1-15</v>
      </c>
      <c r="C442" s="29" t="s">
        <v>4004</v>
      </c>
      <c r="D442" s="67" t="s">
        <v>4005</v>
      </c>
      <c r="E442" s="96" t="s">
        <v>62</v>
      </c>
      <c r="F442" s="29" t="s">
        <v>61</v>
      </c>
      <c r="G442" s="29"/>
      <c r="H442" s="103">
        <f>_xlfn.XLOOKUP(B442,GM!$Q$5:$Q$756,GM!$J$5:$J$756)</f>
        <v>46107</v>
      </c>
    </row>
    <row r="443" spans="1:8" hidden="1" x14ac:dyDescent="0.35">
      <c r="A443" s="29" t="s">
        <v>16</v>
      </c>
      <c r="B443" s="29" t="str">
        <f t="shared" si="6"/>
        <v>CN1-15</v>
      </c>
      <c r="C443" s="29" t="s">
        <v>4006</v>
      </c>
      <c r="D443" s="67" t="s">
        <v>4007</v>
      </c>
      <c r="E443" s="96" t="s">
        <v>62</v>
      </c>
      <c r="F443" s="29" t="s">
        <v>61</v>
      </c>
      <c r="G443" s="29"/>
      <c r="H443" s="103">
        <f>_xlfn.XLOOKUP(B443,GM!$Q$5:$Q$756,GM!$J$5:$J$756)</f>
        <v>46107</v>
      </c>
    </row>
    <row r="444" spans="1:8" hidden="1" x14ac:dyDescent="0.35">
      <c r="A444" s="29" t="s">
        <v>16</v>
      </c>
      <c r="B444" s="29" t="str">
        <f t="shared" si="6"/>
        <v>CN1-15</v>
      </c>
      <c r="C444" s="29" t="s">
        <v>4008</v>
      </c>
      <c r="D444" s="67" t="s">
        <v>4009</v>
      </c>
      <c r="E444" s="96" t="s">
        <v>62</v>
      </c>
      <c r="F444" s="29" t="s">
        <v>61</v>
      </c>
      <c r="G444" s="29"/>
      <c r="H444" s="103">
        <f>_xlfn.XLOOKUP(B444,GM!$Q$5:$Q$756,GM!$J$5:$J$756)</f>
        <v>46107</v>
      </c>
    </row>
    <row r="445" spans="1:8" hidden="1" x14ac:dyDescent="0.35">
      <c r="A445" s="29" t="s">
        <v>16</v>
      </c>
      <c r="B445" s="29" t="str">
        <f t="shared" si="6"/>
        <v>CN1-15</v>
      </c>
      <c r="C445" s="29" t="s">
        <v>4010</v>
      </c>
      <c r="D445" s="67" t="s">
        <v>4011</v>
      </c>
      <c r="E445" s="96" t="s">
        <v>62</v>
      </c>
      <c r="F445" s="29" t="s">
        <v>61</v>
      </c>
      <c r="G445" s="29"/>
      <c r="H445" s="103">
        <f>_xlfn.XLOOKUP(B445,GM!$Q$5:$Q$756,GM!$J$5:$J$756)</f>
        <v>46107</v>
      </c>
    </row>
    <row r="446" spans="1:8" hidden="1" x14ac:dyDescent="0.35">
      <c r="A446" s="29" t="s">
        <v>16</v>
      </c>
      <c r="B446" s="29" t="str">
        <f t="shared" si="6"/>
        <v>CN1-15</v>
      </c>
      <c r="C446" s="29" t="s">
        <v>4012</v>
      </c>
      <c r="D446" s="67" t="s">
        <v>4013</v>
      </c>
      <c r="E446" s="96" t="s">
        <v>62</v>
      </c>
      <c r="F446" s="29" t="s">
        <v>61</v>
      </c>
      <c r="G446" s="29"/>
      <c r="H446" s="103">
        <f>_xlfn.XLOOKUP(B446,GM!$Q$5:$Q$756,GM!$J$5:$J$756)</f>
        <v>46107</v>
      </c>
    </row>
    <row r="447" spans="1:8" hidden="1" x14ac:dyDescent="0.35">
      <c r="A447" s="29" t="s">
        <v>16</v>
      </c>
      <c r="B447" s="29" t="str">
        <f t="shared" si="6"/>
        <v>CN1-15</v>
      </c>
      <c r="C447" s="29" t="s">
        <v>4014</v>
      </c>
      <c r="D447" s="67" t="s">
        <v>4015</v>
      </c>
      <c r="E447" s="96" t="s">
        <v>62</v>
      </c>
      <c r="F447" s="29" t="s">
        <v>61</v>
      </c>
      <c r="G447" s="29"/>
      <c r="H447" s="103">
        <f>_xlfn.XLOOKUP(B447,GM!$Q$5:$Q$756,GM!$J$5:$J$756)</f>
        <v>46107</v>
      </c>
    </row>
    <row r="448" spans="1:8" hidden="1" x14ac:dyDescent="0.35">
      <c r="A448" s="29" t="s">
        <v>16</v>
      </c>
      <c r="B448" s="29" t="str">
        <f t="shared" si="6"/>
        <v>CN1-15</v>
      </c>
      <c r="C448" s="29" t="s">
        <v>4016</v>
      </c>
      <c r="D448" s="67" t="s">
        <v>4017</v>
      </c>
      <c r="E448" s="96" t="s">
        <v>62</v>
      </c>
      <c r="F448" s="29" t="s">
        <v>61</v>
      </c>
      <c r="G448" s="29"/>
      <c r="H448" s="103">
        <f>_xlfn.XLOOKUP(B448,GM!$Q$5:$Q$756,GM!$J$5:$J$756)</f>
        <v>46107</v>
      </c>
    </row>
    <row r="449" spans="1:8" hidden="1" x14ac:dyDescent="0.35">
      <c r="A449" s="29" t="s">
        <v>16</v>
      </c>
      <c r="B449" s="29" t="str">
        <f t="shared" si="6"/>
        <v>CN1-15</v>
      </c>
      <c r="C449" s="29" t="s">
        <v>4018</v>
      </c>
      <c r="D449" s="67" t="s">
        <v>4019</v>
      </c>
      <c r="E449" s="96" t="s">
        <v>62</v>
      </c>
      <c r="F449" s="29" t="s">
        <v>61</v>
      </c>
      <c r="G449" s="29"/>
      <c r="H449" s="103">
        <f>_xlfn.XLOOKUP(B449,GM!$Q$5:$Q$756,GM!$J$5:$J$756)</f>
        <v>46107</v>
      </c>
    </row>
    <row r="450" spans="1:8" hidden="1" x14ac:dyDescent="0.35">
      <c r="A450" s="29" t="s">
        <v>16</v>
      </c>
      <c r="B450" s="29" t="str">
        <f t="shared" si="6"/>
        <v>CN1-15</v>
      </c>
      <c r="C450" s="29" t="s">
        <v>4020</v>
      </c>
      <c r="D450" s="67" t="s">
        <v>4021</v>
      </c>
      <c r="E450" s="96" t="s">
        <v>62</v>
      </c>
      <c r="F450" s="29" t="s">
        <v>61</v>
      </c>
      <c r="G450" s="29"/>
      <c r="H450" s="103">
        <f>_xlfn.XLOOKUP(B450,GM!$Q$5:$Q$756,GM!$J$5:$J$756)</f>
        <v>46107</v>
      </c>
    </row>
    <row r="451" spans="1:8" hidden="1" x14ac:dyDescent="0.35">
      <c r="A451" s="29" t="s">
        <v>16</v>
      </c>
      <c r="B451" s="29" t="str">
        <f t="shared" si="6"/>
        <v>CN1-15</v>
      </c>
      <c r="C451" s="29" t="s">
        <v>4022</v>
      </c>
      <c r="D451" s="67" t="s">
        <v>4023</v>
      </c>
      <c r="E451" s="96" t="s">
        <v>62</v>
      </c>
      <c r="F451" s="29" t="s">
        <v>61</v>
      </c>
      <c r="G451" s="29"/>
      <c r="H451" s="103">
        <f>_xlfn.XLOOKUP(B451,GM!$Q$5:$Q$756,GM!$J$5:$J$756)</f>
        <v>46107</v>
      </c>
    </row>
    <row r="452" spans="1:8" hidden="1" x14ac:dyDescent="0.35">
      <c r="A452" s="29" t="s">
        <v>16</v>
      </c>
      <c r="B452" s="29" t="str">
        <f t="shared" si="6"/>
        <v>CN1-15</v>
      </c>
      <c r="C452" s="29" t="s">
        <v>4024</v>
      </c>
      <c r="D452" s="67" t="s">
        <v>4025</v>
      </c>
      <c r="E452" s="96" t="s">
        <v>62</v>
      </c>
      <c r="F452" s="29" t="s">
        <v>61</v>
      </c>
      <c r="G452" s="29"/>
      <c r="H452" s="103">
        <f>_xlfn.XLOOKUP(B452,GM!$Q$5:$Q$756,GM!$J$5:$J$756)</f>
        <v>46107</v>
      </c>
    </row>
    <row r="453" spans="1:8" hidden="1" x14ac:dyDescent="0.35">
      <c r="A453" s="29" t="s">
        <v>16</v>
      </c>
      <c r="B453" s="29" t="str">
        <f t="shared" ref="B453:B516" si="7">IF(OR(A453="ARN",A453="SDP"),MID(C453,4,7),MID(C453,4,6))</f>
        <v>CN1-15</v>
      </c>
      <c r="C453" s="29" t="s">
        <v>4026</v>
      </c>
      <c r="D453" s="67" t="s">
        <v>4027</v>
      </c>
      <c r="E453" s="96" t="s">
        <v>62</v>
      </c>
      <c r="F453" s="29" t="s">
        <v>61</v>
      </c>
      <c r="G453" s="29"/>
      <c r="H453" s="103">
        <f>_xlfn.XLOOKUP(B453,GM!$Q$5:$Q$756,GM!$J$5:$J$756)</f>
        <v>46107</v>
      </c>
    </row>
    <row r="454" spans="1:8" hidden="1" x14ac:dyDescent="0.35">
      <c r="A454" s="29" t="s">
        <v>16</v>
      </c>
      <c r="B454" s="29" t="str">
        <f t="shared" si="7"/>
        <v>CN1-15</v>
      </c>
      <c r="C454" s="29" t="s">
        <v>4028</v>
      </c>
      <c r="D454" s="67" t="s">
        <v>4029</v>
      </c>
      <c r="E454" s="96" t="s">
        <v>62</v>
      </c>
      <c r="F454" s="29" t="s">
        <v>61</v>
      </c>
      <c r="G454" s="29"/>
      <c r="H454" s="103">
        <f>_xlfn.XLOOKUP(B454,GM!$Q$5:$Q$756,GM!$J$5:$J$756)</f>
        <v>46107</v>
      </c>
    </row>
    <row r="455" spans="1:8" hidden="1" x14ac:dyDescent="0.35">
      <c r="A455" s="29" t="s">
        <v>16</v>
      </c>
      <c r="B455" s="29" t="str">
        <f t="shared" si="7"/>
        <v>CN1-15</v>
      </c>
      <c r="C455" s="29" t="s">
        <v>4030</v>
      </c>
      <c r="D455" s="67" t="s">
        <v>4031</v>
      </c>
      <c r="E455" s="96" t="s">
        <v>62</v>
      </c>
      <c r="F455" s="29" t="s">
        <v>61</v>
      </c>
      <c r="G455" s="29"/>
      <c r="H455" s="103">
        <f>_xlfn.XLOOKUP(B455,GM!$Q$5:$Q$756,GM!$J$5:$J$756)</f>
        <v>46107</v>
      </c>
    </row>
    <row r="456" spans="1:8" hidden="1" x14ac:dyDescent="0.35">
      <c r="A456" s="29" t="s">
        <v>16</v>
      </c>
      <c r="B456" s="29" t="str">
        <f t="shared" si="7"/>
        <v>CN1-15</v>
      </c>
      <c r="C456" s="29" t="s">
        <v>4032</v>
      </c>
      <c r="D456" s="67" t="s">
        <v>4033</v>
      </c>
      <c r="E456" s="96" t="s">
        <v>62</v>
      </c>
      <c r="F456" s="29" t="s">
        <v>61</v>
      </c>
      <c r="G456" s="29"/>
      <c r="H456" s="103">
        <f>_xlfn.XLOOKUP(B456,GM!$Q$5:$Q$756,GM!$J$5:$J$756)</f>
        <v>46107</v>
      </c>
    </row>
    <row r="457" spans="1:8" hidden="1" x14ac:dyDescent="0.35">
      <c r="A457" s="29" t="s">
        <v>16</v>
      </c>
      <c r="B457" s="29" t="str">
        <f t="shared" si="7"/>
        <v>CN1-15</v>
      </c>
      <c r="C457" s="29" t="s">
        <v>4034</v>
      </c>
      <c r="D457" s="67" t="s">
        <v>4035</v>
      </c>
      <c r="E457" s="96" t="s">
        <v>62</v>
      </c>
      <c r="F457" s="29" t="s">
        <v>61</v>
      </c>
      <c r="G457" s="29"/>
      <c r="H457" s="103">
        <f>_xlfn.XLOOKUP(B457,GM!$Q$5:$Q$756,GM!$J$5:$J$756)</f>
        <v>46107</v>
      </c>
    </row>
    <row r="458" spans="1:8" hidden="1" x14ac:dyDescent="0.35">
      <c r="A458" s="29" t="s">
        <v>16</v>
      </c>
      <c r="B458" s="29" t="str">
        <f t="shared" si="7"/>
        <v>CN1-15</v>
      </c>
      <c r="C458" s="29" t="s">
        <v>4036</v>
      </c>
      <c r="D458" s="67" t="s">
        <v>4037</v>
      </c>
      <c r="E458" s="96" t="s">
        <v>62</v>
      </c>
      <c r="F458" s="29" t="s">
        <v>61</v>
      </c>
      <c r="G458" s="29"/>
      <c r="H458" s="103">
        <f>_xlfn.XLOOKUP(B458,GM!$Q$5:$Q$756,GM!$J$5:$J$756)</f>
        <v>46107</v>
      </c>
    </row>
    <row r="459" spans="1:8" hidden="1" x14ac:dyDescent="0.35">
      <c r="A459" s="29" t="s">
        <v>16</v>
      </c>
      <c r="B459" s="29" t="str">
        <f t="shared" si="7"/>
        <v>CN1-15</v>
      </c>
      <c r="C459" s="29" t="s">
        <v>4038</v>
      </c>
      <c r="D459" s="67" t="s">
        <v>4039</v>
      </c>
      <c r="E459" s="96" t="s">
        <v>62</v>
      </c>
      <c r="F459" s="29" t="s">
        <v>61</v>
      </c>
      <c r="G459" s="29"/>
      <c r="H459" s="103">
        <f>_xlfn.XLOOKUP(B459,GM!$Q$5:$Q$756,GM!$J$5:$J$756)</f>
        <v>46107</v>
      </c>
    </row>
    <row r="460" spans="1:8" hidden="1" x14ac:dyDescent="0.35">
      <c r="A460" s="29" t="s">
        <v>16</v>
      </c>
      <c r="B460" s="29" t="str">
        <f t="shared" si="7"/>
        <v>CN1-15</v>
      </c>
      <c r="C460" s="29" t="s">
        <v>4040</v>
      </c>
      <c r="D460" s="67" t="s">
        <v>4041</v>
      </c>
      <c r="E460" s="96" t="s">
        <v>62</v>
      </c>
      <c r="F460" s="29" t="s">
        <v>61</v>
      </c>
      <c r="G460" s="29"/>
      <c r="H460" s="103">
        <f>_xlfn.XLOOKUP(B460,GM!$Q$5:$Q$756,GM!$J$5:$J$756)</f>
        <v>46107</v>
      </c>
    </row>
    <row r="461" spans="1:8" hidden="1" x14ac:dyDescent="0.35">
      <c r="A461" s="29" t="s">
        <v>16</v>
      </c>
      <c r="B461" s="29" t="str">
        <f t="shared" si="7"/>
        <v>CN1-17</v>
      </c>
      <c r="C461" s="29" t="s">
        <v>4042</v>
      </c>
      <c r="D461" s="67" t="s">
        <v>4043</v>
      </c>
      <c r="E461" s="96" t="s">
        <v>62</v>
      </c>
      <c r="F461" s="29" t="s">
        <v>61</v>
      </c>
      <c r="G461" s="29"/>
      <c r="H461" s="103">
        <f>_xlfn.XLOOKUP(B461,GM!$Q$5:$Q$756,GM!$J$5:$J$756)</f>
        <v>45202</v>
      </c>
    </row>
    <row r="462" spans="1:8" hidden="1" x14ac:dyDescent="0.35">
      <c r="A462" s="29" t="s">
        <v>16</v>
      </c>
      <c r="B462" s="29" t="str">
        <f t="shared" si="7"/>
        <v>CN1-17</v>
      </c>
      <c r="C462" s="29" t="s">
        <v>4044</v>
      </c>
      <c r="D462" s="67" t="s">
        <v>4045</v>
      </c>
      <c r="E462" s="96" t="s">
        <v>62</v>
      </c>
      <c r="F462" s="29" t="s">
        <v>61</v>
      </c>
      <c r="G462" s="29"/>
      <c r="H462" s="103">
        <f>_xlfn.XLOOKUP(B462,GM!$Q$5:$Q$756,GM!$J$5:$J$756)</f>
        <v>45202</v>
      </c>
    </row>
    <row r="463" spans="1:8" hidden="1" x14ac:dyDescent="0.35">
      <c r="A463" s="29" t="s">
        <v>16</v>
      </c>
      <c r="B463" s="29" t="str">
        <f t="shared" si="7"/>
        <v>CN1-17</v>
      </c>
      <c r="C463" s="29" t="s">
        <v>4046</v>
      </c>
      <c r="D463" s="67" t="s">
        <v>4047</v>
      </c>
      <c r="E463" s="96" t="s">
        <v>62</v>
      </c>
      <c r="F463" s="29" t="s">
        <v>61</v>
      </c>
      <c r="G463" s="29"/>
      <c r="H463" s="103">
        <f>_xlfn.XLOOKUP(B463,GM!$Q$5:$Q$756,GM!$J$5:$J$756)</f>
        <v>45202</v>
      </c>
    </row>
    <row r="464" spans="1:8" hidden="1" x14ac:dyDescent="0.35">
      <c r="A464" s="29" t="s">
        <v>16</v>
      </c>
      <c r="B464" s="29" t="str">
        <f t="shared" si="7"/>
        <v>CN1-17</v>
      </c>
      <c r="C464" s="29" t="s">
        <v>4048</v>
      </c>
      <c r="D464" s="67" t="s">
        <v>4049</v>
      </c>
      <c r="E464" s="96" t="s">
        <v>62</v>
      </c>
      <c r="F464" s="29" t="s">
        <v>61</v>
      </c>
      <c r="G464" s="29"/>
      <c r="H464" s="103">
        <f>_xlfn.XLOOKUP(B464,GM!$Q$5:$Q$756,GM!$J$5:$J$756)</f>
        <v>45202</v>
      </c>
    </row>
    <row r="465" spans="1:8" hidden="1" x14ac:dyDescent="0.35">
      <c r="A465" s="29" t="s">
        <v>16</v>
      </c>
      <c r="B465" s="29" t="str">
        <f t="shared" si="7"/>
        <v>CN1-17</v>
      </c>
      <c r="C465" s="29" t="s">
        <v>4050</v>
      </c>
      <c r="D465" s="67" t="s">
        <v>4051</v>
      </c>
      <c r="E465" s="96" t="s">
        <v>62</v>
      </c>
      <c r="F465" s="29" t="s">
        <v>61</v>
      </c>
      <c r="G465" s="29"/>
      <c r="H465" s="103">
        <f>_xlfn.XLOOKUP(B465,GM!$Q$5:$Q$756,GM!$J$5:$J$756)</f>
        <v>45202</v>
      </c>
    </row>
    <row r="466" spans="1:8" hidden="1" x14ac:dyDescent="0.35">
      <c r="A466" s="29" t="s">
        <v>16</v>
      </c>
      <c r="B466" s="29" t="str">
        <f t="shared" si="7"/>
        <v>CN1-17</v>
      </c>
      <c r="C466" s="29" t="s">
        <v>4052</v>
      </c>
      <c r="D466" s="67" t="s">
        <v>4053</v>
      </c>
      <c r="E466" s="96" t="s">
        <v>62</v>
      </c>
      <c r="F466" s="29" t="s">
        <v>61</v>
      </c>
      <c r="G466" s="29"/>
      <c r="H466" s="103">
        <f>_xlfn.XLOOKUP(B466,GM!$Q$5:$Q$756,GM!$J$5:$J$756)</f>
        <v>45202</v>
      </c>
    </row>
    <row r="467" spans="1:8" hidden="1" x14ac:dyDescent="0.35">
      <c r="A467" s="29" t="s">
        <v>16</v>
      </c>
      <c r="B467" s="29" t="str">
        <f t="shared" si="7"/>
        <v>CN1-18</v>
      </c>
      <c r="C467" s="29" t="s">
        <v>4054</v>
      </c>
      <c r="D467" s="67" t="s">
        <v>4055</v>
      </c>
      <c r="E467" s="96" t="s">
        <v>62</v>
      </c>
      <c r="F467" s="29" t="s">
        <v>61</v>
      </c>
      <c r="G467" s="29"/>
      <c r="H467" s="103">
        <f>_xlfn.XLOOKUP(B467,GM!$Q$5:$Q$756,GM!$J$5:$J$756)</f>
        <v>45645</v>
      </c>
    </row>
    <row r="468" spans="1:8" hidden="1" x14ac:dyDescent="0.35">
      <c r="A468" s="29" t="s">
        <v>16</v>
      </c>
      <c r="B468" s="29" t="str">
        <f t="shared" si="7"/>
        <v>CN1-18</v>
      </c>
      <c r="C468" s="29" t="s">
        <v>4056</v>
      </c>
      <c r="D468" s="67" t="s">
        <v>4057</v>
      </c>
      <c r="E468" s="96" t="s">
        <v>62</v>
      </c>
      <c r="F468" s="29" t="s">
        <v>61</v>
      </c>
      <c r="G468" s="29"/>
      <c r="H468" s="103">
        <f>_xlfn.XLOOKUP(B468,GM!$Q$5:$Q$756,GM!$J$5:$J$756)</f>
        <v>45645</v>
      </c>
    </row>
    <row r="469" spans="1:8" hidden="1" x14ac:dyDescent="0.35">
      <c r="A469" s="29" t="s">
        <v>16</v>
      </c>
      <c r="B469" s="29" t="str">
        <f t="shared" si="7"/>
        <v>CN1-18</v>
      </c>
      <c r="C469" s="29" t="s">
        <v>4058</v>
      </c>
      <c r="D469" s="67" t="s">
        <v>4059</v>
      </c>
      <c r="E469" s="96" t="s">
        <v>62</v>
      </c>
      <c r="F469" s="29" t="s">
        <v>61</v>
      </c>
      <c r="G469" s="29"/>
      <c r="H469" s="103">
        <f>_xlfn.XLOOKUP(B469,GM!$Q$5:$Q$756,GM!$J$5:$J$756)</f>
        <v>45645</v>
      </c>
    </row>
    <row r="470" spans="1:8" hidden="1" x14ac:dyDescent="0.35">
      <c r="A470" s="29" t="s">
        <v>16</v>
      </c>
      <c r="B470" s="29" t="str">
        <f t="shared" si="7"/>
        <v>CN1-18</v>
      </c>
      <c r="C470" s="29" t="s">
        <v>4060</v>
      </c>
      <c r="D470" s="67" t="s">
        <v>4061</v>
      </c>
      <c r="E470" s="96" t="s">
        <v>62</v>
      </c>
      <c r="F470" s="29" t="s">
        <v>61</v>
      </c>
      <c r="G470" s="29"/>
      <c r="H470" s="103">
        <f>_xlfn.XLOOKUP(B470,GM!$Q$5:$Q$756,GM!$J$5:$J$756)</f>
        <v>45645</v>
      </c>
    </row>
    <row r="471" spans="1:8" hidden="1" x14ac:dyDescent="0.35">
      <c r="A471" s="29" t="s">
        <v>16</v>
      </c>
      <c r="B471" s="29" t="str">
        <f t="shared" si="7"/>
        <v>CN1-18</v>
      </c>
      <c r="C471" s="29" t="s">
        <v>4062</v>
      </c>
      <c r="D471" s="67" t="s">
        <v>4063</v>
      </c>
      <c r="E471" s="96" t="s">
        <v>62</v>
      </c>
      <c r="F471" s="29" t="s">
        <v>61</v>
      </c>
      <c r="G471" s="29"/>
      <c r="H471" s="103">
        <f>_xlfn.XLOOKUP(B471,GM!$Q$5:$Q$756,GM!$J$5:$J$756)</f>
        <v>45645</v>
      </c>
    </row>
    <row r="472" spans="1:8" hidden="1" x14ac:dyDescent="0.35">
      <c r="A472" s="29" t="s">
        <v>16</v>
      </c>
      <c r="B472" s="29" t="str">
        <f t="shared" si="7"/>
        <v>CN1-18</v>
      </c>
      <c r="C472" s="29" t="s">
        <v>4064</v>
      </c>
      <c r="D472" s="67" t="s">
        <v>4065</v>
      </c>
      <c r="E472" s="96" t="s">
        <v>62</v>
      </c>
      <c r="F472" s="29" t="s">
        <v>61</v>
      </c>
      <c r="G472" s="29"/>
      <c r="H472" s="103">
        <f>_xlfn.XLOOKUP(B472,GM!$Q$5:$Q$756,GM!$J$5:$J$756)</f>
        <v>45645</v>
      </c>
    </row>
    <row r="473" spans="1:8" hidden="1" x14ac:dyDescent="0.35">
      <c r="A473" s="29" t="s">
        <v>16</v>
      </c>
      <c r="B473" s="29" t="str">
        <f t="shared" si="7"/>
        <v>CN1-18</v>
      </c>
      <c r="C473" s="29" t="s">
        <v>4066</v>
      </c>
      <c r="D473" s="67" t="s">
        <v>4067</v>
      </c>
      <c r="E473" s="96" t="s">
        <v>62</v>
      </c>
      <c r="F473" s="29" t="s">
        <v>61</v>
      </c>
      <c r="G473" s="29"/>
      <c r="H473" s="103">
        <f>_xlfn.XLOOKUP(B473,GM!$Q$5:$Q$756,GM!$J$5:$J$756)</f>
        <v>45645</v>
      </c>
    </row>
    <row r="474" spans="1:8" hidden="1" x14ac:dyDescent="0.35">
      <c r="A474" s="29" t="s">
        <v>16</v>
      </c>
      <c r="B474" s="29" t="str">
        <f t="shared" si="7"/>
        <v>CN1-18</v>
      </c>
      <c r="C474" s="29" t="s">
        <v>4068</v>
      </c>
      <c r="D474" s="67" t="s">
        <v>4069</v>
      </c>
      <c r="E474" s="96" t="s">
        <v>62</v>
      </c>
      <c r="F474" s="29" t="s">
        <v>61</v>
      </c>
      <c r="G474" s="29"/>
      <c r="H474" s="103">
        <f>_xlfn.XLOOKUP(B474,GM!$Q$5:$Q$756,GM!$J$5:$J$756)</f>
        <v>45645</v>
      </c>
    </row>
    <row r="475" spans="1:8" hidden="1" x14ac:dyDescent="0.35">
      <c r="A475" s="29" t="s">
        <v>16</v>
      </c>
      <c r="B475" s="29" t="str">
        <f t="shared" si="7"/>
        <v>CN1-19</v>
      </c>
      <c r="C475" s="29" t="s">
        <v>4070</v>
      </c>
      <c r="D475" s="67" t="s">
        <v>4071</v>
      </c>
      <c r="E475" s="96" t="s">
        <v>62</v>
      </c>
      <c r="F475" s="29" t="s">
        <v>61</v>
      </c>
      <c r="G475" s="29"/>
      <c r="H475" s="103">
        <f>_xlfn.XLOOKUP(B475,GM!$Q$5:$Q$756,GM!$J$5:$J$756)</f>
        <v>45959</v>
      </c>
    </row>
    <row r="476" spans="1:8" hidden="1" x14ac:dyDescent="0.35">
      <c r="A476" s="29" t="s">
        <v>16</v>
      </c>
      <c r="B476" s="29" t="str">
        <f t="shared" si="7"/>
        <v>CN1-19</v>
      </c>
      <c r="C476" s="29" t="s">
        <v>4072</v>
      </c>
      <c r="D476" s="67" t="s">
        <v>4073</v>
      </c>
      <c r="E476" s="96" t="s">
        <v>62</v>
      </c>
      <c r="F476" s="29" t="s">
        <v>61</v>
      </c>
      <c r="G476" s="29"/>
      <c r="H476" s="103">
        <f>_xlfn.XLOOKUP(B476,GM!$Q$5:$Q$756,GM!$J$5:$J$756)</f>
        <v>45959</v>
      </c>
    </row>
    <row r="477" spans="1:8" hidden="1" x14ac:dyDescent="0.35">
      <c r="A477" s="29" t="s">
        <v>16</v>
      </c>
      <c r="B477" s="29" t="str">
        <f t="shared" si="7"/>
        <v>CN1-19</v>
      </c>
      <c r="C477" s="29" t="s">
        <v>4074</v>
      </c>
      <c r="D477" s="67" t="s">
        <v>4075</v>
      </c>
      <c r="E477" s="96" t="s">
        <v>62</v>
      </c>
      <c r="F477" s="29" t="s">
        <v>61</v>
      </c>
      <c r="G477" s="29"/>
      <c r="H477" s="103">
        <f>_xlfn.XLOOKUP(B477,GM!$Q$5:$Q$756,GM!$J$5:$J$756)</f>
        <v>45959</v>
      </c>
    </row>
    <row r="478" spans="1:8" hidden="1" x14ac:dyDescent="0.35">
      <c r="A478" s="29" t="s">
        <v>16</v>
      </c>
      <c r="B478" s="29" t="str">
        <f t="shared" si="7"/>
        <v>CN1-19</v>
      </c>
      <c r="C478" s="29" t="s">
        <v>4076</v>
      </c>
      <c r="D478" s="67" t="s">
        <v>4077</v>
      </c>
      <c r="E478" s="96" t="s">
        <v>62</v>
      </c>
      <c r="F478" s="29" t="s">
        <v>61</v>
      </c>
      <c r="G478" s="29"/>
      <c r="H478" s="103">
        <f>_xlfn.XLOOKUP(B478,GM!$Q$5:$Q$756,GM!$J$5:$J$756)</f>
        <v>45959</v>
      </c>
    </row>
    <row r="479" spans="1:8" hidden="1" x14ac:dyDescent="0.35">
      <c r="A479" s="29" t="s">
        <v>16</v>
      </c>
      <c r="B479" s="29" t="str">
        <f t="shared" si="7"/>
        <v>CN1-20</v>
      </c>
      <c r="C479" s="29" t="s">
        <v>4078</v>
      </c>
      <c r="D479" s="67" t="s">
        <v>4079</v>
      </c>
      <c r="E479" s="96" t="s">
        <v>62</v>
      </c>
      <c r="F479" s="29" t="s">
        <v>61</v>
      </c>
      <c r="G479" s="29"/>
      <c r="H479" s="103">
        <f>_xlfn.XLOOKUP(B479,GM!$Q$5:$Q$756,GM!$J$5:$J$756)</f>
        <v>44889</v>
      </c>
    </row>
    <row r="480" spans="1:8" hidden="1" x14ac:dyDescent="0.35">
      <c r="A480" s="29" t="s">
        <v>16</v>
      </c>
      <c r="B480" s="29" t="str">
        <f t="shared" si="7"/>
        <v>CN1-20</v>
      </c>
      <c r="C480" s="29" t="s">
        <v>4080</v>
      </c>
      <c r="D480" s="67" t="s">
        <v>4081</v>
      </c>
      <c r="E480" s="96" t="s">
        <v>62</v>
      </c>
      <c r="F480" s="29" t="s">
        <v>61</v>
      </c>
      <c r="G480" s="29"/>
      <c r="H480" s="103">
        <f>_xlfn.XLOOKUP(B480,GM!$Q$5:$Q$756,GM!$J$5:$J$756)</f>
        <v>44889</v>
      </c>
    </row>
    <row r="481" spans="1:8" hidden="1" x14ac:dyDescent="0.35">
      <c r="A481" s="29" t="s">
        <v>16</v>
      </c>
      <c r="B481" s="29" t="str">
        <f t="shared" si="7"/>
        <v>CN1-20</v>
      </c>
      <c r="C481" s="29" t="s">
        <v>4082</v>
      </c>
      <c r="D481" s="67" t="s">
        <v>4083</v>
      </c>
      <c r="E481" s="96" t="s">
        <v>62</v>
      </c>
      <c r="F481" s="29" t="s">
        <v>61</v>
      </c>
      <c r="G481" s="29"/>
      <c r="H481" s="103">
        <f>_xlfn.XLOOKUP(B481,GM!$Q$5:$Q$756,GM!$J$5:$J$756)</f>
        <v>44889</v>
      </c>
    </row>
    <row r="482" spans="1:8" hidden="1" x14ac:dyDescent="0.35">
      <c r="A482" s="29" t="s">
        <v>16</v>
      </c>
      <c r="B482" s="29" t="str">
        <f t="shared" si="7"/>
        <v>CN1-20</v>
      </c>
      <c r="C482" s="29" t="s">
        <v>4084</v>
      </c>
      <c r="D482" s="67" t="s">
        <v>4085</v>
      </c>
      <c r="E482" s="96" t="s">
        <v>62</v>
      </c>
      <c r="F482" s="29" t="s">
        <v>61</v>
      </c>
      <c r="G482" s="29"/>
      <c r="H482" s="103">
        <f>_xlfn.XLOOKUP(B482,GM!$Q$5:$Q$756,GM!$J$5:$J$756)</f>
        <v>44889</v>
      </c>
    </row>
    <row r="483" spans="1:8" hidden="1" x14ac:dyDescent="0.35">
      <c r="A483" s="29" t="s">
        <v>16</v>
      </c>
      <c r="B483" s="29" t="str">
        <f t="shared" si="7"/>
        <v>CN1-20</v>
      </c>
      <c r="C483" s="29" t="s">
        <v>4086</v>
      </c>
      <c r="D483" s="67" t="s">
        <v>4087</v>
      </c>
      <c r="E483" s="96" t="s">
        <v>62</v>
      </c>
      <c r="F483" s="29" t="s">
        <v>61</v>
      </c>
      <c r="G483" s="29"/>
      <c r="H483" s="103">
        <f>_xlfn.XLOOKUP(B483,GM!$Q$5:$Q$756,GM!$J$5:$J$756)</f>
        <v>44889</v>
      </c>
    </row>
    <row r="484" spans="1:8" hidden="1" x14ac:dyDescent="0.35">
      <c r="A484" s="29" t="s">
        <v>16</v>
      </c>
      <c r="B484" s="29" t="str">
        <f t="shared" si="7"/>
        <v>CN1-20</v>
      </c>
      <c r="C484" s="29" t="s">
        <v>4088</v>
      </c>
      <c r="D484" s="67" t="s">
        <v>4089</v>
      </c>
      <c r="E484" s="96" t="s">
        <v>62</v>
      </c>
      <c r="F484" s="29" t="s">
        <v>61</v>
      </c>
      <c r="G484" s="29"/>
      <c r="H484" s="103">
        <f>_xlfn.XLOOKUP(B484,GM!$Q$5:$Q$756,GM!$J$5:$J$756)</f>
        <v>44889</v>
      </c>
    </row>
    <row r="485" spans="1:8" hidden="1" x14ac:dyDescent="0.35">
      <c r="A485" s="29" t="s">
        <v>16</v>
      </c>
      <c r="B485" s="29" t="str">
        <f t="shared" si="7"/>
        <v>CN1-20</v>
      </c>
      <c r="C485" s="29" t="s">
        <v>4090</v>
      </c>
      <c r="D485" s="67" t="s">
        <v>4091</v>
      </c>
      <c r="E485" s="96" t="s">
        <v>62</v>
      </c>
      <c r="F485" s="29" t="s">
        <v>61</v>
      </c>
      <c r="G485" s="29"/>
      <c r="H485" s="103">
        <f>_xlfn.XLOOKUP(B485,GM!$Q$5:$Q$756,GM!$J$5:$J$756)</f>
        <v>44889</v>
      </c>
    </row>
    <row r="486" spans="1:8" hidden="1" x14ac:dyDescent="0.35">
      <c r="A486" s="29" t="s">
        <v>16</v>
      </c>
      <c r="B486" s="29" t="str">
        <f t="shared" si="7"/>
        <v>CN1-21</v>
      </c>
      <c r="C486" s="29" t="s">
        <v>4092</v>
      </c>
      <c r="D486" s="67" t="s">
        <v>4093</v>
      </c>
      <c r="E486" s="96" t="s">
        <v>62</v>
      </c>
      <c r="F486" s="29" t="s">
        <v>61</v>
      </c>
      <c r="G486" s="29"/>
      <c r="H486" s="103">
        <f>_xlfn.XLOOKUP(B486,GM!$Q$5:$Q$756,GM!$J$5:$J$756)</f>
        <v>45645</v>
      </c>
    </row>
    <row r="487" spans="1:8" hidden="1" x14ac:dyDescent="0.35">
      <c r="A487" s="29" t="s">
        <v>16</v>
      </c>
      <c r="B487" s="29" t="str">
        <f t="shared" si="7"/>
        <v>CN1-21</v>
      </c>
      <c r="C487" s="29" t="s">
        <v>4094</v>
      </c>
      <c r="D487" s="67" t="s">
        <v>4095</v>
      </c>
      <c r="E487" s="96" t="s">
        <v>62</v>
      </c>
      <c r="F487" s="29" t="s">
        <v>61</v>
      </c>
      <c r="G487" s="29"/>
      <c r="H487" s="103">
        <f>_xlfn.XLOOKUP(B487,GM!$Q$5:$Q$756,GM!$J$5:$J$756)</f>
        <v>45645</v>
      </c>
    </row>
    <row r="488" spans="1:8" hidden="1" x14ac:dyDescent="0.35">
      <c r="A488" s="29" t="s">
        <v>16</v>
      </c>
      <c r="B488" s="29" t="str">
        <f t="shared" si="7"/>
        <v>CN1-21</v>
      </c>
      <c r="C488" s="29" t="s">
        <v>4096</v>
      </c>
      <c r="D488" s="67" t="s">
        <v>4097</v>
      </c>
      <c r="E488" s="96" t="s">
        <v>62</v>
      </c>
      <c r="F488" s="29" t="s">
        <v>61</v>
      </c>
      <c r="G488" s="29"/>
      <c r="H488" s="103">
        <f>_xlfn.XLOOKUP(B488,GM!$Q$5:$Q$756,GM!$J$5:$J$756)</f>
        <v>45645</v>
      </c>
    </row>
    <row r="489" spans="1:8" hidden="1" x14ac:dyDescent="0.35">
      <c r="A489" s="29" t="s">
        <v>16</v>
      </c>
      <c r="B489" s="29" t="str">
        <f t="shared" si="7"/>
        <v>CN1-21</v>
      </c>
      <c r="C489" s="29" t="s">
        <v>4098</v>
      </c>
      <c r="D489" s="67" t="s">
        <v>4099</v>
      </c>
      <c r="E489" s="96" t="s">
        <v>62</v>
      </c>
      <c r="F489" s="29" t="s">
        <v>61</v>
      </c>
      <c r="G489" s="29"/>
      <c r="H489" s="103">
        <f>_xlfn.XLOOKUP(B489,GM!$Q$5:$Q$756,GM!$J$5:$J$756)</f>
        <v>45645</v>
      </c>
    </row>
    <row r="490" spans="1:8" hidden="1" x14ac:dyDescent="0.35">
      <c r="A490" s="29" t="s">
        <v>16</v>
      </c>
      <c r="B490" s="29" t="str">
        <f t="shared" si="7"/>
        <v>CN1-21</v>
      </c>
      <c r="C490" s="29" t="s">
        <v>4100</v>
      </c>
      <c r="D490" s="67" t="s">
        <v>4101</v>
      </c>
      <c r="E490" s="96" t="s">
        <v>62</v>
      </c>
      <c r="F490" s="29" t="s">
        <v>61</v>
      </c>
      <c r="G490" s="29"/>
      <c r="H490" s="103">
        <f>_xlfn.XLOOKUP(B490,GM!$Q$5:$Q$756,GM!$J$5:$J$756)</f>
        <v>45645</v>
      </c>
    </row>
    <row r="491" spans="1:8" hidden="1" x14ac:dyDescent="0.35">
      <c r="A491" s="29" t="s">
        <v>16</v>
      </c>
      <c r="B491" s="29" t="str">
        <f t="shared" si="7"/>
        <v>CN1-21</v>
      </c>
      <c r="C491" s="29" t="s">
        <v>4102</v>
      </c>
      <c r="D491" s="67" t="s">
        <v>4103</v>
      </c>
      <c r="E491" s="96" t="s">
        <v>62</v>
      </c>
      <c r="F491" s="29" t="s">
        <v>61</v>
      </c>
      <c r="G491" s="29"/>
      <c r="H491" s="103">
        <f>_xlfn.XLOOKUP(B491,GM!$Q$5:$Q$756,GM!$J$5:$J$756)</f>
        <v>45645</v>
      </c>
    </row>
    <row r="492" spans="1:8" hidden="1" x14ac:dyDescent="0.35">
      <c r="A492" s="29" t="s">
        <v>16</v>
      </c>
      <c r="B492" s="29" t="str">
        <f t="shared" si="7"/>
        <v>CN1-22</v>
      </c>
      <c r="C492" s="29" t="s">
        <v>4104</v>
      </c>
      <c r="D492" s="67" t="s">
        <v>4105</v>
      </c>
      <c r="E492" s="96" t="s">
        <v>62</v>
      </c>
      <c r="F492" s="29" t="s">
        <v>61</v>
      </c>
      <c r="G492" s="29" t="s">
        <v>371</v>
      </c>
      <c r="H492" s="103">
        <f>_xlfn.XLOOKUP(B492,GM!$Q$5:$Q$756,GM!$J$5:$J$756)</f>
        <v>44739</v>
      </c>
    </row>
    <row r="493" spans="1:8" hidden="1" x14ac:dyDescent="0.35">
      <c r="A493" s="29" t="s">
        <v>16</v>
      </c>
      <c r="B493" s="29" t="str">
        <f t="shared" si="7"/>
        <v>CN1-23</v>
      </c>
      <c r="C493" s="29" t="s">
        <v>4106</v>
      </c>
      <c r="D493" s="67" t="s">
        <v>4107</v>
      </c>
      <c r="E493" s="96" t="s">
        <v>62</v>
      </c>
      <c r="F493" s="29" t="s">
        <v>61</v>
      </c>
      <c r="G493" s="29" t="s">
        <v>371</v>
      </c>
      <c r="H493" s="103">
        <f>_xlfn.XLOOKUP(B493,GM!$Q$5:$Q$756,GM!$J$5:$J$756)</f>
        <v>44768</v>
      </c>
    </row>
    <row r="494" spans="1:8" hidden="1" x14ac:dyDescent="0.35">
      <c r="A494" s="29" t="s">
        <v>16</v>
      </c>
      <c r="B494" s="29" t="str">
        <f t="shared" si="7"/>
        <v>CN1-24</v>
      </c>
      <c r="C494" s="29" t="s">
        <v>4108</v>
      </c>
      <c r="D494" s="67" t="s">
        <v>4109</v>
      </c>
      <c r="E494" s="96" t="s">
        <v>62</v>
      </c>
      <c r="F494" s="29" t="s">
        <v>61</v>
      </c>
      <c r="G494" s="29" t="s">
        <v>371</v>
      </c>
      <c r="H494" s="103">
        <f>_xlfn.XLOOKUP(B494,GM!$Q$5:$Q$756,GM!$J$5:$J$756)</f>
        <v>44739</v>
      </c>
    </row>
    <row r="495" spans="1:8" hidden="1" x14ac:dyDescent="0.35">
      <c r="A495" s="29" t="s">
        <v>16</v>
      </c>
      <c r="B495" s="29" t="str">
        <f t="shared" si="7"/>
        <v>CN1-25</v>
      </c>
      <c r="C495" s="29" t="s">
        <v>4110</v>
      </c>
      <c r="D495" s="67" t="s">
        <v>4111</v>
      </c>
      <c r="E495" s="96" t="s">
        <v>62</v>
      </c>
      <c r="F495" s="29" t="s">
        <v>61</v>
      </c>
      <c r="G495" s="29"/>
      <c r="H495" s="103">
        <f>_xlfn.XLOOKUP(B495,GM!$Q$5:$Q$756,GM!$J$5:$J$756)</f>
        <v>46009</v>
      </c>
    </row>
    <row r="496" spans="1:8" hidden="1" x14ac:dyDescent="0.35">
      <c r="A496" s="29" t="s">
        <v>16</v>
      </c>
      <c r="B496" s="29" t="str">
        <f t="shared" si="7"/>
        <v>CN1-25</v>
      </c>
      <c r="C496" s="29" t="s">
        <v>4112</v>
      </c>
      <c r="D496" s="67" t="s">
        <v>4113</v>
      </c>
      <c r="E496" s="96" t="s">
        <v>62</v>
      </c>
      <c r="F496" s="29" t="s">
        <v>61</v>
      </c>
      <c r="G496" s="29"/>
      <c r="H496" s="103">
        <f>_xlfn.XLOOKUP(B496,GM!$Q$5:$Q$756,GM!$J$5:$J$756)</f>
        <v>46009</v>
      </c>
    </row>
    <row r="497" spans="1:8" hidden="1" x14ac:dyDescent="0.35">
      <c r="A497" s="29" t="s">
        <v>16</v>
      </c>
      <c r="B497" s="29" t="str">
        <f t="shared" si="7"/>
        <v>CN1-26</v>
      </c>
      <c r="C497" s="29" t="s">
        <v>4114</v>
      </c>
      <c r="D497" s="67" t="s">
        <v>4115</v>
      </c>
      <c r="E497" s="96" t="s">
        <v>62</v>
      </c>
      <c r="F497" s="29" t="s">
        <v>61</v>
      </c>
      <c r="G497" s="29" t="s">
        <v>371</v>
      </c>
      <c r="H497" s="103">
        <f>_xlfn.XLOOKUP(B497,GM!$Q$5:$Q$756,GM!$J$5:$J$756)</f>
        <v>44739</v>
      </c>
    </row>
    <row r="498" spans="1:8" hidden="1" x14ac:dyDescent="0.35">
      <c r="A498" s="29" t="s">
        <v>16</v>
      </c>
      <c r="B498" s="29" t="str">
        <f t="shared" si="7"/>
        <v>CN1-27</v>
      </c>
      <c r="C498" s="29" t="s">
        <v>4116</v>
      </c>
      <c r="D498" s="67" t="s">
        <v>4117</v>
      </c>
      <c r="E498" s="96" t="s">
        <v>62</v>
      </c>
      <c r="F498" s="29" t="s">
        <v>61</v>
      </c>
      <c r="G498" s="29" t="s">
        <v>371</v>
      </c>
      <c r="H498" s="103">
        <f>_xlfn.XLOOKUP(B498,GM!$Q$5:$Q$756,GM!$J$5:$J$756)</f>
        <v>44739</v>
      </c>
    </row>
    <row r="499" spans="1:8" hidden="1" x14ac:dyDescent="0.35">
      <c r="A499" s="29" t="s">
        <v>16</v>
      </c>
      <c r="B499" s="29" t="str">
        <f t="shared" si="7"/>
        <v>CN1-28</v>
      </c>
      <c r="C499" s="29" t="s">
        <v>4118</v>
      </c>
      <c r="D499" s="67" t="s">
        <v>4119</v>
      </c>
      <c r="E499" s="96" t="s">
        <v>62</v>
      </c>
      <c r="F499" s="29" t="s">
        <v>61</v>
      </c>
      <c r="G499" s="29"/>
      <c r="H499" s="103">
        <f>_xlfn.XLOOKUP(B499,GM!$Q$5:$Q$756,GM!$J$5:$J$756)</f>
        <v>45202</v>
      </c>
    </row>
    <row r="500" spans="1:8" hidden="1" x14ac:dyDescent="0.35">
      <c r="A500" s="29" t="s">
        <v>16</v>
      </c>
      <c r="B500" s="29" t="str">
        <f t="shared" si="7"/>
        <v>CN1-29</v>
      </c>
      <c r="C500" s="29" t="s">
        <v>4120</v>
      </c>
      <c r="D500" s="67" t="s">
        <v>4121</v>
      </c>
      <c r="E500" s="96" t="s">
        <v>62</v>
      </c>
      <c r="F500" s="29" t="s">
        <v>61</v>
      </c>
      <c r="G500" s="29"/>
      <c r="H500" s="103">
        <f>_xlfn.XLOOKUP(B500,GM!$Q$5:$Q$756,GM!$J$5:$J$756)</f>
        <v>45202</v>
      </c>
    </row>
    <row r="501" spans="1:8" hidden="1" x14ac:dyDescent="0.35">
      <c r="A501" s="29" t="s">
        <v>16</v>
      </c>
      <c r="B501" s="29" t="str">
        <f t="shared" si="7"/>
        <v>CN1-30</v>
      </c>
      <c r="C501" s="29" t="s">
        <v>4122</v>
      </c>
      <c r="D501" s="67" t="s">
        <v>4123</v>
      </c>
      <c r="E501" s="96" t="s">
        <v>62</v>
      </c>
      <c r="F501" s="29" t="s">
        <v>61</v>
      </c>
      <c r="G501" s="29"/>
      <c r="H501" s="103">
        <f>_xlfn.XLOOKUP(B501,GM!$Q$5:$Q$756,GM!$J$5:$J$756)</f>
        <v>44838</v>
      </c>
    </row>
    <row r="502" spans="1:8" hidden="1" x14ac:dyDescent="0.35">
      <c r="A502" s="29" t="s">
        <v>16</v>
      </c>
      <c r="B502" s="29" t="str">
        <f t="shared" si="7"/>
        <v>CN1-30</v>
      </c>
      <c r="C502" s="29" t="s">
        <v>4124</v>
      </c>
      <c r="D502" s="67" t="s">
        <v>4125</v>
      </c>
      <c r="E502" s="96" t="s">
        <v>62</v>
      </c>
      <c r="F502" s="29" t="s">
        <v>61</v>
      </c>
      <c r="G502" s="29"/>
      <c r="H502" s="103">
        <f>_xlfn.XLOOKUP(B502,GM!$Q$5:$Q$756,GM!$J$5:$J$756)</f>
        <v>44838</v>
      </c>
    </row>
    <row r="503" spans="1:8" hidden="1" x14ac:dyDescent="0.35">
      <c r="A503" s="29" t="s">
        <v>16</v>
      </c>
      <c r="B503" s="29" t="str">
        <f t="shared" si="7"/>
        <v>CN1-33</v>
      </c>
      <c r="C503" s="29" t="s">
        <v>4126</v>
      </c>
      <c r="D503" s="67" t="s">
        <v>4127</v>
      </c>
      <c r="E503" s="96" t="s">
        <v>62</v>
      </c>
      <c r="F503" s="29" t="s">
        <v>61</v>
      </c>
      <c r="G503" s="29" t="s">
        <v>371</v>
      </c>
      <c r="H503" s="103">
        <f>_xlfn.XLOOKUP(B503,GM!$Q$5:$Q$756,GM!$J$5:$J$756)</f>
        <v>44739</v>
      </c>
    </row>
    <row r="504" spans="1:8" hidden="1" x14ac:dyDescent="0.35">
      <c r="A504" s="29" t="s">
        <v>16</v>
      </c>
      <c r="B504" s="29" t="str">
        <f t="shared" si="7"/>
        <v>CN1-40</v>
      </c>
      <c r="C504" s="29" t="s">
        <v>4128</v>
      </c>
      <c r="D504" s="67" t="s">
        <v>4129</v>
      </c>
      <c r="E504" s="96" t="s">
        <v>62</v>
      </c>
      <c r="F504" s="29" t="s">
        <v>61</v>
      </c>
      <c r="G504" s="29"/>
      <c r="H504" s="103">
        <f>_xlfn.XLOOKUP(B504,GM!$Q$5:$Q$756,GM!$J$5:$J$756)</f>
        <v>45202</v>
      </c>
    </row>
    <row r="505" spans="1:8" hidden="1" x14ac:dyDescent="0.35">
      <c r="A505" s="29" t="s">
        <v>16</v>
      </c>
      <c r="B505" s="29" t="str">
        <f t="shared" si="7"/>
        <v>CN1-40</v>
      </c>
      <c r="C505" s="29" t="s">
        <v>4130</v>
      </c>
      <c r="D505" s="67" t="s">
        <v>4131</v>
      </c>
      <c r="E505" s="96" t="s">
        <v>62</v>
      </c>
      <c r="F505" s="29" t="s">
        <v>61</v>
      </c>
      <c r="G505" s="29"/>
      <c r="H505" s="103">
        <f>_xlfn.XLOOKUP(B505,GM!$Q$5:$Q$756,GM!$J$5:$J$756)</f>
        <v>45202</v>
      </c>
    </row>
    <row r="506" spans="1:8" hidden="1" x14ac:dyDescent="0.35">
      <c r="A506" s="29" t="s">
        <v>16</v>
      </c>
      <c r="B506" s="29" t="str">
        <f t="shared" si="7"/>
        <v>CN1-41</v>
      </c>
      <c r="C506" s="29" t="s">
        <v>4132</v>
      </c>
      <c r="D506" s="67" t="s">
        <v>4133</v>
      </c>
      <c r="E506" s="96" t="s">
        <v>62</v>
      </c>
      <c r="F506" s="29" t="s">
        <v>61</v>
      </c>
      <c r="G506" s="29"/>
      <c r="H506" s="103">
        <f>_xlfn.XLOOKUP(B506,GM!$Q$5:$Q$756,GM!$J$5:$J$756)</f>
        <v>45202</v>
      </c>
    </row>
    <row r="507" spans="1:8" hidden="1" x14ac:dyDescent="0.35">
      <c r="A507" s="29" t="s">
        <v>16</v>
      </c>
      <c r="B507" s="29" t="str">
        <f t="shared" si="7"/>
        <v>CN1-41</v>
      </c>
      <c r="C507" s="29" t="s">
        <v>4134</v>
      </c>
      <c r="D507" s="67" t="s">
        <v>4135</v>
      </c>
      <c r="E507" s="96" t="s">
        <v>62</v>
      </c>
      <c r="F507" s="29" t="s">
        <v>61</v>
      </c>
      <c r="G507" s="29"/>
      <c r="H507" s="103">
        <f>_xlfn.XLOOKUP(B507,GM!$Q$5:$Q$756,GM!$J$5:$J$756)</f>
        <v>45202</v>
      </c>
    </row>
    <row r="508" spans="1:8" hidden="1" x14ac:dyDescent="0.35">
      <c r="A508" s="29" t="s">
        <v>16</v>
      </c>
      <c r="B508" s="29" t="str">
        <f t="shared" si="7"/>
        <v>CN1-41</v>
      </c>
      <c r="C508" s="29" t="s">
        <v>4136</v>
      </c>
      <c r="D508" s="67" t="s">
        <v>4137</v>
      </c>
      <c r="E508" s="96" t="s">
        <v>62</v>
      </c>
      <c r="F508" s="29" t="s">
        <v>61</v>
      </c>
      <c r="G508" s="29"/>
      <c r="H508" s="103">
        <f>_xlfn.XLOOKUP(B508,GM!$Q$5:$Q$756,GM!$J$5:$J$756)</f>
        <v>45202</v>
      </c>
    </row>
    <row r="509" spans="1:8" hidden="1" x14ac:dyDescent="0.35">
      <c r="A509" s="29" t="s">
        <v>16</v>
      </c>
      <c r="B509" s="29" t="str">
        <f t="shared" si="7"/>
        <v>CN1-51</v>
      </c>
      <c r="C509" s="29" t="s">
        <v>4138</v>
      </c>
      <c r="D509" s="67" t="s">
        <v>4139</v>
      </c>
      <c r="E509" s="96" t="s">
        <v>62</v>
      </c>
      <c r="F509" s="29" t="s">
        <v>61</v>
      </c>
      <c r="G509" s="29"/>
      <c r="H509" s="103">
        <f>_xlfn.XLOOKUP(B509,GM!$Q$5:$Q$756,GM!$J$5:$J$756)</f>
        <v>45959</v>
      </c>
    </row>
    <row r="510" spans="1:8" hidden="1" x14ac:dyDescent="0.35">
      <c r="A510" s="29" t="s">
        <v>16</v>
      </c>
      <c r="B510" s="29" t="str">
        <f t="shared" si="7"/>
        <v>CN1-51</v>
      </c>
      <c r="C510" s="29" t="s">
        <v>4140</v>
      </c>
      <c r="D510" s="67" t="s">
        <v>4141</v>
      </c>
      <c r="E510" s="96" t="s">
        <v>62</v>
      </c>
      <c r="F510" s="29" t="s">
        <v>61</v>
      </c>
      <c r="G510" s="29"/>
      <c r="H510" s="103">
        <f>_xlfn.XLOOKUP(B510,GM!$Q$5:$Q$756,GM!$J$5:$J$756)</f>
        <v>45959</v>
      </c>
    </row>
    <row r="511" spans="1:8" hidden="1" x14ac:dyDescent="0.35">
      <c r="A511" s="29" t="s">
        <v>16</v>
      </c>
      <c r="B511" s="29" t="str">
        <f t="shared" si="7"/>
        <v>CN1-51</v>
      </c>
      <c r="C511" s="29" t="s">
        <v>4142</v>
      </c>
      <c r="D511" s="67" t="s">
        <v>4143</v>
      </c>
      <c r="E511" s="96" t="s">
        <v>62</v>
      </c>
      <c r="F511" s="29" t="s">
        <v>61</v>
      </c>
      <c r="G511" s="29"/>
      <c r="H511" s="103">
        <f>_xlfn.XLOOKUP(B511,GM!$Q$5:$Q$756,GM!$J$5:$J$756)</f>
        <v>45959</v>
      </c>
    </row>
    <row r="512" spans="1:8" hidden="1" x14ac:dyDescent="0.35">
      <c r="A512" s="29" t="s">
        <v>16</v>
      </c>
      <c r="B512" s="29" t="str">
        <f t="shared" si="7"/>
        <v>CN1-51</v>
      </c>
      <c r="C512" s="29" t="s">
        <v>4144</v>
      </c>
      <c r="D512" s="67" t="s">
        <v>4145</v>
      </c>
      <c r="E512" s="96" t="s">
        <v>62</v>
      </c>
      <c r="F512" s="29" t="s">
        <v>61</v>
      </c>
      <c r="G512" s="29"/>
      <c r="H512" s="103">
        <f>_xlfn.XLOOKUP(B512,GM!$Q$5:$Q$756,GM!$J$5:$J$756)</f>
        <v>45959</v>
      </c>
    </row>
    <row r="513" spans="1:8" hidden="1" x14ac:dyDescent="0.35">
      <c r="A513" s="29" t="s">
        <v>16</v>
      </c>
      <c r="B513" s="29" t="str">
        <f t="shared" si="7"/>
        <v>CN1-51</v>
      </c>
      <c r="C513" s="29" t="s">
        <v>4146</v>
      </c>
      <c r="D513" s="67" t="s">
        <v>4147</v>
      </c>
      <c r="E513" s="96" t="s">
        <v>62</v>
      </c>
      <c r="F513" s="29" t="s">
        <v>61</v>
      </c>
      <c r="G513" s="29"/>
      <c r="H513" s="103">
        <f>_xlfn.XLOOKUP(B513,GM!$Q$5:$Q$756,GM!$J$5:$J$756)</f>
        <v>45959</v>
      </c>
    </row>
    <row r="514" spans="1:8" hidden="1" x14ac:dyDescent="0.35">
      <c r="A514" s="29" t="s">
        <v>16</v>
      </c>
      <c r="B514" s="29" t="str">
        <f t="shared" si="7"/>
        <v>CN1-51</v>
      </c>
      <c r="C514" s="29" t="s">
        <v>4148</v>
      </c>
      <c r="D514" s="67" t="s">
        <v>4149</v>
      </c>
      <c r="E514" s="96" t="s">
        <v>62</v>
      </c>
      <c r="F514" s="29" t="s">
        <v>61</v>
      </c>
      <c r="G514" s="29"/>
      <c r="H514" s="103">
        <f>_xlfn.XLOOKUP(B514,GM!$Q$5:$Q$756,GM!$J$5:$J$756)</f>
        <v>45959</v>
      </c>
    </row>
    <row r="515" spans="1:8" hidden="1" x14ac:dyDescent="0.35">
      <c r="A515" s="29" t="s">
        <v>16</v>
      </c>
      <c r="B515" s="29" t="str">
        <f t="shared" si="7"/>
        <v>CN1-51</v>
      </c>
      <c r="C515" s="29" t="s">
        <v>4150</v>
      </c>
      <c r="D515" s="67" t="s">
        <v>4151</v>
      </c>
      <c r="E515" s="96" t="s">
        <v>62</v>
      </c>
      <c r="F515" s="29" t="s">
        <v>61</v>
      </c>
      <c r="G515" s="29"/>
      <c r="H515" s="103">
        <f>_xlfn.XLOOKUP(B515,GM!$Q$5:$Q$756,GM!$J$5:$J$756)</f>
        <v>45959</v>
      </c>
    </row>
    <row r="516" spans="1:8" hidden="1" x14ac:dyDescent="0.35">
      <c r="A516" s="29" t="s">
        <v>16</v>
      </c>
      <c r="B516" s="29" t="str">
        <f t="shared" si="7"/>
        <v>CN1-51</v>
      </c>
      <c r="C516" s="29" t="s">
        <v>4152</v>
      </c>
      <c r="D516" s="67" t="s">
        <v>4153</v>
      </c>
      <c r="E516" s="96" t="s">
        <v>62</v>
      </c>
      <c r="F516" s="29" t="s">
        <v>61</v>
      </c>
      <c r="G516" s="29"/>
      <c r="H516" s="103">
        <f>_xlfn.XLOOKUP(B516,GM!$Q$5:$Q$756,GM!$J$5:$J$756)</f>
        <v>45959</v>
      </c>
    </row>
    <row r="517" spans="1:8" hidden="1" x14ac:dyDescent="0.35">
      <c r="A517" s="29" t="s">
        <v>16</v>
      </c>
      <c r="B517" s="29" t="str">
        <f t="shared" ref="B517:B580" si="8">IF(OR(A517="ARN",A517="SDP"),MID(C517,4,7),MID(C517,4,6))</f>
        <v>CN1-51</v>
      </c>
      <c r="C517" s="29" t="s">
        <v>4154</v>
      </c>
      <c r="D517" s="67" t="s">
        <v>4155</v>
      </c>
      <c r="E517" s="96" t="s">
        <v>62</v>
      </c>
      <c r="F517" s="29" t="s">
        <v>61</v>
      </c>
      <c r="G517" s="29"/>
      <c r="H517" s="103">
        <f>_xlfn.XLOOKUP(B517,GM!$Q$5:$Q$756,GM!$J$5:$J$756)</f>
        <v>45959</v>
      </c>
    </row>
    <row r="518" spans="1:8" hidden="1" x14ac:dyDescent="0.35">
      <c r="A518" s="29" t="s">
        <v>16</v>
      </c>
      <c r="B518" s="29" t="str">
        <f t="shared" si="8"/>
        <v>CN1-51</v>
      </c>
      <c r="C518" s="29" t="s">
        <v>4156</v>
      </c>
      <c r="D518" s="67" t="s">
        <v>4157</v>
      </c>
      <c r="E518" s="96" t="s">
        <v>62</v>
      </c>
      <c r="F518" s="29" t="s">
        <v>61</v>
      </c>
      <c r="G518" s="29"/>
      <c r="H518" s="103">
        <f>_xlfn.XLOOKUP(B518,GM!$Q$5:$Q$756,GM!$J$5:$J$756)</f>
        <v>45959</v>
      </c>
    </row>
    <row r="519" spans="1:8" hidden="1" x14ac:dyDescent="0.35">
      <c r="A519" s="29" t="s">
        <v>16</v>
      </c>
      <c r="B519" s="29" t="str">
        <f t="shared" si="8"/>
        <v>CN1-51</v>
      </c>
      <c r="C519" s="29" t="s">
        <v>4158</v>
      </c>
      <c r="D519" s="67" t="s">
        <v>4159</v>
      </c>
      <c r="E519" s="96" t="s">
        <v>62</v>
      </c>
      <c r="F519" s="29" t="s">
        <v>61</v>
      </c>
      <c r="G519" s="29"/>
      <c r="H519" s="103">
        <f>_xlfn.XLOOKUP(B519,GM!$Q$5:$Q$756,GM!$J$5:$J$756)</f>
        <v>45959</v>
      </c>
    </row>
    <row r="520" spans="1:8" hidden="1" x14ac:dyDescent="0.35">
      <c r="A520" s="29" t="s">
        <v>16</v>
      </c>
      <c r="B520" s="29" t="str">
        <f t="shared" si="8"/>
        <v>CN1-51</v>
      </c>
      <c r="C520" s="29" t="s">
        <v>4160</v>
      </c>
      <c r="D520" s="67" t="s">
        <v>4161</v>
      </c>
      <c r="E520" s="96" t="s">
        <v>62</v>
      </c>
      <c r="F520" s="29" t="s">
        <v>61</v>
      </c>
      <c r="G520" s="29"/>
      <c r="H520" s="103">
        <f>_xlfn.XLOOKUP(B520,GM!$Q$5:$Q$756,GM!$J$5:$J$756)</f>
        <v>45959</v>
      </c>
    </row>
    <row r="521" spans="1:8" hidden="1" x14ac:dyDescent="0.35">
      <c r="A521" s="29" t="s">
        <v>16</v>
      </c>
      <c r="B521" s="29" t="str">
        <f t="shared" si="8"/>
        <v>CN1-51</v>
      </c>
      <c r="C521" s="29" t="s">
        <v>4162</v>
      </c>
      <c r="D521" s="67" t="s">
        <v>4163</v>
      </c>
      <c r="E521" s="96" t="s">
        <v>62</v>
      </c>
      <c r="F521" s="29" t="s">
        <v>61</v>
      </c>
      <c r="G521" s="29"/>
      <c r="H521" s="103">
        <f>_xlfn.XLOOKUP(B521,GM!$Q$5:$Q$756,GM!$J$5:$J$756)</f>
        <v>45959</v>
      </c>
    </row>
    <row r="522" spans="1:8" hidden="1" x14ac:dyDescent="0.35">
      <c r="A522" s="29" t="s">
        <v>16</v>
      </c>
      <c r="B522" s="29" t="str">
        <f t="shared" si="8"/>
        <v>CN1-56</v>
      </c>
      <c r="C522" s="29" t="s">
        <v>4164</v>
      </c>
      <c r="D522" s="67" t="s">
        <v>4165</v>
      </c>
      <c r="E522" s="96" t="s">
        <v>62</v>
      </c>
      <c r="F522" s="29" t="s">
        <v>61</v>
      </c>
      <c r="G522" s="29"/>
      <c r="H522" s="103">
        <f>_xlfn.XLOOKUP(B522,GM!$Q$5:$Q$756,GM!$J$5:$J$756)</f>
        <v>46107</v>
      </c>
    </row>
    <row r="523" spans="1:8" hidden="1" x14ac:dyDescent="0.35">
      <c r="A523" s="29" t="s">
        <v>16</v>
      </c>
      <c r="B523" s="29" t="str">
        <f t="shared" si="8"/>
        <v>CN1-56</v>
      </c>
      <c r="C523" s="29" t="s">
        <v>4166</v>
      </c>
      <c r="D523" s="67" t="s">
        <v>4167</v>
      </c>
      <c r="E523" s="96" t="s">
        <v>62</v>
      </c>
      <c r="F523" s="29" t="s">
        <v>61</v>
      </c>
      <c r="G523" s="29"/>
      <c r="H523" s="103">
        <f>_xlfn.XLOOKUP(B523,GM!$Q$5:$Q$756,GM!$J$5:$J$756)</f>
        <v>46107</v>
      </c>
    </row>
    <row r="524" spans="1:8" hidden="1" x14ac:dyDescent="0.35">
      <c r="A524" s="29" t="s">
        <v>16</v>
      </c>
      <c r="B524" s="29" t="str">
        <f t="shared" si="8"/>
        <v>CN1-56</v>
      </c>
      <c r="C524" s="29" t="s">
        <v>4168</v>
      </c>
      <c r="D524" s="67" t="s">
        <v>4169</v>
      </c>
      <c r="E524" s="96" t="s">
        <v>62</v>
      </c>
      <c r="F524" s="29" t="s">
        <v>61</v>
      </c>
      <c r="G524" s="29"/>
      <c r="H524" s="103">
        <f>_xlfn.XLOOKUP(B524,GM!$Q$5:$Q$756,GM!$J$5:$J$756)</f>
        <v>46107</v>
      </c>
    </row>
    <row r="525" spans="1:8" hidden="1" x14ac:dyDescent="0.35">
      <c r="A525" s="29" t="s">
        <v>16</v>
      </c>
      <c r="B525" s="29" t="str">
        <f t="shared" si="8"/>
        <v>CN1-56</v>
      </c>
      <c r="C525" s="29" t="s">
        <v>4170</v>
      </c>
      <c r="D525" s="67" t="s">
        <v>4171</v>
      </c>
      <c r="E525" s="96" t="s">
        <v>62</v>
      </c>
      <c r="F525" s="29" t="s">
        <v>61</v>
      </c>
      <c r="G525" s="29"/>
      <c r="H525" s="103">
        <f>_xlfn.XLOOKUP(B525,GM!$Q$5:$Q$756,GM!$J$5:$J$756)</f>
        <v>46107</v>
      </c>
    </row>
    <row r="526" spans="1:8" hidden="1" x14ac:dyDescent="0.35">
      <c r="A526" s="29" t="s">
        <v>16</v>
      </c>
      <c r="B526" s="29" t="str">
        <f t="shared" si="8"/>
        <v>CN1-57</v>
      </c>
      <c r="C526" s="29" t="s">
        <v>4172</v>
      </c>
      <c r="D526" s="67" t="s">
        <v>4173</v>
      </c>
      <c r="E526" s="96" t="s">
        <v>62</v>
      </c>
      <c r="F526" s="29" t="s">
        <v>61</v>
      </c>
      <c r="G526" s="29"/>
      <c r="H526" s="103">
        <f>_xlfn.XLOOKUP(B526,GM!$Q$5:$Q$756,GM!$J$5:$J$756)</f>
        <v>46107</v>
      </c>
    </row>
    <row r="527" spans="1:8" hidden="1" x14ac:dyDescent="0.35">
      <c r="A527" s="29" t="s">
        <v>16</v>
      </c>
      <c r="B527" s="29" t="str">
        <f t="shared" si="8"/>
        <v>CN1-57</v>
      </c>
      <c r="C527" s="29" t="s">
        <v>4174</v>
      </c>
      <c r="D527" s="67" t="s">
        <v>4175</v>
      </c>
      <c r="E527" s="96" t="s">
        <v>62</v>
      </c>
      <c r="F527" s="29" t="s">
        <v>61</v>
      </c>
      <c r="G527" s="29"/>
      <c r="H527" s="103">
        <f>_xlfn.XLOOKUP(B527,GM!$Q$5:$Q$756,GM!$J$5:$J$756)</f>
        <v>46107</v>
      </c>
    </row>
    <row r="528" spans="1:8" hidden="1" x14ac:dyDescent="0.35">
      <c r="A528" s="29" t="s">
        <v>16</v>
      </c>
      <c r="B528" s="29" t="str">
        <f t="shared" si="8"/>
        <v>CN1-57</v>
      </c>
      <c r="C528" s="29" t="s">
        <v>4176</v>
      </c>
      <c r="D528" s="67" t="s">
        <v>4177</v>
      </c>
      <c r="E528" s="96" t="s">
        <v>62</v>
      </c>
      <c r="F528" s="29" t="s">
        <v>61</v>
      </c>
      <c r="G528" s="29"/>
      <c r="H528" s="103">
        <f>_xlfn.XLOOKUP(B528,GM!$Q$5:$Q$756,GM!$J$5:$J$756)</f>
        <v>46107</v>
      </c>
    </row>
    <row r="529" spans="1:8" hidden="1" x14ac:dyDescent="0.35">
      <c r="A529" s="29" t="s">
        <v>16</v>
      </c>
      <c r="B529" s="29" t="str">
        <f t="shared" si="8"/>
        <v>CN1-57</v>
      </c>
      <c r="C529" s="29" t="s">
        <v>4178</v>
      </c>
      <c r="D529" s="67" t="s">
        <v>4179</v>
      </c>
      <c r="E529" s="96" t="s">
        <v>62</v>
      </c>
      <c r="F529" s="29" t="s">
        <v>61</v>
      </c>
      <c r="G529" s="29"/>
      <c r="H529" s="103">
        <f>_xlfn.XLOOKUP(B529,GM!$Q$5:$Q$756,GM!$J$5:$J$756)</f>
        <v>46107</v>
      </c>
    </row>
    <row r="530" spans="1:8" hidden="1" x14ac:dyDescent="0.35">
      <c r="A530" s="29" t="s">
        <v>16</v>
      </c>
      <c r="B530" s="29" t="str">
        <f t="shared" si="8"/>
        <v>CN1-57</v>
      </c>
      <c r="C530" s="29" t="s">
        <v>4180</v>
      </c>
      <c r="D530" s="67" t="s">
        <v>4181</v>
      </c>
      <c r="E530" s="96" t="s">
        <v>62</v>
      </c>
      <c r="F530" s="29" t="s">
        <v>61</v>
      </c>
      <c r="G530" s="29"/>
      <c r="H530" s="103">
        <f>_xlfn.XLOOKUP(B530,GM!$Q$5:$Q$756,GM!$J$5:$J$756)</f>
        <v>46107</v>
      </c>
    </row>
    <row r="531" spans="1:8" hidden="1" x14ac:dyDescent="0.35">
      <c r="A531" s="29" t="s">
        <v>16</v>
      </c>
      <c r="B531" s="29" t="str">
        <f t="shared" si="8"/>
        <v>CN1-58</v>
      </c>
      <c r="C531" s="29" t="s">
        <v>4182</v>
      </c>
      <c r="D531" s="67" t="s">
        <v>4183</v>
      </c>
      <c r="E531" s="96" t="s">
        <v>62</v>
      </c>
      <c r="F531" s="29" t="s">
        <v>61</v>
      </c>
      <c r="G531" s="29" t="s">
        <v>371</v>
      </c>
      <c r="H531" s="103">
        <f>_xlfn.XLOOKUP(B531,GM!$Q$5:$Q$756,GM!$J$5:$J$756)</f>
        <v>44739</v>
      </c>
    </row>
    <row r="532" spans="1:8" hidden="1" x14ac:dyDescent="0.35">
      <c r="A532" s="29" t="s">
        <v>16</v>
      </c>
      <c r="B532" s="29" t="str">
        <f t="shared" si="8"/>
        <v>CN1-59</v>
      </c>
      <c r="C532" s="29" t="s">
        <v>4184</v>
      </c>
      <c r="D532" s="67" t="s">
        <v>4185</v>
      </c>
      <c r="E532" s="96" t="s">
        <v>62</v>
      </c>
      <c r="F532" s="29" t="s">
        <v>61</v>
      </c>
      <c r="G532" s="29"/>
      <c r="H532" s="103">
        <f>_xlfn.XLOOKUP(B532,GM!$Q$5:$Q$756,GM!$J$5:$J$756)</f>
        <v>45462</v>
      </c>
    </row>
    <row r="533" spans="1:8" hidden="1" x14ac:dyDescent="0.35">
      <c r="A533" s="29" t="s">
        <v>16</v>
      </c>
      <c r="B533" s="29" t="str">
        <f t="shared" si="8"/>
        <v>CN1-59</v>
      </c>
      <c r="C533" s="29" t="s">
        <v>4186</v>
      </c>
      <c r="D533" s="67" t="s">
        <v>4187</v>
      </c>
      <c r="E533" s="96" t="s">
        <v>62</v>
      </c>
      <c r="F533" s="29" t="s">
        <v>61</v>
      </c>
      <c r="G533" s="29"/>
      <c r="H533" s="103">
        <f>_xlfn.XLOOKUP(B533,GM!$Q$5:$Q$756,GM!$J$5:$J$756)</f>
        <v>45462</v>
      </c>
    </row>
    <row r="534" spans="1:8" hidden="1" x14ac:dyDescent="0.35">
      <c r="A534" s="29" t="s">
        <v>16</v>
      </c>
      <c r="B534" s="29" t="str">
        <f t="shared" si="8"/>
        <v>CN1-60</v>
      </c>
      <c r="C534" s="29" t="s">
        <v>4188</v>
      </c>
      <c r="D534" s="67" t="s">
        <v>4189</v>
      </c>
      <c r="E534" s="96" t="s">
        <v>62</v>
      </c>
      <c r="F534" s="29" t="s">
        <v>61</v>
      </c>
      <c r="G534" s="29" t="s">
        <v>371</v>
      </c>
      <c r="H534" s="103">
        <f>_xlfn.XLOOKUP(B534,GM!$Q$5:$Q$756,GM!$J$5:$J$756)</f>
        <v>44819</v>
      </c>
    </row>
    <row r="535" spans="1:8" hidden="1" x14ac:dyDescent="0.35">
      <c r="A535" s="29" t="s">
        <v>16</v>
      </c>
      <c r="B535" s="29" t="str">
        <f t="shared" si="8"/>
        <v>CN1-61</v>
      </c>
      <c r="C535" s="29" t="s">
        <v>4190</v>
      </c>
      <c r="D535" s="67" t="s">
        <v>4191</v>
      </c>
      <c r="E535" s="96" t="s">
        <v>62</v>
      </c>
      <c r="F535" s="29" t="s">
        <v>61</v>
      </c>
      <c r="G535" s="29"/>
      <c r="H535" s="103">
        <f>_xlfn.XLOOKUP(B535,GM!$Q$5:$Q$756,GM!$J$5:$J$756)</f>
        <v>44926</v>
      </c>
    </row>
    <row r="536" spans="1:8" hidden="1" x14ac:dyDescent="0.35">
      <c r="A536" s="29" t="s">
        <v>16</v>
      </c>
      <c r="B536" s="29" t="str">
        <f t="shared" si="8"/>
        <v>CN1-62</v>
      </c>
      <c r="C536" s="29" t="s">
        <v>4192</v>
      </c>
      <c r="D536" s="67" t="s">
        <v>4193</v>
      </c>
      <c r="E536" s="96" t="s">
        <v>62</v>
      </c>
      <c r="F536" s="29" t="s">
        <v>61</v>
      </c>
      <c r="G536" s="29"/>
      <c r="H536" s="103">
        <f>_xlfn.XLOOKUP(B536,GM!$Q$5:$Q$756,GM!$J$5:$J$756)</f>
        <v>44926</v>
      </c>
    </row>
    <row r="537" spans="1:8" hidden="1" x14ac:dyDescent="0.35">
      <c r="A537" s="29" t="s">
        <v>16</v>
      </c>
      <c r="B537" s="29" t="str">
        <f t="shared" si="8"/>
        <v>CN1-64</v>
      </c>
      <c r="C537" s="29" t="s">
        <v>4194</v>
      </c>
      <c r="D537" s="67" t="s">
        <v>4195</v>
      </c>
      <c r="E537" s="96" t="s">
        <v>62</v>
      </c>
      <c r="F537" s="29" t="s">
        <v>61</v>
      </c>
      <c r="G537" s="29"/>
      <c r="H537" s="103" t="e">
        <f>_xlfn.XLOOKUP(B537,GM!$Q$5:$Q$756,GM!$J$5:$J$756)</f>
        <v>#N/A</v>
      </c>
    </row>
    <row r="538" spans="1:8" hidden="1" x14ac:dyDescent="0.35">
      <c r="A538" s="29" t="s">
        <v>16</v>
      </c>
      <c r="B538" s="29" t="str">
        <f t="shared" si="8"/>
        <v>CN1-65</v>
      </c>
      <c r="C538" s="29" t="s">
        <v>4196</v>
      </c>
      <c r="D538" s="67" t="s">
        <v>4197</v>
      </c>
      <c r="E538" s="96" t="s">
        <v>62</v>
      </c>
      <c r="F538" s="29" t="s">
        <v>61</v>
      </c>
      <c r="G538" s="29"/>
      <c r="H538" s="103">
        <f>_xlfn.XLOOKUP(B538,GM!$Q$5:$Q$756,GM!$J$5:$J$756)</f>
        <v>45202</v>
      </c>
    </row>
    <row r="539" spans="1:8" hidden="1" x14ac:dyDescent="0.35">
      <c r="A539" s="29" t="s">
        <v>16</v>
      </c>
      <c r="B539" s="29" t="str">
        <f t="shared" si="8"/>
        <v>CN1-66</v>
      </c>
      <c r="C539" s="29" t="s">
        <v>4198</v>
      </c>
      <c r="D539" s="67" t="s">
        <v>4199</v>
      </c>
      <c r="E539" s="96" t="s">
        <v>62</v>
      </c>
      <c r="F539" s="29" t="s">
        <v>61</v>
      </c>
      <c r="G539" s="29"/>
      <c r="H539" s="103" t="e">
        <f>_xlfn.XLOOKUP(B539,GM!$Q$5:$Q$756,GM!$J$5:$J$756)</f>
        <v>#N/A</v>
      </c>
    </row>
    <row r="540" spans="1:8" hidden="1" x14ac:dyDescent="0.35">
      <c r="A540" s="29" t="s">
        <v>16</v>
      </c>
      <c r="B540" s="29" t="str">
        <f t="shared" si="8"/>
        <v>CN1-67</v>
      </c>
      <c r="C540" s="29" t="s">
        <v>4200</v>
      </c>
      <c r="D540" s="67" t="s">
        <v>4201</v>
      </c>
      <c r="E540" s="96" t="s">
        <v>62</v>
      </c>
      <c r="F540" s="29" t="s">
        <v>61</v>
      </c>
      <c r="G540" s="29"/>
      <c r="H540" s="103" t="e">
        <f>_xlfn.XLOOKUP(B540,GM!$Q$5:$Q$756,GM!$J$5:$J$756)</f>
        <v>#N/A</v>
      </c>
    </row>
    <row r="541" spans="1:8" hidden="1" x14ac:dyDescent="0.35">
      <c r="A541" s="29" t="s">
        <v>16</v>
      </c>
      <c r="B541" s="29" t="str">
        <f t="shared" si="8"/>
        <v>CN1-68</v>
      </c>
      <c r="C541" s="29" t="s">
        <v>4202</v>
      </c>
      <c r="D541" s="67" t="s">
        <v>4203</v>
      </c>
      <c r="E541" s="96" t="s">
        <v>62</v>
      </c>
      <c r="F541" s="29" t="s">
        <v>61</v>
      </c>
      <c r="G541" s="29"/>
      <c r="H541" s="103" t="e">
        <f>_xlfn.XLOOKUP(B541,GM!$Q$5:$Q$756,GM!$J$5:$J$756)</f>
        <v>#N/A</v>
      </c>
    </row>
    <row r="542" spans="1:8" hidden="1" x14ac:dyDescent="0.35">
      <c r="A542" s="29" t="s">
        <v>17</v>
      </c>
      <c r="B542" s="29" t="str">
        <f t="shared" si="8"/>
        <v>CN2-00</v>
      </c>
      <c r="C542" s="29" t="s">
        <v>4204</v>
      </c>
      <c r="D542" s="67" t="s">
        <v>4205</v>
      </c>
      <c r="E542" s="96" t="s">
        <v>62</v>
      </c>
      <c r="F542" s="29" t="s">
        <v>61</v>
      </c>
      <c r="G542" s="29"/>
      <c r="H542" s="103">
        <f>_xlfn.XLOOKUP(B542,GM!$Q$5:$Q$756,GM!$J$5:$J$756)</f>
        <v>45202</v>
      </c>
    </row>
    <row r="543" spans="1:8" hidden="1" x14ac:dyDescent="0.35">
      <c r="A543" s="29" t="s">
        <v>17</v>
      </c>
      <c r="B543" s="29" t="str">
        <f t="shared" si="8"/>
        <v>CN2-00</v>
      </c>
      <c r="C543" s="29" t="s">
        <v>4206</v>
      </c>
      <c r="D543" s="67" t="s">
        <v>4207</v>
      </c>
      <c r="E543" s="96" t="s">
        <v>62</v>
      </c>
      <c r="F543" s="29" t="s">
        <v>61</v>
      </c>
      <c r="G543" s="29"/>
      <c r="H543" s="103">
        <f>_xlfn.XLOOKUP(B543,GM!$Q$5:$Q$756,GM!$J$5:$J$756)</f>
        <v>45202</v>
      </c>
    </row>
    <row r="544" spans="1:8" hidden="1" x14ac:dyDescent="0.35">
      <c r="A544" s="29" t="s">
        <v>17</v>
      </c>
      <c r="B544" s="29" t="str">
        <f t="shared" si="8"/>
        <v>CN2-00</v>
      </c>
      <c r="C544" s="29" t="s">
        <v>4208</v>
      </c>
      <c r="D544" s="67" t="s">
        <v>4209</v>
      </c>
      <c r="E544" s="96" t="s">
        <v>62</v>
      </c>
      <c r="F544" s="29" t="s">
        <v>61</v>
      </c>
      <c r="G544" s="29"/>
      <c r="H544" s="103">
        <f>_xlfn.XLOOKUP(B544,GM!$Q$5:$Q$756,GM!$J$5:$J$756)</f>
        <v>45202</v>
      </c>
    </row>
    <row r="545" spans="1:8" hidden="1" x14ac:dyDescent="0.35">
      <c r="A545" s="29" t="s">
        <v>17</v>
      </c>
      <c r="B545" s="29" t="str">
        <f t="shared" si="8"/>
        <v>CN2-00</v>
      </c>
      <c r="C545" s="29" t="s">
        <v>4210</v>
      </c>
      <c r="D545" s="67" t="s">
        <v>4211</v>
      </c>
      <c r="E545" s="96" t="s">
        <v>62</v>
      </c>
      <c r="F545" s="29" t="s">
        <v>61</v>
      </c>
      <c r="G545" s="29"/>
      <c r="H545" s="103">
        <f>_xlfn.XLOOKUP(B545,GM!$Q$5:$Q$756,GM!$J$5:$J$756)</f>
        <v>45202</v>
      </c>
    </row>
    <row r="546" spans="1:8" hidden="1" x14ac:dyDescent="0.35">
      <c r="A546" s="29" t="s">
        <v>17</v>
      </c>
      <c r="B546" s="29" t="str">
        <f t="shared" si="8"/>
        <v>CN2-00</v>
      </c>
      <c r="C546" s="29" t="s">
        <v>4212</v>
      </c>
      <c r="D546" s="67" t="s">
        <v>4213</v>
      </c>
      <c r="E546" s="96" t="s">
        <v>62</v>
      </c>
      <c r="F546" s="29" t="s">
        <v>61</v>
      </c>
      <c r="G546" s="29"/>
      <c r="H546" s="103">
        <f>_xlfn.XLOOKUP(B546,GM!$Q$5:$Q$756,GM!$J$5:$J$756)</f>
        <v>45202</v>
      </c>
    </row>
    <row r="547" spans="1:8" hidden="1" x14ac:dyDescent="0.35">
      <c r="A547" s="29" t="s">
        <v>17</v>
      </c>
      <c r="B547" s="29" t="str">
        <f t="shared" si="8"/>
        <v>CN2-00</v>
      </c>
      <c r="C547" s="29" t="s">
        <v>4214</v>
      </c>
      <c r="D547" s="67" t="s">
        <v>4215</v>
      </c>
      <c r="E547" s="96" t="s">
        <v>62</v>
      </c>
      <c r="F547" s="29" t="s">
        <v>61</v>
      </c>
      <c r="G547" s="29"/>
      <c r="H547" s="103">
        <f>_xlfn.XLOOKUP(B547,GM!$Q$5:$Q$756,GM!$J$5:$J$756)</f>
        <v>45202</v>
      </c>
    </row>
    <row r="548" spans="1:8" hidden="1" x14ac:dyDescent="0.35">
      <c r="A548" s="29" t="s">
        <v>17</v>
      </c>
      <c r="B548" s="29" t="str">
        <f t="shared" si="8"/>
        <v>CN2-00</v>
      </c>
      <c r="C548" s="29" t="s">
        <v>4216</v>
      </c>
      <c r="D548" s="67" t="s">
        <v>4217</v>
      </c>
      <c r="E548" s="96" t="s">
        <v>62</v>
      </c>
      <c r="F548" s="29" t="s">
        <v>61</v>
      </c>
      <c r="G548" s="29"/>
      <c r="H548" s="103">
        <f>_xlfn.XLOOKUP(B548,GM!$Q$5:$Q$756,GM!$J$5:$J$756)</f>
        <v>45202</v>
      </c>
    </row>
    <row r="549" spans="1:8" hidden="1" x14ac:dyDescent="0.35">
      <c r="A549" s="29" t="s">
        <v>17</v>
      </c>
      <c r="B549" s="29" t="str">
        <f t="shared" si="8"/>
        <v>CN2-00</v>
      </c>
      <c r="C549" s="29" t="s">
        <v>4218</v>
      </c>
      <c r="D549" s="67" t="s">
        <v>4219</v>
      </c>
      <c r="E549" s="96" t="s">
        <v>62</v>
      </c>
      <c r="F549" s="29" t="s">
        <v>61</v>
      </c>
      <c r="G549" s="29"/>
      <c r="H549" s="103">
        <f>_xlfn.XLOOKUP(B549,GM!$Q$5:$Q$756,GM!$J$5:$J$756)</f>
        <v>45202</v>
      </c>
    </row>
    <row r="550" spans="1:8" hidden="1" x14ac:dyDescent="0.35">
      <c r="A550" s="29" t="s">
        <v>17</v>
      </c>
      <c r="B550" s="29" t="str">
        <f t="shared" si="8"/>
        <v>CN2-00</v>
      </c>
      <c r="C550" s="29" t="s">
        <v>4220</v>
      </c>
      <c r="D550" s="67" t="s">
        <v>4221</v>
      </c>
      <c r="E550" s="96" t="s">
        <v>62</v>
      </c>
      <c r="F550" s="29" t="s">
        <v>61</v>
      </c>
      <c r="G550" s="29"/>
      <c r="H550" s="103">
        <f>_xlfn.XLOOKUP(B550,GM!$Q$5:$Q$756,GM!$J$5:$J$756)</f>
        <v>45202</v>
      </c>
    </row>
    <row r="551" spans="1:8" hidden="1" x14ac:dyDescent="0.35">
      <c r="A551" s="29" t="s">
        <v>17</v>
      </c>
      <c r="B551" s="29" t="str">
        <f t="shared" si="8"/>
        <v>CN2-01</v>
      </c>
      <c r="C551" s="29" t="s">
        <v>4222</v>
      </c>
      <c r="D551" s="67" t="s">
        <v>4223</v>
      </c>
      <c r="E551" s="96" t="s">
        <v>62</v>
      </c>
      <c r="F551" s="29" t="s">
        <v>61</v>
      </c>
      <c r="G551" s="29"/>
      <c r="H551" s="103">
        <f>_xlfn.XLOOKUP(B551,GM!$Q$5:$Q$756,GM!$J$5:$J$756)</f>
        <v>44739</v>
      </c>
    </row>
    <row r="552" spans="1:8" hidden="1" x14ac:dyDescent="0.35">
      <c r="A552" s="29" t="s">
        <v>17</v>
      </c>
      <c r="B552" s="29" t="str">
        <f t="shared" si="8"/>
        <v>CN2-01</v>
      </c>
      <c r="C552" s="29" t="s">
        <v>4224</v>
      </c>
      <c r="D552" s="67" t="s">
        <v>4225</v>
      </c>
      <c r="E552" s="96" t="s">
        <v>62</v>
      </c>
      <c r="F552" s="29" t="s">
        <v>61</v>
      </c>
      <c r="G552" s="29"/>
      <c r="H552" s="103">
        <f>_xlfn.XLOOKUP(B552,GM!$Q$5:$Q$756,GM!$J$5:$J$756)</f>
        <v>44739</v>
      </c>
    </row>
    <row r="553" spans="1:8" hidden="1" x14ac:dyDescent="0.35">
      <c r="A553" s="29" t="s">
        <v>17</v>
      </c>
      <c r="B553" s="29" t="str">
        <f t="shared" si="8"/>
        <v>CN2-01</v>
      </c>
      <c r="C553" s="29" t="s">
        <v>4226</v>
      </c>
      <c r="D553" s="67" t="s">
        <v>4227</v>
      </c>
      <c r="E553" s="96" t="s">
        <v>62</v>
      </c>
      <c r="F553" s="29" t="s">
        <v>61</v>
      </c>
      <c r="G553" s="29"/>
      <c r="H553" s="103">
        <f>_xlfn.XLOOKUP(B553,GM!$Q$5:$Q$756,GM!$J$5:$J$756)</f>
        <v>44739</v>
      </c>
    </row>
    <row r="554" spans="1:8" hidden="1" x14ac:dyDescent="0.35">
      <c r="A554" s="29" t="s">
        <v>17</v>
      </c>
      <c r="B554" s="29" t="str">
        <f t="shared" si="8"/>
        <v>CN2-01</v>
      </c>
      <c r="C554" s="29" t="s">
        <v>4228</v>
      </c>
      <c r="D554" s="67" t="s">
        <v>4229</v>
      </c>
      <c r="E554" s="96" t="s">
        <v>62</v>
      </c>
      <c r="F554" s="29" t="s">
        <v>61</v>
      </c>
      <c r="G554" s="29"/>
      <c r="H554" s="103">
        <f>_xlfn.XLOOKUP(B554,GM!$Q$5:$Q$756,GM!$J$5:$J$756)</f>
        <v>44739</v>
      </c>
    </row>
    <row r="555" spans="1:8" hidden="1" x14ac:dyDescent="0.35">
      <c r="A555" s="29" t="s">
        <v>17</v>
      </c>
      <c r="B555" s="29" t="str">
        <f t="shared" si="8"/>
        <v>CN2-01</v>
      </c>
      <c r="C555" s="29" t="s">
        <v>4230</v>
      </c>
      <c r="D555" s="67" t="s">
        <v>4231</v>
      </c>
      <c r="E555" s="96" t="s">
        <v>62</v>
      </c>
      <c r="F555" s="29" t="s">
        <v>61</v>
      </c>
      <c r="G555" s="29"/>
      <c r="H555" s="103">
        <f>_xlfn.XLOOKUP(B555,GM!$Q$5:$Q$756,GM!$J$5:$J$756)</f>
        <v>44739</v>
      </c>
    </row>
    <row r="556" spans="1:8" hidden="1" x14ac:dyDescent="0.35">
      <c r="A556" s="29" t="s">
        <v>17</v>
      </c>
      <c r="B556" s="29" t="str">
        <f t="shared" si="8"/>
        <v>CN2-01</v>
      </c>
      <c r="C556" s="29" t="s">
        <v>4232</v>
      </c>
      <c r="D556" s="67" t="s">
        <v>4233</v>
      </c>
      <c r="E556" s="96" t="s">
        <v>62</v>
      </c>
      <c r="F556" s="29" t="s">
        <v>61</v>
      </c>
      <c r="G556" s="29"/>
      <c r="H556" s="103">
        <f>_xlfn.XLOOKUP(B556,GM!$Q$5:$Q$756,GM!$J$5:$J$756)</f>
        <v>44739</v>
      </c>
    </row>
    <row r="557" spans="1:8" hidden="1" x14ac:dyDescent="0.35">
      <c r="A557" s="29" t="s">
        <v>17</v>
      </c>
      <c r="B557" s="29" t="str">
        <f t="shared" si="8"/>
        <v>CN2-01</v>
      </c>
      <c r="C557" s="29" t="s">
        <v>4234</v>
      </c>
      <c r="D557" s="67" t="s">
        <v>4235</v>
      </c>
      <c r="E557" s="96" t="s">
        <v>62</v>
      </c>
      <c r="F557" s="29" t="s">
        <v>61</v>
      </c>
      <c r="G557" s="29"/>
      <c r="H557" s="103">
        <f>_xlfn.XLOOKUP(B557,GM!$Q$5:$Q$756,GM!$J$5:$J$756)</f>
        <v>44739</v>
      </c>
    </row>
    <row r="558" spans="1:8" hidden="1" x14ac:dyDescent="0.35">
      <c r="A558" s="29" t="s">
        <v>17</v>
      </c>
      <c r="B558" s="29" t="str">
        <f t="shared" si="8"/>
        <v>CN2-01</v>
      </c>
      <c r="C558" s="29" t="s">
        <v>4236</v>
      </c>
      <c r="D558" s="67" t="s">
        <v>4237</v>
      </c>
      <c r="E558" s="96" t="s">
        <v>62</v>
      </c>
      <c r="F558" s="29" t="s">
        <v>61</v>
      </c>
      <c r="G558" s="29"/>
      <c r="H558" s="103">
        <f>_xlfn.XLOOKUP(B558,GM!$Q$5:$Q$756,GM!$J$5:$J$756)</f>
        <v>44739</v>
      </c>
    </row>
    <row r="559" spans="1:8" hidden="1" x14ac:dyDescent="0.35">
      <c r="A559" s="29" t="s">
        <v>17</v>
      </c>
      <c r="B559" s="29" t="str">
        <f t="shared" si="8"/>
        <v>CN2-01</v>
      </c>
      <c r="C559" s="29" t="s">
        <v>4238</v>
      </c>
      <c r="D559" s="67" t="s">
        <v>4239</v>
      </c>
      <c r="E559" s="96" t="s">
        <v>62</v>
      </c>
      <c r="F559" s="29" t="s">
        <v>61</v>
      </c>
      <c r="G559" s="29"/>
      <c r="H559" s="103">
        <f>_xlfn.XLOOKUP(B559,GM!$Q$5:$Q$756,GM!$J$5:$J$756)</f>
        <v>44739</v>
      </c>
    </row>
    <row r="560" spans="1:8" hidden="1" x14ac:dyDescent="0.35">
      <c r="A560" s="29" t="s">
        <v>17</v>
      </c>
      <c r="B560" s="29" t="str">
        <f t="shared" si="8"/>
        <v>CN2-01</v>
      </c>
      <c r="C560" s="29" t="s">
        <v>4240</v>
      </c>
      <c r="D560" s="67" t="s">
        <v>4241</v>
      </c>
      <c r="E560" s="96" t="s">
        <v>62</v>
      </c>
      <c r="F560" s="29" t="s">
        <v>61</v>
      </c>
      <c r="G560" s="29"/>
      <c r="H560" s="103">
        <f>_xlfn.XLOOKUP(B560,GM!$Q$5:$Q$756,GM!$J$5:$J$756)</f>
        <v>44739</v>
      </c>
    </row>
    <row r="561" spans="1:8" hidden="1" x14ac:dyDescent="0.35">
      <c r="A561" s="29" t="s">
        <v>17</v>
      </c>
      <c r="B561" s="29" t="str">
        <f t="shared" si="8"/>
        <v>CN2-01</v>
      </c>
      <c r="C561" s="29" t="s">
        <v>4242</v>
      </c>
      <c r="D561" s="67" t="s">
        <v>4243</v>
      </c>
      <c r="E561" s="96" t="s">
        <v>62</v>
      </c>
      <c r="F561" s="29" t="s">
        <v>61</v>
      </c>
      <c r="G561" s="29"/>
      <c r="H561" s="103">
        <f>_xlfn.XLOOKUP(B561,GM!$Q$5:$Q$756,GM!$J$5:$J$756)</f>
        <v>44739</v>
      </c>
    </row>
    <row r="562" spans="1:8" hidden="1" x14ac:dyDescent="0.35">
      <c r="A562" s="29" t="s">
        <v>17</v>
      </c>
      <c r="B562" s="29" t="str">
        <f t="shared" si="8"/>
        <v>CN2-01</v>
      </c>
      <c r="C562" s="29" t="s">
        <v>4244</v>
      </c>
      <c r="D562" s="67" t="s">
        <v>4245</v>
      </c>
      <c r="E562" s="96" t="s">
        <v>62</v>
      </c>
      <c r="F562" s="29" t="s">
        <v>61</v>
      </c>
      <c r="G562" s="29"/>
      <c r="H562" s="103">
        <f>_xlfn.XLOOKUP(B562,GM!$Q$5:$Q$756,GM!$J$5:$J$756)</f>
        <v>44739</v>
      </c>
    </row>
    <row r="563" spans="1:8" hidden="1" x14ac:dyDescent="0.35">
      <c r="A563" s="29" t="s">
        <v>17</v>
      </c>
      <c r="B563" s="29" t="str">
        <f t="shared" si="8"/>
        <v>CN2-01</v>
      </c>
      <c r="C563" s="29" t="s">
        <v>4246</v>
      </c>
      <c r="D563" s="67" t="s">
        <v>4247</v>
      </c>
      <c r="E563" s="96" t="s">
        <v>62</v>
      </c>
      <c r="F563" s="29" t="s">
        <v>61</v>
      </c>
      <c r="G563" s="29"/>
      <c r="H563" s="103">
        <f>_xlfn.XLOOKUP(B563,GM!$Q$5:$Q$756,GM!$J$5:$J$756)</f>
        <v>44739</v>
      </c>
    </row>
    <row r="564" spans="1:8" hidden="1" x14ac:dyDescent="0.35">
      <c r="A564" s="29" t="s">
        <v>17</v>
      </c>
      <c r="B564" s="29" t="str">
        <f t="shared" si="8"/>
        <v>CN2-01</v>
      </c>
      <c r="C564" s="29" t="s">
        <v>4248</v>
      </c>
      <c r="D564" s="67" t="s">
        <v>4249</v>
      </c>
      <c r="E564" s="96" t="s">
        <v>62</v>
      </c>
      <c r="F564" s="29" t="s">
        <v>61</v>
      </c>
      <c r="G564" s="29"/>
      <c r="H564" s="103">
        <f>_xlfn.XLOOKUP(B564,GM!$Q$5:$Q$756,GM!$J$5:$J$756)</f>
        <v>44739</v>
      </c>
    </row>
    <row r="565" spans="1:8" hidden="1" x14ac:dyDescent="0.35">
      <c r="A565" s="29" t="s">
        <v>17</v>
      </c>
      <c r="B565" s="29" t="str">
        <f t="shared" si="8"/>
        <v>CN2-01</v>
      </c>
      <c r="C565" s="29" t="s">
        <v>4250</v>
      </c>
      <c r="D565" s="67" t="s">
        <v>4251</v>
      </c>
      <c r="E565" s="96" t="s">
        <v>62</v>
      </c>
      <c r="F565" s="29" t="s">
        <v>61</v>
      </c>
      <c r="G565" s="29"/>
      <c r="H565" s="103">
        <f>_xlfn.XLOOKUP(B565,GM!$Q$5:$Q$756,GM!$J$5:$J$756)</f>
        <v>44739</v>
      </c>
    </row>
    <row r="566" spans="1:8" hidden="1" x14ac:dyDescent="0.35">
      <c r="A566" s="29" t="s">
        <v>17</v>
      </c>
      <c r="B566" s="29" t="str">
        <f t="shared" si="8"/>
        <v>CN2-01</v>
      </c>
      <c r="C566" s="29" t="s">
        <v>4252</v>
      </c>
      <c r="D566" s="67" t="s">
        <v>4253</v>
      </c>
      <c r="E566" s="96" t="s">
        <v>62</v>
      </c>
      <c r="F566" s="29" t="s">
        <v>61</v>
      </c>
      <c r="G566" s="29"/>
      <c r="H566" s="103">
        <f>_xlfn.XLOOKUP(B566,GM!$Q$5:$Q$756,GM!$J$5:$J$756)</f>
        <v>44739</v>
      </c>
    </row>
    <row r="567" spans="1:8" hidden="1" x14ac:dyDescent="0.35">
      <c r="A567" s="29" t="s">
        <v>17</v>
      </c>
      <c r="B567" s="29" t="str">
        <f t="shared" si="8"/>
        <v>CN2-01</v>
      </c>
      <c r="C567" s="29" t="s">
        <v>4254</v>
      </c>
      <c r="D567" s="67" t="s">
        <v>4255</v>
      </c>
      <c r="E567" s="96" t="s">
        <v>62</v>
      </c>
      <c r="F567" s="29" t="s">
        <v>61</v>
      </c>
      <c r="G567" s="29"/>
      <c r="H567" s="103">
        <f>_xlfn.XLOOKUP(B567,GM!$Q$5:$Q$756,GM!$J$5:$J$756)</f>
        <v>44739</v>
      </c>
    </row>
    <row r="568" spans="1:8" hidden="1" x14ac:dyDescent="0.35">
      <c r="A568" s="29" t="s">
        <v>17</v>
      </c>
      <c r="B568" s="29" t="str">
        <f t="shared" si="8"/>
        <v>CN2-01</v>
      </c>
      <c r="C568" s="29" t="s">
        <v>4256</v>
      </c>
      <c r="D568" s="67" t="s">
        <v>4257</v>
      </c>
      <c r="E568" s="96" t="s">
        <v>62</v>
      </c>
      <c r="F568" s="29" t="s">
        <v>61</v>
      </c>
      <c r="G568" s="29"/>
      <c r="H568" s="103">
        <f>_xlfn.XLOOKUP(B568,GM!$Q$5:$Q$756,GM!$J$5:$J$756)</f>
        <v>44739</v>
      </c>
    </row>
    <row r="569" spans="1:8" hidden="1" x14ac:dyDescent="0.35">
      <c r="A569" s="29" t="s">
        <v>17</v>
      </c>
      <c r="B569" s="29" t="str">
        <f t="shared" si="8"/>
        <v>CN2-01</v>
      </c>
      <c r="C569" s="29" t="s">
        <v>4258</v>
      </c>
      <c r="D569" s="67" t="s">
        <v>4259</v>
      </c>
      <c r="E569" s="96" t="s">
        <v>62</v>
      </c>
      <c r="F569" s="29" t="s">
        <v>61</v>
      </c>
      <c r="G569" s="29"/>
      <c r="H569" s="103">
        <f>_xlfn.XLOOKUP(B569,GM!$Q$5:$Q$756,GM!$J$5:$J$756)</f>
        <v>44739</v>
      </c>
    </row>
    <row r="570" spans="1:8" hidden="1" x14ac:dyDescent="0.35">
      <c r="A570" s="29" t="s">
        <v>17</v>
      </c>
      <c r="B570" s="29" t="str">
        <f t="shared" si="8"/>
        <v>CN2-01</v>
      </c>
      <c r="C570" s="29" t="s">
        <v>4260</v>
      </c>
      <c r="D570" s="67" t="s">
        <v>4261</v>
      </c>
      <c r="E570" s="96" t="s">
        <v>62</v>
      </c>
      <c r="F570" s="29" t="s">
        <v>61</v>
      </c>
      <c r="G570" s="29"/>
      <c r="H570" s="103">
        <f>_xlfn.XLOOKUP(B570,GM!$Q$5:$Q$756,GM!$J$5:$J$756)</f>
        <v>44739</v>
      </c>
    </row>
    <row r="571" spans="1:8" hidden="1" x14ac:dyDescent="0.35">
      <c r="A571" s="29" t="s">
        <v>17</v>
      </c>
      <c r="B571" s="29" t="str">
        <f t="shared" si="8"/>
        <v>CN2-01</v>
      </c>
      <c r="C571" s="29" t="s">
        <v>4262</v>
      </c>
      <c r="D571" s="67" t="s">
        <v>4263</v>
      </c>
      <c r="E571" s="96" t="s">
        <v>62</v>
      </c>
      <c r="F571" s="29" t="s">
        <v>61</v>
      </c>
      <c r="G571" s="29"/>
      <c r="H571" s="103">
        <f>_xlfn.XLOOKUP(B571,GM!$Q$5:$Q$756,GM!$J$5:$J$756)</f>
        <v>44739</v>
      </c>
    </row>
    <row r="572" spans="1:8" hidden="1" x14ac:dyDescent="0.35">
      <c r="A572" s="29" t="s">
        <v>17</v>
      </c>
      <c r="B572" s="29" t="str">
        <f t="shared" si="8"/>
        <v>CN2-01</v>
      </c>
      <c r="C572" s="29" t="s">
        <v>4264</v>
      </c>
      <c r="D572" s="67" t="s">
        <v>4265</v>
      </c>
      <c r="E572" s="96" t="s">
        <v>62</v>
      </c>
      <c r="F572" s="29" t="s">
        <v>61</v>
      </c>
      <c r="G572" s="29"/>
      <c r="H572" s="103">
        <f>_xlfn.XLOOKUP(B572,GM!$Q$5:$Q$756,GM!$J$5:$J$756)</f>
        <v>44739</v>
      </c>
    </row>
    <row r="573" spans="1:8" hidden="1" x14ac:dyDescent="0.35">
      <c r="A573" s="29" t="s">
        <v>17</v>
      </c>
      <c r="B573" s="29" t="str">
        <f t="shared" si="8"/>
        <v>CN2-01</v>
      </c>
      <c r="C573" s="29" t="s">
        <v>4266</v>
      </c>
      <c r="D573" s="67" t="s">
        <v>4267</v>
      </c>
      <c r="E573" s="96" t="s">
        <v>62</v>
      </c>
      <c r="F573" s="29" t="s">
        <v>61</v>
      </c>
      <c r="G573" s="29"/>
      <c r="H573" s="103">
        <f>_xlfn.XLOOKUP(B573,GM!$Q$5:$Q$756,GM!$J$5:$J$756)</f>
        <v>44739</v>
      </c>
    </row>
    <row r="574" spans="1:8" hidden="1" x14ac:dyDescent="0.35">
      <c r="A574" s="29" t="s">
        <v>17</v>
      </c>
      <c r="B574" s="29" t="str">
        <f t="shared" si="8"/>
        <v>CN2-01</v>
      </c>
      <c r="C574" s="29" t="s">
        <v>4268</v>
      </c>
      <c r="D574" s="67" t="s">
        <v>4269</v>
      </c>
      <c r="E574" s="96" t="s">
        <v>62</v>
      </c>
      <c r="F574" s="29" t="s">
        <v>61</v>
      </c>
      <c r="G574" s="29"/>
      <c r="H574" s="103">
        <f>_xlfn.XLOOKUP(B574,GM!$Q$5:$Q$756,GM!$J$5:$J$756)</f>
        <v>44739</v>
      </c>
    </row>
    <row r="575" spans="1:8" hidden="1" x14ac:dyDescent="0.35">
      <c r="A575" s="29" t="s">
        <v>17</v>
      </c>
      <c r="B575" s="29" t="str">
        <f t="shared" si="8"/>
        <v>CN2-01</v>
      </c>
      <c r="C575" s="29" t="s">
        <v>4270</v>
      </c>
      <c r="D575" s="67" t="s">
        <v>4271</v>
      </c>
      <c r="E575" s="96" t="s">
        <v>62</v>
      </c>
      <c r="F575" s="29" t="s">
        <v>61</v>
      </c>
      <c r="G575" s="29"/>
      <c r="H575" s="103">
        <f>_xlfn.XLOOKUP(B575,GM!$Q$5:$Q$756,GM!$J$5:$J$756)</f>
        <v>44739</v>
      </c>
    </row>
    <row r="576" spans="1:8" hidden="1" x14ac:dyDescent="0.35">
      <c r="A576" s="29" t="s">
        <v>17</v>
      </c>
      <c r="B576" s="29" t="str">
        <f t="shared" si="8"/>
        <v>CN2-01</v>
      </c>
      <c r="C576" s="29" t="s">
        <v>4272</v>
      </c>
      <c r="D576" s="67" t="s">
        <v>4273</v>
      </c>
      <c r="E576" s="96" t="s">
        <v>62</v>
      </c>
      <c r="F576" s="29" t="s">
        <v>61</v>
      </c>
      <c r="G576" s="29"/>
      <c r="H576" s="103">
        <f>_xlfn.XLOOKUP(B576,GM!$Q$5:$Q$756,GM!$J$5:$J$756)</f>
        <v>44739</v>
      </c>
    </row>
    <row r="577" spans="1:8" hidden="1" x14ac:dyDescent="0.35">
      <c r="A577" s="29" t="s">
        <v>17</v>
      </c>
      <c r="B577" s="29" t="str">
        <f t="shared" si="8"/>
        <v>CN2-02</v>
      </c>
      <c r="C577" s="29" t="s">
        <v>4274</v>
      </c>
      <c r="D577" s="67" t="s">
        <v>4275</v>
      </c>
      <c r="E577" s="96" t="s">
        <v>62</v>
      </c>
      <c r="F577" s="29" t="s">
        <v>61</v>
      </c>
      <c r="G577" s="29"/>
      <c r="H577" s="103">
        <f>_xlfn.XLOOKUP(B577,GM!$Q$5:$Q$756,GM!$J$5:$J$756)</f>
        <v>44739</v>
      </c>
    </row>
    <row r="578" spans="1:8" hidden="1" x14ac:dyDescent="0.35">
      <c r="A578" s="29" t="s">
        <v>17</v>
      </c>
      <c r="B578" s="29" t="str">
        <f t="shared" si="8"/>
        <v>CN2-02</v>
      </c>
      <c r="C578" s="29" t="s">
        <v>4276</v>
      </c>
      <c r="D578" s="67" t="s">
        <v>4277</v>
      </c>
      <c r="E578" s="96" t="s">
        <v>62</v>
      </c>
      <c r="F578" s="29" t="s">
        <v>61</v>
      </c>
      <c r="G578" s="29"/>
      <c r="H578" s="103">
        <f>_xlfn.XLOOKUP(B578,GM!$Q$5:$Q$756,GM!$J$5:$J$756)</f>
        <v>44739</v>
      </c>
    </row>
    <row r="579" spans="1:8" hidden="1" x14ac:dyDescent="0.35">
      <c r="A579" s="29" t="s">
        <v>17</v>
      </c>
      <c r="B579" s="29" t="str">
        <f t="shared" si="8"/>
        <v>CN2-02</v>
      </c>
      <c r="C579" s="29" t="s">
        <v>4278</v>
      </c>
      <c r="D579" s="67" t="s">
        <v>4279</v>
      </c>
      <c r="E579" s="96" t="s">
        <v>62</v>
      </c>
      <c r="F579" s="29" t="s">
        <v>61</v>
      </c>
      <c r="G579" s="29"/>
      <c r="H579" s="103">
        <f>_xlfn.XLOOKUP(B579,GM!$Q$5:$Q$756,GM!$J$5:$J$756)</f>
        <v>44739</v>
      </c>
    </row>
    <row r="580" spans="1:8" hidden="1" x14ac:dyDescent="0.35">
      <c r="A580" s="29" t="s">
        <v>17</v>
      </c>
      <c r="B580" s="29" t="str">
        <f t="shared" si="8"/>
        <v>CN2-02</v>
      </c>
      <c r="C580" s="29" t="s">
        <v>4280</v>
      </c>
      <c r="D580" s="67" t="s">
        <v>4281</v>
      </c>
      <c r="E580" s="96" t="s">
        <v>62</v>
      </c>
      <c r="F580" s="29" t="s">
        <v>61</v>
      </c>
      <c r="G580" s="29"/>
      <c r="H580" s="103">
        <f>_xlfn.XLOOKUP(B580,GM!$Q$5:$Q$756,GM!$J$5:$J$756)</f>
        <v>44739</v>
      </c>
    </row>
    <row r="581" spans="1:8" hidden="1" x14ac:dyDescent="0.35">
      <c r="A581" s="29" t="s">
        <v>17</v>
      </c>
      <c r="B581" s="29" t="str">
        <f t="shared" ref="B581:B644" si="9">IF(OR(A581="ARN",A581="SDP"),MID(C581,4,7),MID(C581,4,6))</f>
        <v>CN2-02</v>
      </c>
      <c r="C581" s="29" t="s">
        <v>4282</v>
      </c>
      <c r="D581" s="67" t="s">
        <v>4283</v>
      </c>
      <c r="E581" s="96" t="s">
        <v>62</v>
      </c>
      <c r="F581" s="29" t="s">
        <v>61</v>
      </c>
      <c r="G581" s="29"/>
      <c r="H581" s="103">
        <f>_xlfn.XLOOKUP(B581,GM!$Q$5:$Q$756,GM!$J$5:$J$756)</f>
        <v>44739</v>
      </c>
    </row>
    <row r="582" spans="1:8" hidden="1" x14ac:dyDescent="0.35">
      <c r="A582" s="29" t="s">
        <v>17</v>
      </c>
      <c r="B582" s="29" t="str">
        <f t="shared" si="9"/>
        <v>CN2-02</v>
      </c>
      <c r="C582" s="29" t="s">
        <v>4284</v>
      </c>
      <c r="D582" s="67" t="s">
        <v>4285</v>
      </c>
      <c r="E582" s="96" t="s">
        <v>62</v>
      </c>
      <c r="F582" s="29" t="s">
        <v>61</v>
      </c>
      <c r="G582" s="29"/>
      <c r="H582" s="103">
        <f>_xlfn.XLOOKUP(B582,GM!$Q$5:$Q$756,GM!$J$5:$J$756)</f>
        <v>44739</v>
      </c>
    </row>
    <row r="583" spans="1:8" hidden="1" x14ac:dyDescent="0.35">
      <c r="A583" s="29" t="s">
        <v>17</v>
      </c>
      <c r="B583" s="29" t="str">
        <f t="shared" si="9"/>
        <v>CN2-02</v>
      </c>
      <c r="C583" s="29" t="s">
        <v>4286</v>
      </c>
      <c r="D583" s="67" t="s">
        <v>4287</v>
      </c>
      <c r="E583" s="96" t="s">
        <v>62</v>
      </c>
      <c r="F583" s="29" t="s">
        <v>61</v>
      </c>
      <c r="G583" s="29"/>
      <c r="H583" s="103">
        <f>_xlfn.XLOOKUP(B583,GM!$Q$5:$Q$756,GM!$J$5:$J$756)</f>
        <v>44739</v>
      </c>
    </row>
    <row r="584" spans="1:8" hidden="1" x14ac:dyDescent="0.35">
      <c r="A584" s="29" t="s">
        <v>17</v>
      </c>
      <c r="B584" s="29" t="str">
        <f t="shared" si="9"/>
        <v>CN2-02</v>
      </c>
      <c r="C584" s="29" t="s">
        <v>4288</v>
      </c>
      <c r="D584" s="67" t="s">
        <v>4289</v>
      </c>
      <c r="E584" s="96" t="s">
        <v>62</v>
      </c>
      <c r="F584" s="29" t="s">
        <v>61</v>
      </c>
      <c r="G584" s="29"/>
      <c r="H584" s="103">
        <f>_xlfn.XLOOKUP(B584,GM!$Q$5:$Q$756,GM!$J$5:$J$756)</f>
        <v>44739</v>
      </c>
    </row>
    <row r="585" spans="1:8" hidden="1" x14ac:dyDescent="0.35">
      <c r="A585" s="29" t="s">
        <v>17</v>
      </c>
      <c r="B585" s="29" t="str">
        <f t="shared" si="9"/>
        <v>CN2-02</v>
      </c>
      <c r="C585" s="29" t="s">
        <v>4290</v>
      </c>
      <c r="D585" s="67" t="s">
        <v>4291</v>
      </c>
      <c r="E585" s="96" t="s">
        <v>62</v>
      </c>
      <c r="F585" s="29" t="s">
        <v>61</v>
      </c>
      <c r="G585" s="29"/>
      <c r="H585" s="103">
        <f>_xlfn.XLOOKUP(B585,GM!$Q$5:$Q$756,GM!$J$5:$J$756)</f>
        <v>44739</v>
      </c>
    </row>
    <row r="586" spans="1:8" hidden="1" x14ac:dyDescent="0.35">
      <c r="A586" s="29" t="s">
        <v>17</v>
      </c>
      <c r="B586" s="29" t="str">
        <f t="shared" si="9"/>
        <v>CN2-02</v>
      </c>
      <c r="C586" s="29" t="s">
        <v>4292</v>
      </c>
      <c r="D586" s="67" t="s">
        <v>4293</v>
      </c>
      <c r="E586" s="96" t="s">
        <v>62</v>
      </c>
      <c r="F586" s="29" t="s">
        <v>61</v>
      </c>
      <c r="G586" s="29"/>
      <c r="H586" s="103">
        <f>_xlfn.XLOOKUP(B586,GM!$Q$5:$Q$756,GM!$J$5:$J$756)</f>
        <v>44739</v>
      </c>
    </row>
    <row r="587" spans="1:8" hidden="1" x14ac:dyDescent="0.35">
      <c r="A587" s="29" t="s">
        <v>17</v>
      </c>
      <c r="B587" s="29" t="str">
        <f t="shared" si="9"/>
        <v>CN2-02</v>
      </c>
      <c r="C587" s="29" t="s">
        <v>4294</v>
      </c>
      <c r="D587" s="67" t="s">
        <v>4295</v>
      </c>
      <c r="E587" s="96" t="s">
        <v>62</v>
      </c>
      <c r="F587" s="29" t="s">
        <v>61</v>
      </c>
      <c r="G587" s="29"/>
      <c r="H587" s="103">
        <f>_xlfn.XLOOKUP(B587,GM!$Q$5:$Q$756,GM!$J$5:$J$756)</f>
        <v>44739</v>
      </c>
    </row>
    <row r="588" spans="1:8" hidden="1" x14ac:dyDescent="0.35">
      <c r="A588" s="29" t="s">
        <v>17</v>
      </c>
      <c r="B588" s="29" t="str">
        <f t="shared" si="9"/>
        <v>CN2-02</v>
      </c>
      <c r="C588" s="29" t="s">
        <v>4296</v>
      </c>
      <c r="D588" s="67" t="s">
        <v>4297</v>
      </c>
      <c r="E588" s="96" t="s">
        <v>62</v>
      </c>
      <c r="F588" s="29" t="s">
        <v>61</v>
      </c>
      <c r="G588" s="29"/>
      <c r="H588" s="103">
        <f>_xlfn.XLOOKUP(B588,GM!$Q$5:$Q$756,GM!$J$5:$J$756)</f>
        <v>44739</v>
      </c>
    </row>
    <row r="589" spans="1:8" hidden="1" x14ac:dyDescent="0.35">
      <c r="A589" s="29" t="s">
        <v>17</v>
      </c>
      <c r="B589" s="29" t="str">
        <f t="shared" si="9"/>
        <v>CN2-02</v>
      </c>
      <c r="C589" s="29" t="s">
        <v>4298</v>
      </c>
      <c r="D589" s="67" t="s">
        <v>4299</v>
      </c>
      <c r="E589" s="96" t="s">
        <v>62</v>
      </c>
      <c r="F589" s="29" t="s">
        <v>61</v>
      </c>
      <c r="G589" s="29"/>
      <c r="H589" s="103">
        <f>_xlfn.XLOOKUP(B589,GM!$Q$5:$Q$756,GM!$J$5:$J$756)</f>
        <v>44739</v>
      </c>
    </row>
    <row r="590" spans="1:8" hidden="1" x14ac:dyDescent="0.35">
      <c r="A590" s="29" t="s">
        <v>17</v>
      </c>
      <c r="B590" s="29" t="str">
        <f t="shared" si="9"/>
        <v>CN2-02</v>
      </c>
      <c r="C590" s="29" t="s">
        <v>4300</v>
      </c>
      <c r="D590" s="67" t="s">
        <v>4301</v>
      </c>
      <c r="E590" s="96" t="s">
        <v>62</v>
      </c>
      <c r="F590" s="29" t="s">
        <v>61</v>
      </c>
      <c r="G590" s="29"/>
      <c r="H590" s="103">
        <f>_xlfn.XLOOKUP(B590,GM!$Q$5:$Q$756,GM!$J$5:$J$756)</f>
        <v>44739</v>
      </c>
    </row>
    <row r="591" spans="1:8" hidden="1" x14ac:dyDescent="0.35">
      <c r="A591" s="29" t="s">
        <v>17</v>
      </c>
      <c r="B591" s="29" t="str">
        <f t="shared" si="9"/>
        <v>CN2-02</v>
      </c>
      <c r="C591" s="29" t="s">
        <v>4302</v>
      </c>
      <c r="D591" s="67" t="s">
        <v>4303</v>
      </c>
      <c r="E591" s="96" t="s">
        <v>62</v>
      </c>
      <c r="F591" s="29" t="s">
        <v>61</v>
      </c>
      <c r="G591" s="29"/>
      <c r="H591" s="103">
        <f>_xlfn.XLOOKUP(B591,GM!$Q$5:$Q$756,GM!$J$5:$J$756)</f>
        <v>44739</v>
      </c>
    </row>
    <row r="592" spans="1:8" hidden="1" x14ac:dyDescent="0.35">
      <c r="A592" s="29" t="s">
        <v>17</v>
      </c>
      <c r="B592" s="29" t="str">
        <f t="shared" si="9"/>
        <v>CN2-02</v>
      </c>
      <c r="C592" s="29" t="s">
        <v>4304</v>
      </c>
      <c r="D592" s="67" t="s">
        <v>4305</v>
      </c>
      <c r="E592" s="96" t="s">
        <v>62</v>
      </c>
      <c r="F592" s="29" t="s">
        <v>61</v>
      </c>
      <c r="G592" s="29"/>
      <c r="H592" s="103">
        <f>_xlfn.XLOOKUP(B592,GM!$Q$5:$Q$756,GM!$J$5:$J$756)</f>
        <v>44739</v>
      </c>
    </row>
    <row r="593" spans="1:8" hidden="1" x14ac:dyDescent="0.35">
      <c r="A593" s="29" t="s">
        <v>17</v>
      </c>
      <c r="B593" s="29" t="str">
        <f t="shared" si="9"/>
        <v>CN2-02</v>
      </c>
      <c r="C593" s="29" t="s">
        <v>4306</v>
      </c>
      <c r="D593" s="67" t="s">
        <v>4307</v>
      </c>
      <c r="E593" s="96" t="s">
        <v>62</v>
      </c>
      <c r="F593" s="29" t="s">
        <v>61</v>
      </c>
      <c r="G593" s="29"/>
      <c r="H593" s="103">
        <f>_xlfn.XLOOKUP(B593,GM!$Q$5:$Q$756,GM!$J$5:$J$756)</f>
        <v>44739</v>
      </c>
    </row>
    <row r="594" spans="1:8" hidden="1" x14ac:dyDescent="0.35">
      <c r="A594" s="29" t="s">
        <v>17</v>
      </c>
      <c r="B594" s="29" t="str">
        <f t="shared" si="9"/>
        <v>CN2-04</v>
      </c>
      <c r="C594" s="29" t="s">
        <v>4308</v>
      </c>
      <c r="D594" s="67" t="s">
        <v>4309</v>
      </c>
      <c r="E594" s="96" t="s">
        <v>62</v>
      </c>
      <c r="F594" s="29" t="s">
        <v>61</v>
      </c>
      <c r="G594" s="29"/>
      <c r="H594" s="103">
        <f>_xlfn.XLOOKUP(B594,GM!$Q$5:$Q$756,GM!$J$5:$J$756)</f>
        <v>46107</v>
      </c>
    </row>
    <row r="595" spans="1:8" hidden="1" x14ac:dyDescent="0.35">
      <c r="A595" s="29" t="s">
        <v>17</v>
      </c>
      <c r="B595" s="29" t="str">
        <f t="shared" si="9"/>
        <v>CN2-04</v>
      </c>
      <c r="C595" s="29" t="s">
        <v>4310</v>
      </c>
      <c r="D595" s="67" t="s">
        <v>4311</v>
      </c>
      <c r="E595" s="96" t="s">
        <v>62</v>
      </c>
      <c r="F595" s="29" t="s">
        <v>61</v>
      </c>
      <c r="G595" s="29"/>
      <c r="H595" s="103">
        <f>_xlfn.XLOOKUP(B595,GM!$Q$5:$Q$756,GM!$J$5:$J$756)</f>
        <v>46107</v>
      </c>
    </row>
    <row r="596" spans="1:8" hidden="1" x14ac:dyDescent="0.35">
      <c r="A596" s="29" t="s">
        <v>17</v>
      </c>
      <c r="B596" s="29" t="str">
        <f t="shared" si="9"/>
        <v>CN2-04</v>
      </c>
      <c r="C596" s="29" t="s">
        <v>4312</v>
      </c>
      <c r="D596" s="67" t="s">
        <v>4313</v>
      </c>
      <c r="E596" s="96" t="s">
        <v>62</v>
      </c>
      <c r="F596" s="29" t="s">
        <v>61</v>
      </c>
      <c r="G596" s="29"/>
      <c r="H596" s="103">
        <f>_xlfn.XLOOKUP(B596,GM!$Q$5:$Q$756,GM!$J$5:$J$756)</f>
        <v>46107</v>
      </c>
    </row>
    <row r="597" spans="1:8" hidden="1" x14ac:dyDescent="0.35">
      <c r="A597" s="29" t="s">
        <v>17</v>
      </c>
      <c r="B597" s="29" t="str">
        <f t="shared" si="9"/>
        <v>CN2-04</v>
      </c>
      <c r="C597" s="29" t="s">
        <v>4314</v>
      </c>
      <c r="D597" s="67" t="s">
        <v>4315</v>
      </c>
      <c r="E597" s="96" t="s">
        <v>62</v>
      </c>
      <c r="F597" s="29" t="s">
        <v>61</v>
      </c>
      <c r="G597" s="29"/>
      <c r="H597" s="103">
        <f>_xlfn.XLOOKUP(B597,GM!$Q$5:$Q$756,GM!$J$5:$J$756)</f>
        <v>46107</v>
      </c>
    </row>
    <row r="598" spans="1:8" hidden="1" x14ac:dyDescent="0.35">
      <c r="A598" s="29" t="s">
        <v>17</v>
      </c>
      <c r="B598" s="29" t="str">
        <f t="shared" si="9"/>
        <v>CN2-04</v>
      </c>
      <c r="C598" s="29" t="s">
        <v>4316</v>
      </c>
      <c r="D598" s="67" t="s">
        <v>4317</v>
      </c>
      <c r="E598" s="96" t="s">
        <v>62</v>
      </c>
      <c r="F598" s="29" t="s">
        <v>61</v>
      </c>
      <c r="G598" s="29"/>
      <c r="H598" s="103">
        <f>_xlfn.XLOOKUP(B598,GM!$Q$5:$Q$756,GM!$J$5:$J$756)</f>
        <v>46107</v>
      </c>
    </row>
    <row r="599" spans="1:8" hidden="1" x14ac:dyDescent="0.35">
      <c r="A599" s="29" t="s">
        <v>17</v>
      </c>
      <c r="B599" s="29" t="str">
        <f t="shared" si="9"/>
        <v>CN2-04</v>
      </c>
      <c r="C599" s="29" t="s">
        <v>4318</v>
      </c>
      <c r="D599" s="67" t="s">
        <v>4319</v>
      </c>
      <c r="E599" s="96" t="s">
        <v>62</v>
      </c>
      <c r="F599" s="29" t="s">
        <v>61</v>
      </c>
      <c r="G599" s="29"/>
      <c r="H599" s="103">
        <f>_xlfn.XLOOKUP(B599,GM!$Q$5:$Q$756,GM!$J$5:$J$756)</f>
        <v>46107</v>
      </c>
    </row>
    <row r="600" spans="1:8" hidden="1" x14ac:dyDescent="0.35">
      <c r="A600" s="29" t="s">
        <v>17</v>
      </c>
      <c r="B600" s="29" t="str">
        <f t="shared" si="9"/>
        <v>CN2-04</v>
      </c>
      <c r="C600" s="29" t="s">
        <v>4320</v>
      </c>
      <c r="D600" s="67" t="s">
        <v>4321</v>
      </c>
      <c r="E600" s="96" t="s">
        <v>62</v>
      </c>
      <c r="F600" s="29" t="s">
        <v>61</v>
      </c>
      <c r="G600" s="29"/>
      <c r="H600" s="103">
        <f>_xlfn.XLOOKUP(B600,GM!$Q$5:$Q$756,GM!$J$5:$J$756)</f>
        <v>46107</v>
      </c>
    </row>
    <row r="601" spans="1:8" hidden="1" x14ac:dyDescent="0.35">
      <c r="A601" s="29" t="s">
        <v>17</v>
      </c>
      <c r="B601" s="29" t="str">
        <f t="shared" si="9"/>
        <v>CN2-04</v>
      </c>
      <c r="C601" s="29" t="s">
        <v>4322</v>
      </c>
      <c r="D601" s="67" t="s">
        <v>4323</v>
      </c>
      <c r="E601" s="96" t="s">
        <v>62</v>
      </c>
      <c r="F601" s="29" t="s">
        <v>61</v>
      </c>
      <c r="G601" s="29"/>
      <c r="H601" s="103">
        <f>_xlfn.XLOOKUP(B601,GM!$Q$5:$Q$756,GM!$J$5:$J$756)</f>
        <v>46107</v>
      </c>
    </row>
    <row r="602" spans="1:8" hidden="1" x14ac:dyDescent="0.35">
      <c r="A602" s="29" t="s">
        <v>17</v>
      </c>
      <c r="B602" s="29" t="str">
        <f t="shared" si="9"/>
        <v>CN2-04</v>
      </c>
      <c r="C602" s="29" t="s">
        <v>4324</v>
      </c>
      <c r="D602" s="67" t="s">
        <v>4325</v>
      </c>
      <c r="E602" s="96" t="s">
        <v>62</v>
      </c>
      <c r="F602" s="29" t="s">
        <v>61</v>
      </c>
      <c r="G602" s="29"/>
      <c r="H602" s="103">
        <f>_xlfn.XLOOKUP(B602,GM!$Q$5:$Q$756,GM!$J$5:$J$756)</f>
        <v>46107</v>
      </c>
    </row>
    <row r="603" spans="1:8" hidden="1" x14ac:dyDescent="0.35">
      <c r="A603" s="29" t="s">
        <v>17</v>
      </c>
      <c r="B603" s="29" t="str">
        <f t="shared" si="9"/>
        <v>CN2-04</v>
      </c>
      <c r="C603" s="29" t="s">
        <v>4326</v>
      </c>
      <c r="D603" s="67" t="s">
        <v>4327</v>
      </c>
      <c r="E603" s="96" t="s">
        <v>62</v>
      </c>
      <c r="F603" s="29" t="s">
        <v>61</v>
      </c>
      <c r="G603" s="29"/>
      <c r="H603" s="103">
        <f>_xlfn.XLOOKUP(B603,GM!$Q$5:$Q$756,GM!$J$5:$J$756)</f>
        <v>46107</v>
      </c>
    </row>
    <row r="604" spans="1:8" hidden="1" x14ac:dyDescent="0.35">
      <c r="A604" s="29" t="s">
        <v>17</v>
      </c>
      <c r="B604" s="29" t="str">
        <f t="shared" si="9"/>
        <v>CN2-04</v>
      </c>
      <c r="C604" s="29" t="s">
        <v>4328</v>
      </c>
      <c r="D604" s="67" t="s">
        <v>4329</v>
      </c>
      <c r="E604" s="96" t="s">
        <v>62</v>
      </c>
      <c r="F604" s="29" t="s">
        <v>61</v>
      </c>
      <c r="G604" s="29"/>
      <c r="H604" s="103">
        <f>_xlfn.XLOOKUP(B604,GM!$Q$5:$Q$756,GM!$J$5:$J$756)</f>
        <v>46107</v>
      </c>
    </row>
    <row r="605" spans="1:8" hidden="1" x14ac:dyDescent="0.35">
      <c r="A605" s="29" t="s">
        <v>17</v>
      </c>
      <c r="B605" s="29" t="str">
        <f t="shared" si="9"/>
        <v>CN2-04</v>
      </c>
      <c r="C605" s="29" t="s">
        <v>4330</v>
      </c>
      <c r="D605" s="67" t="s">
        <v>4331</v>
      </c>
      <c r="E605" s="96" t="s">
        <v>62</v>
      </c>
      <c r="F605" s="29" t="s">
        <v>61</v>
      </c>
      <c r="G605" s="29"/>
      <c r="H605" s="103">
        <f>_xlfn.XLOOKUP(B605,GM!$Q$5:$Q$756,GM!$J$5:$J$756)</f>
        <v>46107</v>
      </c>
    </row>
    <row r="606" spans="1:8" hidden="1" x14ac:dyDescent="0.35">
      <c r="A606" s="29" t="s">
        <v>17</v>
      </c>
      <c r="B606" s="29" t="str">
        <f t="shared" si="9"/>
        <v>CN2-04</v>
      </c>
      <c r="C606" s="29" t="s">
        <v>4332</v>
      </c>
      <c r="D606" s="67" t="s">
        <v>4333</v>
      </c>
      <c r="E606" s="96" t="s">
        <v>62</v>
      </c>
      <c r="F606" s="29" t="s">
        <v>61</v>
      </c>
      <c r="G606" s="29"/>
      <c r="H606" s="103">
        <f>_xlfn.XLOOKUP(B606,GM!$Q$5:$Q$756,GM!$J$5:$J$756)</f>
        <v>46107</v>
      </c>
    </row>
    <row r="607" spans="1:8" hidden="1" x14ac:dyDescent="0.35">
      <c r="A607" s="29" t="s">
        <v>17</v>
      </c>
      <c r="B607" s="29" t="str">
        <f t="shared" si="9"/>
        <v>CN2-04</v>
      </c>
      <c r="C607" s="29" t="s">
        <v>4334</v>
      </c>
      <c r="D607" s="67" t="s">
        <v>4335</v>
      </c>
      <c r="E607" s="96" t="s">
        <v>62</v>
      </c>
      <c r="F607" s="29" t="s">
        <v>61</v>
      </c>
      <c r="G607" s="29"/>
      <c r="H607" s="103">
        <f>_xlfn.XLOOKUP(B607,GM!$Q$5:$Q$756,GM!$J$5:$J$756)</f>
        <v>46107</v>
      </c>
    </row>
    <row r="608" spans="1:8" hidden="1" x14ac:dyDescent="0.35">
      <c r="A608" s="29" t="s">
        <v>17</v>
      </c>
      <c r="B608" s="29" t="str">
        <f t="shared" si="9"/>
        <v>CN2-04</v>
      </c>
      <c r="C608" s="29" t="s">
        <v>4336</v>
      </c>
      <c r="D608" s="67" t="s">
        <v>4337</v>
      </c>
      <c r="E608" s="96" t="s">
        <v>62</v>
      </c>
      <c r="F608" s="29" t="s">
        <v>61</v>
      </c>
      <c r="G608" s="29"/>
      <c r="H608" s="103">
        <f>_xlfn.XLOOKUP(B608,GM!$Q$5:$Q$756,GM!$J$5:$J$756)</f>
        <v>46107</v>
      </c>
    </row>
    <row r="609" spans="1:8" hidden="1" x14ac:dyDescent="0.35">
      <c r="A609" s="29" t="s">
        <v>17</v>
      </c>
      <c r="B609" s="29" t="str">
        <f t="shared" si="9"/>
        <v>CN2-04</v>
      </c>
      <c r="C609" s="29" t="s">
        <v>4338</v>
      </c>
      <c r="D609" s="67" t="s">
        <v>4339</v>
      </c>
      <c r="E609" s="96" t="s">
        <v>62</v>
      </c>
      <c r="F609" s="29" t="s">
        <v>61</v>
      </c>
      <c r="G609" s="29"/>
      <c r="H609" s="103">
        <f>_xlfn.XLOOKUP(B609,GM!$Q$5:$Q$756,GM!$J$5:$J$756)</f>
        <v>46107</v>
      </c>
    </row>
    <row r="610" spans="1:8" hidden="1" x14ac:dyDescent="0.35">
      <c r="A610" s="29" t="s">
        <v>17</v>
      </c>
      <c r="B610" s="29" t="str">
        <f t="shared" si="9"/>
        <v>CN2-04</v>
      </c>
      <c r="C610" s="29" t="s">
        <v>4340</v>
      </c>
      <c r="D610" s="67" t="s">
        <v>4341</v>
      </c>
      <c r="E610" s="96" t="s">
        <v>62</v>
      </c>
      <c r="F610" s="29" t="s">
        <v>61</v>
      </c>
      <c r="G610" s="29"/>
      <c r="H610" s="103">
        <f>_xlfn.XLOOKUP(B610,GM!$Q$5:$Q$756,GM!$J$5:$J$756)</f>
        <v>46107</v>
      </c>
    </row>
    <row r="611" spans="1:8" hidden="1" x14ac:dyDescent="0.35">
      <c r="A611" s="29" t="s">
        <v>17</v>
      </c>
      <c r="B611" s="29" t="str">
        <f t="shared" si="9"/>
        <v>CN2-04</v>
      </c>
      <c r="C611" s="29" t="s">
        <v>4342</v>
      </c>
      <c r="D611" s="67" t="s">
        <v>4343</v>
      </c>
      <c r="E611" s="96" t="s">
        <v>62</v>
      </c>
      <c r="F611" s="29" t="s">
        <v>61</v>
      </c>
      <c r="G611" s="29"/>
      <c r="H611" s="103">
        <f>_xlfn.XLOOKUP(B611,GM!$Q$5:$Q$756,GM!$J$5:$J$756)</f>
        <v>46107</v>
      </c>
    </row>
    <row r="612" spans="1:8" hidden="1" x14ac:dyDescent="0.35">
      <c r="A612" s="29" t="s">
        <v>17</v>
      </c>
      <c r="B612" s="29" t="str">
        <f t="shared" si="9"/>
        <v>CN2-04</v>
      </c>
      <c r="C612" s="29" t="s">
        <v>4344</v>
      </c>
      <c r="D612" s="67" t="s">
        <v>4345</v>
      </c>
      <c r="E612" s="96" t="s">
        <v>62</v>
      </c>
      <c r="F612" s="29" t="s">
        <v>61</v>
      </c>
      <c r="G612" s="29"/>
      <c r="H612" s="103">
        <f>_xlfn.XLOOKUP(B612,GM!$Q$5:$Q$756,GM!$J$5:$J$756)</f>
        <v>46107</v>
      </c>
    </row>
    <row r="613" spans="1:8" hidden="1" x14ac:dyDescent="0.35">
      <c r="A613" s="29" t="s">
        <v>17</v>
      </c>
      <c r="B613" s="29" t="str">
        <f t="shared" si="9"/>
        <v>CN2-04</v>
      </c>
      <c r="C613" s="29" t="s">
        <v>4346</v>
      </c>
      <c r="D613" s="67" t="s">
        <v>4347</v>
      </c>
      <c r="E613" s="96" t="s">
        <v>62</v>
      </c>
      <c r="F613" s="29" t="s">
        <v>61</v>
      </c>
      <c r="G613" s="29"/>
      <c r="H613" s="103">
        <f>_xlfn.XLOOKUP(B613,GM!$Q$5:$Q$756,GM!$J$5:$J$756)</f>
        <v>46107</v>
      </c>
    </row>
    <row r="614" spans="1:8" hidden="1" x14ac:dyDescent="0.35">
      <c r="A614" s="29" t="s">
        <v>17</v>
      </c>
      <c r="B614" s="29" t="str">
        <f t="shared" si="9"/>
        <v>CN2-04</v>
      </c>
      <c r="C614" s="29" t="s">
        <v>4348</v>
      </c>
      <c r="D614" s="67" t="s">
        <v>4349</v>
      </c>
      <c r="E614" s="96" t="s">
        <v>62</v>
      </c>
      <c r="F614" s="29" t="s">
        <v>61</v>
      </c>
      <c r="G614" s="29"/>
      <c r="H614" s="103">
        <f>_xlfn.XLOOKUP(B614,GM!$Q$5:$Q$756,GM!$J$5:$J$756)</f>
        <v>46107</v>
      </c>
    </row>
    <row r="615" spans="1:8" hidden="1" x14ac:dyDescent="0.35">
      <c r="A615" s="29" t="s">
        <v>17</v>
      </c>
      <c r="B615" s="29" t="str">
        <f t="shared" si="9"/>
        <v>CN2-04</v>
      </c>
      <c r="C615" s="29" t="s">
        <v>4350</v>
      </c>
      <c r="D615" s="67" t="s">
        <v>4351</v>
      </c>
      <c r="E615" s="96" t="s">
        <v>62</v>
      </c>
      <c r="F615" s="29" t="s">
        <v>61</v>
      </c>
      <c r="G615" s="29"/>
      <c r="H615" s="103">
        <f>_xlfn.XLOOKUP(B615,GM!$Q$5:$Q$756,GM!$J$5:$J$756)</f>
        <v>46107</v>
      </c>
    </row>
    <row r="616" spans="1:8" hidden="1" x14ac:dyDescent="0.35">
      <c r="A616" s="29" t="s">
        <v>17</v>
      </c>
      <c r="B616" s="29" t="str">
        <f t="shared" si="9"/>
        <v>CN2-05</v>
      </c>
      <c r="C616" s="29" t="s">
        <v>4352</v>
      </c>
      <c r="D616" s="67" t="s">
        <v>4353</v>
      </c>
      <c r="E616" s="96" t="s">
        <v>62</v>
      </c>
      <c r="F616" s="29" t="s">
        <v>61</v>
      </c>
      <c r="G616" s="29"/>
      <c r="H616" s="103">
        <f>_xlfn.XLOOKUP(B616,GM!$Q$5:$Q$756,GM!$J$5:$J$756)</f>
        <v>46107</v>
      </c>
    </row>
    <row r="617" spans="1:8" hidden="1" x14ac:dyDescent="0.35">
      <c r="A617" s="29" t="s">
        <v>17</v>
      </c>
      <c r="B617" s="29" t="str">
        <f t="shared" si="9"/>
        <v>CN2-05</v>
      </c>
      <c r="C617" s="29" t="s">
        <v>4354</v>
      </c>
      <c r="D617" s="67" t="s">
        <v>4355</v>
      </c>
      <c r="E617" s="96" t="s">
        <v>62</v>
      </c>
      <c r="F617" s="29" t="s">
        <v>61</v>
      </c>
      <c r="G617" s="29"/>
      <c r="H617" s="103">
        <f>_xlfn.XLOOKUP(B617,GM!$Q$5:$Q$756,GM!$J$5:$J$756)</f>
        <v>46107</v>
      </c>
    </row>
    <row r="618" spans="1:8" hidden="1" x14ac:dyDescent="0.35">
      <c r="A618" s="29" t="s">
        <v>17</v>
      </c>
      <c r="B618" s="29" t="str">
        <f t="shared" si="9"/>
        <v>CN2-05</v>
      </c>
      <c r="C618" s="29" t="s">
        <v>4356</v>
      </c>
      <c r="D618" s="67" t="s">
        <v>4357</v>
      </c>
      <c r="E618" s="96" t="s">
        <v>62</v>
      </c>
      <c r="F618" s="29" t="s">
        <v>61</v>
      </c>
      <c r="G618" s="29"/>
      <c r="H618" s="103">
        <f>_xlfn.XLOOKUP(B618,GM!$Q$5:$Q$756,GM!$J$5:$J$756)</f>
        <v>46107</v>
      </c>
    </row>
    <row r="619" spans="1:8" hidden="1" x14ac:dyDescent="0.35">
      <c r="A619" s="29" t="s">
        <v>17</v>
      </c>
      <c r="B619" s="29" t="str">
        <f t="shared" si="9"/>
        <v>CN2-05</v>
      </c>
      <c r="C619" s="29" t="s">
        <v>4358</v>
      </c>
      <c r="D619" s="67" t="s">
        <v>4359</v>
      </c>
      <c r="E619" s="96" t="s">
        <v>62</v>
      </c>
      <c r="F619" s="29" t="s">
        <v>61</v>
      </c>
      <c r="G619" s="29"/>
      <c r="H619" s="103">
        <f>_xlfn.XLOOKUP(B619,GM!$Q$5:$Q$756,GM!$J$5:$J$756)</f>
        <v>46107</v>
      </c>
    </row>
    <row r="620" spans="1:8" hidden="1" x14ac:dyDescent="0.35">
      <c r="A620" s="29" t="s">
        <v>17</v>
      </c>
      <c r="B620" s="29" t="str">
        <f t="shared" si="9"/>
        <v>CN2-05</v>
      </c>
      <c r="C620" s="29" t="s">
        <v>4360</v>
      </c>
      <c r="D620" s="67" t="s">
        <v>4361</v>
      </c>
      <c r="E620" s="96" t="s">
        <v>62</v>
      </c>
      <c r="F620" s="29" t="s">
        <v>61</v>
      </c>
      <c r="G620" s="29"/>
      <c r="H620" s="103">
        <f>_xlfn.XLOOKUP(B620,GM!$Q$5:$Q$756,GM!$J$5:$J$756)</f>
        <v>46107</v>
      </c>
    </row>
    <row r="621" spans="1:8" hidden="1" x14ac:dyDescent="0.35">
      <c r="A621" s="29" t="s">
        <v>17</v>
      </c>
      <c r="B621" s="29" t="str">
        <f t="shared" si="9"/>
        <v>CN2-05</v>
      </c>
      <c r="C621" s="29" t="s">
        <v>4362</v>
      </c>
      <c r="D621" s="67" t="s">
        <v>4363</v>
      </c>
      <c r="E621" s="96" t="s">
        <v>62</v>
      </c>
      <c r="F621" s="29" t="s">
        <v>61</v>
      </c>
      <c r="G621" s="29"/>
      <c r="H621" s="103">
        <f>_xlfn.XLOOKUP(B621,GM!$Q$5:$Q$756,GM!$J$5:$J$756)</f>
        <v>46107</v>
      </c>
    </row>
    <row r="622" spans="1:8" hidden="1" x14ac:dyDescent="0.35">
      <c r="A622" s="29" t="s">
        <v>17</v>
      </c>
      <c r="B622" s="29" t="str">
        <f t="shared" si="9"/>
        <v>CN2-05</v>
      </c>
      <c r="C622" s="29" t="s">
        <v>4364</v>
      </c>
      <c r="D622" s="67" t="s">
        <v>4365</v>
      </c>
      <c r="E622" s="96" t="s">
        <v>62</v>
      </c>
      <c r="F622" s="29" t="s">
        <v>61</v>
      </c>
      <c r="G622" s="29"/>
      <c r="H622" s="103">
        <f>_xlfn.XLOOKUP(B622,GM!$Q$5:$Q$756,GM!$J$5:$J$756)</f>
        <v>46107</v>
      </c>
    </row>
    <row r="623" spans="1:8" hidden="1" x14ac:dyDescent="0.35">
      <c r="A623" s="29" t="s">
        <v>17</v>
      </c>
      <c r="B623" s="29" t="str">
        <f t="shared" si="9"/>
        <v>CN2-05</v>
      </c>
      <c r="C623" s="29" t="s">
        <v>4366</v>
      </c>
      <c r="D623" s="67" t="s">
        <v>4367</v>
      </c>
      <c r="E623" s="96" t="s">
        <v>62</v>
      </c>
      <c r="F623" s="29" t="s">
        <v>61</v>
      </c>
      <c r="G623" s="29"/>
      <c r="H623" s="103">
        <f>_xlfn.XLOOKUP(B623,GM!$Q$5:$Q$756,GM!$J$5:$J$756)</f>
        <v>46107</v>
      </c>
    </row>
    <row r="624" spans="1:8" hidden="1" x14ac:dyDescent="0.35">
      <c r="A624" s="29" t="s">
        <v>17</v>
      </c>
      <c r="B624" s="29" t="str">
        <f t="shared" si="9"/>
        <v>CN2-06</v>
      </c>
      <c r="C624" s="29" t="s">
        <v>4368</v>
      </c>
      <c r="D624" s="67" t="s">
        <v>4369</v>
      </c>
      <c r="E624" s="96" t="s">
        <v>62</v>
      </c>
      <c r="F624" s="29" t="s">
        <v>61</v>
      </c>
      <c r="G624" s="29"/>
      <c r="H624" s="103">
        <f>_xlfn.XLOOKUP(B624,GM!$Q$5:$Q$756,GM!$J$5:$J$756)</f>
        <v>46107</v>
      </c>
    </row>
    <row r="625" spans="1:8" hidden="1" x14ac:dyDescent="0.35">
      <c r="A625" s="29" t="s">
        <v>17</v>
      </c>
      <c r="B625" s="29" t="str">
        <f t="shared" si="9"/>
        <v>CN2-06</v>
      </c>
      <c r="C625" s="29" t="s">
        <v>4370</v>
      </c>
      <c r="D625" s="67" t="s">
        <v>4371</v>
      </c>
      <c r="E625" s="96" t="s">
        <v>62</v>
      </c>
      <c r="F625" s="29" t="s">
        <v>61</v>
      </c>
      <c r="G625" s="29"/>
      <c r="H625" s="103">
        <f>_xlfn.XLOOKUP(B625,GM!$Q$5:$Q$756,GM!$J$5:$J$756)</f>
        <v>46107</v>
      </c>
    </row>
    <row r="626" spans="1:8" hidden="1" x14ac:dyDescent="0.35">
      <c r="A626" s="29" t="s">
        <v>17</v>
      </c>
      <c r="B626" s="29" t="str">
        <f t="shared" si="9"/>
        <v>CN2-06</v>
      </c>
      <c r="C626" s="29" t="s">
        <v>4372</v>
      </c>
      <c r="D626" s="67" t="s">
        <v>4373</v>
      </c>
      <c r="E626" s="96" t="s">
        <v>62</v>
      </c>
      <c r="F626" s="29" t="s">
        <v>61</v>
      </c>
      <c r="G626" s="29"/>
      <c r="H626" s="103">
        <f>_xlfn.XLOOKUP(B626,GM!$Q$5:$Q$756,GM!$J$5:$J$756)</f>
        <v>46107</v>
      </c>
    </row>
    <row r="627" spans="1:8" hidden="1" x14ac:dyDescent="0.35">
      <c r="A627" s="29" t="s">
        <v>17</v>
      </c>
      <c r="B627" s="29" t="str">
        <f t="shared" si="9"/>
        <v>CN2-06</v>
      </c>
      <c r="C627" s="29" t="s">
        <v>4374</v>
      </c>
      <c r="D627" s="67" t="s">
        <v>4375</v>
      </c>
      <c r="E627" s="96" t="s">
        <v>62</v>
      </c>
      <c r="F627" s="29" t="s">
        <v>61</v>
      </c>
      <c r="G627" s="29"/>
      <c r="H627" s="103">
        <f>_xlfn.XLOOKUP(B627,GM!$Q$5:$Q$756,GM!$J$5:$J$756)</f>
        <v>46107</v>
      </c>
    </row>
    <row r="628" spans="1:8" hidden="1" x14ac:dyDescent="0.35">
      <c r="A628" s="29" t="s">
        <v>17</v>
      </c>
      <c r="B628" s="29" t="str">
        <f t="shared" si="9"/>
        <v>CN2-06</v>
      </c>
      <c r="C628" s="29" t="s">
        <v>4376</v>
      </c>
      <c r="D628" s="67" t="s">
        <v>4377</v>
      </c>
      <c r="E628" s="96" t="s">
        <v>62</v>
      </c>
      <c r="F628" s="29" t="s">
        <v>61</v>
      </c>
      <c r="G628" s="29"/>
      <c r="H628" s="103">
        <f>_xlfn.XLOOKUP(B628,GM!$Q$5:$Q$756,GM!$J$5:$J$756)</f>
        <v>46107</v>
      </c>
    </row>
    <row r="629" spans="1:8" hidden="1" x14ac:dyDescent="0.35">
      <c r="A629" s="29" t="s">
        <v>17</v>
      </c>
      <c r="B629" s="29" t="str">
        <f t="shared" si="9"/>
        <v>CN2-06</v>
      </c>
      <c r="C629" s="29" t="s">
        <v>4378</v>
      </c>
      <c r="D629" s="67" t="s">
        <v>4379</v>
      </c>
      <c r="E629" s="96" t="s">
        <v>62</v>
      </c>
      <c r="F629" s="29" t="s">
        <v>61</v>
      </c>
      <c r="G629" s="29"/>
      <c r="H629" s="103">
        <f>_xlfn.XLOOKUP(B629,GM!$Q$5:$Q$756,GM!$J$5:$J$756)</f>
        <v>46107</v>
      </c>
    </row>
    <row r="630" spans="1:8" hidden="1" x14ac:dyDescent="0.35">
      <c r="A630" s="29" t="s">
        <v>17</v>
      </c>
      <c r="B630" s="29" t="str">
        <f t="shared" si="9"/>
        <v>CN2-06</v>
      </c>
      <c r="C630" s="29" t="s">
        <v>4380</v>
      </c>
      <c r="D630" s="67" t="s">
        <v>4381</v>
      </c>
      <c r="E630" s="96" t="s">
        <v>62</v>
      </c>
      <c r="F630" s="29" t="s">
        <v>61</v>
      </c>
      <c r="G630" s="29"/>
      <c r="H630" s="103">
        <f>_xlfn.XLOOKUP(B630,GM!$Q$5:$Q$756,GM!$J$5:$J$756)</f>
        <v>46107</v>
      </c>
    </row>
    <row r="631" spans="1:8" hidden="1" x14ac:dyDescent="0.35">
      <c r="A631" s="29" t="s">
        <v>17</v>
      </c>
      <c r="B631" s="29" t="str">
        <f t="shared" si="9"/>
        <v>CN2-06</v>
      </c>
      <c r="C631" s="29" t="s">
        <v>4382</v>
      </c>
      <c r="D631" s="67" t="s">
        <v>4383</v>
      </c>
      <c r="E631" s="96" t="s">
        <v>62</v>
      </c>
      <c r="F631" s="29" t="s">
        <v>61</v>
      </c>
      <c r="G631" s="29"/>
      <c r="H631" s="103">
        <f>_xlfn.XLOOKUP(B631,GM!$Q$5:$Q$756,GM!$J$5:$J$756)</f>
        <v>46107</v>
      </c>
    </row>
    <row r="632" spans="1:8" hidden="1" x14ac:dyDescent="0.35">
      <c r="A632" s="29" t="s">
        <v>17</v>
      </c>
      <c r="B632" s="29" t="str">
        <f t="shared" si="9"/>
        <v>CN2-06</v>
      </c>
      <c r="C632" s="29" t="s">
        <v>4384</v>
      </c>
      <c r="D632" s="67" t="s">
        <v>4385</v>
      </c>
      <c r="E632" s="96" t="s">
        <v>62</v>
      </c>
      <c r="F632" s="29" t="s">
        <v>61</v>
      </c>
      <c r="G632" s="29"/>
      <c r="H632" s="103">
        <f>_xlfn.XLOOKUP(B632,GM!$Q$5:$Q$756,GM!$J$5:$J$756)</f>
        <v>46107</v>
      </c>
    </row>
    <row r="633" spans="1:8" hidden="1" x14ac:dyDescent="0.35">
      <c r="A633" s="29" t="s">
        <v>17</v>
      </c>
      <c r="B633" s="29" t="str">
        <f t="shared" si="9"/>
        <v>CN2-06</v>
      </c>
      <c r="C633" s="29" t="s">
        <v>4386</v>
      </c>
      <c r="D633" s="67" t="s">
        <v>4387</v>
      </c>
      <c r="E633" s="96" t="s">
        <v>62</v>
      </c>
      <c r="F633" s="29" t="s">
        <v>61</v>
      </c>
      <c r="G633" s="29"/>
      <c r="H633" s="103">
        <f>_xlfn.XLOOKUP(B633,GM!$Q$5:$Q$756,GM!$J$5:$J$756)</f>
        <v>46107</v>
      </c>
    </row>
    <row r="634" spans="1:8" hidden="1" x14ac:dyDescent="0.35">
      <c r="A634" s="29" t="s">
        <v>17</v>
      </c>
      <c r="B634" s="29" t="str">
        <f t="shared" si="9"/>
        <v>CN2-06</v>
      </c>
      <c r="C634" s="29" t="s">
        <v>4388</v>
      </c>
      <c r="D634" s="67" t="s">
        <v>4389</v>
      </c>
      <c r="E634" s="96" t="s">
        <v>62</v>
      </c>
      <c r="F634" s="29" t="s">
        <v>61</v>
      </c>
      <c r="G634" s="29"/>
      <c r="H634" s="103">
        <f>_xlfn.XLOOKUP(B634,GM!$Q$5:$Q$756,GM!$J$5:$J$756)</f>
        <v>46107</v>
      </c>
    </row>
    <row r="635" spans="1:8" hidden="1" x14ac:dyDescent="0.35">
      <c r="A635" s="29" t="s">
        <v>17</v>
      </c>
      <c r="B635" s="29" t="str">
        <f t="shared" si="9"/>
        <v>CN2-06</v>
      </c>
      <c r="C635" s="29" t="s">
        <v>4390</v>
      </c>
      <c r="D635" s="67" t="s">
        <v>4391</v>
      </c>
      <c r="E635" s="96" t="s">
        <v>62</v>
      </c>
      <c r="F635" s="29" t="s">
        <v>61</v>
      </c>
      <c r="G635" s="29"/>
      <c r="H635" s="103">
        <f>_xlfn.XLOOKUP(B635,GM!$Q$5:$Q$756,GM!$J$5:$J$756)</f>
        <v>46107</v>
      </c>
    </row>
    <row r="636" spans="1:8" hidden="1" x14ac:dyDescent="0.35">
      <c r="A636" s="29" t="s">
        <v>17</v>
      </c>
      <c r="B636" s="29" t="str">
        <f t="shared" si="9"/>
        <v>CN2-06</v>
      </c>
      <c r="C636" s="29" t="s">
        <v>4392</v>
      </c>
      <c r="D636" s="67" t="s">
        <v>4393</v>
      </c>
      <c r="E636" s="96" t="s">
        <v>62</v>
      </c>
      <c r="F636" s="29" t="s">
        <v>61</v>
      </c>
      <c r="G636" s="29"/>
      <c r="H636" s="103">
        <f>_xlfn.XLOOKUP(B636,GM!$Q$5:$Q$756,GM!$J$5:$J$756)</f>
        <v>46107</v>
      </c>
    </row>
    <row r="637" spans="1:8" hidden="1" x14ac:dyDescent="0.35">
      <c r="A637" s="29" t="s">
        <v>17</v>
      </c>
      <c r="B637" s="29" t="str">
        <f t="shared" si="9"/>
        <v>CN2-06</v>
      </c>
      <c r="C637" s="29" t="s">
        <v>4394</v>
      </c>
      <c r="D637" s="67" t="s">
        <v>4395</v>
      </c>
      <c r="E637" s="96" t="s">
        <v>62</v>
      </c>
      <c r="F637" s="29" t="s">
        <v>61</v>
      </c>
      <c r="G637" s="29"/>
      <c r="H637" s="103">
        <f>_xlfn.XLOOKUP(B637,GM!$Q$5:$Q$756,GM!$J$5:$J$756)</f>
        <v>46107</v>
      </c>
    </row>
    <row r="638" spans="1:8" hidden="1" x14ac:dyDescent="0.35">
      <c r="A638" s="29" t="s">
        <v>17</v>
      </c>
      <c r="B638" s="29" t="str">
        <f t="shared" si="9"/>
        <v>CN2-06</v>
      </c>
      <c r="C638" s="29" t="s">
        <v>4396</v>
      </c>
      <c r="D638" s="67" t="s">
        <v>4397</v>
      </c>
      <c r="E638" s="96" t="s">
        <v>62</v>
      </c>
      <c r="F638" s="29" t="s">
        <v>61</v>
      </c>
      <c r="G638" s="29"/>
      <c r="H638" s="103">
        <f>_xlfn.XLOOKUP(B638,GM!$Q$5:$Q$756,GM!$J$5:$J$756)</f>
        <v>46107</v>
      </c>
    </row>
    <row r="639" spans="1:8" hidden="1" x14ac:dyDescent="0.35">
      <c r="A639" s="29" t="s">
        <v>17</v>
      </c>
      <c r="B639" s="29" t="str">
        <f t="shared" si="9"/>
        <v>CN2-06</v>
      </c>
      <c r="C639" s="29" t="s">
        <v>4398</v>
      </c>
      <c r="D639" s="67" t="s">
        <v>4399</v>
      </c>
      <c r="E639" s="96" t="s">
        <v>62</v>
      </c>
      <c r="F639" s="29" t="s">
        <v>61</v>
      </c>
      <c r="G639" s="29"/>
      <c r="H639" s="103">
        <f>_xlfn.XLOOKUP(B639,GM!$Q$5:$Q$756,GM!$J$5:$J$756)</f>
        <v>46107</v>
      </c>
    </row>
    <row r="640" spans="1:8" hidden="1" x14ac:dyDescent="0.35">
      <c r="A640" s="29" t="s">
        <v>17</v>
      </c>
      <c r="B640" s="29" t="str">
        <f t="shared" si="9"/>
        <v>CN2-06</v>
      </c>
      <c r="C640" s="29" t="s">
        <v>4400</v>
      </c>
      <c r="D640" s="67" t="s">
        <v>4401</v>
      </c>
      <c r="E640" s="96" t="s">
        <v>62</v>
      </c>
      <c r="F640" s="29" t="s">
        <v>61</v>
      </c>
      <c r="G640" s="29"/>
      <c r="H640" s="103">
        <f>_xlfn.XLOOKUP(B640,GM!$Q$5:$Q$756,GM!$J$5:$J$756)</f>
        <v>46107</v>
      </c>
    </row>
    <row r="641" spans="1:8" hidden="1" x14ac:dyDescent="0.35">
      <c r="A641" s="29" t="s">
        <v>17</v>
      </c>
      <c r="B641" s="29" t="str">
        <f t="shared" si="9"/>
        <v>CN2-07</v>
      </c>
      <c r="C641" s="29" t="s">
        <v>4402</v>
      </c>
      <c r="D641" s="67" t="s">
        <v>4403</v>
      </c>
      <c r="E641" s="96" t="s">
        <v>62</v>
      </c>
      <c r="F641" s="29" t="s">
        <v>61</v>
      </c>
      <c r="G641" s="29"/>
      <c r="H641" s="103">
        <f>_xlfn.XLOOKUP(B641,GM!$Q$5:$Q$756,GM!$J$5:$J$756)</f>
        <v>45959</v>
      </c>
    </row>
    <row r="642" spans="1:8" hidden="1" x14ac:dyDescent="0.35">
      <c r="A642" s="29" t="s">
        <v>17</v>
      </c>
      <c r="B642" s="29" t="str">
        <f t="shared" si="9"/>
        <v>CN2-07</v>
      </c>
      <c r="C642" s="29" t="s">
        <v>4404</v>
      </c>
      <c r="D642" s="67" t="s">
        <v>4405</v>
      </c>
      <c r="E642" s="96" t="s">
        <v>62</v>
      </c>
      <c r="F642" s="29" t="s">
        <v>61</v>
      </c>
      <c r="G642" s="29"/>
      <c r="H642" s="103">
        <f>_xlfn.XLOOKUP(B642,GM!$Q$5:$Q$756,GM!$J$5:$J$756)</f>
        <v>45959</v>
      </c>
    </row>
    <row r="643" spans="1:8" hidden="1" x14ac:dyDescent="0.35">
      <c r="A643" s="29" t="s">
        <v>17</v>
      </c>
      <c r="B643" s="29" t="str">
        <f t="shared" si="9"/>
        <v>CN2-07</v>
      </c>
      <c r="C643" s="29" t="s">
        <v>4406</v>
      </c>
      <c r="D643" s="67" t="s">
        <v>4407</v>
      </c>
      <c r="E643" s="96" t="s">
        <v>62</v>
      </c>
      <c r="F643" s="29" t="s">
        <v>61</v>
      </c>
      <c r="G643" s="29"/>
      <c r="H643" s="103">
        <f>_xlfn.XLOOKUP(B643,GM!$Q$5:$Q$756,GM!$J$5:$J$756)</f>
        <v>45959</v>
      </c>
    </row>
    <row r="644" spans="1:8" hidden="1" x14ac:dyDescent="0.35">
      <c r="A644" s="29" t="s">
        <v>17</v>
      </c>
      <c r="B644" s="29" t="str">
        <f t="shared" si="9"/>
        <v>CN2-07</v>
      </c>
      <c r="C644" s="29" t="s">
        <v>4408</v>
      </c>
      <c r="D644" s="67" t="s">
        <v>4409</v>
      </c>
      <c r="E644" s="96" t="s">
        <v>62</v>
      </c>
      <c r="F644" s="29" t="s">
        <v>61</v>
      </c>
      <c r="G644" s="29"/>
      <c r="H644" s="103">
        <f>_xlfn.XLOOKUP(B644,GM!$Q$5:$Q$756,GM!$J$5:$J$756)</f>
        <v>45959</v>
      </c>
    </row>
    <row r="645" spans="1:8" hidden="1" x14ac:dyDescent="0.35">
      <c r="A645" s="29" t="s">
        <v>17</v>
      </c>
      <c r="B645" s="29" t="str">
        <f t="shared" ref="B645:B708" si="10">IF(OR(A645="ARN",A645="SDP"),MID(C645,4,7),MID(C645,4,6))</f>
        <v>CN2-07</v>
      </c>
      <c r="C645" s="29" t="s">
        <v>4410</v>
      </c>
      <c r="D645" s="67" t="s">
        <v>4411</v>
      </c>
      <c r="E645" s="96" t="s">
        <v>62</v>
      </c>
      <c r="F645" s="29" t="s">
        <v>61</v>
      </c>
      <c r="G645" s="29"/>
      <c r="H645" s="103">
        <f>_xlfn.XLOOKUP(B645,GM!$Q$5:$Q$756,GM!$J$5:$J$756)</f>
        <v>45959</v>
      </c>
    </row>
    <row r="646" spans="1:8" hidden="1" x14ac:dyDescent="0.35">
      <c r="A646" s="29" t="s">
        <v>17</v>
      </c>
      <c r="B646" s="29" t="str">
        <f t="shared" si="10"/>
        <v>CN2-09</v>
      </c>
      <c r="C646" s="29" t="s">
        <v>4412</v>
      </c>
      <c r="D646" s="67" t="s">
        <v>4413</v>
      </c>
      <c r="E646" s="96" t="s">
        <v>62</v>
      </c>
      <c r="F646" s="29" t="s">
        <v>61</v>
      </c>
      <c r="G646" s="29"/>
      <c r="H646" s="103">
        <f>_xlfn.XLOOKUP(B646,GM!$Q$5:$Q$756,GM!$J$5:$J$756)</f>
        <v>45959</v>
      </c>
    </row>
    <row r="647" spans="1:8" hidden="1" x14ac:dyDescent="0.35">
      <c r="A647" s="29" t="s">
        <v>17</v>
      </c>
      <c r="B647" s="29" t="str">
        <f t="shared" si="10"/>
        <v>CN2-09</v>
      </c>
      <c r="C647" s="29" t="s">
        <v>4414</v>
      </c>
      <c r="D647" s="67" t="s">
        <v>4415</v>
      </c>
      <c r="E647" s="96" t="s">
        <v>62</v>
      </c>
      <c r="F647" s="29" t="s">
        <v>61</v>
      </c>
      <c r="G647" s="29"/>
      <c r="H647" s="103">
        <f>_xlfn.XLOOKUP(B647,GM!$Q$5:$Q$756,GM!$J$5:$J$756)</f>
        <v>45959</v>
      </c>
    </row>
    <row r="648" spans="1:8" hidden="1" x14ac:dyDescent="0.35">
      <c r="A648" s="29" t="s">
        <v>17</v>
      </c>
      <c r="B648" s="29" t="str">
        <f t="shared" si="10"/>
        <v>CN2-09</v>
      </c>
      <c r="C648" s="29" t="s">
        <v>4416</v>
      </c>
      <c r="D648" s="67" t="s">
        <v>4417</v>
      </c>
      <c r="E648" s="96" t="s">
        <v>62</v>
      </c>
      <c r="F648" s="29" t="s">
        <v>61</v>
      </c>
      <c r="G648" s="29"/>
      <c r="H648" s="103">
        <f>_xlfn.XLOOKUP(B648,GM!$Q$5:$Q$756,GM!$J$5:$J$756)</f>
        <v>45959</v>
      </c>
    </row>
    <row r="649" spans="1:8" hidden="1" x14ac:dyDescent="0.35">
      <c r="A649" s="29" t="s">
        <v>17</v>
      </c>
      <c r="B649" s="29" t="str">
        <f t="shared" si="10"/>
        <v>CN2-09</v>
      </c>
      <c r="C649" s="29" t="s">
        <v>4418</v>
      </c>
      <c r="D649" s="67" t="s">
        <v>4419</v>
      </c>
      <c r="E649" s="96" t="s">
        <v>62</v>
      </c>
      <c r="F649" s="29" t="s">
        <v>61</v>
      </c>
      <c r="G649" s="29"/>
      <c r="H649" s="103">
        <f>_xlfn.XLOOKUP(B649,GM!$Q$5:$Q$756,GM!$J$5:$J$756)</f>
        <v>45959</v>
      </c>
    </row>
    <row r="650" spans="1:8" hidden="1" x14ac:dyDescent="0.35">
      <c r="A650" s="29" t="s">
        <v>17</v>
      </c>
      <c r="B650" s="29" t="str">
        <f t="shared" si="10"/>
        <v>CN2-09</v>
      </c>
      <c r="C650" s="29" t="s">
        <v>4420</v>
      </c>
      <c r="D650" s="67" t="s">
        <v>4421</v>
      </c>
      <c r="E650" s="96" t="s">
        <v>62</v>
      </c>
      <c r="F650" s="29" t="s">
        <v>61</v>
      </c>
      <c r="G650" s="29"/>
      <c r="H650" s="103">
        <f>_xlfn.XLOOKUP(B650,GM!$Q$5:$Q$756,GM!$J$5:$J$756)</f>
        <v>45959</v>
      </c>
    </row>
    <row r="651" spans="1:8" hidden="1" x14ac:dyDescent="0.35">
      <c r="A651" s="29" t="s">
        <v>17</v>
      </c>
      <c r="B651" s="29" t="str">
        <f t="shared" si="10"/>
        <v>CN2-09</v>
      </c>
      <c r="C651" s="29" t="s">
        <v>4422</v>
      </c>
      <c r="D651" s="67" t="s">
        <v>4423</v>
      </c>
      <c r="E651" s="96" t="s">
        <v>62</v>
      </c>
      <c r="F651" s="29" t="s">
        <v>61</v>
      </c>
      <c r="G651" s="29"/>
      <c r="H651" s="103">
        <f>_xlfn.XLOOKUP(B651,GM!$Q$5:$Q$756,GM!$J$5:$J$756)</f>
        <v>45959</v>
      </c>
    </row>
    <row r="652" spans="1:8" hidden="1" x14ac:dyDescent="0.35">
      <c r="A652" s="29" t="s">
        <v>17</v>
      </c>
      <c r="B652" s="29" t="str">
        <f t="shared" si="10"/>
        <v>CN2-09</v>
      </c>
      <c r="C652" s="29" t="s">
        <v>4424</v>
      </c>
      <c r="D652" s="67" t="s">
        <v>4425</v>
      </c>
      <c r="E652" s="96" t="s">
        <v>62</v>
      </c>
      <c r="F652" s="29" t="s">
        <v>61</v>
      </c>
      <c r="G652" s="29"/>
      <c r="H652" s="103">
        <f>_xlfn.XLOOKUP(B652,GM!$Q$5:$Q$756,GM!$J$5:$J$756)</f>
        <v>45959</v>
      </c>
    </row>
    <row r="653" spans="1:8" hidden="1" x14ac:dyDescent="0.35">
      <c r="A653" s="29" t="s">
        <v>17</v>
      </c>
      <c r="B653" s="29" t="str">
        <f t="shared" si="10"/>
        <v>CN2-09</v>
      </c>
      <c r="C653" s="29" t="s">
        <v>4426</v>
      </c>
      <c r="D653" s="67" t="s">
        <v>4427</v>
      </c>
      <c r="E653" s="96" t="s">
        <v>62</v>
      </c>
      <c r="F653" s="29" t="s">
        <v>61</v>
      </c>
      <c r="G653" s="29"/>
      <c r="H653" s="103">
        <f>_xlfn.XLOOKUP(B653,GM!$Q$5:$Q$756,GM!$J$5:$J$756)</f>
        <v>45959</v>
      </c>
    </row>
    <row r="654" spans="1:8" hidden="1" x14ac:dyDescent="0.35">
      <c r="A654" s="29" t="s">
        <v>17</v>
      </c>
      <c r="B654" s="29" t="str">
        <f t="shared" si="10"/>
        <v>CN2-09</v>
      </c>
      <c r="C654" s="29" t="s">
        <v>4428</v>
      </c>
      <c r="D654" s="67" t="s">
        <v>4429</v>
      </c>
      <c r="E654" s="96" t="s">
        <v>62</v>
      </c>
      <c r="F654" s="29" t="s">
        <v>61</v>
      </c>
      <c r="G654" s="29"/>
      <c r="H654" s="103">
        <f>_xlfn.XLOOKUP(B654,GM!$Q$5:$Q$756,GM!$J$5:$J$756)</f>
        <v>45959</v>
      </c>
    </row>
    <row r="655" spans="1:8" hidden="1" x14ac:dyDescent="0.35">
      <c r="A655" s="29" t="s">
        <v>17</v>
      </c>
      <c r="B655" s="29" t="str">
        <f t="shared" si="10"/>
        <v>CN2-10</v>
      </c>
      <c r="C655" s="29" t="s">
        <v>4430</v>
      </c>
      <c r="D655" s="67" t="s">
        <v>4431</v>
      </c>
      <c r="E655" s="96" t="s">
        <v>62</v>
      </c>
      <c r="F655" s="29" t="s">
        <v>61</v>
      </c>
      <c r="G655" s="29"/>
      <c r="H655" s="103">
        <f>_xlfn.XLOOKUP(B655,GM!$Q$5:$Q$756,GM!$J$5:$J$756)</f>
        <v>45959</v>
      </c>
    </row>
    <row r="656" spans="1:8" hidden="1" x14ac:dyDescent="0.35">
      <c r="A656" s="29" t="s">
        <v>17</v>
      </c>
      <c r="B656" s="29" t="str">
        <f t="shared" si="10"/>
        <v>CN2-10</v>
      </c>
      <c r="C656" s="29" t="s">
        <v>4432</v>
      </c>
      <c r="D656" s="67" t="s">
        <v>4433</v>
      </c>
      <c r="E656" s="96" t="s">
        <v>62</v>
      </c>
      <c r="F656" s="29" t="s">
        <v>61</v>
      </c>
      <c r="G656" s="29"/>
      <c r="H656" s="103">
        <f>_xlfn.XLOOKUP(B656,GM!$Q$5:$Q$756,GM!$J$5:$J$756)</f>
        <v>45959</v>
      </c>
    </row>
    <row r="657" spans="1:8" hidden="1" x14ac:dyDescent="0.35">
      <c r="A657" s="29" t="s">
        <v>17</v>
      </c>
      <c r="B657" s="29" t="str">
        <f t="shared" si="10"/>
        <v>CN2-10</v>
      </c>
      <c r="C657" s="29" t="s">
        <v>4434</v>
      </c>
      <c r="D657" s="67" t="s">
        <v>4435</v>
      </c>
      <c r="E657" s="96" t="s">
        <v>62</v>
      </c>
      <c r="F657" s="29" t="s">
        <v>61</v>
      </c>
      <c r="G657" s="29"/>
      <c r="H657" s="103">
        <f>_xlfn.XLOOKUP(B657,GM!$Q$5:$Q$756,GM!$J$5:$J$756)</f>
        <v>45959</v>
      </c>
    </row>
    <row r="658" spans="1:8" hidden="1" x14ac:dyDescent="0.35">
      <c r="A658" s="29" t="s">
        <v>17</v>
      </c>
      <c r="B658" s="29" t="str">
        <f t="shared" si="10"/>
        <v>CN2-10</v>
      </c>
      <c r="C658" s="29" t="s">
        <v>4436</v>
      </c>
      <c r="D658" s="67" t="s">
        <v>4437</v>
      </c>
      <c r="E658" s="96" t="s">
        <v>62</v>
      </c>
      <c r="F658" s="29" t="s">
        <v>61</v>
      </c>
      <c r="G658" s="29"/>
      <c r="H658" s="103">
        <f>_xlfn.XLOOKUP(B658,GM!$Q$5:$Q$756,GM!$J$5:$J$756)</f>
        <v>45959</v>
      </c>
    </row>
    <row r="659" spans="1:8" hidden="1" x14ac:dyDescent="0.35">
      <c r="A659" s="29" t="s">
        <v>17</v>
      </c>
      <c r="B659" s="29" t="str">
        <f t="shared" si="10"/>
        <v>CN2-10</v>
      </c>
      <c r="C659" s="29" t="s">
        <v>4438</v>
      </c>
      <c r="D659" s="67" t="s">
        <v>4439</v>
      </c>
      <c r="E659" s="96" t="s">
        <v>62</v>
      </c>
      <c r="F659" s="29" t="s">
        <v>61</v>
      </c>
      <c r="G659" s="29"/>
      <c r="H659" s="103">
        <f>_xlfn.XLOOKUP(B659,GM!$Q$5:$Q$756,GM!$J$5:$J$756)</f>
        <v>45959</v>
      </c>
    </row>
    <row r="660" spans="1:8" hidden="1" x14ac:dyDescent="0.35">
      <c r="A660" s="29" t="s">
        <v>17</v>
      </c>
      <c r="B660" s="29" t="str">
        <f t="shared" si="10"/>
        <v>CN2-10</v>
      </c>
      <c r="C660" s="29" t="s">
        <v>4440</v>
      </c>
      <c r="D660" s="67" t="s">
        <v>4441</v>
      </c>
      <c r="E660" s="96" t="s">
        <v>62</v>
      </c>
      <c r="F660" s="29" t="s">
        <v>61</v>
      </c>
      <c r="G660" s="29"/>
      <c r="H660" s="103">
        <f>_xlfn.XLOOKUP(B660,GM!$Q$5:$Q$756,GM!$J$5:$J$756)</f>
        <v>45959</v>
      </c>
    </row>
    <row r="661" spans="1:8" hidden="1" x14ac:dyDescent="0.35">
      <c r="A661" s="29" t="s">
        <v>17</v>
      </c>
      <c r="B661" s="29" t="str">
        <f t="shared" si="10"/>
        <v>CN2-10</v>
      </c>
      <c r="C661" s="29" t="s">
        <v>4442</v>
      </c>
      <c r="D661" s="67" t="s">
        <v>4443</v>
      </c>
      <c r="E661" s="96" t="s">
        <v>62</v>
      </c>
      <c r="F661" s="29" t="s">
        <v>61</v>
      </c>
      <c r="G661" s="29"/>
      <c r="H661" s="103">
        <f>_xlfn.XLOOKUP(B661,GM!$Q$5:$Q$756,GM!$J$5:$J$756)</f>
        <v>45959</v>
      </c>
    </row>
    <row r="662" spans="1:8" hidden="1" x14ac:dyDescent="0.35">
      <c r="A662" s="29" t="s">
        <v>17</v>
      </c>
      <c r="B662" s="29" t="str">
        <f t="shared" si="10"/>
        <v>CN2-10</v>
      </c>
      <c r="C662" s="29" t="s">
        <v>4444</v>
      </c>
      <c r="D662" s="67" t="s">
        <v>4445</v>
      </c>
      <c r="E662" s="96" t="s">
        <v>62</v>
      </c>
      <c r="F662" s="29" t="s">
        <v>61</v>
      </c>
      <c r="G662" s="29"/>
      <c r="H662" s="103">
        <f>_xlfn.XLOOKUP(B662,GM!$Q$5:$Q$756,GM!$J$5:$J$756)</f>
        <v>45959</v>
      </c>
    </row>
    <row r="663" spans="1:8" hidden="1" x14ac:dyDescent="0.35">
      <c r="A663" s="29" t="s">
        <v>17</v>
      </c>
      <c r="B663" s="29" t="str">
        <f t="shared" si="10"/>
        <v>CN2-11</v>
      </c>
      <c r="C663" s="29" t="s">
        <v>4446</v>
      </c>
      <c r="D663" s="67" t="s">
        <v>4447</v>
      </c>
      <c r="E663" s="96" t="s">
        <v>62</v>
      </c>
      <c r="F663" s="29" t="s">
        <v>61</v>
      </c>
      <c r="G663" s="29"/>
      <c r="H663" s="103">
        <f>_xlfn.XLOOKUP(B663,GM!$Q$5:$Q$756,GM!$J$5:$J$756)</f>
        <v>46107</v>
      </c>
    </row>
    <row r="664" spans="1:8" hidden="1" x14ac:dyDescent="0.35">
      <c r="A664" s="29" t="s">
        <v>17</v>
      </c>
      <c r="B664" s="29" t="str">
        <f t="shared" si="10"/>
        <v>CN2-11</v>
      </c>
      <c r="C664" s="29" t="s">
        <v>4448</v>
      </c>
      <c r="D664" s="67" t="s">
        <v>4449</v>
      </c>
      <c r="E664" s="96" t="s">
        <v>62</v>
      </c>
      <c r="F664" s="29" t="s">
        <v>61</v>
      </c>
      <c r="G664" s="29"/>
      <c r="H664" s="103">
        <f>_xlfn.XLOOKUP(B664,GM!$Q$5:$Q$756,GM!$J$5:$J$756)</f>
        <v>46107</v>
      </c>
    </row>
    <row r="665" spans="1:8" hidden="1" x14ac:dyDescent="0.35">
      <c r="A665" s="29" t="s">
        <v>17</v>
      </c>
      <c r="B665" s="29" t="str">
        <f t="shared" si="10"/>
        <v>CN2-11</v>
      </c>
      <c r="C665" s="29" t="s">
        <v>4450</v>
      </c>
      <c r="D665" s="67" t="s">
        <v>4451</v>
      </c>
      <c r="E665" s="96" t="s">
        <v>62</v>
      </c>
      <c r="F665" s="29" t="s">
        <v>61</v>
      </c>
      <c r="G665" s="29"/>
      <c r="H665" s="103">
        <f>_xlfn.XLOOKUP(B665,GM!$Q$5:$Q$756,GM!$J$5:$J$756)</f>
        <v>46107</v>
      </c>
    </row>
    <row r="666" spans="1:8" hidden="1" x14ac:dyDescent="0.35">
      <c r="A666" s="29" t="s">
        <v>17</v>
      </c>
      <c r="B666" s="29" t="str">
        <f t="shared" si="10"/>
        <v>CN2-11</v>
      </c>
      <c r="C666" s="29" t="s">
        <v>4452</v>
      </c>
      <c r="D666" s="67" t="s">
        <v>4453</v>
      </c>
      <c r="E666" s="96" t="s">
        <v>62</v>
      </c>
      <c r="F666" s="29" t="s">
        <v>61</v>
      </c>
      <c r="G666" s="29"/>
      <c r="H666" s="103">
        <f>_xlfn.XLOOKUP(B666,GM!$Q$5:$Q$756,GM!$J$5:$J$756)</f>
        <v>46107</v>
      </c>
    </row>
    <row r="667" spans="1:8" hidden="1" x14ac:dyDescent="0.35">
      <c r="A667" s="29" t="s">
        <v>17</v>
      </c>
      <c r="B667" s="29" t="str">
        <f t="shared" si="10"/>
        <v>CN2-12</v>
      </c>
      <c r="C667" s="29" t="s">
        <v>4454</v>
      </c>
      <c r="D667" s="67" t="s">
        <v>4455</v>
      </c>
      <c r="E667" s="96" t="s">
        <v>62</v>
      </c>
      <c r="F667" s="29" t="s">
        <v>61</v>
      </c>
      <c r="G667" s="29"/>
      <c r="H667" s="103">
        <f>_xlfn.XLOOKUP(B667,GM!$Q$5:$Q$756,GM!$J$5:$J$756)</f>
        <v>46107</v>
      </c>
    </row>
    <row r="668" spans="1:8" hidden="1" x14ac:dyDescent="0.35">
      <c r="A668" s="29" t="s">
        <v>17</v>
      </c>
      <c r="B668" s="29" t="str">
        <f t="shared" si="10"/>
        <v>CN2-13</v>
      </c>
      <c r="C668" s="29" t="s">
        <v>4456</v>
      </c>
      <c r="D668" s="67" t="s">
        <v>4457</v>
      </c>
      <c r="E668" s="96" t="s">
        <v>62</v>
      </c>
      <c r="F668" s="29" t="s">
        <v>61</v>
      </c>
      <c r="G668" s="29"/>
      <c r="H668" s="103">
        <f>_xlfn.XLOOKUP(B668,GM!$Q$5:$Q$756,GM!$J$5:$J$756)</f>
        <v>46107</v>
      </c>
    </row>
    <row r="669" spans="1:8" hidden="1" x14ac:dyDescent="0.35">
      <c r="A669" s="29" t="s">
        <v>17</v>
      </c>
      <c r="B669" s="29" t="str">
        <f t="shared" si="10"/>
        <v>CN2-13</v>
      </c>
      <c r="C669" s="29" t="s">
        <v>4458</v>
      </c>
      <c r="D669" s="67" t="s">
        <v>4459</v>
      </c>
      <c r="E669" s="96" t="s">
        <v>62</v>
      </c>
      <c r="F669" s="29" t="s">
        <v>61</v>
      </c>
      <c r="G669" s="29"/>
      <c r="H669" s="103">
        <f>_xlfn.XLOOKUP(B669,GM!$Q$5:$Q$756,GM!$J$5:$J$756)</f>
        <v>46107</v>
      </c>
    </row>
    <row r="670" spans="1:8" hidden="1" x14ac:dyDescent="0.35">
      <c r="A670" s="29" t="s">
        <v>17</v>
      </c>
      <c r="B670" s="29" t="str">
        <f t="shared" si="10"/>
        <v>CN2-13</v>
      </c>
      <c r="C670" s="29" t="s">
        <v>4460</v>
      </c>
      <c r="D670" s="67" t="s">
        <v>4461</v>
      </c>
      <c r="E670" s="96" t="s">
        <v>62</v>
      </c>
      <c r="F670" s="29" t="s">
        <v>61</v>
      </c>
      <c r="G670" s="29"/>
      <c r="H670" s="103">
        <f>_xlfn.XLOOKUP(B670,GM!$Q$5:$Q$756,GM!$J$5:$J$756)</f>
        <v>46107</v>
      </c>
    </row>
    <row r="671" spans="1:8" hidden="1" x14ac:dyDescent="0.35">
      <c r="A671" s="29" t="s">
        <v>17</v>
      </c>
      <c r="B671" s="29" t="str">
        <f t="shared" si="10"/>
        <v>CN2-13</v>
      </c>
      <c r="C671" s="29" t="s">
        <v>4462</v>
      </c>
      <c r="D671" s="67" t="s">
        <v>4463</v>
      </c>
      <c r="E671" s="96" t="s">
        <v>62</v>
      </c>
      <c r="F671" s="29" t="s">
        <v>61</v>
      </c>
      <c r="G671" s="29"/>
      <c r="H671" s="103">
        <f>_xlfn.XLOOKUP(B671,GM!$Q$5:$Q$756,GM!$J$5:$J$756)</f>
        <v>46107</v>
      </c>
    </row>
    <row r="672" spans="1:8" hidden="1" x14ac:dyDescent="0.35">
      <c r="A672" s="29" t="s">
        <v>17</v>
      </c>
      <c r="B672" s="29" t="str">
        <f t="shared" si="10"/>
        <v>CN2-13</v>
      </c>
      <c r="C672" s="29" t="s">
        <v>4464</v>
      </c>
      <c r="D672" s="67" t="s">
        <v>4465</v>
      </c>
      <c r="E672" s="96" t="s">
        <v>62</v>
      </c>
      <c r="F672" s="29" t="s">
        <v>61</v>
      </c>
      <c r="G672" s="29"/>
      <c r="H672" s="103">
        <f>_xlfn.XLOOKUP(B672,GM!$Q$5:$Q$756,GM!$J$5:$J$756)</f>
        <v>46107</v>
      </c>
    </row>
    <row r="673" spans="1:8" hidden="1" x14ac:dyDescent="0.35">
      <c r="A673" s="29" t="s">
        <v>17</v>
      </c>
      <c r="B673" s="29" t="str">
        <f t="shared" si="10"/>
        <v>CN2-13</v>
      </c>
      <c r="C673" s="29" t="s">
        <v>4466</v>
      </c>
      <c r="D673" s="67" t="s">
        <v>4467</v>
      </c>
      <c r="E673" s="96" t="s">
        <v>62</v>
      </c>
      <c r="F673" s="29" t="s">
        <v>61</v>
      </c>
      <c r="G673" s="29"/>
      <c r="H673" s="103">
        <f>_xlfn.XLOOKUP(B673,GM!$Q$5:$Q$756,GM!$J$5:$J$756)</f>
        <v>46107</v>
      </c>
    </row>
    <row r="674" spans="1:8" hidden="1" x14ac:dyDescent="0.35">
      <c r="A674" s="29" t="s">
        <v>17</v>
      </c>
      <c r="B674" s="29" t="str">
        <f t="shared" si="10"/>
        <v>CN2-14</v>
      </c>
      <c r="C674" s="29" t="s">
        <v>4468</v>
      </c>
      <c r="D674" s="67" t="s">
        <v>4469</v>
      </c>
      <c r="E674" s="96" t="s">
        <v>62</v>
      </c>
      <c r="F674" s="29" t="s">
        <v>61</v>
      </c>
      <c r="G674" s="29"/>
      <c r="H674" s="103">
        <f>_xlfn.XLOOKUP(B674,GM!$Q$5:$Q$756,GM!$J$5:$J$756)</f>
        <v>45202</v>
      </c>
    </row>
    <row r="675" spans="1:8" hidden="1" x14ac:dyDescent="0.35">
      <c r="A675" s="29" t="s">
        <v>17</v>
      </c>
      <c r="B675" s="29" t="str">
        <f t="shared" si="10"/>
        <v>CN2-15</v>
      </c>
      <c r="C675" s="29" t="s">
        <v>4470</v>
      </c>
      <c r="D675" s="67" t="s">
        <v>4471</v>
      </c>
      <c r="E675" s="96" t="s">
        <v>62</v>
      </c>
      <c r="F675" s="29" t="s">
        <v>61</v>
      </c>
      <c r="G675" s="29"/>
      <c r="H675" s="103">
        <f>_xlfn.XLOOKUP(B675,GM!$Q$5:$Q$756,GM!$J$5:$J$756)</f>
        <v>46107</v>
      </c>
    </row>
    <row r="676" spans="1:8" hidden="1" x14ac:dyDescent="0.35">
      <c r="A676" s="29" t="s">
        <v>17</v>
      </c>
      <c r="B676" s="29" t="str">
        <f t="shared" si="10"/>
        <v>CN2-15</v>
      </c>
      <c r="C676" s="29" t="s">
        <v>4472</v>
      </c>
      <c r="D676" s="67" t="s">
        <v>4473</v>
      </c>
      <c r="E676" s="96" t="s">
        <v>62</v>
      </c>
      <c r="F676" s="29" t="s">
        <v>61</v>
      </c>
      <c r="G676" s="29"/>
      <c r="H676" s="103">
        <f>_xlfn.XLOOKUP(B676,GM!$Q$5:$Q$756,GM!$J$5:$J$756)</f>
        <v>46107</v>
      </c>
    </row>
    <row r="677" spans="1:8" hidden="1" x14ac:dyDescent="0.35">
      <c r="A677" s="29" t="s">
        <v>17</v>
      </c>
      <c r="B677" s="29" t="str">
        <f t="shared" si="10"/>
        <v>CN2-15</v>
      </c>
      <c r="C677" s="29" t="s">
        <v>4474</v>
      </c>
      <c r="D677" s="67" t="s">
        <v>4475</v>
      </c>
      <c r="E677" s="96" t="s">
        <v>62</v>
      </c>
      <c r="F677" s="29" t="s">
        <v>61</v>
      </c>
      <c r="G677" s="29"/>
      <c r="H677" s="103">
        <f>_xlfn.XLOOKUP(B677,GM!$Q$5:$Q$756,GM!$J$5:$J$756)</f>
        <v>46107</v>
      </c>
    </row>
    <row r="678" spans="1:8" hidden="1" x14ac:dyDescent="0.35">
      <c r="A678" s="29" t="s">
        <v>17</v>
      </c>
      <c r="B678" s="29" t="str">
        <f t="shared" si="10"/>
        <v>CN2-15</v>
      </c>
      <c r="C678" s="29" t="s">
        <v>4476</v>
      </c>
      <c r="D678" s="67" t="s">
        <v>4477</v>
      </c>
      <c r="E678" s="96" t="s">
        <v>62</v>
      </c>
      <c r="F678" s="29" t="s">
        <v>61</v>
      </c>
      <c r="G678" s="29"/>
      <c r="H678" s="103">
        <f>_xlfn.XLOOKUP(B678,GM!$Q$5:$Q$756,GM!$J$5:$J$756)</f>
        <v>46107</v>
      </c>
    </row>
    <row r="679" spans="1:8" hidden="1" x14ac:dyDescent="0.35">
      <c r="A679" s="29" t="s">
        <v>17</v>
      </c>
      <c r="B679" s="29" t="str">
        <f t="shared" si="10"/>
        <v>CN2-15</v>
      </c>
      <c r="C679" s="29" t="s">
        <v>4478</v>
      </c>
      <c r="D679" s="67" t="s">
        <v>4479</v>
      </c>
      <c r="E679" s="96" t="s">
        <v>62</v>
      </c>
      <c r="F679" s="29" t="s">
        <v>61</v>
      </c>
      <c r="G679" s="29"/>
      <c r="H679" s="103">
        <f>_xlfn.XLOOKUP(B679,GM!$Q$5:$Q$756,GM!$J$5:$J$756)</f>
        <v>46107</v>
      </c>
    </row>
    <row r="680" spans="1:8" hidden="1" x14ac:dyDescent="0.35">
      <c r="A680" s="29" t="s">
        <v>17</v>
      </c>
      <c r="B680" s="29" t="str">
        <f t="shared" si="10"/>
        <v>CN2-15</v>
      </c>
      <c r="C680" s="29" t="s">
        <v>4480</v>
      </c>
      <c r="D680" s="67" t="s">
        <v>4481</v>
      </c>
      <c r="E680" s="96" t="s">
        <v>62</v>
      </c>
      <c r="F680" s="29" t="s">
        <v>61</v>
      </c>
      <c r="G680" s="29"/>
      <c r="H680" s="103">
        <f>_xlfn.XLOOKUP(B680,GM!$Q$5:$Q$756,GM!$J$5:$J$756)</f>
        <v>46107</v>
      </c>
    </row>
    <row r="681" spans="1:8" hidden="1" x14ac:dyDescent="0.35">
      <c r="A681" s="29" t="s">
        <v>17</v>
      </c>
      <c r="B681" s="29" t="str">
        <f t="shared" si="10"/>
        <v>CN2-15</v>
      </c>
      <c r="C681" s="29" t="s">
        <v>4482</v>
      </c>
      <c r="D681" s="67" t="s">
        <v>4483</v>
      </c>
      <c r="E681" s="96" t="s">
        <v>62</v>
      </c>
      <c r="F681" s="29" t="s">
        <v>61</v>
      </c>
      <c r="G681" s="29"/>
      <c r="H681" s="103">
        <f>_xlfn.XLOOKUP(B681,GM!$Q$5:$Q$756,GM!$J$5:$J$756)</f>
        <v>46107</v>
      </c>
    </row>
    <row r="682" spans="1:8" hidden="1" x14ac:dyDescent="0.35">
      <c r="A682" s="29" t="s">
        <v>17</v>
      </c>
      <c r="B682" s="29" t="str">
        <f t="shared" si="10"/>
        <v>CN2-15</v>
      </c>
      <c r="C682" s="29" t="s">
        <v>4484</v>
      </c>
      <c r="D682" s="67" t="s">
        <v>4485</v>
      </c>
      <c r="E682" s="96" t="s">
        <v>62</v>
      </c>
      <c r="F682" s="29" t="s">
        <v>61</v>
      </c>
      <c r="G682" s="29"/>
      <c r="H682" s="103">
        <f>_xlfn.XLOOKUP(B682,GM!$Q$5:$Q$756,GM!$J$5:$J$756)</f>
        <v>46107</v>
      </c>
    </row>
    <row r="683" spans="1:8" hidden="1" x14ac:dyDescent="0.35">
      <c r="A683" s="29" t="s">
        <v>17</v>
      </c>
      <c r="B683" s="29" t="str">
        <f t="shared" si="10"/>
        <v>CN2-15</v>
      </c>
      <c r="C683" s="29" t="s">
        <v>4486</v>
      </c>
      <c r="D683" s="67" t="s">
        <v>4487</v>
      </c>
      <c r="E683" s="96" t="s">
        <v>62</v>
      </c>
      <c r="F683" s="29" t="s">
        <v>61</v>
      </c>
      <c r="G683" s="29"/>
      <c r="H683" s="103">
        <f>_xlfn.XLOOKUP(B683,GM!$Q$5:$Q$756,GM!$J$5:$J$756)</f>
        <v>46107</v>
      </c>
    </row>
    <row r="684" spans="1:8" hidden="1" x14ac:dyDescent="0.35">
      <c r="A684" s="29" t="s">
        <v>17</v>
      </c>
      <c r="B684" s="29" t="str">
        <f t="shared" si="10"/>
        <v>CN2-15</v>
      </c>
      <c r="C684" s="29" t="s">
        <v>4488</v>
      </c>
      <c r="D684" s="67" t="s">
        <v>4489</v>
      </c>
      <c r="E684" s="96" t="s">
        <v>62</v>
      </c>
      <c r="F684" s="29" t="s">
        <v>61</v>
      </c>
      <c r="G684" s="29"/>
      <c r="H684" s="103">
        <f>_xlfn.XLOOKUP(B684,GM!$Q$5:$Q$756,GM!$J$5:$J$756)</f>
        <v>46107</v>
      </c>
    </row>
    <row r="685" spans="1:8" hidden="1" x14ac:dyDescent="0.35">
      <c r="A685" s="29" t="s">
        <v>17</v>
      </c>
      <c r="B685" s="29" t="str">
        <f t="shared" si="10"/>
        <v>CN2-15</v>
      </c>
      <c r="C685" s="29" t="s">
        <v>4490</v>
      </c>
      <c r="D685" s="67" t="s">
        <v>4491</v>
      </c>
      <c r="E685" s="96" t="s">
        <v>62</v>
      </c>
      <c r="F685" s="29" t="s">
        <v>61</v>
      </c>
      <c r="G685" s="29"/>
      <c r="H685" s="103">
        <f>_xlfn.XLOOKUP(B685,GM!$Q$5:$Q$756,GM!$J$5:$J$756)</f>
        <v>46107</v>
      </c>
    </row>
    <row r="686" spans="1:8" hidden="1" x14ac:dyDescent="0.35">
      <c r="A686" s="29" t="s">
        <v>17</v>
      </c>
      <c r="B686" s="29" t="str">
        <f t="shared" si="10"/>
        <v>CN2-15</v>
      </c>
      <c r="C686" s="29" t="s">
        <v>4492</v>
      </c>
      <c r="D686" s="67" t="s">
        <v>4493</v>
      </c>
      <c r="E686" s="96" t="s">
        <v>62</v>
      </c>
      <c r="F686" s="29" t="s">
        <v>61</v>
      </c>
      <c r="G686" s="29"/>
      <c r="H686" s="103">
        <f>_xlfn.XLOOKUP(B686,GM!$Q$5:$Q$756,GM!$J$5:$J$756)</f>
        <v>46107</v>
      </c>
    </row>
    <row r="687" spans="1:8" hidden="1" x14ac:dyDescent="0.35">
      <c r="A687" s="29" t="s">
        <v>17</v>
      </c>
      <c r="B687" s="29" t="str">
        <f t="shared" si="10"/>
        <v>CN2-15</v>
      </c>
      <c r="C687" s="29" t="s">
        <v>4494</v>
      </c>
      <c r="D687" s="67" t="s">
        <v>4495</v>
      </c>
      <c r="E687" s="96" t="s">
        <v>62</v>
      </c>
      <c r="F687" s="29" t="s">
        <v>61</v>
      </c>
      <c r="G687" s="29"/>
      <c r="H687" s="103">
        <f>_xlfn.XLOOKUP(B687,GM!$Q$5:$Q$756,GM!$J$5:$J$756)</f>
        <v>46107</v>
      </c>
    </row>
    <row r="688" spans="1:8" hidden="1" x14ac:dyDescent="0.35">
      <c r="A688" s="29" t="s">
        <v>17</v>
      </c>
      <c r="B688" s="29" t="str">
        <f t="shared" si="10"/>
        <v>CN2-15</v>
      </c>
      <c r="C688" s="29" t="s">
        <v>4496</v>
      </c>
      <c r="D688" s="67" t="s">
        <v>4497</v>
      </c>
      <c r="E688" s="96" t="s">
        <v>62</v>
      </c>
      <c r="F688" s="29" t="s">
        <v>61</v>
      </c>
      <c r="G688" s="29"/>
      <c r="H688" s="103">
        <f>_xlfn.XLOOKUP(B688,GM!$Q$5:$Q$756,GM!$J$5:$J$756)</f>
        <v>46107</v>
      </c>
    </row>
    <row r="689" spans="1:8" hidden="1" x14ac:dyDescent="0.35">
      <c r="A689" s="29" t="s">
        <v>17</v>
      </c>
      <c r="B689" s="29" t="str">
        <f t="shared" si="10"/>
        <v>CN2-15</v>
      </c>
      <c r="C689" s="29" t="s">
        <v>4498</v>
      </c>
      <c r="D689" s="67" t="s">
        <v>4499</v>
      </c>
      <c r="E689" s="96" t="s">
        <v>62</v>
      </c>
      <c r="F689" s="29" t="s">
        <v>61</v>
      </c>
      <c r="G689" s="29"/>
      <c r="H689" s="103">
        <f>_xlfn.XLOOKUP(B689,GM!$Q$5:$Q$756,GM!$J$5:$J$756)</f>
        <v>46107</v>
      </c>
    </row>
    <row r="690" spans="1:8" hidden="1" x14ac:dyDescent="0.35">
      <c r="A690" s="29" t="s">
        <v>17</v>
      </c>
      <c r="B690" s="29" t="str">
        <f t="shared" si="10"/>
        <v>CN2-15</v>
      </c>
      <c r="C690" s="29" t="s">
        <v>4500</v>
      </c>
      <c r="D690" s="67" t="s">
        <v>4501</v>
      </c>
      <c r="E690" s="96" t="s">
        <v>62</v>
      </c>
      <c r="F690" s="29" t="s">
        <v>61</v>
      </c>
      <c r="G690" s="29"/>
      <c r="H690" s="103">
        <f>_xlfn.XLOOKUP(B690,GM!$Q$5:$Q$756,GM!$J$5:$J$756)</f>
        <v>46107</v>
      </c>
    </row>
    <row r="691" spans="1:8" hidden="1" x14ac:dyDescent="0.35">
      <c r="A691" s="29" t="s">
        <v>17</v>
      </c>
      <c r="B691" s="29" t="str">
        <f t="shared" si="10"/>
        <v>CN2-15</v>
      </c>
      <c r="C691" s="29" t="s">
        <v>4502</v>
      </c>
      <c r="D691" s="67" t="s">
        <v>4503</v>
      </c>
      <c r="E691" s="96" t="s">
        <v>62</v>
      </c>
      <c r="F691" s="29" t="s">
        <v>61</v>
      </c>
      <c r="G691" s="29"/>
      <c r="H691" s="103">
        <f>_xlfn.XLOOKUP(B691,GM!$Q$5:$Q$756,GM!$J$5:$J$756)</f>
        <v>46107</v>
      </c>
    </row>
    <row r="692" spans="1:8" hidden="1" x14ac:dyDescent="0.35">
      <c r="A692" s="29" t="s">
        <v>17</v>
      </c>
      <c r="B692" s="29" t="str">
        <f t="shared" si="10"/>
        <v>CN2-15</v>
      </c>
      <c r="C692" s="29" t="s">
        <v>4504</v>
      </c>
      <c r="D692" s="67" t="s">
        <v>4505</v>
      </c>
      <c r="E692" s="96" t="s">
        <v>62</v>
      </c>
      <c r="F692" s="29" t="s">
        <v>61</v>
      </c>
      <c r="G692" s="29"/>
      <c r="H692" s="103">
        <f>_xlfn.XLOOKUP(B692,GM!$Q$5:$Q$756,GM!$J$5:$J$756)</f>
        <v>46107</v>
      </c>
    </row>
    <row r="693" spans="1:8" hidden="1" x14ac:dyDescent="0.35">
      <c r="A693" s="29" t="s">
        <v>17</v>
      </c>
      <c r="B693" s="29" t="str">
        <f t="shared" si="10"/>
        <v>CN2-15</v>
      </c>
      <c r="C693" s="29" t="s">
        <v>4506</v>
      </c>
      <c r="D693" s="67" t="s">
        <v>4507</v>
      </c>
      <c r="E693" s="96" t="s">
        <v>62</v>
      </c>
      <c r="F693" s="29" t="s">
        <v>61</v>
      </c>
      <c r="G693" s="29"/>
      <c r="H693" s="103">
        <f>_xlfn.XLOOKUP(B693,GM!$Q$5:$Q$756,GM!$J$5:$J$756)</f>
        <v>46107</v>
      </c>
    </row>
    <row r="694" spans="1:8" hidden="1" x14ac:dyDescent="0.35">
      <c r="A694" s="29" t="s">
        <v>17</v>
      </c>
      <c r="B694" s="29" t="str">
        <f t="shared" si="10"/>
        <v>CN2-15</v>
      </c>
      <c r="C694" s="29" t="s">
        <v>4508</v>
      </c>
      <c r="D694" s="67" t="s">
        <v>4509</v>
      </c>
      <c r="E694" s="96" t="s">
        <v>62</v>
      </c>
      <c r="F694" s="29" t="s">
        <v>61</v>
      </c>
      <c r="G694" s="29"/>
      <c r="H694" s="103">
        <f>_xlfn.XLOOKUP(B694,GM!$Q$5:$Q$756,GM!$J$5:$J$756)</f>
        <v>46107</v>
      </c>
    </row>
    <row r="695" spans="1:8" hidden="1" x14ac:dyDescent="0.35">
      <c r="A695" s="29" t="s">
        <v>17</v>
      </c>
      <c r="B695" s="29" t="str">
        <f t="shared" si="10"/>
        <v>CN2-15</v>
      </c>
      <c r="C695" s="29" t="s">
        <v>4510</v>
      </c>
      <c r="D695" s="67" t="s">
        <v>4511</v>
      </c>
      <c r="E695" s="96" t="s">
        <v>62</v>
      </c>
      <c r="F695" s="29" t="s">
        <v>61</v>
      </c>
      <c r="G695" s="29"/>
      <c r="H695" s="103">
        <f>_xlfn.XLOOKUP(B695,GM!$Q$5:$Q$756,GM!$J$5:$J$756)</f>
        <v>46107</v>
      </c>
    </row>
    <row r="696" spans="1:8" hidden="1" x14ac:dyDescent="0.35">
      <c r="A696" s="29" t="s">
        <v>17</v>
      </c>
      <c r="B696" s="29" t="str">
        <f t="shared" si="10"/>
        <v>CN2-15</v>
      </c>
      <c r="C696" s="29" t="s">
        <v>4512</v>
      </c>
      <c r="D696" s="67" t="s">
        <v>4513</v>
      </c>
      <c r="E696" s="96" t="s">
        <v>62</v>
      </c>
      <c r="F696" s="29" t="s">
        <v>61</v>
      </c>
      <c r="G696" s="29"/>
      <c r="H696" s="103">
        <f>_xlfn.XLOOKUP(B696,GM!$Q$5:$Q$756,GM!$J$5:$J$756)</f>
        <v>46107</v>
      </c>
    </row>
    <row r="697" spans="1:8" hidden="1" x14ac:dyDescent="0.35">
      <c r="A697" s="29" t="s">
        <v>17</v>
      </c>
      <c r="B697" s="29" t="str">
        <f t="shared" si="10"/>
        <v>CN2-15</v>
      </c>
      <c r="C697" s="29" t="s">
        <v>4514</v>
      </c>
      <c r="D697" s="67" t="s">
        <v>4515</v>
      </c>
      <c r="E697" s="96" t="s">
        <v>62</v>
      </c>
      <c r="F697" s="29" t="s">
        <v>61</v>
      </c>
      <c r="G697" s="29"/>
      <c r="H697" s="103">
        <f>_xlfn.XLOOKUP(B697,GM!$Q$5:$Q$756,GM!$J$5:$J$756)</f>
        <v>46107</v>
      </c>
    </row>
    <row r="698" spans="1:8" hidden="1" x14ac:dyDescent="0.35">
      <c r="A698" s="29" t="s">
        <v>17</v>
      </c>
      <c r="B698" s="29" t="str">
        <f t="shared" si="10"/>
        <v>CN2-15</v>
      </c>
      <c r="C698" s="29" t="s">
        <v>4516</v>
      </c>
      <c r="D698" s="67" t="s">
        <v>4517</v>
      </c>
      <c r="E698" s="96" t="s">
        <v>62</v>
      </c>
      <c r="F698" s="29" t="s">
        <v>61</v>
      </c>
      <c r="G698" s="29"/>
      <c r="H698" s="103">
        <f>_xlfn.XLOOKUP(B698,GM!$Q$5:$Q$756,GM!$J$5:$J$756)</f>
        <v>46107</v>
      </c>
    </row>
    <row r="699" spans="1:8" hidden="1" x14ac:dyDescent="0.35">
      <c r="A699" s="29" t="s">
        <v>17</v>
      </c>
      <c r="B699" s="29" t="str">
        <f t="shared" si="10"/>
        <v>CN2-15</v>
      </c>
      <c r="C699" s="29" t="s">
        <v>4518</v>
      </c>
      <c r="D699" s="67" t="s">
        <v>4519</v>
      </c>
      <c r="E699" s="96" t="s">
        <v>62</v>
      </c>
      <c r="F699" s="29" t="s">
        <v>61</v>
      </c>
      <c r="G699" s="29"/>
      <c r="H699" s="103">
        <f>_xlfn.XLOOKUP(B699,GM!$Q$5:$Q$756,GM!$J$5:$J$756)</f>
        <v>46107</v>
      </c>
    </row>
    <row r="700" spans="1:8" hidden="1" x14ac:dyDescent="0.35">
      <c r="A700" s="29" t="s">
        <v>17</v>
      </c>
      <c r="B700" s="29" t="str">
        <f t="shared" si="10"/>
        <v>CN2-17</v>
      </c>
      <c r="C700" s="29" t="s">
        <v>4520</v>
      </c>
      <c r="D700" s="67" t="s">
        <v>4521</v>
      </c>
      <c r="E700" s="96" t="s">
        <v>62</v>
      </c>
      <c r="F700" s="29" t="s">
        <v>61</v>
      </c>
      <c r="G700" s="29"/>
      <c r="H700" s="103">
        <f>_xlfn.XLOOKUP(B700,GM!$Q$5:$Q$756,GM!$J$5:$J$756)</f>
        <v>45202</v>
      </c>
    </row>
    <row r="701" spans="1:8" hidden="1" x14ac:dyDescent="0.35">
      <c r="A701" s="29" t="s">
        <v>17</v>
      </c>
      <c r="B701" s="29" t="str">
        <f t="shared" si="10"/>
        <v>CN2-17</v>
      </c>
      <c r="C701" s="29" t="s">
        <v>4522</v>
      </c>
      <c r="D701" s="67" t="s">
        <v>4523</v>
      </c>
      <c r="E701" s="96" t="s">
        <v>62</v>
      </c>
      <c r="F701" s="29" t="s">
        <v>61</v>
      </c>
      <c r="G701" s="29"/>
      <c r="H701" s="103">
        <f>_xlfn.XLOOKUP(B701,GM!$Q$5:$Q$756,GM!$J$5:$J$756)</f>
        <v>45202</v>
      </c>
    </row>
    <row r="702" spans="1:8" hidden="1" x14ac:dyDescent="0.35">
      <c r="A702" s="29" t="s">
        <v>17</v>
      </c>
      <c r="B702" s="29" t="str">
        <f t="shared" si="10"/>
        <v>CN2-17</v>
      </c>
      <c r="C702" s="29" t="s">
        <v>4524</v>
      </c>
      <c r="D702" s="67" t="s">
        <v>4525</v>
      </c>
      <c r="E702" s="96" t="s">
        <v>62</v>
      </c>
      <c r="F702" s="29" t="s">
        <v>61</v>
      </c>
      <c r="G702" s="29"/>
      <c r="H702" s="103">
        <f>_xlfn.XLOOKUP(B702,GM!$Q$5:$Q$756,GM!$J$5:$J$756)</f>
        <v>45202</v>
      </c>
    </row>
    <row r="703" spans="1:8" hidden="1" x14ac:dyDescent="0.35">
      <c r="A703" s="29" t="s">
        <v>17</v>
      </c>
      <c r="B703" s="29" t="str">
        <f t="shared" si="10"/>
        <v>CN2-17</v>
      </c>
      <c r="C703" s="29" t="s">
        <v>4526</v>
      </c>
      <c r="D703" s="67" t="s">
        <v>4527</v>
      </c>
      <c r="E703" s="96" t="s">
        <v>62</v>
      </c>
      <c r="F703" s="29" t="s">
        <v>61</v>
      </c>
      <c r="G703" s="29"/>
      <c r="H703" s="103">
        <f>_xlfn.XLOOKUP(B703,GM!$Q$5:$Q$756,GM!$J$5:$J$756)</f>
        <v>45202</v>
      </c>
    </row>
    <row r="704" spans="1:8" hidden="1" x14ac:dyDescent="0.35">
      <c r="A704" s="29" t="s">
        <v>17</v>
      </c>
      <c r="B704" s="29" t="str">
        <f t="shared" si="10"/>
        <v>CN2-17</v>
      </c>
      <c r="C704" s="29" t="s">
        <v>4528</v>
      </c>
      <c r="D704" s="67" t="s">
        <v>4529</v>
      </c>
      <c r="E704" s="96" t="s">
        <v>62</v>
      </c>
      <c r="F704" s="29" t="s">
        <v>61</v>
      </c>
      <c r="G704" s="29"/>
      <c r="H704" s="103">
        <f>_xlfn.XLOOKUP(B704,GM!$Q$5:$Q$756,GM!$J$5:$J$756)</f>
        <v>45202</v>
      </c>
    </row>
    <row r="705" spans="1:8" hidden="1" x14ac:dyDescent="0.35">
      <c r="A705" s="29" t="s">
        <v>17</v>
      </c>
      <c r="B705" s="29" t="str">
        <f t="shared" si="10"/>
        <v>CN2-17</v>
      </c>
      <c r="C705" s="29" t="s">
        <v>4530</v>
      </c>
      <c r="D705" s="67" t="s">
        <v>4531</v>
      </c>
      <c r="E705" s="96" t="s">
        <v>62</v>
      </c>
      <c r="F705" s="29" t="s">
        <v>61</v>
      </c>
      <c r="G705" s="29"/>
      <c r="H705" s="103">
        <f>_xlfn.XLOOKUP(B705,GM!$Q$5:$Q$756,GM!$J$5:$J$756)</f>
        <v>45202</v>
      </c>
    </row>
    <row r="706" spans="1:8" hidden="1" x14ac:dyDescent="0.35">
      <c r="A706" s="29" t="s">
        <v>17</v>
      </c>
      <c r="B706" s="29" t="str">
        <f t="shared" si="10"/>
        <v>CN2-18</v>
      </c>
      <c r="C706" s="29" t="s">
        <v>4532</v>
      </c>
      <c r="D706" s="67" t="s">
        <v>4533</v>
      </c>
      <c r="E706" s="96" t="s">
        <v>62</v>
      </c>
      <c r="F706" s="29" t="s">
        <v>61</v>
      </c>
      <c r="G706" s="29"/>
      <c r="H706" s="103">
        <f>_xlfn.XLOOKUP(B706,GM!$Q$5:$Q$756,GM!$J$5:$J$756)</f>
        <v>45645</v>
      </c>
    </row>
    <row r="707" spans="1:8" hidden="1" x14ac:dyDescent="0.35">
      <c r="A707" s="29" t="s">
        <v>17</v>
      </c>
      <c r="B707" s="29" t="str">
        <f t="shared" si="10"/>
        <v>CN2-18</v>
      </c>
      <c r="C707" s="29" t="s">
        <v>4534</v>
      </c>
      <c r="D707" s="67" t="s">
        <v>4535</v>
      </c>
      <c r="E707" s="96" t="s">
        <v>62</v>
      </c>
      <c r="F707" s="29" t="s">
        <v>61</v>
      </c>
      <c r="G707" s="29"/>
      <c r="H707" s="103">
        <f>_xlfn.XLOOKUP(B707,GM!$Q$5:$Q$756,GM!$J$5:$J$756)</f>
        <v>45645</v>
      </c>
    </row>
    <row r="708" spans="1:8" hidden="1" x14ac:dyDescent="0.35">
      <c r="A708" s="29" t="s">
        <v>17</v>
      </c>
      <c r="B708" s="29" t="str">
        <f t="shared" si="10"/>
        <v>CN2-18</v>
      </c>
      <c r="C708" s="29" t="s">
        <v>4536</v>
      </c>
      <c r="D708" s="67" t="s">
        <v>4537</v>
      </c>
      <c r="E708" s="96" t="s">
        <v>62</v>
      </c>
      <c r="F708" s="29" t="s">
        <v>61</v>
      </c>
      <c r="G708" s="29"/>
      <c r="H708" s="103">
        <f>_xlfn.XLOOKUP(B708,GM!$Q$5:$Q$756,GM!$J$5:$J$756)</f>
        <v>45645</v>
      </c>
    </row>
    <row r="709" spans="1:8" hidden="1" x14ac:dyDescent="0.35">
      <c r="A709" s="29" t="s">
        <v>17</v>
      </c>
      <c r="B709" s="29" t="str">
        <f t="shared" ref="B709:B772" si="11">IF(OR(A709="ARN",A709="SDP"),MID(C709,4,7),MID(C709,4,6))</f>
        <v>CN2-18</v>
      </c>
      <c r="C709" s="29" t="s">
        <v>4538</v>
      </c>
      <c r="D709" s="67" t="s">
        <v>4539</v>
      </c>
      <c r="E709" s="96" t="s">
        <v>62</v>
      </c>
      <c r="F709" s="29" t="s">
        <v>61</v>
      </c>
      <c r="G709" s="29"/>
      <c r="H709" s="103">
        <f>_xlfn.XLOOKUP(B709,GM!$Q$5:$Q$756,GM!$J$5:$J$756)</f>
        <v>45645</v>
      </c>
    </row>
    <row r="710" spans="1:8" hidden="1" x14ac:dyDescent="0.35">
      <c r="A710" s="29" t="s">
        <v>17</v>
      </c>
      <c r="B710" s="29" t="str">
        <f t="shared" si="11"/>
        <v>CN2-18</v>
      </c>
      <c r="C710" s="29" t="s">
        <v>4540</v>
      </c>
      <c r="D710" s="67" t="s">
        <v>4541</v>
      </c>
      <c r="E710" s="96" t="s">
        <v>62</v>
      </c>
      <c r="F710" s="29" t="s">
        <v>61</v>
      </c>
      <c r="G710" s="29"/>
      <c r="H710" s="103">
        <f>_xlfn.XLOOKUP(B710,GM!$Q$5:$Q$756,GM!$J$5:$J$756)</f>
        <v>45645</v>
      </c>
    </row>
    <row r="711" spans="1:8" hidden="1" x14ac:dyDescent="0.35">
      <c r="A711" s="29" t="s">
        <v>17</v>
      </c>
      <c r="B711" s="29" t="str">
        <f t="shared" si="11"/>
        <v>CN2-18</v>
      </c>
      <c r="C711" s="29" t="s">
        <v>4542</v>
      </c>
      <c r="D711" s="67" t="s">
        <v>4543</v>
      </c>
      <c r="E711" s="96" t="s">
        <v>62</v>
      </c>
      <c r="F711" s="29" t="s">
        <v>61</v>
      </c>
      <c r="G711" s="29"/>
      <c r="H711" s="103">
        <f>_xlfn.XLOOKUP(B711,GM!$Q$5:$Q$756,GM!$J$5:$J$756)</f>
        <v>45645</v>
      </c>
    </row>
    <row r="712" spans="1:8" hidden="1" x14ac:dyDescent="0.35">
      <c r="A712" s="29" t="s">
        <v>17</v>
      </c>
      <c r="B712" s="29" t="str">
        <f t="shared" si="11"/>
        <v>CN2-18</v>
      </c>
      <c r="C712" s="29" t="s">
        <v>4544</v>
      </c>
      <c r="D712" s="67" t="s">
        <v>4545</v>
      </c>
      <c r="E712" s="96" t="s">
        <v>62</v>
      </c>
      <c r="F712" s="29" t="s">
        <v>61</v>
      </c>
      <c r="G712" s="29"/>
      <c r="H712" s="103">
        <f>_xlfn.XLOOKUP(B712,GM!$Q$5:$Q$756,GM!$J$5:$J$756)</f>
        <v>45645</v>
      </c>
    </row>
    <row r="713" spans="1:8" hidden="1" x14ac:dyDescent="0.35">
      <c r="A713" s="29" t="s">
        <v>17</v>
      </c>
      <c r="B713" s="29" t="str">
        <f t="shared" si="11"/>
        <v>CN2-18</v>
      </c>
      <c r="C713" s="29" t="s">
        <v>4546</v>
      </c>
      <c r="D713" s="67" t="s">
        <v>4547</v>
      </c>
      <c r="E713" s="96" t="s">
        <v>62</v>
      </c>
      <c r="F713" s="29" t="s">
        <v>61</v>
      </c>
      <c r="G713" s="29"/>
      <c r="H713" s="103">
        <f>_xlfn.XLOOKUP(B713,GM!$Q$5:$Q$756,GM!$J$5:$J$756)</f>
        <v>45645</v>
      </c>
    </row>
    <row r="714" spans="1:8" hidden="1" x14ac:dyDescent="0.35">
      <c r="A714" s="29" t="s">
        <v>17</v>
      </c>
      <c r="B714" s="29" t="str">
        <f t="shared" si="11"/>
        <v>CN2-19</v>
      </c>
      <c r="C714" s="29" t="s">
        <v>4548</v>
      </c>
      <c r="D714" s="67" t="s">
        <v>4549</v>
      </c>
      <c r="E714" s="96" t="s">
        <v>62</v>
      </c>
      <c r="F714" s="29" t="s">
        <v>61</v>
      </c>
      <c r="G714" s="29"/>
      <c r="H714" s="103">
        <f>_xlfn.XLOOKUP(B714,GM!$Q$5:$Q$756,GM!$J$5:$J$756)</f>
        <v>45959</v>
      </c>
    </row>
    <row r="715" spans="1:8" hidden="1" x14ac:dyDescent="0.35">
      <c r="A715" s="29" t="s">
        <v>17</v>
      </c>
      <c r="B715" s="29" t="str">
        <f t="shared" si="11"/>
        <v>CN2-19</v>
      </c>
      <c r="C715" s="29" t="s">
        <v>4550</v>
      </c>
      <c r="D715" s="67" t="s">
        <v>4551</v>
      </c>
      <c r="E715" s="96" t="s">
        <v>62</v>
      </c>
      <c r="F715" s="29" t="s">
        <v>61</v>
      </c>
      <c r="G715" s="29"/>
      <c r="H715" s="103">
        <f>_xlfn.XLOOKUP(B715,GM!$Q$5:$Q$756,GM!$J$5:$J$756)</f>
        <v>45959</v>
      </c>
    </row>
    <row r="716" spans="1:8" hidden="1" x14ac:dyDescent="0.35">
      <c r="A716" s="29" t="s">
        <v>17</v>
      </c>
      <c r="B716" s="29" t="str">
        <f t="shared" si="11"/>
        <v>CN2-19</v>
      </c>
      <c r="C716" s="29" t="s">
        <v>4552</v>
      </c>
      <c r="D716" s="67" t="s">
        <v>4553</v>
      </c>
      <c r="E716" s="96" t="s">
        <v>62</v>
      </c>
      <c r="F716" s="29" t="s">
        <v>61</v>
      </c>
      <c r="G716" s="29"/>
      <c r="H716" s="103">
        <f>_xlfn.XLOOKUP(B716,GM!$Q$5:$Q$756,GM!$J$5:$J$756)</f>
        <v>45959</v>
      </c>
    </row>
    <row r="717" spans="1:8" hidden="1" x14ac:dyDescent="0.35">
      <c r="A717" s="29" t="s">
        <v>17</v>
      </c>
      <c r="B717" s="29" t="str">
        <f t="shared" si="11"/>
        <v>CN2-19</v>
      </c>
      <c r="C717" s="29" t="s">
        <v>4554</v>
      </c>
      <c r="D717" s="67" t="s">
        <v>4555</v>
      </c>
      <c r="E717" s="96" t="s">
        <v>62</v>
      </c>
      <c r="F717" s="29" t="s">
        <v>61</v>
      </c>
      <c r="G717" s="29"/>
      <c r="H717" s="103">
        <f>_xlfn.XLOOKUP(B717,GM!$Q$5:$Q$756,GM!$J$5:$J$756)</f>
        <v>45959</v>
      </c>
    </row>
    <row r="718" spans="1:8" hidden="1" x14ac:dyDescent="0.35">
      <c r="A718" s="29" t="s">
        <v>17</v>
      </c>
      <c r="B718" s="29" t="str">
        <f t="shared" si="11"/>
        <v>CN2-20</v>
      </c>
      <c r="C718" s="29" t="s">
        <v>4556</v>
      </c>
      <c r="D718" s="67" t="s">
        <v>4557</v>
      </c>
      <c r="E718" s="96" t="s">
        <v>62</v>
      </c>
      <c r="F718" s="29" t="s">
        <v>61</v>
      </c>
      <c r="G718" s="29"/>
      <c r="H718" s="103">
        <f>_xlfn.XLOOKUP(B718,GM!$Q$5:$Q$756,GM!$J$5:$J$756)</f>
        <v>44889</v>
      </c>
    </row>
    <row r="719" spans="1:8" hidden="1" x14ac:dyDescent="0.35">
      <c r="A719" s="29" t="s">
        <v>17</v>
      </c>
      <c r="B719" s="29" t="str">
        <f t="shared" si="11"/>
        <v>CN2-20</v>
      </c>
      <c r="C719" s="29" t="s">
        <v>4558</v>
      </c>
      <c r="D719" s="67" t="s">
        <v>4559</v>
      </c>
      <c r="E719" s="96" t="s">
        <v>62</v>
      </c>
      <c r="F719" s="29" t="s">
        <v>61</v>
      </c>
      <c r="G719" s="29"/>
      <c r="H719" s="103">
        <f>_xlfn.XLOOKUP(B719,GM!$Q$5:$Q$756,GM!$J$5:$J$756)</f>
        <v>44889</v>
      </c>
    </row>
    <row r="720" spans="1:8" hidden="1" x14ac:dyDescent="0.35">
      <c r="A720" s="29" t="s">
        <v>17</v>
      </c>
      <c r="B720" s="29" t="str">
        <f t="shared" si="11"/>
        <v>CN2-20</v>
      </c>
      <c r="C720" s="29" t="s">
        <v>4560</v>
      </c>
      <c r="D720" s="67" t="s">
        <v>4561</v>
      </c>
      <c r="E720" s="96" t="s">
        <v>62</v>
      </c>
      <c r="F720" s="29" t="s">
        <v>61</v>
      </c>
      <c r="G720" s="29"/>
      <c r="H720" s="103">
        <f>_xlfn.XLOOKUP(B720,GM!$Q$5:$Q$756,GM!$J$5:$J$756)</f>
        <v>44889</v>
      </c>
    </row>
    <row r="721" spans="1:8" hidden="1" x14ac:dyDescent="0.35">
      <c r="A721" s="29" t="s">
        <v>17</v>
      </c>
      <c r="B721" s="29" t="str">
        <f t="shared" si="11"/>
        <v>CN2-20</v>
      </c>
      <c r="C721" s="29" t="s">
        <v>4562</v>
      </c>
      <c r="D721" s="67" t="s">
        <v>4563</v>
      </c>
      <c r="E721" s="96" t="s">
        <v>62</v>
      </c>
      <c r="F721" s="29" t="s">
        <v>61</v>
      </c>
      <c r="G721" s="29"/>
      <c r="H721" s="103">
        <f>_xlfn.XLOOKUP(B721,GM!$Q$5:$Q$756,GM!$J$5:$J$756)</f>
        <v>44889</v>
      </c>
    </row>
    <row r="722" spans="1:8" hidden="1" x14ac:dyDescent="0.35">
      <c r="A722" s="29" t="s">
        <v>17</v>
      </c>
      <c r="B722" s="29" t="str">
        <f t="shared" si="11"/>
        <v>CN2-20</v>
      </c>
      <c r="C722" s="29" t="s">
        <v>4564</v>
      </c>
      <c r="D722" s="67" t="s">
        <v>4565</v>
      </c>
      <c r="E722" s="96" t="s">
        <v>62</v>
      </c>
      <c r="F722" s="29" t="s">
        <v>61</v>
      </c>
      <c r="G722" s="29"/>
      <c r="H722" s="103">
        <f>_xlfn.XLOOKUP(B722,GM!$Q$5:$Q$756,GM!$J$5:$J$756)</f>
        <v>44889</v>
      </c>
    </row>
    <row r="723" spans="1:8" hidden="1" x14ac:dyDescent="0.35">
      <c r="A723" s="29" t="s">
        <v>17</v>
      </c>
      <c r="B723" s="29" t="str">
        <f t="shared" si="11"/>
        <v>CN2-20</v>
      </c>
      <c r="C723" s="29" t="s">
        <v>4566</v>
      </c>
      <c r="D723" s="67" t="s">
        <v>4567</v>
      </c>
      <c r="E723" s="96" t="s">
        <v>62</v>
      </c>
      <c r="F723" s="29" t="s">
        <v>61</v>
      </c>
      <c r="G723" s="29"/>
      <c r="H723" s="103">
        <f>_xlfn.XLOOKUP(B723,GM!$Q$5:$Q$756,GM!$J$5:$J$756)</f>
        <v>44889</v>
      </c>
    </row>
    <row r="724" spans="1:8" hidden="1" x14ac:dyDescent="0.35">
      <c r="A724" s="29" t="s">
        <v>17</v>
      </c>
      <c r="B724" s="29" t="str">
        <f t="shared" si="11"/>
        <v>CN2-20</v>
      </c>
      <c r="C724" s="29" t="s">
        <v>4568</v>
      </c>
      <c r="D724" s="67" t="s">
        <v>4569</v>
      </c>
      <c r="E724" s="96" t="s">
        <v>62</v>
      </c>
      <c r="F724" s="29" t="s">
        <v>61</v>
      </c>
      <c r="G724" s="29"/>
      <c r="H724" s="103">
        <f>_xlfn.XLOOKUP(B724,GM!$Q$5:$Q$756,GM!$J$5:$J$756)</f>
        <v>44889</v>
      </c>
    </row>
    <row r="725" spans="1:8" hidden="1" x14ac:dyDescent="0.35">
      <c r="A725" s="29" t="s">
        <v>17</v>
      </c>
      <c r="B725" s="29" t="str">
        <f t="shared" si="11"/>
        <v>CN2-21</v>
      </c>
      <c r="C725" s="29" t="s">
        <v>4570</v>
      </c>
      <c r="D725" s="67" t="s">
        <v>4571</v>
      </c>
      <c r="E725" s="96" t="s">
        <v>62</v>
      </c>
      <c r="F725" s="29" t="s">
        <v>61</v>
      </c>
      <c r="G725" s="29"/>
      <c r="H725" s="103">
        <f>_xlfn.XLOOKUP(B725,GM!$Q$5:$Q$756,GM!$J$5:$J$756)</f>
        <v>45645</v>
      </c>
    </row>
    <row r="726" spans="1:8" hidden="1" x14ac:dyDescent="0.35">
      <c r="A726" s="29" t="s">
        <v>17</v>
      </c>
      <c r="B726" s="29" t="str">
        <f t="shared" si="11"/>
        <v>CN2-21</v>
      </c>
      <c r="C726" s="29" t="s">
        <v>4572</v>
      </c>
      <c r="D726" s="67" t="s">
        <v>4573</v>
      </c>
      <c r="E726" s="96" t="s">
        <v>62</v>
      </c>
      <c r="F726" s="29" t="s">
        <v>61</v>
      </c>
      <c r="G726" s="29"/>
      <c r="H726" s="103">
        <f>_xlfn.XLOOKUP(B726,GM!$Q$5:$Q$756,GM!$J$5:$J$756)</f>
        <v>45645</v>
      </c>
    </row>
    <row r="727" spans="1:8" hidden="1" x14ac:dyDescent="0.35">
      <c r="A727" s="29" t="s">
        <v>17</v>
      </c>
      <c r="B727" s="29" t="str">
        <f t="shared" si="11"/>
        <v>CN2-21</v>
      </c>
      <c r="C727" s="29" t="s">
        <v>4574</v>
      </c>
      <c r="D727" s="67" t="s">
        <v>4575</v>
      </c>
      <c r="E727" s="96" t="s">
        <v>62</v>
      </c>
      <c r="F727" s="29" t="s">
        <v>61</v>
      </c>
      <c r="G727" s="29"/>
      <c r="H727" s="103">
        <f>_xlfn.XLOOKUP(B727,GM!$Q$5:$Q$756,GM!$J$5:$J$756)</f>
        <v>45645</v>
      </c>
    </row>
    <row r="728" spans="1:8" hidden="1" x14ac:dyDescent="0.35">
      <c r="A728" s="29" t="s">
        <v>17</v>
      </c>
      <c r="B728" s="29" t="str">
        <f t="shared" si="11"/>
        <v>CN2-21</v>
      </c>
      <c r="C728" s="29" t="s">
        <v>4576</v>
      </c>
      <c r="D728" s="67" t="s">
        <v>4577</v>
      </c>
      <c r="E728" s="96" t="s">
        <v>62</v>
      </c>
      <c r="F728" s="29" t="s">
        <v>61</v>
      </c>
      <c r="G728" s="29"/>
      <c r="H728" s="103">
        <f>_xlfn.XLOOKUP(B728,GM!$Q$5:$Q$756,GM!$J$5:$J$756)</f>
        <v>45645</v>
      </c>
    </row>
    <row r="729" spans="1:8" hidden="1" x14ac:dyDescent="0.35">
      <c r="A729" s="29" t="s">
        <v>17</v>
      </c>
      <c r="B729" s="29" t="str">
        <f t="shared" si="11"/>
        <v>CN2-21</v>
      </c>
      <c r="C729" s="29" t="s">
        <v>4578</v>
      </c>
      <c r="D729" s="67" t="s">
        <v>4579</v>
      </c>
      <c r="E729" s="96" t="s">
        <v>62</v>
      </c>
      <c r="F729" s="29" t="s">
        <v>61</v>
      </c>
      <c r="G729" s="29"/>
      <c r="H729" s="103">
        <f>_xlfn.XLOOKUP(B729,GM!$Q$5:$Q$756,GM!$J$5:$J$756)</f>
        <v>45645</v>
      </c>
    </row>
    <row r="730" spans="1:8" hidden="1" x14ac:dyDescent="0.35">
      <c r="A730" s="29" t="s">
        <v>17</v>
      </c>
      <c r="B730" s="29" t="str">
        <f t="shared" si="11"/>
        <v>CN2-21</v>
      </c>
      <c r="C730" s="29" t="s">
        <v>4580</v>
      </c>
      <c r="D730" s="67" t="s">
        <v>4581</v>
      </c>
      <c r="E730" s="96" t="s">
        <v>62</v>
      </c>
      <c r="F730" s="29" t="s">
        <v>61</v>
      </c>
      <c r="G730" s="29"/>
      <c r="H730" s="103">
        <f>_xlfn.XLOOKUP(B730,GM!$Q$5:$Q$756,GM!$J$5:$J$756)</f>
        <v>45645</v>
      </c>
    </row>
    <row r="731" spans="1:8" hidden="1" x14ac:dyDescent="0.35">
      <c r="A731" s="29" t="s">
        <v>17</v>
      </c>
      <c r="B731" s="29" t="str">
        <f t="shared" si="11"/>
        <v>CN2-22</v>
      </c>
      <c r="C731" s="29" t="s">
        <v>4582</v>
      </c>
      <c r="D731" s="67" t="s">
        <v>4583</v>
      </c>
      <c r="E731" s="96" t="s">
        <v>62</v>
      </c>
      <c r="F731" s="29" t="s">
        <v>61</v>
      </c>
      <c r="G731" s="29" t="s">
        <v>371</v>
      </c>
      <c r="H731" s="103">
        <f>_xlfn.XLOOKUP(B731,GM!$Q$5:$Q$756,GM!$J$5:$J$756)</f>
        <v>44739</v>
      </c>
    </row>
    <row r="732" spans="1:8" hidden="1" x14ac:dyDescent="0.35">
      <c r="A732" s="29" t="s">
        <v>17</v>
      </c>
      <c r="B732" s="29" t="str">
        <f t="shared" si="11"/>
        <v>CN2-23</v>
      </c>
      <c r="C732" s="29" t="s">
        <v>4584</v>
      </c>
      <c r="D732" s="67" t="s">
        <v>4585</v>
      </c>
      <c r="E732" s="96" t="s">
        <v>62</v>
      </c>
      <c r="F732" s="29" t="s">
        <v>61</v>
      </c>
      <c r="G732" s="29" t="s">
        <v>371</v>
      </c>
      <c r="H732" s="103">
        <f>_xlfn.XLOOKUP(B732,GM!$Q$5:$Q$756,GM!$J$5:$J$756)</f>
        <v>44739</v>
      </c>
    </row>
    <row r="733" spans="1:8" hidden="1" x14ac:dyDescent="0.35">
      <c r="A733" s="29" t="s">
        <v>17</v>
      </c>
      <c r="B733" s="29" t="str">
        <f t="shared" si="11"/>
        <v>CN2-24</v>
      </c>
      <c r="C733" s="29" t="s">
        <v>4586</v>
      </c>
      <c r="D733" s="67" t="s">
        <v>4587</v>
      </c>
      <c r="E733" s="96" t="s">
        <v>62</v>
      </c>
      <c r="F733" s="29" t="s">
        <v>61</v>
      </c>
      <c r="G733" s="29" t="s">
        <v>371</v>
      </c>
      <c r="H733" s="103">
        <f>_xlfn.XLOOKUP(B733,GM!$Q$5:$Q$756,GM!$J$5:$J$756)</f>
        <v>44739</v>
      </c>
    </row>
    <row r="734" spans="1:8" hidden="1" x14ac:dyDescent="0.35">
      <c r="A734" s="29" t="s">
        <v>17</v>
      </c>
      <c r="B734" s="29" t="str">
        <f t="shared" si="11"/>
        <v>CN2-25</v>
      </c>
      <c r="C734" s="29" t="s">
        <v>4588</v>
      </c>
      <c r="D734" s="67" t="s">
        <v>4589</v>
      </c>
      <c r="E734" s="96" t="s">
        <v>62</v>
      </c>
      <c r="F734" s="29" t="s">
        <v>61</v>
      </c>
      <c r="G734" s="29"/>
      <c r="H734" s="103">
        <f>_xlfn.XLOOKUP(B734,GM!$Q$5:$Q$756,GM!$J$5:$J$756)</f>
        <v>46009</v>
      </c>
    </row>
    <row r="735" spans="1:8" hidden="1" x14ac:dyDescent="0.35">
      <c r="A735" s="29" t="s">
        <v>17</v>
      </c>
      <c r="B735" s="29" t="str">
        <f t="shared" si="11"/>
        <v>CN2-25</v>
      </c>
      <c r="C735" s="29" t="s">
        <v>4590</v>
      </c>
      <c r="D735" s="67" t="s">
        <v>4591</v>
      </c>
      <c r="E735" s="96" t="s">
        <v>62</v>
      </c>
      <c r="F735" s="29" t="s">
        <v>61</v>
      </c>
      <c r="G735" s="29"/>
      <c r="H735" s="103">
        <f>_xlfn.XLOOKUP(B735,GM!$Q$5:$Q$756,GM!$J$5:$J$756)</f>
        <v>46009</v>
      </c>
    </row>
    <row r="736" spans="1:8" hidden="1" x14ac:dyDescent="0.35">
      <c r="A736" s="29" t="s">
        <v>17</v>
      </c>
      <c r="B736" s="29" t="str">
        <f t="shared" si="11"/>
        <v>CN2-26</v>
      </c>
      <c r="C736" s="29" t="s">
        <v>4592</v>
      </c>
      <c r="D736" s="67" t="s">
        <v>4593</v>
      </c>
      <c r="E736" s="96" t="s">
        <v>62</v>
      </c>
      <c r="F736" s="29" t="s">
        <v>61</v>
      </c>
      <c r="G736" s="29" t="s">
        <v>371</v>
      </c>
      <c r="H736" s="103">
        <f>_xlfn.XLOOKUP(B736,GM!$Q$5:$Q$756,GM!$J$5:$J$756)</f>
        <v>44739</v>
      </c>
    </row>
    <row r="737" spans="1:8" hidden="1" x14ac:dyDescent="0.35">
      <c r="A737" s="29" t="s">
        <v>17</v>
      </c>
      <c r="B737" s="29" t="str">
        <f t="shared" si="11"/>
        <v>CN2-27</v>
      </c>
      <c r="C737" s="29" t="s">
        <v>4594</v>
      </c>
      <c r="D737" s="67" t="s">
        <v>4595</v>
      </c>
      <c r="E737" s="96" t="s">
        <v>62</v>
      </c>
      <c r="F737" s="29" t="s">
        <v>61</v>
      </c>
      <c r="G737" s="29" t="s">
        <v>371</v>
      </c>
      <c r="H737" s="103">
        <f>_xlfn.XLOOKUP(B737,GM!$Q$5:$Q$756,GM!$J$5:$J$756)</f>
        <v>44739</v>
      </c>
    </row>
    <row r="738" spans="1:8" hidden="1" x14ac:dyDescent="0.35">
      <c r="A738" s="29" t="s">
        <v>17</v>
      </c>
      <c r="B738" s="29" t="str">
        <f t="shared" si="11"/>
        <v>CN2-28</v>
      </c>
      <c r="C738" s="29" t="s">
        <v>4596</v>
      </c>
      <c r="D738" s="67" t="s">
        <v>4597</v>
      </c>
      <c r="E738" s="96" t="s">
        <v>62</v>
      </c>
      <c r="F738" s="29" t="s">
        <v>61</v>
      </c>
      <c r="G738" s="29"/>
      <c r="H738" s="103">
        <f>_xlfn.XLOOKUP(B738,GM!$Q$5:$Q$756,GM!$J$5:$J$756)</f>
        <v>45202</v>
      </c>
    </row>
    <row r="739" spans="1:8" hidden="1" x14ac:dyDescent="0.35">
      <c r="A739" s="29" t="s">
        <v>17</v>
      </c>
      <c r="B739" s="29" t="str">
        <f t="shared" si="11"/>
        <v>CN2-29</v>
      </c>
      <c r="C739" s="29" t="s">
        <v>4598</v>
      </c>
      <c r="D739" s="67" t="s">
        <v>4599</v>
      </c>
      <c r="E739" s="96" t="s">
        <v>62</v>
      </c>
      <c r="F739" s="29" t="s">
        <v>61</v>
      </c>
      <c r="G739" s="29"/>
      <c r="H739" s="103">
        <f>_xlfn.XLOOKUP(B739,GM!$Q$5:$Q$756,GM!$J$5:$J$756)</f>
        <v>45202</v>
      </c>
    </row>
    <row r="740" spans="1:8" hidden="1" x14ac:dyDescent="0.35">
      <c r="A740" s="29" t="s">
        <v>17</v>
      </c>
      <c r="B740" s="29" t="str">
        <f t="shared" si="11"/>
        <v>CN2-30</v>
      </c>
      <c r="C740" s="29" t="s">
        <v>4600</v>
      </c>
      <c r="D740" s="67" t="s">
        <v>4601</v>
      </c>
      <c r="E740" s="96" t="s">
        <v>62</v>
      </c>
      <c r="F740" s="29" t="s">
        <v>61</v>
      </c>
      <c r="G740" s="29"/>
      <c r="H740" s="103">
        <f>_xlfn.XLOOKUP(B740,GM!$Q$5:$Q$756,GM!$J$5:$J$756)</f>
        <v>44838</v>
      </c>
    </row>
    <row r="741" spans="1:8" hidden="1" x14ac:dyDescent="0.35">
      <c r="A741" s="29" t="s">
        <v>17</v>
      </c>
      <c r="B741" s="29" t="str">
        <f t="shared" si="11"/>
        <v>CN2-30</v>
      </c>
      <c r="C741" s="29" t="s">
        <v>4602</v>
      </c>
      <c r="D741" s="67" t="s">
        <v>4603</v>
      </c>
      <c r="E741" s="96" t="s">
        <v>62</v>
      </c>
      <c r="F741" s="29" t="s">
        <v>61</v>
      </c>
      <c r="G741" s="29"/>
      <c r="H741" s="103">
        <f>_xlfn.XLOOKUP(B741,GM!$Q$5:$Q$756,GM!$J$5:$J$756)</f>
        <v>44838</v>
      </c>
    </row>
    <row r="742" spans="1:8" hidden="1" x14ac:dyDescent="0.35">
      <c r="A742" s="29" t="s">
        <v>17</v>
      </c>
      <c r="B742" s="29" t="str">
        <f t="shared" si="11"/>
        <v>CN2-33</v>
      </c>
      <c r="C742" s="29" t="s">
        <v>4604</v>
      </c>
      <c r="D742" s="67" t="s">
        <v>4605</v>
      </c>
      <c r="E742" s="96" t="s">
        <v>62</v>
      </c>
      <c r="F742" s="29" t="s">
        <v>61</v>
      </c>
      <c r="G742" s="29" t="s">
        <v>371</v>
      </c>
      <c r="H742" s="103">
        <f>_xlfn.XLOOKUP(B742,GM!$Q$5:$Q$756,GM!$J$5:$J$756)</f>
        <v>44739</v>
      </c>
    </row>
    <row r="743" spans="1:8" hidden="1" x14ac:dyDescent="0.35">
      <c r="A743" s="29" t="s">
        <v>17</v>
      </c>
      <c r="B743" s="29" t="str">
        <f t="shared" si="11"/>
        <v>CN2-40</v>
      </c>
      <c r="C743" s="29" t="s">
        <v>4606</v>
      </c>
      <c r="D743" s="67" t="s">
        <v>4607</v>
      </c>
      <c r="E743" s="96" t="s">
        <v>62</v>
      </c>
      <c r="F743" s="29" t="s">
        <v>61</v>
      </c>
      <c r="G743" s="29"/>
      <c r="H743" s="103">
        <f>_xlfn.XLOOKUP(B743,GM!$Q$5:$Q$756,GM!$J$5:$J$756)</f>
        <v>45202</v>
      </c>
    </row>
    <row r="744" spans="1:8" hidden="1" x14ac:dyDescent="0.35">
      <c r="A744" s="29" t="s">
        <v>17</v>
      </c>
      <c r="B744" s="29" t="str">
        <f t="shared" si="11"/>
        <v>CN2-40</v>
      </c>
      <c r="C744" s="29" t="s">
        <v>4608</v>
      </c>
      <c r="D744" s="67" t="s">
        <v>4609</v>
      </c>
      <c r="E744" s="96" t="s">
        <v>62</v>
      </c>
      <c r="F744" s="29" t="s">
        <v>61</v>
      </c>
      <c r="G744" s="29"/>
      <c r="H744" s="103">
        <f>_xlfn.XLOOKUP(B744,GM!$Q$5:$Q$756,GM!$J$5:$J$756)</f>
        <v>45202</v>
      </c>
    </row>
    <row r="745" spans="1:8" hidden="1" x14ac:dyDescent="0.35">
      <c r="A745" s="29" t="s">
        <v>17</v>
      </c>
      <c r="B745" s="29" t="str">
        <f t="shared" si="11"/>
        <v>CN2-41</v>
      </c>
      <c r="C745" s="29" t="s">
        <v>4610</v>
      </c>
      <c r="D745" s="67" t="s">
        <v>4611</v>
      </c>
      <c r="E745" s="96" t="s">
        <v>62</v>
      </c>
      <c r="F745" s="29" t="s">
        <v>61</v>
      </c>
      <c r="G745" s="29"/>
      <c r="H745" s="103">
        <f>_xlfn.XLOOKUP(B745,GM!$Q$5:$Q$756,GM!$J$5:$J$756)</f>
        <v>45202</v>
      </c>
    </row>
    <row r="746" spans="1:8" hidden="1" x14ac:dyDescent="0.35">
      <c r="A746" s="29" t="s">
        <v>17</v>
      </c>
      <c r="B746" s="29" t="str">
        <f t="shared" si="11"/>
        <v>CN2-41</v>
      </c>
      <c r="C746" s="29" t="s">
        <v>4612</v>
      </c>
      <c r="D746" s="67" t="s">
        <v>4613</v>
      </c>
      <c r="E746" s="96" t="s">
        <v>62</v>
      </c>
      <c r="F746" s="29" t="s">
        <v>61</v>
      </c>
      <c r="G746" s="29"/>
      <c r="H746" s="103">
        <f>_xlfn.XLOOKUP(B746,GM!$Q$5:$Q$756,GM!$J$5:$J$756)</f>
        <v>45202</v>
      </c>
    </row>
    <row r="747" spans="1:8" hidden="1" x14ac:dyDescent="0.35">
      <c r="A747" s="29" t="s">
        <v>17</v>
      </c>
      <c r="B747" s="29" t="str">
        <f t="shared" si="11"/>
        <v>CN2-41</v>
      </c>
      <c r="C747" s="29" t="s">
        <v>4614</v>
      </c>
      <c r="D747" s="67" t="s">
        <v>4615</v>
      </c>
      <c r="E747" s="96" t="s">
        <v>62</v>
      </c>
      <c r="F747" s="29" t="s">
        <v>61</v>
      </c>
      <c r="G747" s="29"/>
      <c r="H747" s="103">
        <f>_xlfn.XLOOKUP(B747,GM!$Q$5:$Q$756,GM!$J$5:$J$756)</f>
        <v>45202</v>
      </c>
    </row>
    <row r="748" spans="1:8" hidden="1" x14ac:dyDescent="0.35">
      <c r="A748" s="29" t="s">
        <v>17</v>
      </c>
      <c r="B748" s="29" t="str">
        <f t="shared" si="11"/>
        <v>CN2-51</v>
      </c>
      <c r="C748" s="29" t="s">
        <v>4616</v>
      </c>
      <c r="D748" s="67" t="s">
        <v>4617</v>
      </c>
      <c r="E748" s="96" t="s">
        <v>62</v>
      </c>
      <c r="F748" s="29" t="s">
        <v>61</v>
      </c>
      <c r="G748" s="29"/>
      <c r="H748" s="103">
        <f>_xlfn.XLOOKUP(B748,GM!$Q$5:$Q$756,GM!$J$5:$J$756)</f>
        <v>45959</v>
      </c>
    </row>
    <row r="749" spans="1:8" hidden="1" x14ac:dyDescent="0.35">
      <c r="A749" s="29" t="s">
        <v>17</v>
      </c>
      <c r="B749" s="29" t="str">
        <f t="shared" si="11"/>
        <v>CN2-51</v>
      </c>
      <c r="C749" s="29" t="s">
        <v>4618</v>
      </c>
      <c r="D749" s="67" t="s">
        <v>4619</v>
      </c>
      <c r="E749" s="96" t="s">
        <v>62</v>
      </c>
      <c r="F749" s="29" t="s">
        <v>61</v>
      </c>
      <c r="G749" s="29"/>
      <c r="H749" s="103">
        <f>_xlfn.XLOOKUP(B749,GM!$Q$5:$Q$756,GM!$J$5:$J$756)</f>
        <v>45959</v>
      </c>
    </row>
    <row r="750" spans="1:8" hidden="1" x14ac:dyDescent="0.35">
      <c r="A750" s="29" t="s">
        <v>17</v>
      </c>
      <c r="B750" s="29" t="str">
        <f t="shared" si="11"/>
        <v>CN2-51</v>
      </c>
      <c r="C750" s="29" t="s">
        <v>4620</v>
      </c>
      <c r="D750" s="67" t="s">
        <v>4621</v>
      </c>
      <c r="E750" s="96" t="s">
        <v>62</v>
      </c>
      <c r="F750" s="29" t="s">
        <v>61</v>
      </c>
      <c r="G750" s="29"/>
      <c r="H750" s="103">
        <f>_xlfn.XLOOKUP(B750,GM!$Q$5:$Q$756,GM!$J$5:$J$756)</f>
        <v>45959</v>
      </c>
    </row>
    <row r="751" spans="1:8" hidden="1" x14ac:dyDescent="0.35">
      <c r="A751" s="29" t="s">
        <v>17</v>
      </c>
      <c r="B751" s="29" t="str">
        <f t="shared" si="11"/>
        <v>CN2-51</v>
      </c>
      <c r="C751" s="29" t="s">
        <v>4622</v>
      </c>
      <c r="D751" s="67" t="s">
        <v>4623</v>
      </c>
      <c r="E751" s="96" t="s">
        <v>62</v>
      </c>
      <c r="F751" s="29" t="s">
        <v>61</v>
      </c>
      <c r="G751" s="29"/>
      <c r="H751" s="103">
        <f>_xlfn.XLOOKUP(B751,GM!$Q$5:$Q$756,GM!$J$5:$J$756)</f>
        <v>45959</v>
      </c>
    </row>
    <row r="752" spans="1:8" hidden="1" x14ac:dyDescent="0.35">
      <c r="A752" s="29" t="s">
        <v>17</v>
      </c>
      <c r="B752" s="29" t="str">
        <f t="shared" si="11"/>
        <v>CN2-51</v>
      </c>
      <c r="C752" s="29" t="s">
        <v>4624</v>
      </c>
      <c r="D752" s="67" t="s">
        <v>4625</v>
      </c>
      <c r="E752" s="96" t="s">
        <v>62</v>
      </c>
      <c r="F752" s="29" t="s">
        <v>61</v>
      </c>
      <c r="G752" s="29"/>
      <c r="H752" s="103">
        <f>_xlfn.XLOOKUP(B752,GM!$Q$5:$Q$756,GM!$J$5:$J$756)</f>
        <v>45959</v>
      </c>
    </row>
    <row r="753" spans="1:8" hidden="1" x14ac:dyDescent="0.35">
      <c r="A753" s="29" t="s">
        <v>17</v>
      </c>
      <c r="B753" s="29" t="str">
        <f t="shared" si="11"/>
        <v>CN2-51</v>
      </c>
      <c r="C753" s="29" t="s">
        <v>4626</v>
      </c>
      <c r="D753" s="67" t="s">
        <v>4627</v>
      </c>
      <c r="E753" s="96" t="s">
        <v>62</v>
      </c>
      <c r="F753" s="29" t="s">
        <v>61</v>
      </c>
      <c r="G753" s="29"/>
      <c r="H753" s="103">
        <f>_xlfn.XLOOKUP(B753,GM!$Q$5:$Q$756,GM!$J$5:$J$756)</f>
        <v>45959</v>
      </c>
    </row>
    <row r="754" spans="1:8" hidden="1" x14ac:dyDescent="0.35">
      <c r="A754" s="29" t="s">
        <v>17</v>
      </c>
      <c r="B754" s="29" t="str">
        <f t="shared" si="11"/>
        <v>CN2-51</v>
      </c>
      <c r="C754" s="29" t="s">
        <v>4628</v>
      </c>
      <c r="D754" s="67" t="s">
        <v>4629</v>
      </c>
      <c r="E754" s="96" t="s">
        <v>62</v>
      </c>
      <c r="F754" s="29" t="s">
        <v>61</v>
      </c>
      <c r="G754" s="29"/>
      <c r="H754" s="103">
        <f>_xlfn.XLOOKUP(B754,GM!$Q$5:$Q$756,GM!$J$5:$J$756)</f>
        <v>45959</v>
      </c>
    </row>
    <row r="755" spans="1:8" hidden="1" x14ac:dyDescent="0.35">
      <c r="A755" s="29" t="s">
        <v>17</v>
      </c>
      <c r="B755" s="29" t="str">
        <f t="shared" si="11"/>
        <v>CN2-51</v>
      </c>
      <c r="C755" s="29" t="s">
        <v>4630</v>
      </c>
      <c r="D755" s="67" t="s">
        <v>4631</v>
      </c>
      <c r="E755" s="96" t="s">
        <v>62</v>
      </c>
      <c r="F755" s="29" t="s">
        <v>61</v>
      </c>
      <c r="G755" s="29"/>
      <c r="H755" s="103">
        <f>_xlfn.XLOOKUP(B755,GM!$Q$5:$Q$756,GM!$J$5:$J$756)</f>
        <v>45959</v>
      </c>
    </row>
    <row r="756" spans="1:8" hidden="1" x14ac:dyDescent="0.35">
      <c r="A756" s="29" t="s">
        <v>17</v>
      </c>
      <c r="B756" s="29" t="str">
        <f t="shared" si="11"/>
        <v>CN2-51</v>
      </c>
      <c r="C756" s="29" t="s">
        <v>4632</v>
      </c>
      <c r="D756" s="67" t="s">
        <v>4633</v>
      </c>
      <c r="E756" s="96" t="s">
        <v>62</v>
      </c>
      <c r="F756" s="29" t="s">
        <v>61</v>
      </c>
      <c r="G756" s="29"/>
      <c r="H756" s="103">
        <f>_xlfn.XLOOKUP(B756,GM!$Q$5:$Q$756,GM!$J$5:$J$756)</f>
        <v>45959</v>
      </c>
    </row>
    <row r="757" spans="1:8" hidden="1" x14ac:dyDescent="0.35">
      <c r="A757" s="29" t="s">
        <v>17</v>
      </c>
      <c r="B757" s="29" t="str">
        <f t="shared" si="11"/>
        <v>CN2-51</v>
      </c>
      <c r="C757" s="29" t="s">
        <v>4634</v>
      </c>
      <c r="D757" s="67" t="s">
        <v>4635</v>
      </c>
      <c r="E757" s="96" t="s">
        <v>62</v>
      </c>
      <c r="F757" s="29" t="s">
        <v>61</v>
      </c>
      <c r="G757" s="29"/>
      <c r="H757" s="103">
        <f>_xlfn.XLOOKUP(B757,GM!$Q$5:$Q$756,GM!$J$5:$J$756)</f>
        <v>45959</v>
      </c>
    </row>
    <row r="758" spans="1:8" hidden="1" x14ac:dyDescent="0.35">
      <c r="A758" s="29" t="s">
        <v>17</v>
      </c>
      <c r="B758" s="29" t="str">
        <f t="shared" si="11"/>
        <v>CN2-51</v>
      </c>
      <c r="C758" s="29" t="s">
        <v>4636</v>
      </c>
      <c r="D758" s="67" t="s">
        <v>4637</v>
      </c>
      <c r="E758" s="96" t="s">
        <v>62</v>
      </c>
      <c r="F758" s="29" t="s">
        <v>61</v>
      </c>
      <c r="G758" s="29"/>
      <c r="H758" s="103">
        <f>_xlfn.XLOOKUP(B758,GM!$Q$5:$Q$756,GM!$J$5:$J$756)</f>
        <v>45959</v>
      </c>
    </row>
    <row r="759" spans="1:8" hidden="1" x14ac:dyDescent="0.35">
      <c r="A759" s="29" t="s">
        <v>17</v>
      </c>
      <c r="B759" s="29" t="str">
        <f t="shared" si="11"/>
        <v>CN2-51</v>
      </c>
      <c r="C759" s="29" t="s">
        <v>4638</v>
      </c>
      <c r="D759" s="67" t="s">
        <v>4639</v>
      </c>
      <c r="E759" s="96" t="s">
        <v>62</v>
      </c>
      <c r="F759" s="29" t="s">
        <v>61</v>
      </c>
      <c r="G759" s="29"/>
      <c r="H759" s="103">
        <f>_xlfn.XLOOKUP(B759,GM!$Q$5:$Q$756,GM!$J$5:$J$756)</f>
        <v>45959</v>
      </c>
    </row>
    <row r="760" spans="1:8" hidden="1" x14ac:dyDescent="0.35">
      <c r="A760" s="29" t="s">
        <v>17</v>
      </c>
      <c r="B760" s="29" t="str">
        <f t="shared" si="11"/>
        <v>CN2-51</v>
      </c>
      <c r="C760" s="29" t="s">
        <v>4640</v>
      </c>
      <c r="D760" s="67" t="s">
        <v>4641</v>
      </c>
      <c r="E760" s="96" t="s">
        <v>62</v>
      </c>
      <c r="F760" s="29" t="s">
        <v>61</v>
      </c>
      <c r="G760" s="29"/>
      <c r="H760" s="103">
        <f>_xlfn.XLOOKUP(B760,GM!$Q$5:$Q$756,GM!$J$5:$J$756)</f>
        <v>45959</v>
      </c>
    </row>
    <row r="761" spans="1:8" hidden="1" x14ac:dyDescent="0.35">
      <c r="A761" s="29" t="s">
        <v>17</v>
      </c>
      <c r="B761" s="29" t="str">
        <f t="shared" si="11"/>
        <v>CN2-56</v>
      </c>
      <c r="C761" s="29" t="s">
        <v>4642</v>
      </c>
      <c r="D761" s="67" t="s">
        <v>4643</v>
      </c>
      <c r="E761" s="96" t="s">
        <v>62</v>
      </c>
      <c r="F761" s="29" t="s">
        <v>61</v>
      </c>
      <c r="G761" s="29"/>
      <c r="H761" s="103">
        <f>_xlfn.XLOOKUP(B761,GM!$Q$5:$Q$756,GM!$J$5:$J$756)</f>
        <v>46107</v>
      </c>
    </row>
    <row r="762" spans="1:8" hidden="1" x14ac:dyDescent="0.35">
      <c r="A762" s="29" t="s">
        <v>17</v>
      </c>
      <c r="B762" s="29" t="str">
        <f t="shared" si="11"/>
        <v>CN2-56</v>
      </c>
      <c r="C762" s="29" t="s">
        <v>4644</v>
      </c>
      <c r="D762" s="67" t="s">
        <v>4645</v>
      </c>
      <c r="E762" s="96" t="s">
        <v>62</v>
      </c>
      <c r="F762" s="29" t="s">
        <v>61</v>
      </c>
      <c r="G762" s="29"/>
      <c r="H762" s="103">
        <f>_xlfn.XLOOKUP(B762,GM!$Q$5:$Q$756,GM!$J$5:$J$756)</f>
        <v>46107</v>
      </c>
    </row>
    <row r="763" spans="1:8" hidden="1" x14ac:dyDescent="0.35">
      <c r="A763" s="29" t="s">
        <v>17</v>
      </c>
      <c r="B763" s="29" t="str">
        <f t="shared" si="11"/>
        <v>CN2-56</v>
      </c>
      <c r="C763" s="29" t="s">
        <v>4646</v>
      </c>
      <c r="D763" s="67" t="s">
        <v>4647</v>
      </c>
      <c r="E763" s="96" t="s">
        <v>62</v>
      </c>
      <c r="F763" s="29" t="s">
        <v>61</v>
      </c>
      <c r="G763" s="29"/>
      <c r="H763" s="103">
        <f>_xlfn.XLOOKUP(B763,GM!$Q$5:$Q$756,GM!$J$5:$J$756)</f>
        <v>46107</v>
      </c>
    </row>
    <row r="764" spans="1:8" hidden="1" x14ac:dyDescent="0.35">
      <c r="A764" s="29" t="s">
        <v>17</v>
      </c>
      <c r="B764" s="29" t="str">
        <f t="shared" si="11"/>
        <v>CN2-56</v>
      </c>
      <c r="C764" s="29" t="s">
        <v>4648</v>
      </c>
      <c r="D764" s="67" t="s">
        <v>4649</v>
      </c>
      <c r="E764" s="96" t="s">
        <v>62</v>
      </c>
      <c r="F764" s="29" t="s">
        <v>61</v>
      </c>
      <c r="G764" s="29"/>
      <c r="H764" s="103">
        <f>_xlfn.XLOOKUP(B764,GM!$Q$5:$Q$756,GM!$J$5:$J$756)</f>
        <v>46107</v>
      </c>
    </row>
    <row r="765" spans="1:8" hidden="1" x14ac:dyDescent="0.35">
      <c r="A765" s="29" t="s">
        <v>17</v>
      </c>
      <c r="B765" s="29" t="str">
        <f t="shared" si="11"/>
        <v>CN2-57</v>
      </c>
      <c r="C765" s="29" t="s">
        <v>4650</v>
      </c>
      <c r="D765" s="67" t="s">
        <v>4651</v>
      </c>
      <c r="E765" s="96" t="s">
        <v>62</v>
      </c>
      <c r="F765" s="29" t="s">
        <v>61</v>
      </c>
      <c r="G765" s="29"/>
      <c r="H765" s="103">
        <f>_xlfn.XLOOKUP(B765,GM!$Q$5:$Q$756,GM!$J$5:$J$756)</f>
        <v>46107</v>
      </c>
    </row>
    <row r="766" spans="1:8" hidden="1" x14ac:dyDescent="0.35">
      <c r="A766" s="29" t="s">
        <v>17</v>
      </c>
      <c r="B766" s="29" t="str">
        <f t="shared" si="11"/>
        <v>CN2-57</v>
      </c>
      <c r="C766" s="29" t="s">
        <v>4652</v>
      </c>
      <c r="D766" s="67" t="s">
        <v>4653</v>
      </c>
      <c r="E766" s="96" t="s">
        <v>62</v>
      </c>
      <c r="F766" s="29" t="s">
        <v>61</v>
      </c>
      <c r="G766" s="29"/>
      <c r="H766" s="103">
        <f>_xlfn.XLOOKUP(B766,GM!$Q$5:$Q$756,GM!$J$5:$J$756)</f>
        <v>46107</v>
      </c>
    </row>
    <row r="767" spans="1:8" hidden="1" x14ac:dyDescent="0.35">
      <c r="A767" s="29" t="s">
        <v>17</v>
      </c>
      <c r="B767" s="29" t="str">
        <f t="shared" si="11"/>
        <v>CN2-57</v>
      </c>
      <c r="C767" s="29" t="s">
        <v>4654</v>
      </c>
      <c r="D767" s="67" t="s">
        <v>4655</v>
      </c>
      <c r="E767" s="96" t="s">
        <v>62</v>
      </c>
      <c r="F767" s="29" t="s">
        <v>61</v>
      </c>
      <c r="G767" s="29"/>
      <c r="H767" s="103">
        <f>_xlfn.XLOOKUP(B767,GM!$Q$5:$Q$756,GM!$J$5:$J$756)</f>
        <v>46107</v>
      </c>
    </row>
    <row r="768" spans="1:8" hidden="1" x14ac:dyDescent="0.35">
      <c r="A768" s="29" t="s">
        <v>17</v>
      </c>
      <c r="B768" s="29" t="str">
        <f t="shared" si="11"/>
        <v>CN2-57</v>
      </c>
      <c r="C768" s="29" t="s">
        <v>4656</v>
      </c>
      <c r="D768" s="67" t="s">
        <v>4657</v>
      </c>
      <c r="E768" s="96" t="s">
        <v>62</v>
      </c>
      <c r="F768" s="29" t="s">
        <v>61</v>
      </c>
      <c r="G768" s="29"/>
      <c r="H768" s="103">
        <f>_xlfn.XLOOKUP(B768,GM!$Q$5:$Q$756,GM!$J$5:$J$756)</f>
        <v>46107</v>
      </c>
    </row>
    <row r="769" spans="1:8" hidden="1" x14ac:dyDescent="0.35">
      <c r="A769" s="29" t="s">
        <v>17</v>
      </c>
      <c r="B769" s="29" t="str">
        <f t="shared" si="11"/>
        <v>CN2-57</v>
      </c>
      <c r="C769" s="29" t="s">
        <v>4658</v>
      </c>
      <c r="D769" s="67" t="s">
        <v>4659</v>
      </c>
      <c r="E769" s="96" t="s">
        <v>62</v>
      </c>
      <c r="F769" s="29" t="s">
        <v>61</v>
      </c>
      <c r="G769" s="29"/>
      <c r="H769" s="103">
        <f>_xlfn.XLOOKUP(B769,GM!$Q$5:$Q$756,GM!$J$5:$J$756)</f>
        <v>46107</v>
      </c>
    </row>
    <row r="770" spans="1:8" hidden="1" x14ac:dyDescent="0.35">
      <c r="A770" s="29" t="s">
        <v>17</v>
      </c>
      <c r="B770" s="29" t="str">
        <f t="shared" si="11"/>
        <v>CN2-58</v>
      </c>
      <c r="C770" s="29" t="s">
        <v>4660</v>
      </c>
      <c r="D770" s="67" t="s">
        <v>4661</v>
      </c>
      <c r="E770" s="96" t="s">
        <v>62</v>
      </c>
      <c r="F770" s="29" t="s">
        <v>61</v>
      </c>
      <c r="G770" s="29" t="s">
        <v>371</v>
      </c>
      <c r="H770" s="103">
        <f>_xlfn.XLOOKUP(B770,GM!$Q$5:$Q$756,GM!$J$5:$J$756)</f>
        <v>44739</v>
      </c>
    </row>
    <row r="771" spans="1:8" hidden="1" x14ac:dyDescent="0.35">
      <c r="A771" s="29" t="s">
        <v>17</v>
      </c>
      <c r="B771" s="29" t="str">
        <f t="shared" si="11"/>
        <v>CN2-59</v>
      </c>
      <c r="C771" s="29" t="s">
        <v>4662</v>
      </c>
      <c r="D771" s="67" t="s">
        <v>4663</v>
      </c>
      <c r="E771" s="96" t="s">
        <v>62</v>
      </c>
      <c r="F771" s="29" t="s">
        <v>61</v>
      </c>
      <c r="G771" s="29"/>
      <c r="H771" s="103">
        <f>_xlfn.XLOOKUP(B771,GM!$Q$5:$Q$756,GM!$J$5:$J$756)</f>
        <v>45462</v>
      </c>
    </row>
    <row r="772" spans="1:8" hidden="1" x14ac:dyDescent="0.35">
      <c r="A772" s="29" t="s">
        <v>17</v>
      </c>
      <c r="B772" s="29" t="str">
        <f t="shared" si="11"/>
        <v>CN2-59</v>
      </c>
      <c r="C772" s="29" t="s">
        <v>4664</v>
      </c>
      <c r="D772" s="67" t="s">
        <v>4665</v>
      </c>
      <c r="E772" s="96" t="s">
        <v>62</v>
      </c>
      <c r="F772" s="29" t="s">
        <v>61</v>
      </c>
      <c r="G772" s="29"/>
      <c r="H772" s="103">
        <f>_xlfn.XLOOKUP(B772,GM!$Q$5:$Q$756,GM!$J$5:$J$756)</f>
        <v>45462</v>
      </c>
    </row>
    <row r="773" spans="1:8" hidden="1" x14ac:dyDescent="0.35">
      <c r="A773" s="29" t="s">
        <v>17</v>
      </c>
      <c r="B773" s="29" t="str">
        <f t="shared" ref="B773:B836" si="12">IF(OR(A773="ARN",A773="SDP"),MID(C773,4,7),MID(C773,4,6))</f>
        <v>CN2-60</v>
      </c>
      <c r="C773" s="29" t="s">
        <v>4666</v>
      </c>
      <c r="D773" s="67" t="s">
        <v>4667</v>
      </c>
      <c r="E773" s="96" t="s">
        <v>62</v>
      </c>
      <c r="F773" s="29" t="s">
        <v>61</v>
      </c>
      <c r="G773" s="29" t="s">
        <v>371</v>
      </c>
      <c r="H773" s="103">
        <f>_xlfn.XLOOKUP(B773,GM!$Q$5:$Q$756,GM!$J$5:$J$756)</f>
        <v>44819</v>
      </c>
    </row>
    <row r="774" spans="1:8" hidden="1" x14ac:dyDescent="0.35">
      <c r="A774" s="29" t="s">
        <v>17</v>
      </c>
      <c r="B774" s="29" t="str">
        <f t="shared" si="12"/>
        <v>CN2-61</v>
      </c>
      <c r="C774" s="29" t="s">
        <v>4668</v>
      </c>
      <c r="D774" s="67" t="s">
        <v>4669</v>
      </c>
      <c r="E774" s="96" t="s">
        <v>62</v>
      </c>
      <c r="F774" s="29" t="s">
        <v>61</v>
      </c>
      <c r="G774" s="29"/>
      <c r="H774" s="103">
        <f>_xlfn.XLOOKUP(B774,GM!$Q$5:$Q$756,GM!$J$5:$J$756)</f>
        <v>44926</v>
      </c>
    </row>
    <row r="775" spans="1:8" hidden="1" x14ac:dyDescent="0.35">
      <c r="A775" s="29" t="s">
        <v>17</v>
      </c>
      <c r="B775" s="29" t="str">
        <f t="shared" si="12"/>
        <v>CN2-62</v>
      </c>
      <c r="C775" s="29" t="s">
        <v>4670</v>
      </c>
      <c r="D775" s="67" t="s">
        <v>4671</v>
      </c>
      <c r="E775" s="96" t="s">
        <v>62</v>
      </c>
      <c r="F775" s="29" t="s">
        <v>61</v>
      </c>
      <c r="G775" s="29"/>
      <c r="H775" s="103">
        <f>_xlfn.XLOOKUP(B775,GM!$Q$5:$Q$756,GM!$J$5:$J$756)</f>
        <v>44926</v>
      </c>
    </row>
    <row r="776" spans="1:8" hidden="1" x14ac:dyDescent="0.35">
      <c r="A776" s="29" t="s">
        <v>17</v>
      </c>
      <c r="B776" s="29" t="str">
        <f t="shared" si="12"/>
        <v>CN2-64</v>
      </c>
      <c r="C776" s="29" t="s">
        <v>4672</v>
      </c>
      <c r="D776" s="67" t="s">
        <v>4673</v>
      </c>
      <c r="E776" s="96" t="s">
        <v>62</v>
      </c>
      <c r="F776" s="29" t="s">
        <v>61</v>
      </c>
      <c r="G776" s="29"/>
      <c r="H776" s="103" t="e">
        <f>_xlfn.XLOOKUP(B776,GM!$Q$5:$Q$756,GM!$J$5:$J$756)</f>
        <v>#N/A</v>
      </c>
    </row>
    <row r="777" spans="1:8" hidden="1" x14ac:dyDescent="0.35">
      <c r="A777" s="29" t="s">
        <v>17</v>
      </c>
      <c r="B777" s="29" t="str">
        <f t="shared" si="12"/>
        <v>CN2-65</v>
      </c>
      <c r="C777" s="29" t="s">
        <v>4674</v>
      </c>
      <c r="D777" s="67" t="s">
        <v>4675</v>
      </c>
      <c r="E777" s="96" t="s">
        <v>62</v>
      </c>
      <c r="F777" s="29" t="s">
        <v>61</v>
      </c>
      <c r="G777" s="29"/>
      <c r="H777" s="103">
        <f>_xlfn.XLOOKUP(B777,GM!$Q$5:$Q$756,GM!$J$5:$J$756)</f>
        <v>45202</v>
      </c>
    </row>
    <row r="778" spans="1:8" hidden="1" x14ac:dyDescent="0.35">
      <c r="A778" s="29" t="s">
        <v>17</v>
      </c>
      <c r="B778" s="29" t="str">
        <f t="shared" si="12"/>
        <v>CN2-66</v>
      </c>
      <c r="C778" s="29" t="s">
        <v>4676</v>
      </c>
      <c r="D778" s="67" t="s">
        <v>4677</v>
      </c>
      <c r="E778" s="96" t="s">
        <v>62</v>
      </c>
      <c r="F778" s="29" t="s">
        <v>61</v>
      </c>
      <c r="G778" s="29"/>
      <c r="H778" s="103" t="e">
        <f>_xlfn.XLOOKUP(B778,GM!$Q$5:$Q$756,GM!$J$5:$J$756)</f>
        <v>#N/A</v>
      </c>
    </row>
    <row r="779" spans="1:8" hidden="1" x14ac:dyDescent="0.35">
      <c r="A779" s="29" t="s">
        <v>17</v>
      </c>
      <c r="B779" s="29" t="str">
        <f t="shared" si="12"/>
        <v>CN2-67</v>
      </c>
      <c r="C779" s="29" t="s">
        <v>4678</v>
      </c>
      <c r="D779" s="67" t="s">
        <v>4679</v>
      </c>
      <c r="E779" s="96" t="s">
        <v>62</v>
      </c>
      <c r="F779" s="29" t="s">
        <v>61</v>
      </c>
      <c r="G779" s="29"/>
      <c r="H779" s="103" t="e">
        <f>_xlfn.XLOOKUP(B779,GM!$Q$5:$Q$756,GM!$J$5:$J$756)</f>
        <v>#N/A</v>
      </c>
    </row>
    <row r="780" spans="1:8" hidden="1" x14ac:dyDescent="0.35">
      <c r="A780" s="29" t="s">
        <v>17</v>
      </c>
      <c r="B780" s="29" t="str">
        <f t="shared" si="12"/>
        <v>CN2-68</v>
      </c>
      <c r="C780" s="29" t="s">
        <v>4680</v>
      </c>
      <c r="D780" s="67" t="s">
        <v>4681</v>
      </c>
      <c r="E780" s="96" t="s">
        <v>62</v>
      </c>
      <c r="F780" s="29" t="s">
        <v>61</v>
      </c>
      <c r="G780" s="29"/>
      <c r="H780" s="103" t="e">
        <f>_xlfn.XLOOKUP(B780,GM!$Q$5:$Q$756,GM!$J$5:$J$756)</f>
        <v>#N/A</v>
      </c>
    </row>
    <row r="781" spans="1:8" hidden="1" x14ac:dyDescent="0.35">
      <c r="A781" s="29" t="s">
        <v>18</v>
      </c>
      <c r="B781" s="29" t="str">
        <f t="shared" si="12"/>
        <v>CPV03-</v>
      </c>
      <c r="C781" s="29" t="s">
        <v>4682</v>
      </c>
      <c r="D781" s="67" t="s">
        <v>4683</v>
      </c>
      <c r="E781" s="96" t="s">
        <v>62</v>
      </c>
      <c r="F781" s="29" t="s">
        <v>61</v>
      </c>
      <c r="G781" s="29"/>
      <c r="H781" s="103" t="e">
        <f>_xlfn.XLOOKUP(B781,GM!$Q$5:$Q$756,GM!$J$5:$J$756)</f>
        <v>#N/A</v>
      </c>
    </row>
    <row r="782" spans="1:8" hidden="1" x14ac:dyDescent="0.35">
      <c r="A782" s="29" t="s">
        <v>18</v>
      </c>
      <c r="B782" s="29" t="str">
        <f t="shared" si="12"/>
        <v>CPV-68</v>
      </c>
      <c r="C782" s="29" t="s">
        <v>4684</v>
      </c>
      <c r="D782" s="67" t="s">
        <v>4685</v>
      </c>
      <c r="E782" s="96" t="s">
        <v>62</v>
      </c>
      <c r="F782" s="29" t="s">
        <v>61</v>
      </c>
      <c r="G782" s="29"/>
      <c r="H782" s="103" t="e">
        <f>_xlfn.XLOOKUP(B782,GM!$Q$5:$Q$756,GM!$J$5:$J$756)</f>
        <v>#N/A</v>
      </c>
    </row>
    <row r="783" spans="1:8" hidden="1" x14ac:dyDescent="0.35">
      <c r="A783" s="29" t="s">
        <v>18</v>
      </c>
      <c r="B783" s="29" t="str">
        <f t="shared" si="12"/>
        <v>CPV-67</v>
      </c>
      <c r="C783" s="29" t="s">
        <v>4686</v>
      </c>
      <c r="D783" s="67" t="s">
        <v>4687</v>
      </c>
      <c r="E783" s="96" t="s">
        <v>62</v>
      </c>
      <c r="F783" s="29" t="s">
        <v>61</v>
      </c>
      <c r="G783" s="29"/>
      <c r="H783" s="103" t="e">
        <f>_xlfn.XLOOKUP(B783,GM!$Q$5:$Q$756,GM!$J$5:$J$756)</f>
        <v>#N/A</v>
      </c>
    </row>
    <row r="784" spans="1:8" hidden="1" x14ac:dyDescent="0.35">
      <c r="A784" s="29" t="s">
        <v>18</v>
      </c>
      <c r="B784" s="29" t="str">
        <f t="shared" si="12"/>
        <v>CPV-66</v>
      </c>
      <c r="C784" s="29" t="s">
        <v>4688</v>
      </c>
      <c r="D784" s="67" t="s">
        <v>4689</v>
      </c>
      <c r="E784" s="96" t="s">
        <v>62</v>
      </c>
      <c r="F784" s="29" t="s">
        <v>61</v>
      </c>
      <c r="G784" s="29"/>
      <c r="H784" s="103" t="e">
        <f>_xlfn.XLOOKUP(B784,GM!$Q$5:$Q$756,GM!$J$5:$J$756)</f>
        <v>#N/A</v>
      </c>
    </row>
    <row r="785" spans="1:8" hidden="1" x14ac:dyDescent="0.35">
      <c r="A785" s="29" t="s">
        <v>18</v>
      </c>
      <c r="B785" s="29" t="str">
        <f t="shared" si="12"/>
        <v>CPV-65</v>
      </c>
      <c r="C785" s="29" t="s">
        <v>4690</v>
      </c>
      <c r="D785" s="67" t="s">
        <v>4691</v>
      </c>
      <c r="E785" s="96" t="s">
        <v>62</v>
      </c>
      <c r="F785" s="29" t="s">
        <v>61</v>
      </c>
      <c r="G785" s="29"/>
      <c r="H785" s="103">
        <f>_xlfn.XLOOKUP(B785,GM!$Q$5:$Q$756,GM!$J$5:$J$756)</f>
        <v>45202</v>
      </c>
    </row>
    <row r="786" spans="1:8" hidden="1" x14ac:dyDescent="0.35">
      <c r="A786" s="29" t="s">
        <v>18</v>
      </c>
      <c r="B786" s="29" t="str">
        <f t="shared" si="12"/>
        <v>CPV-64</v>
      </c>
      <c r="C786" s="29" t="s">
        <v>4692</v>
      </c>
      <c r="D786" s="67" t="s">
        <v>4693</v>
      </c>
      <c r="E786" s="96" t="s">
        <v>62</v>
      </c>
      <c r="F786" s="29" t="s">
        <v>61</v>
      </c>
      <c r="G786" s="29"/>
      <c r="H786" s="103" t="e">
        <f>_xlfn.XLOOKUP(B786,GM!$Q$5:$Q$756,GM!$J$5:$J$756)</f>
        <v>#N/A</v>
      </c>
    </row>
    <row r="787" spans="1:8" hidden="1" x14ac:dyDescent="0.35">
      <c r="A787" s="29" t="s">
        <v>18</v>
      </c>
      <c r="B787" s="29" t="str">
        <f t="shared" si="12"/>
        <v>CPV-62</v>
      </c>
      <c r="C787" s="29" t="s">
        <v>4694</v>
      </c>
      <c r="D787" s="67" t="s">
        <v>4695</v>
      </c>
      <c r="E787" s="96" t="s">
        <v>62</v>
      </c>
      <c r="F787" s="29" t="s">
        <v>61</v>
      </c>
      <c r="G787" s="29"/>
      <c r="H787" s="103">
        <f>_xlfn.XLOOKUP(B787,GM!$Q$5:$Q$756,GM!$J$5:$J$756)</f>
        <v>44926</v>
      </c>
    </row>
    <row r="788" spans="1:8" hidden="1" x14ac:dyDescent="0.35">
      <c r="A788" s="29" t="s">
        <v>18</v>
      </c>
      <c r="B788" s="29" t="str">
        <f t="shared" si="12"/>
        <v>CPV-61</v>
      </c>
      <c r="C788" s="29" t="s">
        <v>4696</v>
      </c>
      <c r="D788" s="67" t="s">
        <v>4697</v>
      </c>
      <c r="E788" s="96" t="s">
        <v>62</v>
      </c>
      <c r="F788" s="29" t="s">
        <v>61</v>
      </c>
      <c r="G788" s="29"/>
      <c r="H788" s="103">
        <f>_xlfn.XLOOKUP(B788,GM!$Q$5:$Q$756,GM!$J$5:$J$756)</f>
        <v>44926</v>
      </c>
    </row>
    <row r="789" spans="1:8" hidden="1" x14ac:dyDescent="0.35">
      <c r="A789" s="29" t="s">
        <v>18</v>
      </c>
      <c r="B789" s="29" t="str">
        <f t="shared" si="12"/>
        <v>CPV-60</v>
      </c>
      <c r="C789" s="29" t="s">
        <v>4698</v>
      </c>
      <c r="D789" s="67" t="s">
        <v>4699</v>
      </c>
      <c r="E789" s="96" t="s">
        <v>62</v>
      </c>
      <c r="F789" s="29" t="s">
        <v>61</v>
      </c>
      <c r="G789" s="29" t="s">
        <v>371</v>
      </c>
      <c r="H789" s="103">
        <f>_xlfn.XLOOKUP(B789,GM!$Q$5:$Q$756,GM!$J$5:$J$756)</f>
        <v>44819</v>
      </c>
    </row>
    <row r="790" spans="1:8" hidden="1" x14ac:dyDescent="0.35">
      <c r="A790" s="29" t="s">
        <v>18</v>
      </c>
      <c r="B790" s="29" t="str">
        <f t="shared" si="12"/>
        <v>CPV-59</v>
      </c>
      <c r="C790" s="29" t="s">
        <v>4700</v>
      </c>
      <c r="D790" s="67" t="s">
        <v>4701</v>
      </c>
      <c r="E790" s="96" t="s">
        <v>62</v>
      </c>
      <c r="F790" s="29" t="s">
        <v>61</v>
      </c>
      <c r="G790" s="29"/>
      <c r="H790" s="103">
        <f>_xlfn.XLOOKUP(B790,GM!$Q$5:$Q$756,GM!$J$5:$J$756)</f>
        <v>45462</v>
      </c>
    </row>
    <row r="791" spans="1:8" hidden="1" x14ac:dyDescent="0.35">
      <c r="A791" s="29" t="s">
        <v>18</v>
      </c>
      <c r="B791" s="29" t="str">
        <f t="shared" si="12"/>
        <v>CPV-59</v>
      </c>
      <c r="C791" s="29" t="s">
        <v>4702</v>
      </c>
      <c r="D791" s="67" t="s">
        <v>4703</v>
      </c>
      <c r="E791" s="96" t="s">
        <v>62</v>
      </c>
      <c r="F791" s="29" t="s">
        <v>61</v>
      </c>
      <c r="G791" s="29"/>
      <c r="H791" s="103">
        <f>_xlfn.XLOOKUP(B791,GM!$Q$5:$Q$756,GM!$J$5:$J$756)</f>
        <v>45462</v>
      </c>
    </row>
    <row r="792" spans="1:8" hidden="1" x14ac:dyDescent="0.35">
      <c r="A792" s="29" t="s">
        <v>18</v>
      </c>
      <c r="B792" s="29" t="str">
        <f t="shared" si="12"/>
        <v>CPV-58</v>
      </c>
      <c r="C792" s="29" t="s">
        <v>4704</v>
      </c>
      <c r="D792" s="67" t="s">
        <v>4705</v>
      </c>
      <c r="E792" s="96" t="s">
        <v>62</v>
      </c>
      <c r="F792" s="29" t="s">
        <v>61</v>
      </c>
      <c r="G792" s="29" t="s">
        <v>371</v>
      </c>
      <c r="H792" s="103">
        <f>_xlfn.XLOOKUP(B792,GM!$Q$5:$Q$756,GM!$J$5:$J$756)</f>
        <v>44739</v>
      </c>
    </row>
    <row r="793" spans="1:8" hidden="1" x14ac:dyDescent="0.35">
      <c r="A793" s="29" t="s">
        <v>18</v>
      </c>
      <c r="B793" s="29" t="str">
        <f t="shared" si="12"/>
        <v>CPV-51</v>
      </c>
      <c r="C793" s="29" t="s">
        <v>4706</v>
      </c>
      <c r="D793" s="67" t="s">
        <v>4707</v>
      </c>
      <c r="E793" s="96" t="s">
        <v>62</v>
      </c>
      <c r="F793" s="29" t="s">
        <v>61</v>
      </c>
      <c r="G793" s="29"/>
      <c r="H793" s="103">
        <f>_xlfn.XLOOKUP(B793,GM!$Q$5:$Q$756,GM!$J$5:$J$756)</f>
        <v>45959</v>
      </c>
    </row>
    <row r="794" spans="1:8" hidden="1" x14ac:dyDescent="0.35">
      <c r="A794" s="29" t="s">
        <v>18</v>
      </c>
      <c r="B794" s="29" t="str">
        <f t="shared" si="12"/>
        <v>CPV-51</v>
      </c>
      <c r="C794" s="29" t="s">
        <v>4708</v>
      </c>
      <c r="D794" s="67" t="s">
        <v>4709</v>
      </c>
      <c r="E794" s="96" t="s">
        <v>62</v>
      </c>
      <c r="F794" s="29" t="s">
        <v>61</v>
      </c>
      <c r="G794" s="29"/>
      <c r="H794" s="103">
        <f>_xlfn.XLOOKUP(B794,GM!$Q$5:$Q$756,GM!$J$5:$J$756)</f>
        <v>45959</v>
      </c>
    </row>
    <row r="795" spans="1:8" hidden="1" x14ac:dyDescent="0.35">
      <c r="A795" s="29" t="s">
        <v>18</v>
      </c>
      <c r="B795" s="29" t="str">
        <f t="shared" si="12"/>
        <v>CPV-51</v>
      </c>
      <c r="C795" s="29" t="s">
        <v>4710</v>
      </c>
      <c r="D795" s="67" t="s">
        <v>4711</v>
      </c>
      <c r="E795" s="96" t="s">
        <v>62</v>
      </c>
      <c r="F795" s="29" t="s">
        <v>61</v>
      </c>
      <c r="G795" s="29"/>
      <c r="H795" s="103">
        <f>_xlfn.XLOOKUP(B795,GM!$Q$5:$Q$756,GM!$J$5:$J$756)</f>
        <v>45959</v>
      </c>
    </row>
    <row r="796" spans="1:8" hidden="1" x14ac:dyDescent="0.35">
      <c r="A796" s="29" t="s">
        <v>18</v>
      </c>
      <c r="B796" s="29" t="str">
        <f t="shared" si="12"/>
        <v>CPV-51</v>
      </c>
      <c r="C796" s="29" t="s">
        <v>4712</v>
      </c>
      <c r="D796" s="67" t="s">
        <v>4713</v>
      </c>
      <c r="E796" s="96" t="s">
        <v>62</v>
      </c>
      <c r="F796" s="29" t="s">
        <v>61</v>
      </c>
      <c r="G796" s="29"/>
      <c r="H796" s="103">
        <f>_xlfn.XLOOKUP(B796,GM!$Q$5:$Q$756,GM!$J$5:$J$756)</f>
        <v>45959</v>
      </c>
    </row>
    <row r="797" spans="1:8" hidden="1" x14ac:dyDescent="0.35">
      <c r="A797" s="29" t="s">
        <v>18</v>
      </c>
      <c r="B797" s="29" t="str">
        <f t="shared" si="12"/>
        <v>CPV-51</v>
      </c>
      <c r="C797" s="29" t="s">
        <v>4714</v>
      </c>
      <c r="D797" s="67" t="s">
        <v>4715</v>
      </c>
      <c r="E797" s="96" t="s">
        <v>62</v>
      </c>
      <c r="F797" s="29" t="s">
        <v>61</v>
      </c>
      <c r="G797" s="29"/>
      <c r="H797" s="103">
        <f>_xlfn.XLOOKUP(B797,GM!$Q$5:$Q$756,GM!$J$5:$J$756)</f>
        <v>45959</v>
      </c>
    </row>
    <row r="798" spans="1:8" hidden="1" x14ac:dyDescent="0.35">
      <c r="A798" s="29" t="s">
        <v>18</v>
      </c>
      <c r="B798" s="29" t="str">
        <f t="shared" si="12"/>
        <v>CPV-51</v>
      </c>
      <c r="C798" s="29" t="s">
        <v>4716</v>
      </c>
      <c r="D798" s="67" t="s">
        <v>4717</v>
      </c>
      <c r="E798" s="96" t="s">
        <v>62</v>
      </c>
      <c r="F798" s="29" t="s">
        <v>61</v>
      </c>
      <c r="G798" s="29"/>
      <c r="H798" s="103">
        <f>_xlfn.XLOOKUP(B798,GM!$Q$5:$Q$756,GM!$J$5:$J$756)</f>
        <v>45959</v>
      </c>
    </row>
    <row r="799" spans="1:8" hidden="1" x14ac:dyDescent="0.35">
      <c r="A799" s="29" t="s">
        <v>18</v>
      </c>
      <c r="B799" s="29" t="str">
        <f t="shared" si="12"/>
        <v>CPV-51</v>
      </c>
      <c r="C799" s="29" t="s">
        <v>4718</v>
      </c>
      <c r="D799" s="67" t="s">
        <v>4719</v>
      </c>
      <c r="E799" s="96" t="s">
        <v>62</v>
      </c>
      <c r="F799" s="29" t="s">
        <v>61</v>
      </c>
      <c r="G799" s="29"/>
      <c r="H799" s="103">
        <f>_xlfn.XLOOKUP(B799,GM!$Q$5:$Q$756,GM!$J$5:$J$756)</f>
        <v>45959</v>
      </c>
    </row>
    <row r="800" spans="1:8" hidden="1" x14ac:dyDescent="0.35">
      <c r="A800" s="29" t="s">
        <v>18</v>
      </c>
      <c r="B800" s="29" t="str">
        <f t="shared" si="12"/>
        <v>CPV-51</v>
      </c>
      <c r="C800" s="29" t="s">
        <v>4720</v>
      </c>
      <c r="D800" s="67" t="s">
        <v>4721</v>
      </c>
      <c r="E800" s="96" t="s">
        <v>62</v>
      </c>
      <c r="F800" s="29" t="s">
        <v>61</v>
      </c>
      <c r="G800" s="29"/>
      <c r="H800" s="103">
        <f>_xlfn.XLOOKUP(B800,GM!$Q$5:$Q$756,GM!$J$5:$J$756)</f>
        <v>45959</v>
      </c>
    </row>
    <row r="801" spans="1:8" hidden="1" x14ac:dyDescent="0.35">
      <c r="A801" s="29" t="s">
        <v>18</v>
      </c>
      <c r="B801" s="29" t="str">
        <f t="shared" si="12"/>
        <v>CPV-51</v>
      </c>
      <c r="C801" s="29" t="s">
        <v>4722</v>
      </c>
      <c r="D801" s="67" t="s">
        <v>4723</v>
      </c>
      <c r="E801" s="96" t="s">
        <v>62</v>
      </c>
      <c r="F801" s="29" t="s">
        <v>61</v>
      </c>
      <c r="G801" s="29"/>
      <c r="H801" s="103">
        <f>_xlfn.XLOOKUP(B801,GM!$Q$5:$Q$756,GM!$J$5:$J$756)</f>
        <v>45959</v>
      </c>
    </row>
    <row r="802" spans="1:8" hidden="1" x14ac:dyDescent="0.35">
      <c r="A802" s="29" t="s">
        <v>18</v>
      </c>
      <c r="B802" s="29" t="str">
        <f t="shared" si="12"/>
        <v>CPV-51</v>
      </c>
      <c r="C802" s="29" t="s">
        <v>4724</v>
      </c>
      <c r="D802" s="67" t="s">
        <v>4725</v>
      </c>
      <c r="E802" s="96" t="s">
        <v>62</v>
      </c>
      <c r="F802" s="29" t="s">
        <v>61</v>
      </c>
      <c r="G802" s="29"/>
      <c r="H802" s="103">
        <f>_xlfn.XLOOKUP(B802,GM!$Q$5:$Q$756,GM!$J$5:$J$756)</f>
        <v>45959</v>
      </c>
    </row>
    <row r="803" spans="1:8" hidden="1" x14ac:dyDescent="0.35">
      <c r="A803" s="29" t="s">
        <v>18</v>
      </c>
      <c r="B803" s="29" t="str">
        <f t="shared" si="12"/>
        <v>CPV-51</v>
      </c>
      <c r="C803" s="29" t="s">
        <v>4726</v>
      </c>
      <c r="D803" s="67" t="s">
        <v>4727</v>
      </c>
      <c r="E803" s="96" t="s">
        <v>62</v>
      </c>
      <c r="F803" s="29" t="s">
        <v>61</v>
      </c>
      <c r="G803" s="29"/>
      <c r="H803" s="103">
        <f>_xlfn.XLOOKUP(B803,GM!$Q$5:$Q$756,GM!$J$5:$J$756)</f>
        <v>45959</v>
      </c>
    </row>
    <row r="804" spans="1:8" hidden="1" x14ac:dyDescent="0.35">
      <c r="A804" s="29" t="s">
        <v>18</v>
      </c>
      <c r="B804" s="29" t="str">
        <f t="shared" si="12"/>
        <v>CPV-51</v>
      </c>
      <c r="C804" s="29" t="s">
        <v>4728</v>
      </c>
      <c r="D804" s="67" t="s">
        <v>4729</v>
      </c>
      <c r="E804" s="96" t="s">
        <v>62</v>
      </c>
      <c r="F804" s="29" t="s">
        <v>61</v>
      </c>
      <c r="G804" s="29"/>
      <c r="H804" s="103">
        <f>_xlfn.XLOOKUP(B804,GM!$Q$5:$Q$756,GM!$J$5:$J$756)</f>
        <v>45959</v>
      </c>
    </row>
    <row r="805" spans="1:8" hidden="1" x14ac:dyDescent="0.35">
      <c r="A805" s="29" t="s">
        <v>18</v>
      </c>
      <c r="B805" s="29" t="str">
        <f t="shared" si="12"/>
        <v>CPV-51</v>
      </c>
      <c r="C805" s="29" t="s">
        <v>4730</v>
      </c>
      <c r="D805" s="67" t="s">
        <v>4731</v>
      </c>
      <c r="E805" s="96" t="s">
        <v>62</v>
      </c>
      <c r="F805" s="29" t="s">
        <v>61</v>
      </c>
      <c r="G805" s="29"/>
      <c r="H805" s="103">
        <f>_xlfn.XLOOKUP(B805,GM!$Q$5:$Q$756,GM!$J$5:$J$756)</f>
        <v>45959</v>
      </c>
    </row>
    <row r="806" spans="1:8" hidden="1" x14ac:dyDescent="0.35">
      <c r="A806" s="29" t="s">
        <v>18</v>
      </c>
      <c r="B806" s="29" t="str">
        <f t="shared" si="12"/>
        <v>CPV-41</v>
      </c>
      <c r="C806" s="29" t="s">
        <v>4732</v>
      </c>
      <c r="D806" s="67" t="s">
        <v>4733</v>
      </c>
      <c r="E806" s="96" t="s">
        <v>62</v>
      </c>
      <c r="F806" s="29" t="s">
        <v>61</v>
      </c>
      <c r="G806" s="29"/>
      <c r="H806" s="103">
        <f>_xlfn.XLOOKUP(B806,GM!$Q$5:$Q$756,GM!$J$5:$J$756)</f>
        <v>45202</v>
      </c>
    </row>
    <row r="807" spans="1:8" hidden="1" x14ac:dyDescent="0.35">
      <c r="A807" s="29" t="s">
        <v>18</v>
      </c>
      <c r="B807" s="29" t="str">
        <f t="shared" si="12"/>
        <v>CPV-41</v>
      </c>
      <c r="C807" s="29" t="s">
        <v>4734</v>
      </c>
      <c r="D807" s="67" t="s">
        <v>4735</v>
      </c>
      <c r="E807" s="96" t="s">
        <v>62</v>
      </c>
      <c r="F807" s="29" t="s">
        <v>61</v>
      </c>
      <c r="G807" s="29"/>
      <c r="H807" s="103">
        <f>_xlfn.XLOOKUP(B807,GM!$Q$5:$Q$756,GM!$J$5:$J$756)</f>
        <v>45202</v>
      </c>
    </row>
    <row r="808" spans="1:8" hidden="1" x14ac:dyDescent="0.35">
      <c r="A808" s="29" t="s">
        <v>18</v>
      </c>
      <c r="B808" s="29" t="str">
        <f t="shared" si="12"/>
        <v>CPV-41</v>
      </c>
      <c r="C808" s="29" t="s">
        <v>4736</v>
      </c>
      <c r="D808" s="67" t="s">
        <v>4737</v>
      </c>
      <c r="E808" s="96" t="s">
        <v>62</v>
      </c>
      <c r="F808" s="29" t="s">
        <v>61</v>
      </c>
      <c r="G808" s="29"/>
      <c r="H808" s="103">
        <f>_xlfn.XLOOKUP(B808,GM!$Q$5:$Q$756,GM!$J$5:$J$756)</f>
        <v>45202</v>
      </c>
    </row>
    <row r="809" spans="1:8" hidden="1" x14ac:dyDescent="0.35">
      <c r="A809" s="29" t="s">
        <v>18</v>
      </c>
      <c r="B809" s="29" t="str">
        <f t="shared" si="12"/>
        <v>CPV-40</v>
      </c>
      <c r="C809" s="29" t="s">
        <v>4738</v>
      </c>
      <c r="D809" s="67" t="s">
        <v>4739</v>
      </c>
      <c r="E809" s="96" t="s">
        <v>62</v>
      </c>
      <c r="F809" s="29" t="s">
        <v>61</v>
      </c>
      <c r="G809" s="29"/>
      <c r="H809" s="103">
        <f>_xlfn.XLOOKUP(B809,GM!$Q$5:$Q$756,GM!$J$5:$J$756)</f>
        <v>45202</v>
      </c>
    </row>
    <row r="810" spans="1:8" hidden="1" x14ac:dyDescent="0.35">
      <c r="A810" s="29" t="s">
        <v>18</v>
      </c>
      <c r="B810" s="29" t="str">
        <f t="shared" si="12"/>
        <v>CPV-40</v>
      </c>
      <c r="C810" s="29" t="s">
        <v>4740</v>
      </c>
      <c r="D810" s="67" t="s">
        <v>4741</v>
      </c>
      <c r="E810" s="96" t="s">
        <v>62</v>
      </c>
      <c r="F810" s="29" t="s">
        <v>61</v>
      </c>
      <c r="G810" s="29"/>
      <c r="H810" s="103">
        <f>_xlfn.XLOOKUP(B810,GM!$Q$5:$Q$756,GM!$J$5:$J$756)</f>
        <v>45202</v>
      </c>
    </row>
    <row r="811" spans="1:8" hidden="1" x14ac:dyDescent="0.35">
      <c r="A811" s="29" t="s">
        <v>18</v>
      </c>
      <c r="B811" s="29" t="str">
        <f t="shared" si="12"/>
        <v>CPV-33</v>
      </c>
      <c r="C811" s="29" t="s">
        <v>4742</v>
      </c>
      <c r="D811" s="67" t="s">
        <v>4743</v>
      </c>
      <c r="E811" s="96" t="s">
        <v>62</v>
      </c>
      <c r="F811" s="29" t="s">
        <v>61</v>
      </c>
      <c r="G811" s="29" t="s">
        <v>371</v>
      </c>
      <c r="H811" s="103">
        <f>_xlfn.XLOOKUP(B811,GM!$Q$5:$Q$756,GM!$J$5:$J$756)</f>
        <v>44739</v>
      </c>
    </row>
    <row r="812" spans="1:8" hidden="1" x14ac:dyDescent="0.35">
      <c r="A812" s="29" t="s">
        <v>18</v>
      </c>
      <c r="B812" s="29" t="str">
        <f t="shared" si="12"/>
        <v>CPV-30</v>
      </c>
      <c r="C812" s="29" t="s">
        <v>4744</v>
      </c>
      <c r="D812" s="67" t="s">
        <v>4745</v>
      </c>
      <c r="E812" s="96" t="s">
        <v>62</v>
      </c>
      <c r="F812" s="29" t="s">
        <v>61</v>
      </c>
      <c r="G812" s="29"/>
      <c r="H812" s="103">
        <f>_xlfn.XLOOKUP(B812,GM!$Q$5:$Q$756,GM!$J$5:$J$756)</f>
        <v>44838</v>
      </c>
    </row>
    <row r="813" spans="1:8" hidden="1" x14ac:dyDescent="0.35">
      <c r="A813" s="29" t="s">
        <v>18</v>
      </c>
      <c r="B813" s="29" t="str">
        <f t="shared" si="12"/>
        <v>CPV-30</v>
      </c>
      <c r="C813" s="29" t="s">
        <v>4746</v>
      </c>
      <c r="D813" s="67" t="s">
        <v>4747</v>
      </c>
      <c r="E813" s="96" t="s">
        <v>62</v>
      </c>
      <c r="F813" s="29" t="s">
        <v>61</v>
      </c>
      <c r="G813" s="29"/>
      <c r="H813" s="103">
        <f>_xlfn.XLOOKUP(B813,GM!$Q$5:$Q$756,GM!$J$5:$J$756)</f>
        <v>44838</v>
      </c>
    </row>
    <row r="814" spans="1:8" hidden="1" x14ac:dyDescent="0.35">
      <c r="A814" s="29" t="s">
        <v>18</v>
      </c>
      <c r="B814" s="29" t="str">
        <f t="shared" si="12"/>
        <v>CPV-29</v>
      </c>
      <c r="C814" s="29" t="s">
        <v>4748</v>
      </c>
      <c r="D814" s="67" t="s">
        <v>4749</v>
      </c>
      <c r="E814" s="96" t="s">
        <v>62</v>
      </c>
      <c r="F814" s="29" t="s">
        <v>61</v>
      </c>
      <c r="G814" s="29"/>
      <c r="H814" s="103">
        <f>_xlfn.XLOOKUP(B814,GM!$Q$5:$Q$756,GM!$J$5:$J$756)</f>
        <v>45202</v>
      </c>
    </row>
    <row r="815" spans="1:8" hidden="1" x14ac:dyDescent="0.35">
      <c r="A815" s="29" t="s">
        <v>18</v>
      </c>
      <c r="B815" s="29" t="str">
        <f t="shared" si="12"/>
        <v>CPV-28</v>
      </c>
      <c r="C815" s="29" t="s">
        <v>4750</v>
      </c>
      <c r="D815" s="67" t="s">
        <v>4751</v>
      </c>
      <c r="E815" s="96" t="s">
        <v>62</v>
      </c>
      <c r="F815" s="29" t="s">
        <v>61</v>
      </c>
      <c r="G815" s="29"/>
      <c r="H815" s="103">
        <f>_xlfn.XLOOKUP(B815,GM!$Q$5:$Q$756,GM!$J$5:$J$756)</f>
        <v>45202</v>
      </c>
    </row>
    <row r="816" spans="1:8" hidden="1" x14ac:dyDescent="0.35">
      <c r="A816" s="29" t="s">
        <v>18</v>
      </c>
      <c r="B816" s="29" t="str">
        <f t="shared" si="12"/>
        <v>CPV-27</v>
      </c>
      <c r="C816" s="29" t="s">
        <v>4752</v>
      </c>
      <c r="D816" s="67" t="s">
        <v>4753</v>
      </c>
      <c r="E816" s="96" t="s">
        <v>62</v>
      </c>
      <c r="F816" s="29" t="s">
        <v>61</v>
      </c>
      <c r="G816" s="29" t="s">
        <v>371</v>
      </c>
      <c r="H816" s="103">
        <f>_xlfn.XLOOKUP(B816,GM!$Q$5:$Q$756,GM!$J$5:$J$756)</f>
        <v>44739</v>
      </c>
    </row>
    <row r="817" spans="1:8" hidden="1" x14ac:dyDescent="0.35">
      <c r="A817" s="29" t="s">
        <v>18</v>
      </c>
      <c r="B817" s="29" t="str">
        <f t="shared" si="12"/>
        <v>CPV-26</v>
      </c>
      <c r="C817" s="29" t="s">
        <v>4754</v>
      </c>
      <c r="D817" s="67" t="s">
        <v>4755</v>
      </c>
      <c r="E817" s="96" t="s">
        <v>62</v>
      </c>
      <c r="F817" s="29" t="s">
        <v>61</v>
      </c>
      <c r="G817" s="29" t="s">
        <v>371</v>
      </c>
      <c r="H817" s="103">
        <f>_xlfn.XLOOKUP(B817,GM!$Q$5:$Q$756,GM!$J$5:$J$756)</f>
        <v>44739</v>
      </c>
    </row>
    <row r="818" spans="1:8" hidden="1" x14ac:dyDescent="0.35">
      <c r="A818" s="29" t="s">
        <v>18</v>
      </c>
      <c r="B818" s="29" t="str">
        <f t="shared" si="12"/>
        <v>CPV-25</v>
      </c>
      <c r="C818" s="29" t="s">
        <v>4756</v>
      </c>
      <c r="D818" s="67" t="s">
        <v>4757</v>
      </c>
      <c r="E818" s="96" t="s">
        <v>62</v>
      </c>
      <c r="F818" s="29" t="s">
        <v>61</v>
      </c>
      <c r="G818" s="29"/>
      <c r="H818" s="103">
        <f>_xlfn.XLOOKUP(B818,GM!$Q$5:$Q$756,GM!$J$5:$J$756)</f>
        <v>46009</v>
      </c>
    </row>
    <row r="819" spans="1:8" hidden="1" x14ac:dyDescent="0.35">
      <c r="A819" s="29" t="s">
        <v>18</v>
      </c>
      <c r="B819" s="29" t="str">
        <f t="shared" si="12"/>
        <v>CPV-25</v>
      </c>
      <c r="C819" s="29" t="s">
        <v>4758</v>
      </c>
      <c r="D819" s="67" t="s">
        <v>4759</v>
      </c>
      <c r="E819" s="96" t="s">
        <v>62</v>
      </c>
      <c r="F819" s="29" t="s">
        <v>61</v>
      </c>
      <c r="G819" s="29"/>
      <c r="H819" s="103">
        <f>_xlfn.XLOOKUP(B819,GM!$Q$5:$Q$756,GM!$J$5:$J$756)</f>
        <v>46009</v>
      </c>
    </row>
    <row r="820" spans="1:8" hidden="1" x14ac:dyDescent="0.35">
      <c r="A820" s="29" t="s">
        <v>18</v>
      </c>
      <c r="B820" s="29" t="str">
        <f t="shared" si="12"/>
        <v>CPV-24</v>
      </c>
      <c r="C820" s="29" t="s">
        <v>4760</v>
      </c>
      <c r="D820" s="67" t="s">
        <v>4761</v>
      </c>
      <c r="E820" s="96" t="s">
        <v>62</v>
      </c>
      <c r="F820" s="29" t="s">
        <v>61</v>
      </c>
      <c r="G820" s="29" t="s">
        <v>371</v>
      </c>
      <c r="H820" s="103">
        <f>_xlfn.XLOOKUP(B820,GM!$Q$5:$Q$756,GM!$J$5:$J$756)</f>
        <v>44739</v>
      </c>
    </row>
    <row r="821" spans="1:8" hidden="1" x14ac:dyDescent="0.35">
      <c r="A821" s="29" t="s">
        <v>18</v>
      </c>
      <c r="B821" s="29" t="str">
        <f t="shared" si="12"/>
        <v>CPV-23</v>
      </c>
      <c r="C821" s="29" t="s">
        <v>4762</v>
      </c>
      <c r="D821" s="67" t="s">
        <v>4763</v>
      </c>
      <c r="E821" s="96" t="s">
        <v>62</v>
      </c>
      <c r="F821" s="29" t="s">
        <v>61</v>
      </c>
      <c r="G821" s="29"/>
      <c r="H821" s="103">
        <f>_xlfn.XLOOKUP(B821,GM!$Q$5:$Q$756,GM!$J$5:$J$756)</f>
        <v>44374</v>
      </c>
    </row>
    <row r="822" spans="1:8" hidden="1" x14ac:dyDescent="0.35">
      <c r="A822" s="29" t="s">
        <v>18</v>
      </c>
      <c r="B822" s="29" t="str">
        <f t="shared" si="12"/>
        <v>CPV-22</v>
      </c>
      <c r="C822" s="29" t="s">
        <v>4764</v>
      </c>
      <c r="D822" s="67" t="s">
        <v>4765</v>
      </c>
      <c r="E822" s="96" t="s">
        <v>62</v>
      </c>
      <c r="F822" s="29" t="s">
        <v>61</v>
      </c>
      <c r="G822" s="29" t="s">
        <v>371</v>
      </c>
      <c r="H822" s="103">
        <f>_xlfn.XLOOKUP(B822,GM!$Q$5:$Q$756,GM!$J$5:$J$756)</f>
        <v>44739</v>
      </c>
    </row>
    <row r="823" spans="1:8" hidden="1" x14ac:dyDescent="0.35">
      <c r="A823" s="29" t="s">
        <v>18</v>
      </c>
      <c r="B823" s="29" t="str">
        <f t="shared" si="12"/>
        <v>CPV-21</v>
      </c>
      <c r="C823" s="29" t="s">
        <v>4766</v>
      </c>
      <c r="D823" s="67" t="s">
        <v>4767</v>
      </c>
      <c r="E823" s="96" t="s">
        <v>62</v>
      </c>
      <c r="F823" s="29" t="s">
        <v>61</v>
      </c>
      <c r="G823" s="29" t="s">
        <v>371</v>
      </c>
      <c r="H823" s="103">
        <f>_xlfn.XLOOKUP(B823,GM!$Q$5:$Q$756,GM!$J$5:$J$756)</f>
        <v>45645</v>
      </c>
    </row>
    <row r="824" spans="1:8" hidden="1" x14ac:dyDescent="0.35">
      <c r="A824" s="29" t="s">
        <v>18</v>
      </c>
      <c r="B824" s="29" t="str">
        <f t="shared" si="12"/>
        <v>CPV-21</v>
      </c>
      <c r="C824" s="29" t="s">
        <v>4768</v>
      </c>
      <c r="D824" s="67" t="s">
        <v>4769</v>
      </c>
      <c r="E824" s="96" t="s">
        <v>62</v>
      </c>
      <c r="F824" s="29" t="s">
        <v>61</v>
      </c>
      <c r="G824" s="29"/>
      <c r="H824" s="103">
        <f>_xlfn.XLOOKUP(B824,GM!$Q$5:$Q$756,GM!$J$5:$J$756)</f>
        <v>45645</v>
      </c>
    </row>
    <row r="825" spans="1:8" hidden="1" x14ac:dyDescent="0.35">
      <c r="A825" s="29" t="s">
        <v>18</v>
      </c>
      <c r="B825" s="29" t="str">
        <f t="shared" si="12"/>
        <v>CPV-21</v>
      </c>
      <c r="C825" s="29" t="s">
        <v>4770</v>
      </c>
      <c r="D825" s="67" t="s">
        <v>4771</v>
      </c>
      <c r="E825" s="96" t="s">
        <v>62</v>
      </c>
      <c r="F825" s="29" t="s">
        <v>61</v>
      </c>
      <c r="G825" s="29"/>
      <c r="H825" s="103">
        <f>_xlfn.XLOOKUP(B825,GM!$Q$5:$Q$756,GM!$J$5:$J$756)</f>
        <v>45645</v>
      </c>
    </row>
    <row r="826" spans="1:8" hidden="1" x14ac:dyDescent="0.35">
      <c r="A826" s="29" t="s">
        <v>18</v>
      </c>
      <c r="B826" s="29" t="str">
        <f t="shared" si="12"/>
        <v>CPV-21</v>
      </c>
      <c r="C826" s="29" t="s">
        <v>4772</v>
      </c>
      <c r="D826" s="67" t="s">
        <v>4773</v>
      </c>
      <c r="E826" s="96" t="s">
        <v>62</v>
      </c>
      <c r="F826" s="29" t="s">
        <v>61</v>
      </c>
      <c r="G826" s="29"/>
      <c r="H826" s="103">
        <f>_xlfn.XLOOKUP(B826,GM!$Q$5:$Q$756,GM!$J$5:$J$756)</f>
        <v>45645</v>
      </c>
    </row>
    <row r="827" spans="1:8" hidden="1" x14ac:dyDescent="0.35">
      <c r="A827" s="29" t="s">
        <v>18</v>
      </c>
      <c r="B827" s="29" t="str">
        <f t="shared" si="12"/>
        <v>CPV-21</v>
      </c>
      <c r="C827" s="29" t="s">
        <v>4774</v>
      </c>
      <c r="D827" s="67" t="s">
        <v>4775</v>
      </c>
      <c r="E827" s="96" t="s">
        <v>62</v>
      </c>
      <c r="F827" s="29" t="s">
        <v>61</v>
      </c>
      <c r="G827" s="29"/>
      <c r="H827" s="103">
        <f>_xlfn.XLOOKUP(B827,GM!$Q$5:$Q$756,GM!$J$5:$J$756)</f>
        <v>45645</v>
      </c>
    </row>
    <row r="828" spans="1:8" hidden="1" x14ac:dyDescent="0.35">
      <c r="A828" s="29" t="s">
        <v>18</v>
      </c>
      <c r="B828" s="29" t="str">
        <f t="shared" si="12"/>
        <v>CPV-21</v>
      </c>
      <c r="C828" s="29" t="s">
        <v>4776</v>
      </c>
      <c r="D828" s="67" t="s">
        <v>4777</v>
      </c>
      <c r="E828" s="96" t="s">
        <v>62</v>
      </c>
      <c r="F828" s="29" t="s">
        <v>61</v>
      </c>
      <c r="G828" s="29"/>
      <c r="H828" s="103">
        <f>_xlfn.XLOOKUP(B828,GM!$Q$5:$Q$756,GM!$J$5:$J$756)</f>
        <v>45645</v>
      </c>
    </row>
    <row r="829" spans="1:8" hidden="1" x14ac:dyDescent="0.35">
      <c r="A829" s="29" t="s">
        <v>18</v>
      </c>
      <c r="B829" s="29" t="str">
        <f t="shared" si="12"/>
        <v>CPV-20</v>
      </c>
      <c r="C829" s="29" t="s">
        <v>4778</v>
      </c>
      <c r="D829" s="67" t="s">
        <v>4779</v>
      </c>
      <c r="E829" s="96" t="s">
        <v>62</v>
      </c>
      <c r="F829" s="29" t="s">
        <v>61</v>
      </c>
      <c r="G829" s="29"/>
      <c r="H829" s="103">
        <f>_xlfn.XLOOKUP(B829,GM!$Q$5:$Q$756,GM!$J$5:$J$756)</f>
        <v>44889</v>
      </c>
    </row>
    <row r="830" spans="1:8" hidden="1" x14ac:dyDescent="0.35">
      <c r="A830" s="29" t="s">
        <v>18</v>
      </c>
      <c r="B830" s="29" t="str">
        <f t="shared" si="12"/>
        <v>CPV-20</v>
      </c>
      <c r="C830" s="29" t="s">
        <v>4780</v>
      </c>
      <c r="D830" s="67" t="s">
        <v>4781</v>
      </c>
      <c r="E830" s="96" t="s">
        <v>62</v>
      </c>
      <c r="F830" s="29" t="s">
        <v>61</v>
      </c>
      <c r="G830" s="29"/>
      <c r="H830" s="103">
        <f>_xlfn.XLOOKUP(B830,GM!$Q$5:$Q$756,GM!$J$5:$J$756)</f>
        <v>44889</v>
      </c>
    </row>
    <row r="831" spans="1:8" hidden="1" x14ac:dyDescent="0.35">
      <c r="A831" s="29" t="s">
        <v>18</v>
      </c>
      <c r="B831" s="29" t="str">
        <f t="shared" si="12"/>
        <v>CPV-20</v>
      </c>
      <c r="C831" s="29" t="s">
        <v>4782</v>
      </c>
      <c r="D831" s="67" t="s">
        <v>4783</v>
      </c>
      <c r="E831" s="96" t="s">
        <v>62</v>
      </c>
      <c r="F831" s="29" t="s">
        <v>61</v>
      </c>
      <c r="G831" s="29"/>
      <c r="H831" s="103">
        <f>_xlfn.XLOOKUP(B831,GM!$Q$5:$Q$756,GM!$J$5:$J$756)</f>
        <v>44889</v>
      </c>
    </row>
    <row r="832" spans="1:8" hidden="1" x14ac:dyDescent="0.35">
      <c r="A832" s="29" t="s">
        <v>18</v>
      </c>
      <c r="B832" s="29" t="str">
        <f t="shared" si="12"/>
        <v>CPV-20</v>
      </c>
      <c r="C832" s="29" t="s">
        <v>4784</v>
      </c>
      <c r="D832" s="67" t="s">
        <v>4785</v>
      </c>
      <c r="E832" s="96" t="s">
        <v>62</v>
      </c>
      <c r="F832" s="29" t="s">
        <v>61</v>
      </c>
      <c r="G832" s="29"/>
      <c r="H832" s="103">
        <f>_xlfn.XLOOKUP(B832,GM!$Q$5:$Q$756,GM!$J$5:$J$756)</f>
        <v>44889</v>
      </c>
    </row>
    <row r="833" spans="1:8" hidden="1" x14ac:dyDescent="0.35">
      <c r="A833" s="29" t="s">
        <v>18</v>
      </c>
      <c r="B833" s="29" t="str">
        <f t="shared" si="12"/>
        <v>CPV-20</v>
      </c>
      <c r="C833" s="29" t="s">
        <v>4786</v>
      </c>
      <c r="D833" s="67" t="s">
        <v>4787</v>
      </c>
      <c r="E833" s="96" t="s">
        <v>62</v>
      </c>
      <c r="F833" s="29" t="s">
        <v>61</v>
      </c>
      <c r="G833" s="29"/>
      <c r="H833" s="103">
        <f>_xlfn.XLOOKUP(B833,GM!$Q$5:$Q$756,GM!$J$5:$J$756)</f>
        <v>44889</v>
      </c>
    </row>
    <row r="834" spans="1:8" hidden="1" x14ac:dyDescent="0.35">
      <c r="A834" s="29" t="s">
        <v>18</v>
      </c>
      <c r="B834" s="29" t="str">
        <f t="shared" si="12"/>
        <v>CPV-20</v>
      </c>
      <c r="C834" s="29" t="s">
        <v>4788</v>
      </c>
      <c r="D834" s="67" t="s">
        <v>4789</v>
      </c>
      <c r="E834" s="96" t="s">
        <v>62</v>
      </c>
      <c r="F834" s="29" t="s">
        <v>61</v>
      </c>
      <c r="G834" s="29"/>
      <c r="H834" s="103">
        <f>_xlfn.XLOOKUP(B834,GM!$Q$5:$Q$756,GM!$J$5:$J$756)</f>
        <v>44889</v>
      </c>
    </row>
    <row r="835" spans="1:8" hidden="1" x14ac:dyDescent="0.35">
      <c r="A835" s="29" t="s">
        <v>18</v>
      </c>
      <c r="B835" s="29" t="str">
        <f t="shared" si="12"/>
        <v>CPV-20</v>
      </c>
      <c r="C835" s="29" t="s">
        <v>4790</v>
      </c>
      <c r="D835" s="67" t="s">
        <v>4791</v>
      </c>
      <c r="E835" s="96" t="s">
        <v>62</v>
      </c>
      <c r="F835" s="29" t="s">
        <v>61</v>
      </c>
      <c r="G835" s="29"/>
      <c r="H835" s="103">
        <f>_xlfn.XLOOKUP(B835,GM!$Q$5:$Q$756,GM!$J$5:$J$756)</f>
        <v>44889</v>
      </c>
    </row>
    <row r="836" spans="1:8" hidden="1" x14ac:dyDescent="0.35">
      <c r="A836" s="29" t="s">
        <v>18</v>
      </c>
      <c r="B836" s="29" t="str">
        <f t="shared" si="12"/>
        <v>CPV-19</v>
      </c>
      <c r="C836" s="29" t="s">
        <v>4792</v>
      </c>
      <c r="D836" s="67" t="s">
        <v>4793</v>
      </c>
      <c r="E836" s="96" t="s">
        <v>62</v>
      </c>
      <c r="F836" s="29" t="s">
        <v>61</v>
      </c>
      <c r="G836" s="29"/>
      <c r="H836" s="103">
        <f>_xlfn.XLOOKUP(B836,GM!$Q$5:$Q$756,GM!$J$5:$J$756)</f>
        <v>45959</v>
      </c>
    </row>
    <row r="837" spans="1:8" hidden="1" x14ac:dyDescent="0.35">
      <c r="A837" s="29" t="s">
        <v>18</v>
      </c>
      <c r="B837" s="29" t="str">
        <f t="shared" ref="B837:B900" si="13">IF(OR(A837="ARN",A837="SDP"),MID(C837,4,7),MID(C837,4,6))</f>
        <v>CPV-19</v>
      </c>
      <c r="C837" s="29" t="s">
        <v>4794</v>
      </c>
      <c r="D837" s="67" t="s">
        <v>4795</v>
      </c>
      <c r="E837" s="96" t="s">
        <v>62</v>
      </c>
      <c r="F837" s="29" t="s">
        <v>61</v>
      </c>
      <c r="G837" s="29"/>
      <c r="H837" s="103">
        <f>_xlfn.XLOOKUP(B837,GM!$Q$5:$Q$756,GM!$J$5:$J$756)</f>
        <v>45959</v>
      </c>
    </row>
    <row r="838" spans="1:8" hidden="1" x14ac:dyDescent="0.35">
      <c r="A838" s="29" t="s">
        <v>18</v>
      </c>
      <c r="B838" s="29" t="str">
        <f t="shared" si="13"/>
        <v>CPV-19</v>
      </c>
      <c r="C838" s="29" t="s">
        <v>4796</v>
      </c>
      <c r="D838" s="67" t="s">
        <v>4797</v>
      </c>
      <c r="E838" s="96" t="s">
        <v>62</v>
      </c>
      <c r="F838" s="29" t="s">
        <v>61</v>
      </c>
      <c r="G838" s="29"/>
      <c r="H838" s="103">
        <f>_xlfn.XLOOKUP(B838,GM!$Q$5:$Q$756,GM!$J$5:$J$756)</f>
        <v>45959</v>
      </c>
    </row>
    <row r="839" spans="1:8" hidden="1" x14ac:dyDescent="0.35">
      <c r="A839" s="29" t="s">
        <v>18</v>
      </c>
      <c r="B839" s="29" t="str">
        <f t="shared" si="13"/>
        <v>CPV-19</v>
      </c>
      <c r="C839" s="29" t="s">
        <v>4798</v>
      </c>
      <c r="D839" s="67" t="s">
        <v>4799</v>
      </c>
      <c r="E839" s="96" t="s">
        <v>62</v>
      </c>
      <c r="F839" s="29" t="s">
        <v>61</v>
      </c>
      <c r="G839" s="29"/>
      <c r="H839" s="103">
        <f>_xlfn.XLOOKUP(B839,GM!$Q$5:$Q$756,GM!$J$5:$J$756)</f>
        <v>45959</v>
      </c>
    </row>
    <row r="840" spans="1:8" hidden="1" x14ac:dyDescent="0.35">
      <c r="A840" s="29" t="s">
        <v>18</v>
      </c>
      <c r="B840" s="29" t="str">
        <f t="shared" si="13"/>
        <v>CPV-18</v>
      </c>
      <c r="C840" s="29" t="s">
        <v>4800</v>
      </c>
      <c r="D840" s="67" t="s">
        <v>4801</v>
      </c>
      <c r="E840" s="96" t="s">
        <v>62</v>
      </c>
      <c r="F840" s="29" t="s">
        <v>61</v>
      </c>
      <c r="G840" s="29"/>
      <c r="H840" s="103">
        <f>_xlfn.XLOOKUP(B840,GM!$Q$5:$Q$756,GM!$J$5:$J$756)</f>
        <v>45645</v>
      </c>
    </row>
    <row r="841" spans="1:8" hidden="1" x14ac:dyDescent="0.35">
      <c r="A841" s="29" t="s">
        <v>18</v>
      </c>
      <c r="B841" s="29" t="str">
        <f t="shared" si="13"/>
        <v>CPV-18</v>
      </c>
      <c r="C841" s="29" t="s">
        <v>4802</v>
      </c>
      <c r="D841" s="67" t="s">
        <v>4803</v>
      </c>
      <c r="E841" s="96" t="s">
        <v>62</v>
      </c>
      <c r="F841" s="29" t="s">
        <v>61</v>
      </c>
      <c r="G841" s="29"/>
      <c r="H841" s="103">
        <f>_xlfn.XLOOKUP(B841,GM!$Q$5:$Q$756,GM!$J$5:$J$756)</f>
        <v>45645</v>
      </c>
    </row>
    <row r="842" spans="1:8" hidden="1" x14ac:dyDescent="0.35">
      <c r="A842" s="29" t="s">
        <v>18</v>
      </c>
      <c r="B842" s="29" t="str">
        <f t="shared" si="13"/>
        <v>CPV-18</v>
      </c>
      <c r="C842" s="29" t="s">
        <v>4804</v>
      </c>
      <c r="D842" s="67" t="s">
        <v>4805</v>
      </c>
      <c r="E842" s="96" t="s">
        <v>62</v>
      </c>
      <c r="F842" s="29" t="s">
        <v>61</v>
      </c>
      <c r="G842" s="29"/>
      <c r="H842" s="103">
        <f>_xlfn.XLOOKUP(B842,GM!$Q$5:$Q$756,GM!$J$5:$J$756)</f>
        <v>45645</v>
      </c>
    </row>
    <row r="843" spans="1:8" hidden="1" x14ac:dyDescent="0.35">
      <c r="A843" s="29" t="s">
        <v>18</v>
      </c>
      <c r="B843" s="29" t="str">
        <f t="shared" si="13"/>
        <v>CPV-18</v>
      </c>
      <c r="C843" s="29" t="s">
        <v>4806</v>
      </c>
      <c r="D843" s="67" t="s">
        <v>4807</v>
      </c>
      <c r="E843" s="96" t="s">
        <v>62</v>
      </c>
      <c r="F843" s="29" t="s">
        <v>61</v>
      </c>
      <c r="G843" s="29"/>
      <c r="H843" s="103">
        <f>_xlfn.XLOOKUP(B843,GM!$Q$5:$Q$756,GM!$J$5:$J$756)</f>
        <v>45645</v>
      </c>
    </row>
    <row r="844" spans="1:8" hidden="1" x14ac:dyDescent="0.35">
      <c r="A844" s="29" t="s">
        <v>18</v>
      </c>
      <c r="B844" s="29" t="str">
        <f t="shared" si="13"/>
        <v>CPV-18</v>
      </c>
      <c r="C844" s="29" t="s">
        <v>4808</v>
      </c>
      <c r="D844" s="67" t="s">
        <v>4809</v>
      </c>
      <c r="E844" s="96" t="s">
        <v>62</v>
      </c>
      <c r="F844" s="29" t="s">
        <v>61</v>
      </c>
      <c r="G844" s="29"/>
      <c r="H844" s="103">
        <f>_xlfn.XLOOKUP(B844,GM!$Q$5:$Q$756,GM!$J$5:$J$756)</f>
        <v>45645</v>
      </c>
    </row>
    <row r="845" spans="1:8" hidden="1" x14ac:dyDescent="0.35">
      <c r="A845" s="29" t="s">
        <v>18</v>
      </c>
      <c r="B845" s="29" t="str">
        <f t="shared" si="13"/>
        <v>CPV-18</v>
      </c>
      <c r="C845" s="29" t="s">
        <v>4810</v>
      </c>
      <c r="D845" s="67" t="s">
        <v>4811</v>
      </c>
      <c r="E845" s="96" t="s">
        <v>62</v>
      </c>
      <c r="F845" s="29" t="s">
        <v>61</v>
      </c>
      <c r="G845" s="29"/>
      <c r="H845" s="103">
        <f>_xlfn.XLOOKUP(B845,GM!$Q$5:$Q$756,GM!$J$5:$J$756)</f>
        <v>45645</v>
      </c>
    </row>
    <row r="846" spans="1:8" hidden="1" x14ac:dyDescent="0.35">
      <c r="A846" s="29" t="s">
        <v>18</v>
      </c>
      <c r="B846" s="29" t="str">
        <f t="shared" si="13"/>
        <v>CPV-18</v>
      </c>
      <c r="C846" s="29" t="s">
        <v>4812</v>
      </c>
      <c r="D846" s="67" t="s">
        <v>4813</v>
      </c>
      <c r="E846" s="96" t="s">
        <v>62</v>
      </c>
      <c r="F846" s="29" t="s">
        <v>61</v>
      </c>
      <c r="G846" s="29"/>
      <c r="H846" s="103">
        <f>_xlfn.XLOOKUP(B846,GM!$Q$5:$Q$756,GM!$J$5:$J$756)</f>
        <v>45645</v>
      </c>
    </row>
    <row r="847" spans="1:8" hidden="1" x14ac:dyDescent="0.35">
      <c r="A847" s="29" t="s">
        <v>18</v>
      </c>
      <c r="B847" s="29" t="str">
        <f t="shared" si="13"/>
        <v>CPV-18</v>
      </c>
      <c r="C847" s="29" t="s">
        <v>4814</v>
      </c>
      <c r="D847" s="67" t="s">
        <v>4815</v>
      </c>
      <c r="E847" s="96" t="s">
        <v>62</v>
      </c>
      <c r="F847" s="29" t="s">
        <v>61</v>
      </c>
      <c r="G847" s="29"/>
      <c r="H847" s="103">
        <f>_xlfn.XLOOKUP(B847,GM!$Q$5:$Q$756,GM!$J$5:$J$756)</f>
        <v>45645</v>
      </c>
    </row>
    <row r="848" spans="1:8" hidden="1" x14ac:dyDescent="0.35">
      <c r="A848" s="29" t="s">
        <v>18</v>
      </c>
      <c r="B848" s="29" t="str">
        <f t="shared" si="13"/>
        <v>CPV-17</v>
      </c>
      <c r="C848" s="29" t="s">
        <v>4816</v>
      </c>
      <c r="D848" s="67" t="s">
        <v>4817</v>
      </c>
      <c r="E848" s="96" t="s">
        <v>62</v>
      </c>
      <c r="F848" s="29" t="s">
        <v>61</v>
      </c>
      <c r="G848" s="29"/>
      <c r="H848" s="103">
        <f>_xlfn.XLOOKUP(B848,GM!$Q$5:$Q$756,GM!$J$5:$J$756)</f>
        <v>45202</v>
      </c>
    </row>
    <row r="849" spans="1:8" hidden="1" x14ac:dyDescent="0.35">
      <c r="A849" s="29" t="s">
        <v>18</v>
      </c>
      <c r="B849" s="29" t="str">
        <f t="shared" si="13"/>
        <v>CPV-17</v>
      </c>
      <c r="C849" s="29" t="s">
        <v>4818</v>
      </c>
      <c r="D849" s="67" t="s">
        <v>4819</v>
      </c>
      <c r="E849" s="96" t="s">
        <v>62</v>
      </c>
      <c r="F849" s="29" t="s">
        <v>61</v>
      </c>
      <c r="G849" s="29"/>
      <c r="H849" s="103">
        <f>_xlfn.XLOOKUP(B849,GM!$Q$5:$Q$756,GM!$J$5:$J$756)</f>
        <v>45202</v>
      </c>
    </row>
    <row r="850" spans="1:8" hidden="1" x14ac:dyDescent="0.35">
      <c r="A850" s="29" t="s">
        <v>18</v>
      </c>
      <c r="B850" s="29" t="str">
        <f t="shared" si="13"/>
        <v>CPV-17</v>
      </c>
      <c r="C850" s="29" t="s">
        <v>4820</v>
      </c>
      <c r="D850" s="67" t="s">
        <v>4821</v>
      </c>
      <c r="E850" s="96" t="s">
        <v>62</v>
      </c>
      <c r="F850" s="29" t="s">
        <v>61</v>
      </c>
      <c r="G850" s="29"/>
      <c r="H850" s="103">
        <f>_xlfn.XLOOKUP(B850,GM!$Q$5:$Q$756,GM!$J$5:$J$756)</f>
        <v>45202</v>
      </c>
    </row>
    <row r="851" spans="1:8" hidden="1" x14ac:dyDescent="0.35">
      <c r="A851" s="29" t="s">
        <v>18</v>
      </c>
      <c r="B851" s="29" t="str">
        <f t="shared" si="13"/>
        <v>CPV-17</v>
      </c>
      <c r="C851" s="29" t="s">
        <v>4822</v>
      </c>
      <c r="D851" s="67" t="s">
        <v>4823</v>
      </c>
      <c r="E851" s="96" t="s">
        <v>62</v>
      </c>
      <c r="F851" s="29" t="s">
        <v>61</v>
      </c>
      <c r="G851" s="29"/>
      <c r="H851" s="103">
        <f>_xlfn.XLOOKUP(B851,GM!$Q$5:$Q$756,GM!$J$5:$J$756)</f>
        <v>45202</v>
      </c>
    </row>
    <row r="852" spans="1:8" hidden="1" x14ac:dyDescent="0.35">
      <c r="A852" s="29" t="s">
        <v>18</v>
      </c>
      <c r="B852" s="29" t="str">
        <f t="shared" si="13"/>
        <v>CPV-17</v>
      </c>
      <c r="C852" s="29" t="s">
        <v>4824</v>
      </c>
      <c r="D852" s="67" t="s">
        <v>4825</v>
      </c>
      <c r="E852" s="96" t="s">
        <v>62</v>
      </c>
      <c r="F852" s="29" t="s">
        <v>61</v>
      </c>
      <c r="G852" s="29"/>
      <c r="H852" s="103">
        <f>_xlfn.XLOOKUP(B852,GM!$Q$5:$Q$756,GM!$J$5:$J$756)</f>
        <v>45202</v>
      </c>
    </row>
    <row r="853" spans="1:8" hidden="1" x14ac:dyDescent="0.35">
      <c r="A853" s="29" t="s">
        <v>18</v>
      </c>
      <c r="B853" s="29" t="str">
        <f t="shared" si="13"/>
        <v>CPV-17</v>
      </c>
      <c r="C853" s="29" t="s">
        <v>4826</v>
      </c>
      <c r="D853" s="67" t="s">
        <v>4827</v>
      </c>
      <c r="E853" s="96" t="s">
        <v>62</v>
      </c>
      <c r="F853" s="29" t="s">
        <v>61</v>
      </c>
      <c r="G853" s="29"/>
      <c r="H853" s="103">
        <f>_xlfn.XLOOKUP(B853,GM!$Q$5:$Q$756,GM!$J$5:$J$756)</f>
        <v>45202</v>
      </c>
    </row>
    <row r="854" spans="1:8" hidden="1" x14ac:dyDescent="0.35">
      <c r="A854" s="29" t="s">
        <v>18</v>
      </c>
      <c r="B854" s="29" t="str">
        <f t="shared" si="13"/>
        <v>CPV-15</v>
      </c>
      <c r="C854" s="29" t="s">
        <v>4828</v>
      </c>
      <c r="D854" s="67" t="s">
        <v>4829</v>
      </c>
      <c r="E854" s="96" t="s">
        <v>62</v>
      </c>
      <c r="F854" s="29" t="s">
        <v>61</v>
      </c>
      <c r="G854" s="29"/>
      <c r="H854" s="103">
        <f>_xlfn.XLOOKUP(B854,GM!$Q$5:$Q$756,GM!$J$5:$J$756)</f>
        <v>46107</v>
      </c>
    </row>
    <row r="855" spans="1:8" hidden="1" x14ac:dyDescent="0.35">
      <c r="A855" s="29" t="s">
        <v>18</v>
      </c>
      <c r="B855" s="29" t="str">
        <f t="shared" si="13"/>
        <v>CPV-15</v>
      </c>
      <c r="C855" s="29" t="s">
        <v>4830</v>
      </c>
      <c r="D855" s="67" t="s">
        <v>4831</v>
      </c>
      <c r="E855" s="96" t="s">
        <v>62</v>
      </c>
      <c r="F855" s="29" t="s">
        <v>61</v>
      </c>
      <c r="G855" s="29"/>
      <c r="H855" s="103">
        <f>_xlfn.XLOOKUP(B855,GM!$Q$5:$Q$756,GM!$J$5:$J$756)</f>
        <v>46107</v>
      </c>
    </row>
    <row r="856" spans="1:8" hidden="1" x14ac:dyDescent="0.35">
      <c r="A856" s="29" t="s">
        <v>18</v>
      </c>
      <c r="B856" s="29" t="str">
        <f t="shared" si="13"/>
        <v>CPV-15</v>
      </c>
      <c r="C856" s="29" t="s">
        <v>4832</v>
      </c>
      <c r="D856" s="67" t="s">
        <v>4833</v>
      </c>
      <c r="E856" s="96" t="s">
        <v>62</v>
      </c>
      <c r="F856" s="29" t="s">
        <v>61</v>
      </c>
      <c r="G856" s="29"/>
      <c r="H856" s="103">
        <f>_xlfn.XLOOKUP(B856,GM!$Q$5:$Q$756,GM!$J$5:$J$756)</f>
        <v>46107</v>
      </c>
    </row>
    <row r="857" spans="1:8" hidden="1" x14ac:dyDescent="0.35">
      <c r="A857" s="29" t="s">
        <v>18</v>
      </c>
      <c r="B857" s="29" t="str">
        <f t="shared" si="13"/>
        <v>CPV-15</v>
      </c>
      <c r="C857" s="29" t="s">
        <v>4834</v>
      </c>
      <c r="D857" s="67" t="s">
        <v>4835</v>
      </c>
      <c r="E857" s="96" t="s">
        <v>62</v>
      </c>
      <c r="F857" s="29" t="s">
        <v>61</v>
      </c>
      <c r="G857" s="29"/>
      <c r="H857" s="103">
        <f>_xlfn.XLOOKUP(B857,GM!$Q$5:$Q$756,GM!$J$5:$J$756)</f>
        <v>46107</v>
      </c>
    </row>
    <row r="858" spans="1:8" hidden="1" x14ac:dyDescent="0.35">
      <c r="A858" s="29" t="s">
        <v>18</v>
      </c>
      <c r="B858" s="29" t="str">
        <f t="shared" si="13"/>
        <v>CPV-15</v>
      </c>
      <c r="C858" s="29" t="s">
        <v>4836</v>
      </c>
      <c r="D858" s="67" t="s">
        <v>4837</v>
      </c>
      <c r="E858" s="96" t="s">
        <v>62</v>
      </c>
      <c r="F858" s="29" t="s">
        <v>61</v>
      </c>
      <c r="G858" s="29"/>
      <c r="H858" s="103">
        <f>_xlfn.XLOOKUP(B858,GM!$Q$5:$Q$756,GM!$J$5:$J$756)</f>
        <v>46107</v>
      </c>
    </row>
    <row r="859" spans="1:8" hidden="1" x14ac:dyDescent="0.35">
      <c r="A859" s="29" t="s">
        <v>18</v>
      </c>
      <c r="B859" s="29" t="str">
        <f t="shared" si="13"/>
        <v>CPV-15</v>
      </c>
      <c r="C859" s="29" t="s">
        <v>4838</v>
      </c>
      <c r="D859" s="67" t="s">
        <v>4839</v>
      </c>
      <c r="E859" s="96" t="s">
        <v>62</v>
      </c>
      <c r="F859" s="29" t="s">
        <v>61</v>
      </c>
      <c r="G859" s="29"/>
      <c r="H859" s="103">
        <f>_xlfn.XLOOKUP(B859,GM!$Q$5:$Q$756,GM!$J$5:$J$756)</f>
        <v>46107</v>
      </c>
    </row>
    <row r="860" spans="1:8" hidden="1" x14ac:dyDescent="0.35">
      <c r="A860" s="29" t="s">
        <v>18</v>
      </c>
      <c r="B860" s="29" t="str">
        <f t="shared" si="13"/>
        <v>CPV-15</v>
      </c>
      <c r="C860" s="29" t="s">
        <v>4840</v>
      </c>
      <c r="D860" s="67" t="s">
        <v>4841</v>
      </c>
      <c r="E860" s="96" t="s">
        <v>62</v>
      </c>
      <c r="F860" s="29" t="s">
        <v>61</v>
      </c>
      <c r="G860" s="29"/>
      <c r="H860" s="103">
        <f>_xlfn.XLOOKUP(B860,GM!$Q$5:$Q$756,GM!$J$5:$J$756)</f>
        <v>46107</v>
      </c>
    </row>
    <row r="861" spans="1:8" hidden="1" x14ac:dyDescent="0.35">
      <c r="A861" s="29" t="s">
        <v>18</v>
      </c>
      <c r="B861" s="29" t="str">
        <f t="shared" si="13"/>
        <v>CPV-15</v>
      </c>
      <c r="C861" s="29" t="s">
        <v>4842</v>
      </c>
      <c r="D861" s="67" t="s">
        <v>4843</v>
      </c>
      <c r="E861" s="96" t="s">
        <v>62</v>
      </c>
      <c r="F861" s="29" t="s">
        <v>61</v>
      </c>
      <c r="G861" s="29"/>
      <c r="H861" s="103">
        <f>_xlfn.XLOOKUP(B861,GM!$Q$5:$Q$756,GM!$J$5:$J$756)</f>
        <v>46107</v>
      </c>
    </row>
    <row r="862" spans="1:8" hidden="1" x14ac:dyDescent="0.35">
      <c r="A862" s="29" t="s">
        <v>18</v>
      </c>
      <c r="B862" s="29" t="str">
        <f t="shared" si="13"/>
        <v>CPV-15</v>
      </c>
      <c r="C862" s="29" t="s">
        <v>4844</v>
      </c>
      <c r="D862" s="67" t="s">
        <v>4845</v>
      </c>
      <c r="E862" s="96" t="s">
        <v>62</v>
      </c>
      <c r="F862" s="29" t="s">
        <v>61</v>
      </c>
      <c r="G862" s="29"/>
      <c r="H862" s="103">
        <f>_xlfn.XLOOKUP(B862,GM!$Q$5:$Q$756,GM!$J$5:$J$756)</f>
        <v>46107</v>
      </c>
    </row>
    <row r="863" spans="1:8" hidden="1" x14ac:dyDescent="0.35">
      <c r="A863" s="29" t="s">
        <v>18</v>
      </c>
      <c r="B863" s="29" t="str">
        <f t="shared" si="13"/>
        <v>CPV-15</v>
      </c>
      <c r="C863" s="29" t="s">
        <v>4846</v>
      </c>
      <c r="D863" s="67" t="s">
        <v>4847</v>
      </c>
      <c r="E863" s="96" t="s">
        <v>62</v>
      </c>
      <c r="F863" s="29" t="s">
        <v>61</v>
      </c>
      <c r="G863" s="29"/>
      <c r="H863" s="103">
        <f>_xlfn.XLOOKUP(B863,GM!$Q$5:$Q$756,GM!$J$5:$J$756)</f>
        <v>46107</v>
      </c>
    </row>
    <row r="864" spans="1:8" hidden="1" x14ac:dyDescent="0.35">
      <c r="A864" s="29" t="s">
        <v>18</v>
      </c>
      <c r="B864" s="29" t="str">
        <f t="shared" si="13"/>
        <v>CPV-15</v>
      </c>
      <c r="C864" s="29" t="s">
        <v>4848</v>
      </c>
      <c r="D864" s="67" t="s">
        <v>4849</v>
      </c>
      <c r="E864" s="96" t="s">
        <v>62</v>
      </c>
      <c r="F864" s="29" t="s">
        <v>61</v>
      </c>
      <c r="G864" s="29"/>
      <c r="H864" s="103">
        <f>_xlfn.XLOOKUP(B864,GM!$Q$5:$Q$756,GM!$J$5:$J$756)</f>
        <v>46107</v>
      </c>
    </row>
    <row r="865" spans="1:8" hidden="1" x14ac:dyDescent="0.35">
      <c r="A865" s="29" t="s">
        <v>18</v>
      </c>
      <c r="B865" s="29" t="str">
        <f t="shared" si="13"/>
        <v>CPV-15</v>
      </c>
      <c r="C865" s="29" t="s">
        <v>4850</v>
      </c>
      <c r="D865" s="67" t="s">
        <v>4851</v>
      </c>
      <c r="E865" s="96" t="s">
        <v>62</v>
      </c>
      <c r="F865" s="29" t="s">
        <v>61</v>
      </c>
      <c r="G865" s="29"/>
      <c r="H865" s="103">
        <f>_xlfn.XLOOKUP(B865,GM!$Q$5:$Q$756,GM!$J$5:$J$756)</f>
        <v>46107</v>
      </c>
    </row>
    <row r="866" spans="1:8" hidden="1" x14ac:dyDescent="0.35">
      <c r="A866" s="29" t="s">
        <v>18</v>
      </c>
      <c r="B866" s="29" t="str">
        <f t="shared" si="13"/>
        <v>CPV-15</v>
      </c>
      <c r="C866" s="29" t="s">
        <v>4852</v>
      </c>
      <c r="D866" s="67" t="s">
        <v>4853</v>
      </c>
      <c r="E866" s="96" t="s">
        <v>62</v>
      </c>
      <c r="F866" s="29" t="s">
        <v>61</v>
      </c>
      <c r="G866" s="29"/>
      <c r="H866" s="103">
        <f>_xlfn.XLOOKUP(B866,GM!$Q$5:$Q$756,GM!$J$5:$J$756)</f>
        <v>46107</v>
      </c>
    </row>
    <row r="867" spans="1:8" hidden="1" x14ac:dyDescent="0.35">
      <c r="A867" s="29" t="s">
        <v>18</v>
      </c>
      <c r="B867" s="29" t="str">
        <f t="shared" si="13"/>
        <v>CPV-15</v>
      </c>
      <c r="C867" s="29" t="s">
        <v>4854</v>
      </c>
      <c r="D867" s="67" t="s">
        <v>4855</v>
      </c>
      <c r="E867" s="96" t="s">
        <v>62</v>
      </c>
      <c r="F867" s="29" t="s">
        <v>61</v>
      </c>
      <c r="G867" s="29"/>
      <c r="H867" s="103">
        <f>_xlfn.XLOOKUP(B867,GM!$Q$5:$Q$756,GM!$J$5:$J$756)</f>
        <v>46107</v>
      </c>
    </row>
    <row r="868" spans="1:8" hidden="1" x14ac:dyDescent="0.35">
      <c r="A868" s="29" t="s">
        <v>18</v>
      </c>
      <c r="B868" s="29" t="str">
        <f t="shared" si="13"/>
        <v>CPV-15</v>
      </c>
      <c r="C868" s="29" t="s">
        <v>4856</v>
      </c>
      <c r="D868" s="67" t="s">
        <v>4857</v>
      </c>
      <c r="E868" s="96" t="s">
        <v>62</v>
      </c>
      <c r="F868" s="29" t="s">
        <v>61</v>
      </c>
      <c r="G868" s="29"/>
      <c r="H868" s="103">
        <f>_xlfn.XLOOKUP(B868,GM!$Q$5:$Q$756,GM!$J$5:$J$756)</f>
        <v>46107</v>
      </c>
    </row>
    <row r="869" spans="1:8" hidden="1" x14ac:dyDescent="0.35">
      <c r="A869" s="29" t="s">
        <v>18</v>
      </c>
      <c r="B869" s="29" t="str">
        <f t="shared" si="13"/>
        <v>CPV-15</v>
      </c>
      <c r="C869" s="29" t="s">
        <v>4858</v>
      </c>
      <c r="D869" s="67" t="s">
        <v>4859</v>
      </c>
      <c r="E869" s="96" t="s">
        <v>62</v>
      </c>
      <c r="F869" s="29" t="s">
        <v>61</v>
      </c>
      <c r="G869" s="29"/>
      <c r="H869" s="103">
        <f>_xlfn.XLOOKUP(B869,GM!$Q$5:$Q$756,GM!$J$5:$J$756)</f>
        <v>46107</v>
      </c>
    </row>
    <row r="870" spans="1:8" hidden="1" x14ac:dyDescent="0.35">
      <c r="A870" s="29" t="s">
        <v>18</v>
      </c>
      <c r="B870" s="29" t="str">
        <f t="shared" si="13"/>
        <v>CPV-15</v>
      </c>
      <c r="C870" s="29" t="s">
        <v>4860</v>
      </c>
      <c r="D870" s="67" t="s">
        <v>4861</v>
      </c>
      <c r="E870" s="96" t="s">
        <v>62</v>
      </c>
      <c r="F870" s="29" t="s">
        <v>61</v>
      </c>
      <c r="G870" s="29"/>
      <c r="H870" s="103">
        <f>_xlfn.XLOOKUP(B870,GM!$Q$5:$Q$756,GM!$J$5:$J$756)</f>
        <v>46107</v>
      </c>
    </row>
    <row r="871" spans="1:8" hidden="1" x14ac:dyDescent="0.35">
      <c r="A871" s="29" t="s">
        <v>18</v>
      </c>
      <c r="B871" s="29" t="str">
        <f t="shared" si="13"/>
        <v>CPV-15</v>
      </c>
      <c r="C871" s="29" t="s">
        <v>4862</v>
      </c>
      <c r="D871" s="67" t="s">
        <v>4863</v>
      </c>
      <c r="E871" s="96" t="s">
        <v>62</v>
      </c>
      <c r="F871" s="29" t="s">
        <v>61</v>
      </c>
      <c r="G871" s="29"/>
      <c r="H871" s="103">
        <f>_xlfn.XLOOKUP(B871,GM!$Q$5:$Q$756,GM!$J$5:$J$756)</f>
        <v>46107</v>
      </c>
    </row>
    <row r="872" spans="1:8" hidden="1" x14ac:dyDescent="0.35">
      <c r="A872" s="29" t="s">
        <v>18</v>
      </c>
      <c r="B872" s="29" t="str">
        <f t="shared" si="13"/>
        <v>CPV-15</v>
      </c>
      <c r="C872" s="29" t="s">
        <v>4864</v>
      </c>
      <c r="D872" s="67" t="s">
        <v>4865</v>
      </c>
      <c r="E872" s="96" t="s">
        <v>62</v>
      </c>
      <c r="F872" s="29" t="s">
        <v>61</v>
      </c>
      <c r="G872" s="29"/>
      <c r="H872" s="103">
        <f>_xlfn.XLOOKUP(B872,GM!$Q$5:$Q$756,GM!$J$5:$J$756)</f>
        <v>46107</v>
      </c>
    </row>
    <row r="873" spans="1:8" hidden="1" x14ac:dyDescent="0.35">
      <c r="A873" s="29" t="s">
        <v>18</v>
      </c>
      <c r="B873" s="29" t="str">
        <f t="shared" si="13"/>
        <v>CPV-15</v>
      </c>
      <c r="C873" s="29" t="s">
        <v>4866</v>
      </c>
      <c r="D873" s="67" t="s">
        <v>4867</v>
      </c>
      <c r="E873" s="96" t="s">
        <v>62</v>
      </c>
      <c r="F873" s="29" t="s">
        <v>61</v>
      </c>
      <c r="G873" s="29"/>
      <c r="H873" s="103">
        <f>_xlfn.XLOOKUP(B873,GM!$Q$5:$Q$756,GM!$J$5:$J$756)</f>
        <v>46107</v>
      </c>
    </row>
    <row r="874" spans="1:8" hidden="1" x14ac:dyDescent="0.35">
      <c r="A874" s="29" t="s">
        <v>18</v>
      </c>
      <c r="B874" s="29" t="str">
        <f t="shared" si="13"/>
        <v>CPV-15</v>
      </c>
      <c r="C874" s="29" t="s">
        <v>4868</v>
      </c>
      <c r="D874" s="67" t="s">
        <v>4869</v>
      </c>
      <c r="E874" s="96" t="s">
        <v>62</v>
      </c>
      <c r="F874" s="29" t="s">
        <v>61</v>
      </c>
      <c r="G874" s="29"/>
      <c r="H874" s="103">
        <f>_xlfn.XLOOKUP(B874,GM!$Q$5:$Q$756,GM!$J$5:$J$756)</f>
        <v>46107</v>
      </c>
    </row>
    <row r="875" spans="1:8" hidden="1" x14ac:dyDescent="0.35">
      <c r="A875" s="29" t="s">
        <v>18</v>
      </c>
      <c r="B875" s="29" t="str">
        <f t="shared" si="13"/>
        <v>CPV-15</v>
      </c>
      <c r="C875" s="29" t="s">
        <v>4870</v>
      </c>
      <c r="D875" s="67" t="s">
        <v>4871</v>
      </c>
      <c r="E875" s="96" t="s">
        <v>62</v>
      </c>
      <c r="F875" s="29" t="s">
        <v>61</v>
      </c>
      <c r="G875" s="29"/>
      <c r="H875" s="103">
        <f>_xlfn.XLOOKUP(B875,GM!$Q$5:$Q$756,GM!$J$5:$J$756)</f>
        <v>46107</v>
      </c>
    </row>
    <row r="876" spans="1:8" hidden="1" x14ac:dyDescent="0.35">
      <c r="A876" s="29" t="s">
        <v>18</v>
      </c>
      <c r="B876" s="29" t="str">
        <f t="shared" si="13"/>
        <v>CPV-15</v>
      </c>
      <c r="C876" s="29" t="s">
        <v>4872</v>
      </c>
      <c r="D876" s="67" t="s">
        <v>4873</v>
      </c>
      <c r="E876" s="96" t="s">
        <v>62</v>
      </c>
      <c r="F876" s="29" t="s">
        <v>61</v>
      </c>
      <c r="G876" s="29"/>
      <c r="H876" s="103">
        <f>_xlfn.XLOOKUP(B876,GM!$Q$5:$Q$756,GM!$J$5:$J$756)</f>
        <v>46107</v>
      </c>
    </row>
    <row r="877" spans="1:8" hidden="1" x14ac:dyDescent="0.35">
      <c r="A877" s="29" t="s">
        <v>18</v>
      </c>
      <c r="B877" s="29" t="str">
        <f t="shared" si="13"/>
        <v>CPV-15</v>
      </c>
      <c r="C877" s="29" t="s">
        <v>4874</v>
      </c>
      <c r="D877" s="67" t="s">
        <v>4875</v>
      </c>
      <c r="E877" s="96" t="s">
        <v>62</v>
      </c>
      <c r="F877" s="29" t="s">
        <v>61</v>
      </c>
      <c r="G877" s="29"/>
      <c r="H877" s="103">
        <f>_xlfn.XLOOKUP(B877,GM!$Q$5:$Q$756,GM!$J$5:$J$756)</f>
        <v>46107</v>
      </c>
    </row>
    <row r="878" spans="1:8" hidden="1" x14ac:dyDescent="0.35">
      <c r="A878" s="29" t="s">
        <v>18</v>
      </c>
      <c r="B878" s="29" t="str">
        <f t="shared" si="13"/>
        <v>CPV-15</v>
      </c>
      <c r="C878" s="29" t="s">
        <v>4876</v>
      </c>
      <c r="D878" s="67" t="s">
        <v>4877</v>
      </c>
      <c r="E878" s="96" t="s">
        <v>62</v>
      </c>
      <c r="F878" s="29" t="s">
        <v>61</v>
      </c>
      <c r="G878" s="29"/>
      <c r="H878" s="103">
        <f>_xlfn.XLOOKUP(B878,GM!$Q$5:$Q$756,GM!$J$5:$J$756)</f>
        <v>46107</v>
      </c>
    </row>
    <row r="879" spans="1:8" hidden="1" x14ac:dyDescent="0.35">
      <c r="A879" s="29" t="s">
        <v>18</v>
      </c>
      <c r="B879" s="29" t="str">
        <f t="shared" si="13"/>
        <v>CPV-14</v>
      </c>
      <c r="C879" s="29" t="s">
        <v>4878</v>
      </c>
      <c r="D879" s="67" t="s">
        <v>4879</v>
      </c>
      <c r="E879" s="96" t="s">
        <v>62</v>
      </c>
      <c r="F879" s="29" t="s">
        <v>61</v>
      </c>
      <c r="G879" s="29"/>
      <c r="H879" s="103">
        <f>_xlfn.XLOOKUP(B879,GM!$Q$5:$Q$756,GM!$J$5:$J$756)</f>
        <v>45202</v>
      </c>
    </row>
    <row r="880" spans="1:8" hidden="1" x14ac:dyDescent="0.35">
      <c r="A880" s="29" t="s">
        <v>18</v>
      </c>
      <c r="B880" s="29" t="str">
        <f t="shared" si="13"/>
        <v>CPV-13</v>
      </c>
      <c r="C880" s="29" t="s">
        <v>4880</v>
      </c>
      <c r="D880" s="67" t="s">
        <v>4881</v>
      </c>
      <c r="E880" s="96" t="s">
        <v>62</v>
      </c>
      <c r="F880" s="29" t="s">
        <v>61</v>
      </c>
      <c r="G880" s="29"/>
      <c r="H880" s="103">
        <f>_xlfn.XLOOKUP(B880,GM!$Q$5:$Q$756,GM!$J$5:$J$756)</f>
        <v>46107</v>
      </c>
    </row>
    <row r="881" spans="1:8" hidden="1" x14ac:dyDescent="0.35">
      <c r="A881" s="29" t="s">
        <v>18</v>
      </c>
      <c r="B881" s="29" t="str">
        <f t="shared" si="13"/>
        <v>CPV-13</v>
      </c>
      <c r="C881" s="29" t="s">
        <v>4882</v>
      </c>
      <c r="D881" s="67" t="s">
        <v>4883</v>
      </c>
      <c r="E881" s="96" t="s">
        <v>62</v>
      </c>
      <c r="F881" s="29" t="s">
        <v>61</v>
      </c>
      <c r="G881" s="29"/>
      <c r="H881" s="103">
        <f>_xlfn.XLOOKUP(B881,GM!$Q$5:$Q$756,GM!$J$5:$J$756)</f>
        <v>46107</v>
      </c>
    </row>
    <row r="882" spans="1:8" hidden="1" x14ac:dyDescent="0.35">
      <c r="A882" s="29" t="s">
        <v>18</v>
      </c>
      <c r="B882" s="29" t="str">
        <f t="shared" si="13"/>
        <v>CPV-13</v>
      </c>
      <c r="C882" s="29" t="s">
        <v>4884</v>
      </c>
      <c r="D882" s="67" t="s">
        <v>4885</v>
      </c>
      <c r="E882" s="96" t="s">
        <v>62</v>
      </c>
      <c r="F882" s="29" t="s">
        <v>61</v>
      </c>
      <c r="G882" s="29"/>
      <c r="H882" s="103">
        <f>_xlfn.XLOOKUP(B882,GM!$Q$5:$Q$756,GM!$J$5:$J$756)</f>
        <v>46107</v>
      </c>
    </row>
    <row r="883" spans="1:8" hidden="1" x14ac:dyDescent="0.35">
      <c r="A883" s="29" t="s">
        <v>18</v>
      </c>
      <c r="B883" s="29" t="str">
        <f t="shared" si="13"/>
        <v>CPV-13</v>
      </c>
      <c r="C883" s="29" t="s">
        <v>4886</v>
      </c>
      <c r="D883" s="67" t="s">
        <v>4887</v>
      </c>
      <c r="E883" s="96" t="s">
        <v>62</v>
      </c>
      <c r="F883" s="29" t="s">
        <v>61</v>
      </c>
      <c r="G883" s="29"/>
      <c r="H883" s="103">
        <f>_xlfn.XLOOKUP(B883,GM!$Q$5:$Q$756,GM!$J$5:$J$756)</f>
        <v>46107</v>
      </c>
    </row>
    <row r="884" spans="1:8" hidden="1" x14ac:dyDescent="0.35">
      <c r="A884" s="29" t="s">
        <v>18</v>
      </c>
      <c r="B884" s="29" t="str">
        <f t="shared" si="13"/>
        <v>CPV-13</v>
      </c>
      <c r="C884" s="29" t="s">
        <v>4888</v>
      </c>
      <c r="D884" s="67" t="s">
        <v>4889</v>
      </c>
      <c r="E884" s="96" t="s">
        <v>62</v>
      </c>
      <c r="F884" s="29" t="s">
        <v>61</v>
      </c>
      <c r="G884" s="29"/>
      <c r="H884" s="103">
        <f>_xlfn.XLOOKUP(B884,GM!$Q$5:$Q$756,GM!$J$5:$J$756)</f>
        <v>46107</v>
      </c>
    </row>
    <row r="885" spans="1:8" hidden="1" x14ac:dyDescent="0.35">
      <c r="A885" s="29" t="s">
        <v>18</v>
      </c>
      <c r="B885" s="29" t="str">
        <f t="shared" si="13"/>
        <v>CPV-13</v>
      </c>
      <c r="C885" s="29" t="s">
        <v>4890</v>
      </c>
      <c r="D885" s="67" t="s">
        <v>4891</v>
      </c>
      <c r="E885" s="96" t="s">
        <v>62</v>
      </c>
      <c r="F885" s="29" t="s">
        <v>61</v>
      </c>
      <c r="G885" s="29"/>
      <c r="H885" s="103">
        <f>_xlfn.XLOOKUP(B885,GM!$Q$5:$Q$756,GM!$J$5:$J$756)</f>
        <v>46107</v>
      </c>
    </row>
    <row r="886" spans="1:8" hidden="1" x14ac:dyDescent="0.35">
      <c r="A886" s="29" t="s">
        <v>18</v>
      </c>
      <c r="B886" s="29" t="str">
        <f t="shared" si="13"/>
        <v>CPV-12</v>
      </c>
      <c r="C886" s="29" t="s">
        <v>4892</v>
      </c>
      <c r="D886" s="67" t="s">
        <v>4893</v>
      </c>
      <c r="E886" s="96" t="s">
        <v>62</v>
      </c>
      <c r="F886" s="29" t="s">
        <v>61</v>
      </c>
      <c r="G886" s="29"/>
      <c r="H886" s="103">
        <f>_xlfn.XLOOKUP(B886,GM!$Q$5:$Q$756,GM!$J$5:$J$756)</f>
        <v>46107</v>
      </c>
    </row>
    <row r="887" spans="1:8" hidden="1" x14ac:dyDescent="0.35">
      <c r="A887" s="29" t="s">
        <v>18</v>
      </c>
      <c r="B887" s="29" t="str">
        <f t="shared" si="13"/>
        <v>CPV-11</v>
      </c>
      <c r="C887" s="29" t="s">
        <v>4894</v>
      </c>
      <c r="D887" s="67" t="s">
        <v>4895</v>
      </c>
      <c r="E887" s="96" t="s">
        <v>62</v>
      </c>
      <c r="F887" s="29" t="s">
        <v>61</v>
      </c>
      <c r="G887" s="29"/>
      <c r="H887" s="103">
        <f>_xlfn.XLOOKUP(B887,GM!$Q$5:$Q$756,GM!$J$5:$J$756)</f>
        <v>46107</v>
      </c>
    </row>
    <row r="888" spans="1:8" hidden="1" x14ac:dyDescent="0.35">
      <c r="A888" s="29" t="s">
        <v>18</v>
      </c>
      <c r="B888" s="29" t="str">
        <f t="shared" si="13"/>
        <v>CPV-11</v>
      </c>
      <c r="C888" s="29" t="s">
        <v>4896</v>
      </c>
      <c r="D888" s="67" t="s">
        <v>4897</v>
      </c>
      <c r="E888" s="96" t="s">
        <v>62</v>
      </c>
      <c r="F888" s="29" t="s">
        <v>61</v>
      </c>
      <c r="G888" s="29"/>
      <c r="H888" s="103">
        <f>_xlfn.XLOOKUP(B888,GM!$Q$5:$Q$756,GM!$J$5:$J$756)</f>
        <v>46107</v>
      </c>
    </row>
    <row r="889" spans="1:8" hidden="1" x14ac:dyDescent="0.35">
      <c r="A889" s="29" t="s">
        <v>18</v>
      </c>
      <c r="B889" s="29" t="str">
        <f t="shared" si="13"/>
        <v>CPV-11</v>
      </c>
      <c r="C889" s="29" t="s">
        <v>4898</v>
      </c>
      <c r="D889" s="67" t="s">
        <v>4899</v>
      </c>
      <c r="E889" s="96" t="s">
        <v>62</v>
      </c>
      <c r="F889" s="29" t="s">
        <v>61</v>
      </c>
      <c r="G889" s="29"/>
      <c r="H889" s="103">
        <f>_xlfn.XLOOKUP(B889,GM!$Q$5:$Q$756,GM!$J$5:$J$756)</f>
        <v>46107</v>
      </c>
    </row>
    <row r="890" spans="1:8" hidden="1" x14ac:dyDescent="0.35">
      <c r="A890" s="29" t="s">
        <v>18</v>
      </c>
      <c r="B890" s="29" t="str">
        <f t="shared" si="13"/>
        <v>CPV-11</v>
      </c>
      <c r="C890" s="29" t="s">
        <v>4900</v>
      </c>
      <c r="D890" s="67" t="s">
        <v>4901</v>
      </c>
      <c r="E890" s="96" t="s">
        <v>62</v>
      </c>
      <c r="F890" s="29" t="s">
        <v>61</v>
      </c>
      <c r="G890" s="29"/>
      <c r="H890" s="103">
        <f>_xlfn.XLOOKUP(B890,GM!$Q$5:$Q$756,GM!$J$5:$J$756)</f>
        <v>46107</v>
      </c>
    </row>
    <row r="891" spans="1:8" hidden="1" x14ac:dyDescent="0.35">
      <c r="A891" s="29" t="s">
        <v>18</v>
      </c>
      <c r="B891" s="29" t="str">
        <f t="shared" si="13"/>
        <v>CPV-10</v>
      </c>
      <c r="C891" s="29" t="s">
        <v>4902</v>
      </c>
      <c r="D891" s="67" t="s">
        <v>4903</v>
      </c>
      <c r="E891" s="96" t="s">
        <v>62</v>
      </c>
      <c r="F891" s="29" t="s">
        <v>61</v>
      </c>
      <c r="G891" s="29"/>
      <c r="H891" s="103">
        <f>_xlfn.XLOOKUP(B891,GM!$Q$5:$Q$756,GM!$J$5:$J$756)</f>
        <v>45959</v>
      </c>
    </row>
    <row r="892" spans="1:8" hidden="1" x14ac:dyDescent="0.35">
      <c r="A892" s="29" t="s">
        <v>18</v>
      </c>
      <c r="B892" s="29" t="str">
        <f t="shared" si="13"/>
        <v>CPV-10</v>
      </c>
      <c r="C892" s="29" t="s">
        <v>4904</v>
      </c>
      <c r="D892" s="67" t="s">
        <v>4905</v>
      </c>
      <c r="E892" s="96" t="s">
        <v>62</v>
      </c>
      <c r="F892" s="29" t="s">
        <v>61</v>
      </c>
      <c r="G892" s="29"/>
      <c r="H892" s="103">
        <f>_xlfn.XLOOKUP(B892,GM!$Q$5:$Q$756,GM!$J$5:$J$756)</f>
        <v>45959</v>
      </c>
    </row>
    <row r="893" spans="1:8" hidden="1" x14ac:dyDescent="0.35">
      <c r="A893" s="29" t="s">
        <v>18</v>
      </c>
      <c r="B893" s="29" t="str">
        <f t="shared" si="13"/>
        <v>CPV-10</v>
      </c>
      <c r="C893" s="29" t="s">
        <v>4906</v>
      </c>
      <c r="D893" s="67" t="s">
        <v>4907</v>
      </c>
      <c r="E893" s="96" t="s">
        <v>62</v>
      </c>
      <c r="F893" s="29" t="s">
        <v>61</v>
      </c>
      <c r="G893" s="29"/>
      <c r="H893" s="103">
        <f>_xlfn.XLOOKUP(B893,GM!$Q$5:$Q$756,GM!$J$5:$J$756)</f>
        <v>45959</v>
      </c>
    </row>
    <row r="894" spans="1:8" hidden="1" x14ac:dyDescent="0.35">
      <c r="A894" s="29" t="s">
        <v>18</v>
      </c>
      <c r="B894" s="29" t="str">
        <f t="shared" si="13"/>
        <v>CPV-10</v>
      </c>
      <c r="C894" s="29" t="s">
        <v>4908</v>
      </c>
      <c r="D894" s="67" t="s">
        <v>4909</v>
      </c>
      <c r="E894" s="96" t="s">
        <v>62</v>
      </c>
      <c r="F894" s="29" t="s">
        <v>61</v>
      </c>
      <c r="G894" s="29"/>
      <c r="H894" s="103">
        <f>_xlfn.XLOOKUP(B894,GM!$Q$5:$Q$756,GM!$J$5:$J$756)</f>
        <v>45959</v>
      </c>
    </row>
    <row r="895" spans="1:8" hidden="1" x14ac:dyDescent="0.35">
      <c r="A895" s="29" t="s">
        <v>18</v>
      </c>
      <c r="B895" s="29" t="str">
        <f t="shared" si="13"/>
        <v>CPV-10</v>
      </c>
      <c r="C895" s="29" t="s">
        <v>4910</v>
      </c>
      <c r="D895" s="67" t="s">
        <v>4911</v>
      </c>
      <c r="E895" s="96" t="s">
        <v>62</v>
      </c>
      <c r="F895" s="29" t="s">
        <v>61</v>
      </c>
      <c r="G895" s="29"/>
      <c r="H895" s="103">
        <f>_xlfn.XLOOKUP(B895,GM!$Q$5:$Q$756,GM!$J$5:$J$756)</f>
        <v>45959</v>
      </c>
    </row>
    <row r="896" spans="1:8" hidden="1" x14ac:dyDescent="0.35">
      <c r="A896" s="29" t="s">
        <v>18</v>
      </c>
      <c r="B896" s="29" t="str">
        <f t="shared" si="13"/>
        <v>CPV-10</v>
      </c>
      <c r="C896" s="29" t="s">
        <v>4912</v>
      </c>
      <c r="D896" s="67" t="s">
        <v>4913</v>
      </c>
      <c r="E896" s="96" t="s">
        <v>62</v>
      </c>
      <c r="F896" s="29" t="s">
        <v>61</v>
      </c>
      <c r="G896" s="29"/>
      <c r="H896" s="103">
        <f>_xlfn.XLOOKUP(B896,GM!$Q$5:$Q$756,GM!$J$5:$J$756)</f>
        <v>45959</v>
      </c>
    </row>
    <row r="897" spans="1:8" hidden="1" x14ac:dyDescent="0.35">
      <c r="A897" s="29" t="s">
        <v>18</v>
      </c>
      <c r="B897" s="29" t="str">
        <f t="shared" si="13"/>
        <v>CPV-10</v>
      </c>
      <c r="C897" s="29" t="s">
        <v>4914</v>
      </c>
      <c r="D897" s="67" t="s">
        <v>4915</v>
      </c>
      <c r="E897" s="96" t="s">
        <v>62</v>
      </c>
      <c r="F897" s="29" t="s">
        <v>61</v>
      </c>
      <c r="G897" s="29"/>
      <c r="H897" s="103">
        <f>_xlfn.XLOOKUP(B897,GM!$Q$5:$Q$756,GM!$J$5:$J$756)</f>
        <v>45959</v>
      </c>
    </row>
    <row r="898" spans="1:8" hidden="1" x14ac:dyDescent="0.35">
      <c r="A898" s="29" t="s">
        <v>18</v>
      </c>
      <c r="B898" s="29" t="str">
        <f t="shared" si="13"/>
        <v>CPV-10</v>
      </c>
      <c r="C898" s="29" t="s">
        <v>4916</v>
      </c>
      <c r="D898" s="67" t="s">
        <v>4917</v>
      </c>
      <c r="E898" s="96" t="s">
        <v>62</v>
      </c>
      <c r="F898" s="29" t="s">
        <v>61</v>
      </c>
      <c r="G898" s="29"/>
      <c r="H898" s="103">
        <f>_xlfn.XLOOKUP(B898,GM!$Q$5:$Q$756,GM!$J$5:$J$756)</f>
        <v>45959</v>
      </c>
    </row>
    <row r="899" spans="1:8" hidden="1" x14ac:dyDescent="0.35">
      <c r="A899" s="29" t="s">
        <v>18</v>
      </c>
      <c r="B899" s="29" t="str">
        <f t="shared" si="13"/>
        <v>CPV-09</v>
      </c>
      <c r="C899" s="29" t="s">
        <v>4918</v>
      </c>
      <c r="D899" s="67" t="s">
        <v>4919</v>
      </c>
      <c r="E899" s="96" t="s">
        <v>62</v>
      </c>
      <c r="F899" s="29" t="s">
        <v>61</v>
      </c>
      <c r="G899" s="29"/>
      <c r="H899" s="103">
        <f>_xlfn.XLOOKUP(B899,GM!$Q$5:$Q$756,GM!$J$5:$J$756)</f>
        <v>45959</v>
      </c>
    </row>
    <row r="900" spans="1:8" hidden="1" x14ac:dyDescent="0.35">
      <c r="A900" s="29" t="s">
        <v>18</v>
      </c>
      <c r="B900" s="29" t="str">
        <f t="shared" si="13"/>
        <v>CPV-09</v>
      </c>
      <c r="C900" s="29" t="s">
        <v>4920</v>
      </c>
      <c r="D900" s="67" t="s">
        <v>4921</v>
      </c>
      <c r="E900" s="96" t="s">
        <v>62</v>
      </c>
      <c r="F900" s="29" t="s">
        <v>61</v>
      </c>
      <c r="G900" s="29"/>
      <c r="H900" s="103">
        <f>_xlfn.XLOOKUP(B900,GM!$Q$5:$Q$756,GM!$J$5:$J$756)</f>
        <v>45959</v>
      </c>
    </row>
    <row r="901" spans="1:8" hidden="1" x14ac:dyDescent="0.35">
      <c r="A901" s="29" t="s">
        <v>18</v>
      </c>
      <c r="B901" s="29" t="str">
        <f t="shared" ref="B901:B964" si="14">IF(OR(A901="ARN",A901="SDP"),MID(C901,4,7),MID(C901,4,6))</f>
        <v>CPV-09</v>
      </c>
      <c r="C901" s="29" t="s">
        <v>4922</v>
      </c>
      <c r="D901" s="67" t="s">
        <v>4923</v>
      </c>
      <c r="E901" s="96" t="s">
        <v>62</v>
      </c>
      <c r="F901" s="29" t="s">
        <v>61</v>
      </c>
      <c r="G901" s="29"/>
      <c r="H901" s="103">
        <f>_xlfn.XLOOKUP(B901,GM!$Q$5:$Q$756,GM!$J$5:$J$756)</f>
        <v>45959</v>
      </c>
    </row>
    <row r="902" spans="1:8" hidden="1" x14ac:dyDescent="0.35">
      <c r="A902" s="29" t="s">
        <v>18</v>
      </c>
      <c r="B902" s="29" t="str">
        <f t="shared" si="14"/>
        <v>CPV-09</v>
      </c>
      <c r="C902" s="29" t="s">
        <v>4924</v>
      </c>
      <c r="D902" s="67" t="s">
        <v>4925</v>
      </c>
      <c r="E902" s="96" t="s">
        <v>62</v>
      </c>
      <c r="F902" s="29" t="s">
        <v>61</v>
      </c>
      <c r="G902" s="29"/>
      <c r="H902" s="103">
        <f>_xlfn.XLOOKUP(B902,GM!$Q$5:$Q$756,GM!$J$5:$J$756)</f>
        <v>45959</v>
      </c>
    </row>
    <row r="903" spans="1:8" hidden="1" x14ac:dyDescent="0.35">
      <c r="A903" s="29" t="s">
        <v>18</v>
      </c>
      <c r="B903" s="29" t="str">
        <f t="shared" si="14"/>
        <v>CPV-09</v>
      </c>
      <c r="C903" s="29" t="s">
        <v>4926</v>
      </c>
      <c r="D903" s="67" t="s">
        <v>4927</v>
      </c>
      <c r="E903" s="96" t="s">
        <v>62</v>
      </c>
      <c r="F903" s="29" t="s">
        <v>61</v>
      </c>
      <c r="G903" s="29"/>
      <c r="H903" s="103">
        <f>_xlfn.XLOOKUP(B903,GM!$Q$5:$Q$756,GM!$J$5:$J$756)</f>
        <v>45959</v>
      </c>
    </row>
    <row r="904" spans="1:8" hidden="1" x14ac:dyDescent="0.35">
      <c r="A904" s="29" t="s">
        <v>18</v>
      </c>
      <c r="B904" s="29" t="str">
        <f t="shared" si="14"/>
        <v>CPV-09</v>
      </c>
      <c r="C904" s="29" t="s">
        <v>4928</v>
      </c>
      <c r="D904" s="67" t="s">
        <v>4929</v>
      </c>
      <c r="E904" s="96" t="s">
        <v>62</v>
      </c>
      <c r="F904" s="29" t="s">
        <v>61</v>
      </c>
      <c r="G904" s="29"/>
      <c r="H904" s="103">
        <f>_xlfn.XLOOKUP(B904,GM!$Q$5:$Q$756,GM!$J$5:$J$756)</f>
        <v>45959</v>
      </c>
    </row>
    <row r="905" spans="1:8" hidden="1" x14ac:dyDescent="0.35">
      <c r="A905" s="29" t="s">
        <v>18</v>
      </c>
      <c r="B905" s="29" t="str">
        <f t="shared" si="14"/>
        <v>CPV-09</v>
      </c>
      <c r="C905" s="29" t="s">
        <v>4930</v>
      </c>
      <c r="D905" s="67" t="s">
        <v>4931</v>
      </c>
      <c r="E905" s="96" t="s">
        <v>62</v>
      </c>
      <c r="F905" s="29" t="s">
        <v>61</v>
      </c>
      <c r="G905" s="29"/>
      <c r="H905" s="103">
        <f>_xlfn.XLOOKUP(B905,GM!$Q$5:$Q$756,GM!$J$5:$J$756)</f>
        <v>45959</v>
      </c>
    </row>
    <row r="906" spans="1:8" hidden="1" x14ac:dyDescent="0.35">
      <c r="A906" s="29" t="s">
        <v>18</v>
      </c>
      <c r="B906" s="29" t="str">
        <f t="shared" si="14"/>
        <v>CPV-09</v>
      </c>
      <c r="C906" s="29" t="s">
        <v>4932</v>
      </c>
      <c r="D906" s="67" t="s">
        <v>4933</v>
      </c>
      <c r="E906" s="96" t="s">
        <v>62</v>
      </c>
      <c r="F906" s="29" t="s">
        <v>61</v>
      </c>
      <c r="G906" s="29"/>
      <c r="H906" s="103">
        <f>_xlfn.XLOOKUP(B906,GM!$Q$5:$Q$756,GM!$J$5:$J$756)</f>
        <v>45959</v>
      </c>
    </row>
    <row r="907" spans="1:8" hidden="1" x14ac:dyDescent="0.35">
      <c r="A907" s="29" t="s">
        <v>18</v>
      </c>
      <c r="B907" s="29" t="str">
        <f t="shared" si="14"/>
        <v>CPV-09</v>
      </c>
      <c r="C907" s="29" t="s">
        <v>4934</v>
      </c>
      <c r="D907" s="67" t="s">
        <v>4935</v>
      </c>
      <c r="E907" s="96" t="s">
        <v>62</v>
      </c>
      <c r="F907" s="29" t="s">
        <v>61</v>
      </c>
      <c r="G907" s="29"/>
      <c r="H907" s="103">
        <f>_xlfn.XLOOKUP(B907,GM!$Q$5:$Q$756,GM!$J$5:$J$756)</f>
        <v>45959</v>
      </c>
    </row>
    <row r="908" spans="1:8" hidden="1" x14ac:dyDescent="0.35">
      <c r="A908" s="29" t="s">
        <v>18</v>
      </c>
      <c r="B908" s="29" t="str">
        <f t="shared" si="14"/>
        <v>CPV-07</v>
      </c>
      <c r="C908" s="29" t="s">
        <v>4936</v>
      </c>
      <c r="D908" s="67" t="s">
        <v>4937</v>
      </c>
      <c r="E908" s="96" t="s">
        <v>62</v>
      </c>
      <c r="F908" s="29" t="s">
        <v>61</v>
      </c>
      <c r="G908" s="29"/>
      <c r="H908" s="103">
        <f>_xlfn.XLOOKUP(B908,GM!$Q$5:$Q$756,GM!$J$5:$J$756)</f>
        <v>45959</v>
      </c>
    </row>
    <row r="909" spans="1:8" hidden="1" x14ac:dyDescent="0.35">
      <c r="A909" s="29" t="s">
        <v>18</v>
      </c>
      <c r="B909" s="29" t="str">
        <f t="shared" si="14"/>
        <v>CPV-07</v>
      </c>
      <c r="C909" s="29" t="s">
        <v>4938</v>
      </c>
      <c r="D909" s="67" t="s">
        <v>4939</v>
      </c>
      <c r="E909" s="96" t="s">
        <v>62</v>
      </c>
      <c r="F909" s="29" t="s">
        <v>61</v>
      </c>
      <c r="G909" s="29"/>
      <c r="H909" s="103">
        <f>_xlfn.XLOOKUP(B909,GM!$Q$5:$Q$756,GM!$J$5:$J$756)</f>
        <v>45959</v>
      </c>
    </row>
    <row r="910" spans="1:8" hidden="1" x14ac:dyDescent="0.35">
      <c r="A910" s="29" t="s">
        <v>18</v>
      </c>
      <c r="B910" s="29" t="str">
        <f t="shared" si="14"/>
        <v>CPV-07</v>
      </c>
      <c r="C910" s="29" t="s">
        <v>4940</v>
      </c>
      <c r="D910" s="67" t="s">
        <v>4941</v>
      </c>
      <c r="E910" s="96" t="s">
        <v>62</v>
      </c>
      <c r="F910" s="29" t="s">
        <v>61</v>
      </c>
      <c r="G910" s="29"/>
      <c r="H910" s="103">
        <f>_xlfn.XLOOKUP(B910,GM!$Q$5:$Q$756,GM!$J$5:$J$756)</f>
        <v>45959</v>
      </c>
    </row>
    <row r="911" spans="1:8" hidden="1" x14ac:dyDescent="0.35">
      <c r="A911" s="29" t="s">
        <v>18</v>
      </c>
      <c r="B911" s="29" t="str">
        <f t="shared" si="14"/>
        <v>CPV-07</v>
      </c>
      <c r="C911" s="29" t="s">
        <v>4942</v>
      </c>
      <c r="D911" s="67" t="s">
        <v>4943</v>
      </c>
      <c r="E911" s="96" t="s">
        <v>62</v>
      </c>
      <c r="F911" s="29" t="s">
        <v>61</v>
      </c>
      <c r="G911" s="29"/>
      <c r="H911" s="103">
        <f>_xlfn.XLOOKUP(B911,GM!$Q$5:$Q$756,GM!$J$5:$J$756)</f>
        <v>45959</v>
      </c>
    </row>
    <row r="912" spans="1:8" hidden="1" x14ac:dyDescent="0.35">
      <c r="A912" s="29" t="s">
        <v>18</v>
      </c>
      <c r="B912" s="29" t="str">
        <f t="shared" si="14"/>
        <v>CPV-07</v>
      </c>
      <c r="C912" s="29" t="s">
        <v>4944</v>
      </c>
      <c r="D912" s="67" t="s">
        <v>4945</v>
      </c>
      <c r="E912" s="96" t="s">
        <v>62</v>
      </c>
      <c r="F912" s="29" t="s">
        <v>61</v>
      </c>
      <c r="G912" s="29"/>
      <c r="H912" s="103">
        <f>_xlfn.XLOOKUP(B912,GM!$Q$5:$Q$756,GM!$J$5:$J$756)</f>
        <v>45959</v>
      </c>
    </row>
    <row r="913" spans="1:8" hidden="1" x14ac:dyDescent="0.35">
      <c r="A913" s="29" t="s">
        <v>18</v>
      </c>
      <c r="B913" s="29" t="str">
        <f t="shared" si="14"/>
        <v>CPV-07</v>
      </c>
      <c r="C913" s="29" t="s">
        <v>4946</v>
      </c>
      <c r="D913" s="67" t="s">
        <v>4947</v>
      </c>
      <c r="E913" s="96" t="s">
        <v>62</v>
      </c>
      <c r="F913" s="29" t="s">
        <v>61</v>
      </c>
      <c r="G913" s="29"/>
      <c r="H913" s="103">
        <f>_xlfn.XLOOKUP(B913,GM!$Q$5:$Q$756,GM!$J$5:$J$756)</f>
        <v>45959</v>
      </c>
    </row>
    <row r="914" spans="1:8" hidden="1" x14ac:dyDescent="0.35">
      <c r="A914" s="29" t="s">
        <v>18</v>
      </c>
      <c r="B914" s="29" t="str">
        <f t="shared" si="14"/>
        <v>CPV-06</v>
      </c>
      <c r="C914" s="29" t="s">
        <v>4948</v>
      </c>
      <c r="D914" s="67" t="s">
        <v>4949</v>
      </c>
      <c r="E914" s="96" t="s">
        <v>62</v>
      </c>
      <c r="F914" s="29" t="s">
        <v>61</v>
      </c>
      <c r="G914" s="29"/>
      <c r="H914" s="103">
        <f>_xlfn.XLOOKUP(B914,GM!$Q$5:$Q$756,GM!$J$5:$J$756)</f>
        <v>46107</v>
      </c>
    </row>
    <row r="915" spans="1:8" hidden="1" x14ac:dyDescent="0.35">
      <c r="A915" s="29" t="s">
        <v>18</v>
      </c>
      <c r="B915" s="29" t="str">
        <f t="shared" si="14"/>
        <v>CPV-06</v>
      </c>
      <c r="C915" s="29" t="s">
        <v>4950</v>
      </c>
      <c r="D915" s="67" t="s">
        <v>4951</v>
      </c>
      <c r="E915" s="96" t="s">
        <v>62</v>
      </c>
      <c r="F915" s="29" t="s">
        <v>61</v>
      </c>
      <c r="G915" s="29"/>
      <c r="H915" s="103">
        <f>_xlfn.XLOOKUP(B915,GM!$Q$5:$Q$756,GM!$J$5:$J$756)</f>
        <v>46107</v>
      </c>
    </row>
    <row r="916" spans="1:8" hidden="1" x14ac:dyDescent="0.35">
      <c r="A916" s="29" t="s">
        <v>18</v>
      </c>
      <c r="B916" s="29" t="str">
        <f t="shared" si="14"/>
        <v>CPV-06</v>
      </c>
      <c r="C916" s="29" t="s">
        <v>4950</v>
      </c>
      <c r="D916" s="67" t="s">
        <v>4952</v>
      </c>
      <c r="E916" s="96" t="s">
        <v>62</v>
      </c>
      <c r="F916" s="29" t="s">
        <v>61</v>
      </c>
      <c r="G916" s="29"/>
      <c r="H916" s="103">
        <f>_xlfn.XLOOKUP(B916,GM!$Q$5:$Q$756,GM!$J$5:$J$756)</f>
        <v>46107</v>
      </c>
    </row>
    <row r="917" spans="1:8" hidden="1" x14ac:dyDescent="0.35">
      <c r="A917" s="29" t="s">
        <v>18</v>
      </c>
      <c r="B917" s="29" t="str">
        <f t="shared" si="14"/>
        <v>CPV-06</v>
      </c>
      <c r="C917" s="29" t="s">
        <v>4953</v>
      </c>
      <c r="D917" s="67" t="s">
        <v>4954</v>
      </c>
      <c r="E917" s="96" t="s">
        <v>62</v>
      </c>
      <c r="F917" s="29" t="s">
        <v>61</v>
      </c>
      <c r="G917" s="29"/>
      <c r="H917" s="103">
        <f>_xlfn.XLOOKUP(B917,GM!$Q$5:$Q$756,GM!$J$5:$J$756)</f>
        <v>46107</v>
      </c>
    </row>
    <row r="918" spans="1:8" hidden="1" x14ac:dyDescent="0.35">
      <c r="A918" s="29" t="s">
        <v>18</v>
      </c>
      <c r="B918" s="29" t="str">
        <f t="shared" si="14"/>
        <v>CPV-06</v>
      </c>
      <c r="C918" s="29" t="s">
        <v>4955</v>
      </c>
      <c r="D918" s="67" t="s">
        <v>4956</v>
      </c>
      <c r="E918" s="96" t="s">
        <v>62</v>
      </c>
      <c r="F918" s="29" t="s">
        <v>61</v>
      </c>
      <c r="G918" s="29"/>
      <c r="H918" s="103">
        <f>_xlfn.XLOOKUP(B918,GM!$Q$5:$Q$756,GM!$J$5:$J$756)</f>
        <v>46107</v>
      </c>
    </row>
    <row r="919" spans="1:8" hidden="1" x14ac:dyDescent="0.35">
      <c r="A919" s="29" t="s">
        <v>18</v>
      </c>
      <c r="B919" s="29" t="str">
        <f t="shared" si="14"/>
        <v>CPV-06</v>
      </c>
      <c r="C919" s="29" t="s">
        <v>4957</v>
      </c>
      <c r="D919" s="67" t="s">
        <v>4958</v>
      </c>
      <c r="E919" s="96" t="s">
        <v>62</v>
      </c>
      <c r="F919" s="29" t="s">
        <v>61</v>
      </c>
      <c r="G919" s="29"/>
      <c r="H919" s="103">
        <f>_xlfn.XLOOKUP(B919,GM!$Q$5:$Q$756,GM!$J$5:$J$756)</f>
        <v>46107</v>
      </c>
    </row>
    <row r="920" spans="1:8" hidden="1" x14ac:dyDescent="0.35">
      <c r="A920" s="29" t="s">
        <v>18</v>
      </c>
      <c r="B920" s="29" t="str">
        <f t="shared" si="14"/>
        <v>CPV-06</v>
      </c>
      <c r="C920" s="29" t="s">
        <v>4959</v>
      </c>
      <c r="D920" s="67" t="s">
        <v>4960</v>
      </c>
      <c r="E920" s="96" t="s">
        <v>62</v>
      </c>
      <c r="F920" s="29" t="s">
        <v>61</v>
      </c>
      <c r="G920" s="29"/>
      <c r="H920" s="103">
        <f>_xlfn.XLOOKUP(B920,GM!$Q$5:$Q$756,GM!$J$5:$J$756)</f>
        <v>46107</v>
      </c>
    </row>
    <row r="921" spans="1:8" hidden="1" x14ac:dyDescent="0.35">
      <c r="A921" s="29" t="s">
        <v>18</v>
      </c>
      <c r="B921" s="29" t="str">
        <f t="shared" si="14"/>
        <v>CPV-06</v>
      </c>
      <c r="C921" s="29" t="s">
        <v>4961</v>
      </c>
      <c r="D921" s="67" t="s">
        <v>4962</v>
      </c>
      <c r="E921" s="96" t="s">
        <v>62</v>
      </c>
      <c r="F921" s="29" t="s">
        <v>61</v>
      </c>
      <c r="G921" s="29"/>
      <c r="H921" s="103">
        <f>_xlfn.XLOOKUP(B921,GM!$Q$5:$Q$756,GM!$J$5:$J$756)</f>
        <v>46107</v>
      </c>
    </row>
    <row r="922" spans="1:8" hidden="1" x14ac:dyDescent="0.35">
      <c r="A922" s="29" t="s">
        <v>18</v>
      </c>
      <c r="B922" s="29" t="str">
        <f t="shared" si="14"/>
        <v>CPV-06</v>
      </c>
      <c r="C922" s="29" t="s">
        <v>4963</v>
      </c>
      <c r="D922" s="67" t="s">
        <v>4964</v>
      </c>
      <c r="E922" s="96" t="s">
        <v>62</v>
      </c>
      <c r="F922" s="29" t="s">
        <v>61</v>
      </c>
      <c r="G922" s="29"/>
      <c r="H922" s="103">
        <f>_xlfn.XLOOKUP(B922,GM!$Q$5:$Q$756,GM!$J$5:$J$756)</f>
        <v>46107</v>
      </c>
    </row>
    <row r="923" spans="1:8" hidden="1" x14ac:dyDescent="0.35">
      <c r="A923" s="29" t="s">
        <v>18</v>
      </c>
      <c r="B923" s="29" t="str">
        <f t="shared" si="14"/>
        <v>CPV-06</v>
      </c>
      <c r="C923" s="29" t="s">
        <v>4965</v>
      </c>
      <c r="D923" s="67" t="s">
        <v>4966</v>
      </c>
      <c r="E923" s="96" t="s">
        <v>62</v>
      </c>
      <c r="F923" s="29" t="s">
        <v>61</v>
      </c>
      <c r="G923" s="29"/>
      <c r="H923" s="103">
        <f>_xlfn.XLOOKUP(B923,GM!$Q$5:$Q$756,GM!$J$5:$J$756)</f>
        <v>46107</v>
      </c>
    </row>
    <row r="924" spans="1:8" hidden="1" x14ac:dyDescent="0.35">
      <c r="A924" s="29" t="s">
        <v>18</v>
      </c>
      <c r="B924" s="29" t="str">
        <f t="shared" si="14"/>
        <v>CPV-06</v>
      </c>
      <c r="C924" s="29" t="s">
        <v>4967</v>
      </c>
      <c r="D924" s="67" t="s">
        <v>4968</v>
      </c>
      <c r="E924" s="96" t="s">
        <v>62</v>
      </c>
      <c r="F924" s="29" t="s">
        <v>61</v>
      </c>
      <c r="G924" s="29"/>
      <c r="H924" s="103">
        <f>_xlfn.XLOOKUP(B924,GM!$Q$5:$Q$756,GM!$J$5:$J$756)</f>
        <v>46107</v>
      </c>
    </row>
    <row r="925" spans="1:8" hidden="1" x14ac:dyDescent="0.35">
      <c r="A925" s="29" t="s">
        <v>18</v>
      </c>
      <c r="B925" s="29" t="str">
        <f t="shared" si="14"/>
        <v>CPV-06</v>
      </c>
      <c r="C925" s="29" t="s">
        <v>4969</v>
      </c>
      <c r="D925" s="67" t="s">
        <v>4970</v>
      </c>
      <c r="E925" s="96" t="s">
        <v>62</v>
      </c>
      <c r="F925" s="29" t="s">
        <v>61</v>
      </c>
      <c r="G925" s="29"/>
      <c r="H925" s="103">
        <f>_xlfn.XLOOKUP(B925,GM!$Q$5:$Q$756,GM!$J$5:$J$756)</f>
        <v>46107</v>
      </c>
    </row>
    <row r="926" spans="1:8" hidden="1" x14ac:dyDescent="0.35">
      <c r="A926" s="29" t="s">
        <v>18</v>
      </c>
      <c r="B926" s="29" t="str">
        <f t="shared" si="14"/>
        <v>CPV-06</v>
      </c>
      <c r="C926" s="29" t="s">
        <v>4971</v>
      </c>
      <c r="D926" s="67" t="s">
        <v>4972</v>
      </c>
      <c r="E926" s="96" t="s">
        <v>62</v>
      </c>
      <c r="F926" s="29" t="s">
        <v>61</v>
      </c>
      <c r="G926" s="29"/>
      <c r="H926" s="103">
        <f>_xlfn.XLOOKUP(B926,GM!$Q$5:$Q$756,GM!$J$5:$J$756)</f>
        <v>46107</v>
      </c>
    </row>
    <row r="927" spans="1:8" hidden="1" x14ac:dyDescent="0.35">
      <c r="A927" s="29" t="s">
        <v>18</v>
      </c>
      <c r="B927" s="29" t="str">
        <f t="shared" si="14"/>
        <v>CPV-06</v>
      </c>
      <c r="C927" s="29" t="s">
        <v>4973</v>
      </c>
      <c r="D927" s="67" t="s">
        <v>4974</v>
      </c>
      <c r="E927" s="96" t="s">
        <v>62</v>
      </c>
      <c r="F927" s="29" t="s">
        <v>61</v>
      </c>
      <c r="G927" s="29"/>
      <c r="H927" s="103">
        <f>_xlfn.XLOOKUP(B927,GM!$Q$5:$Q$756,GM!$J$5:$J$756)</f>
        <v>46107</v>
      </c>
    </row>
    <row r="928" spans="1:8" hidden="1" x14ac:dyDescent="0.35">
      <c r="A928" s="29" t="s">
        <v>18</v>
      </c>
      <c r="B928" s="29" t="str">
        <f t="shared" si="14"/>
        <v>CPV-06</v>
      </c>
      <c r="C928" s="29" t="s">
        <v>4975</v>
      </c>
      <c r="D928" s="67" t="s">
        <v>4976</v>
      </c>
      <c r="E928" s="96" t="s">
        <v>62</v>
      </c>
      <c r="F928" s="29" t="s">
        <v>61</v>
      </c>
      <c r="G928" s="29"/>
      <c r="H928" s="103">
        <f>_xlfn.XLOOKUP(B928,GM!$Q$5:$Q$756,GM!$J$5:$J$756)</f>
        <v>46107</v>
      </c>
    </row>
    <row r="929" spans="1:8" hidden="1" x14ac:dyDescent="0.35">
      <c r="A929" s="29" t="s">
        <v>18</v>
      </c>
      <c r="B929" s="29" t="str">
        <f t="shared" si="14"/>
        <v>CPV-06</v>
      </c>
      <c r="C929" s="29" t="s">
        <v>4977</v>
      </c>
      <c r="D929" s="67" t="s">
        <v>4978</v>
      </c>
      <c r="E929" s="96" t="s">
        <v>62</v>
      </c>
      <c r="F929" s="29" t="s">
        <v>61</v>
      </c>
      <c r="G929" s="29"/>
      <c r="H929" s="103">
        <f>_xlfn.XLOOKUP(B929,GM!$Q$5:$Q$756,GM!$J$5:$J$756)</f>
        <v>46107</v>
      </c>
    </row>
    <row r="930" spans="1:8" hidden="1" x14ac:dyDescent="0.35">
      <c r="A930" s="29" t="s">
        <v>18</v>
      </c>
      <c r="B930" s="29" t="str">
        <f t="shared" si="14"/>
        <v>CPV-06</v>
      </c>
      <c r="C930" s="29" t="s">
        <v>4979</v>
      </c>
      <c r="D930" s="67" t="s">
        <v>4980</v>
      </c>
      <c r="E930" s="96" t="s">
        <v>62</v>
      </c>
      <c r="F930" s="29" t="s">
        <v>61</v>
      </c>
      <c r="G930" s="29"/>
      <c r="H930" s="103">
        <f>_xlfn.XLOOKUP(B930,GM!$Q$5:$Q$756,GM!$J$5:$J$756)</f>
        <v>46107</v>
      </c>
    </row>
    <row r="931" spans="1:8" hidden="1" x14ac:dyDescent="0.35">
      <c r="A931" s="29" t="s">
        <v>18</v>
      </c>
      <c r="B931" s="29" t="str">
        <f t="shared" si="14"/>
        <v>CPV-06</v>
      </c>
      <c r="C931" s="29" t="s">
        <v>4981</v>
      </c>
      <c r="D931" s="67" t="s">
        <v>4982</v>
      </c>
      <c r="E931" s="96" t="s">
        <v>62</v>
      </c>
      <c r="F931" s="29" t="s">
        <v>61</v>
      </c>
      <c r="G931" s="29"/>
      <c r="H931" s="103">
        <f>_xlfn.XLOOKUP(B931,GM!$Q$5:$Q$756,GM!$J$5:$J$756)</f>
        <v>46107</v>
      </c>
    </row>
    <row r="932" spans="1:8" hidden="1" x14ac:dyDescent="0.35">
      <c r="A932" s="29" t="s">
        <v>18</v>
      </c>
      <c r="B932" s="29" t="str">
        <f t="shared" si="14"/>
        <v>CPV-05</v>
      </c>
      <c r="C932" s="29" t="s">
        <v>4983</v>
      </c>
      <c r="D932" s="67" t="s">
        <v>4984</v>
      </c>
      <c r="E932" s="96" t="s">
        <v>62</v>
      </c>
      <c r="F932" s="29" t="s">
        <v>61</v>
      </c>
      <c r="G932" s="29"/>
      <c r="H932" s="103">
        <f>_xlfn.XLOOKUP(B932,GM!$Q$5:$Q$756,GM!$J$5:$J$756)</f>
        <v>45202</v>
      </c>
    </row>
    <row r="933" spans="1:8" hidden="1" x14ac:dyDescent="0.35">
      <c r="A933" s="29" t="s">
        <v>18</v>
      </c>
      <c r="B933" s="29" t="str">
        <f t="shared" si="14"/>
        <v>CPV-05</v>
      </c>
      <c r="C933" s="29" t="s">
        <v>4985</v>
      </c>
      <c r="D933" s="67" t="s">
        <v>4986</v>
      </c>
      <c r="E933" s="96" t="s">
        <v>62</v>
      </c>
      <c r="F933" s="29" t="s">
        <v>61</v>
      </c>
      <c r="G933" s="29"/>
      <c r="H933" s="103">
        <f>_xlfn.XLOOKUP(B933,GM!$Q$5:$Q$756,GM!$J$5:$J$756)</f>
        <v>45202</v>
      </c>
    </row>
    <row r="934" spans="1:8" hidden="1" x14ac:dyDescent="0.35">
      <c r="A934" s="29" t="s">
        <v>18</v>
      </c>
      <c r="B934" s="29" t="str">
        <f t="shared" si="14"/>
        <v>CPV-05</v>
      </c>
      <c r="C934" s="29" t="s">
        <v>4987</v>
      </c>
      <c r="D934" s="67" t="s">
        <v>4988</v>
      </c>
      <c r="E934" s="96" t="s">
        <v>62</v>
      </c>
      <c r="F934" s="29" t="s">
        <v>61</v>
      </c>
      <c r="G934" s="29"/>
      <c r="H934" s="103">
        <f>_xlfn.XLOOKUP(B934,GM!$Q$5:$Q$756,GM!$J$5:$J$756)</f>
        <v>45202</v>
      </c>
    </row>
    <row r="935" spans="1:8" hidden="1" x14ac:dyDescent="0.35">
      <c r="A935" s="29" t="s">
        <v>18</v>
      </c>
      <c r="B935" s="29" t="str">
        <f t="shared" si="14"/>
        <v>CPV-05</v>
      </c>
      <c r="C935" s="29" t="s">
        <v>4989</v>
      </c>
      <c r="D935" s="67" t="s">
        <v>4990</v>
      </c>
      <c r="E935" s="96" t="s">
        <v>62</v>
      </c>
      <c r="F935" s="29" t="s">
        <v>61</v>
      </c>
      <c r="G935" s="29"/>
      <c r="H935" s="103">
        <f>_xlfn.XLOOKUP(B935,GM!$Q$5:$Q$756,GM!$J$5:$J$756)</f>
        <v>45202</v>
      </c>
    </row>
    <row r="936" spans="1:8" hidden="1" x14ac:dyDescent="0.35">
      <c r="A936" s="29" t="s">
        <v>18</v>
      </c>
      <c r="B936" s="29" t="str">
        <f t="shared" si="14"/>
        <v>CPV-05</v>
      </c>
      <c r="C936" s="29" t="s">
        <v>4991</v>
      </c>
      <c r="D936" s="67" t="s">
        <v>4992</v>
      </c>
      <c r="E936" s="96" t="s">
        <v>62</v>
      </c>
      <c r="F936" s="29" t="s">
        <v>61</v>
      </c>
      <c r="G936" s="29"/>
      <c r="H936" s="103">
        <f>_xlfn.XLOOKUP(B936,GM!$Q$5:$Q$756,GM!$J$5:$J$756)</f>
        <v>45202</v>
      </c>
    </row>
    <row r="937" spans="1:8" hidden="1" x14ac:dyDescent="0.35">
      <c r="A937" s="29" t="s">
        <v>18</v>
      </c>
      <c r="B937" s="29" t="str">
        <f t="shared" si="14"/>
        <v>CPV-05</v>
      </c>
      <c r="C937" s="29" t="s">
        <v>4993</v>
      </c>
      <c r="D937" s="67" t="s">
        <v>4994</v>
      </c>
      <c r="E937" s="96" t="s">
        <v>62</v>
      </c>
      <c r="F937" s="29" t="s">
        <v>61</v>
      </c>
      <c r="G937" s="29"/>
      <c r="H937" s="103">
        <f>_xlfn.XLOOKUP(B937,GM!$Q$5:$Q$756,GM!$J$5:$J$756)</f>
        <v>45202</v>
      </c>
    </row>
    <row r="938" spans="1:8" hidden="1" x14ac:dyDescent="0.35">
      <c r="A938" s="29" t="s">
        <v>18</v>
      </c>
      <c r="B938" s="29" t="str">
        <f t="shared" si="14"/>
        <v>CPV-04</v>
      </c>
      <c r="C938" s="29" t="s">
        <v>4995</v>
      </c>
      <c r="D938" s="67" t="s">
        <v>4996</v>
      </c>
      <c r="E938" s="96" t="s">
        <v>62</v>
      </c>
      <c r="F938" s="29" t="s">
        <v>61</v>
      </c>
      <c r="G938" s="29"/>
      <c r="H938" s="103">
        <f>_xlfn.XLOOKUP(B938,GM!$Q$5:$Q$756,GM!$J$5:$J$756)</f>
        <v>46107</v>
      </c>
    </row>
    <row r="939" spans="1:8" hidden="1" x14ac:dyDescent="0.35">
      <c r="A939" s="29" t="s">
        <v>18</v>
      </c>
      <c r="B939" s="29" t="str">
        <f t="shared" si="14"/>
        <v>CPV-04</v>
      </c>
      <c r="C939" s="29" t="s">
        <v>4997</v>
      </c>
      <c r="D939" s="67" t="s">
        <v>4998</v>
      </c>
      <c r="E939" s="96" t="s">
        <v>62</v>
      </c>
      <c r="F939" s="29" t="s">
        <v>61</v>
      </c>
      <c r="G939" s="29"/>
      <c r="H939" s="103">
        <f>_xlfn.XLOOKUP(B939,GM!$Q$5:$Q$756,GM!$J$5:$J$756)</f>
        <v>46107</v>
      </c>
    </row>
    <row r="940" spans="1:8" hidden="1" x14ac:dyDescent="0.35">
      <c r="A940" s="29" t="s">
        <v>18</v>
      </c>
      <c r="B940" s="29" t="str">
        <f t="shared" si="14"/>
        <v>CPV-04</v>
      </c>
      <c r="C940" s="29" t="s">
        <v>4999</v>
      </c>
      <c r="D940" s="67" t="s">
        <v>5000</v>
      </c>
      <c r="E940" s="96" t="s">
        <v>62</v>
      </c>
      <c r="F940" s="29" t="s">
        <v>61</v>
      </c>
      <c r="G940" s="29"/>
      <c r="H940" s="103">
        <f>_xlfn.XLOOKUP(B940,GM!$Q$5:$Q$756,GM!$J$5:$J$756)</f>
        <v>46107</v>
      </c>
    </row>
    <row r="941" spans="1:8" hidden="1" x14ac:dyDescent="0.35">
      <c r="A941" s="29" t="s">
        <v>18</v>
      </c>
      <c r="B941" s="29" t="str">
        <f t="shared" si="14"/>
        <v>CPV-04</v>
      </c>
      <c r="C941" s="29" t="s">
        <v>5001</v>
      </c>
      <c r="D941" s="67" t="s">
        <v>5002</v>
      </c>
      <c r="E941" s="96" t="s">
        <v>62</v>
      </c>
      <c r="F941" s="29" t="s">
        <v>61</v>
      </c>
      <c r="G941" s="29"/>
      <c r="H941" s="103">
        <f>_xlfn.XLOOKUP(B941,GM!$Q$5:$Q$756,GM!$J$5:$J$756)</f>
        <v>46107</v>
      </c>
    </row>
    <row r="942" spans="1:8" hidden="1" x14ac:dyDescent="0.35">
      <c r="A942" s="29" t="s">
        <v>18</v>
      </c>
      <c r="B942" s="29" t="str">
        <f t="shared" si="14"/>
        <v>CPV-04</v>
      </c>
      <c r="C942" s="29" t="s">
        <v>5003</v>
      </c>
      <c r="D942" s="67" t="s">
        <v>5004</v>
      </c>
      <c r="E942" s="96" t="s">
        <v>62</v>
      </c>
      <c r="F942" s="29" t="s">
        <v>61</v>
      </c>
      <c r="G942" s="29"/>
      <c r="H942" s="103">
        <f>_xlfn.XLOOKUP(B942,GM!$Q$5:$Q$756,GM!$J$5:$J$756)</f>
        <v>46107</v>
      </c>
    </row>
    <row r="943" spans="1:8" hidden="1" x14ac:dyDescent="0.35">
      <c r="A943" s="29" t="s">
        <v>18</v>
      </c>
      <c r="B943" s="29" t="str">
        <f t="shared" si="14"/>
        <v>CPV-04</v>
      </c>
      <c r="C943" s="29" t="s">
        <v>5005</v>
      </c>
      <c r="D943" s="67" t="s">
        <v>5006</v>
      </c>
      <c r="E943" s="96" t="s">
        <v>62</v>
      </c>
      <c r="F943" s="29" t="s">
        <v>61</v>
      </c>
      <c r="G943" s="29"/>
      <c r="H943" s="103">
        <f>_xlfn.XLOOKUP(B943,GM!$Q$5:$Q$756,GM!$J$5:$J$756)</f>
        <v>46107</v>
      </c>
    </row>
    <row r="944" spans="1:8" hidden="1" x14ac:dyDescent="0.35">
      <c r="A944" s="29" t="s">
        <v>18</v>
      </c>
      <c r="B944" s="29" t="str">
        <f t="shared" si="14"/>
        <v>CPV-04</v>
      </c>
      <c r="C944" s="29" t="s">
        <v>5007</v>
      </c>
      <c r="D944" s="67" t="s">
        <v>5008</v>
      </c>
      <c r="E944" s="96" t="s">
        <v>62</v>
      </c>
      <c r="F944" s="29" t="s">
        <v>61</v>
      </c>
      <c r="G944" s="29"/>
      <c r="H944" s="103">
        <f>_xlfn.XLOOKUP(B944,GM!$Q$5:$Q$756,GM!$J$5:$J$756)</f>
        <v>46107</v>
      </c>
    </row>
    <row r="945" spans="1:8" hidden="1" x14ac:dyDescent="0.35">
      <c r="A945" s="29" t="s">
        <v>18</v>
      </c>
      <c r="B945" s="29" t="str">
        <f t="shared" si="14"/>
        <v>CPV-04</v>
      </c>
      <c r="C945" s="29" t="s">
        <v>5009</v>
      </c>
      <c r="D945" s="67" t="s">
        <v>5010</v>
      </c>
      <c r="E945" s="96" t="s">
        <v>62</v>
      </c>
      <c r="F945" s="29" t="s">
        <v>61</v>
      </c>
      <c r="G945" s="29"/>
      <c r="H945" s="103">
        <f>_xlfn.XLOOKUP(B945,GM!$Q$5:$Q$756,GM!$J$5:$J$756)</f>
        <v>46107</v>
      </c>
    </row>
    <row r="946" spans="1:8" hidden="1" x14ac:dyDescent="0.35">
      <c r="A946" s="29" t="s">
        <v>18</v>
      </c>
      <c r="B946" s="29" t="str">
        <f t="shared" si="14"/>
        <v>CPV-04</v>
      </c>
      <c r="C946" s="29" t="s">
        <v>5011</v>
      </c>
      <c r="D946" s="67" t="s">
        <v>5012</v>
      </c>
      <c r="E946" s="96" t="s">
        <v>62</v>
      </c>
      <c r="F946" s="29" t="s">
        <v>61</v>
      </c>
      <c r="G946" s="29"/>
      <c r="H946" s="103">
        <f>_xlfn.XLOOKUP(B946,GM!$Q$5:$Q$756,GM!$J$5:$J$756)</f>
        <v>46107</v>
      </c>
    </row>
    <row r="947" spans="1:8" hidden="1" x14ac:dyDescent="0.35">
      <c r="A947" s="29" t="s">
        <v>18</v>
      </c>
      <c r="B947" s="29" t="str">
        <f t="shared" si="14"/>
        <v>CPV-04</v>
      </c>
      <c r="C947" s="29" t="s">
        <v>5013</v>
      </c>
      <c r="D947" s="67" t="s">
        <v>5014</v>
      </c>
      <c r="E947" s="96" t="s">
        <v>62</v>
      </c>
      <c r="F947" s="29" t="s">
        <v>61</v>
      </c>
      <c r="G947" s="29"/>
      <c r="H947" s="103">
        <f>_xlfn.XLOOKUP(B947,GM!$Q$5:$Q$756,GM!$J$5:$J$756)</f>
        <v>46107</v>
      </c>
    </row>
    <row r="948" spans="1:8" hidden="1" x14ac:dyDescent="0.35">
      <c r="A948" s="29" t="s">
        <v>18</v>
      </c>
      <c r="B948" s="29" t="str">
        <f t="shared" si="14"/>
        <v>CPV-04</v>
      </c>
      <c r="C948" s="29" t="s">
        <v>5015</v>
      </c>
      <c r="D948" s="67" t="s">
        <v>5016</v>
      </c>
      <c r="E948" s="96" t="s">
        <v>62</v>
      </c>
      <c r="F948" s="29" t="s">
        <v>61</v>
      </c>
      <c r="G948" s="29"/>
      <c r="H948" s="103">
        <f>_xlfn.XLOOKUP(B948,GM!$Q$5:$Q$756,GM!$J$5:$J$756)</f>
        <v>46107</v>
      </c>
    </row>
    <row r="949" spans="1:8" hidden="1" x14ac:dyDescent="0.35">
      <c r="A949" s="29" t="s">
        <v>18</v>
      </c>
      <c r="B949" s="29" t="str">
        <f t="shared" si="14"/>
        <v>CPV-04</v>
      </c>
      <c r="C949" s="29" t="s">
        <v>5017</v>
      </c>
      <c r="D949" s="67" t="s">
        <v>5018</v>
      </c>
      <c r="E949" s="96" t="s">
        <v>62</v>
      </c>
      <c r="F949" s="29" t="s">
        <v>61</v>
      </c>
      <c r="G949" s="29"/>
      <c r="H949" s="103">
        <f>_xlfn.XLOOKUP(B949,GM!$Q$5:$Q$756,GM!$J$5:$J$756)</f>
        <v>46107</v>
      </c>
    </row>
    <row r="950" spans="1:8" hidden="1" x14ac:dyDescent="0.35">
      <c r="A950" s="29" t="s">
        <v>18</v>
      </c>
      <c r="B950" s="29" t="str">
        <f t="shared" si="14"/>
        <v>CPV-04</v>
      </c>
      <c r="C950" s="29" t="s">
        <v>5019</v>
      </c>
      <c r="D950" s="67" t="s">
        <v>5020</v>
      </c>
      <c r="E950" s="96" t="s">
        <v>62</v>
      </c>
      <c r="F950" s="29" t="s">
        <v>61</v>
      </c>
      <c r="G950" s="29"/>
      <c r="H950" s="103">
        <f>_xlfn.XLOOKUP(B950,GM!$Q$5:$Q$756,GM!$J$5:$J$756)</f>
        <v>46107</v>
      </c>
    </row>
    <row r="951" spans="1:8" hidden="1" x14ac:dyDescent="0.35">
      <c r="A951" s="29" t="s">
        <v>18</v>
      </c>
      <c r="B951" s="29" t="str">
        <f t="shared" si="14"/>
        <v>CPV-04</v>
      </c>
      <c r="C951" s="29" t="s">
        <v>5021</v>
      </c>
      <c r="D951" s="67" t="s">
        <v>5022</v>
      </c>
      <c r="E951" s="96" t="s">
        <v>62</v>
      </c>
      <c r="F951" s="29" t="s">
        <v>61</v>
      </c>
      <c r="G951" s="29"/>
      <c r="H951" s="103">
        <f>_xlfn.XLOOKUP(B951,GM!$Q$5:$Q$756,GM!$J$5:$J$756)</f>
        <v>46107</v>
      </c>
    </row>
    <row r="952" spans="1:8" hidden="1" x14ac:dyDescent="0.35">
      <c r="A952" s="29" t="s">
        <v>18</v>
      </c>
      <c r="B952" s="29" t="str">
        <f t="shared" si="14"/>
        <v>CPV-04</v>
      </c>
      <c r="C952" s="29" t="s">
        <v>5023</v>
      </c>
      <c r="D952" s="67" t="s">
        <v>5024</v>
      </c>
      <c r="E952" s="96" t="s">
        <v>62</v>
      </c>
      <c r="F952" s="29" t="s">
        <v>61</v>
      </c>
      <c r="G952" s="29"/>
      <c r="H952" s="103">
        <f>_xlfn.XLOOKUP(B952,GM!$Q$5:$Q$756,GM!$J$5:$J$756)</f>
        <v>46107</v>
      </c>
    </row>
    <row r="953" spans="1:8" hidden="1" x14ac:dyDescent="0.35">
      <c r="A953" s="29" t="s">
        <v>18</v>
      </c>
      <c r="B953" s="29" t="str">
        <f t="shared" si="14"/>
        <v>CPV-04</v>
      </c>
      <c r="C953" s="29" t="s">
        <v>5025</v>
      </c>
      <c r="D953" s="67" t="s">
        <v>5026</v>
      </c>
      <c r="E953" s="96" t="s">
        <v>62</v>
      </c>
      <c r="F953" s="29" t="s">
        <v>61</v>
      </c>
      <c r="G953" s="29"/>
      <c r="H953" s="103">
        <f>_xlfn.XLOOKUP(B953,GM!$Q$5:$Q$756,GM!$J$5:$J$756)</f>
        <v>46107</v>
      </c>
    </row>
    <row r="954" spans="1:8" hidden="1" x14ac:dyDescent="0.35">
      <c r="A954" s="29" t="s">
        <v>18</v>
      </c>
      <c r="B954" s="29" t="str">
        <f t="shared" si="14"/>
        <v>CPV-04</v>
      </c>
      <c r="C954" s="29" t="s">
        <v>5027</v>
      </c>
      <c r="D954" s="67" t="s">
        <v>5028</v>
      </c>
      <c r="E954" s="96" t="s">
        <v>62</v>
      </c>
      <c r="F954" s="29" t="s">
        <v>61</v>
      </c>
      <c r="G954" s="29"/>
      <c r="H954" s="103">
        <f>_xlfn.XLOOKUP(B954,GM!$Q$5:$Q$756,GM!$J$5:$J$756)</f>
        <v>46107</v>
      </c>
    </row>
    <row r="955" spans="1:8" hidden="1" x14ac:dyDescent="0.35">
      <c r="A955" s="29" t="s">
        <v>18</v>
      </c>
      <c r="B955" s="29" t="str">
        <f t="shared" si="14"/>
        <v>CPV-04</v>
      </c>
      <c r="C955" s="29" t="s">
        <v>5029</v>
      </c>
      <c r="D955" s="67" t="s">
        <v>5030</v>
      </c>
      <c r="E955" s="96" t="s">
        <v>62</v>
      </c>
      <c r="F955" s="29" t="s">
        <v>61</v>
      </c>
      <c r="G955" s="29"/>
      <c r="H955" s="103">
        <f>_xlfn.XLOOKUP(B955,GM!$Q$5:$Q$756,GM!$J$5:$J$756)</f>
        <v>46107</v>
      </c>
    </row>
    <row r="956" spans="1:8" hidden="1" x14ac:dyDescent="0.35">
      <c r="A956" s="29" t="s">
        <v>18</v>
      </c>
      <c r="B956" s="29" t="str">
        <f t="shared" si="14"/>
        <v>CPV-04</v>
      </c>
      <c r="C956" s="29" t="s">
        <v>5031</v>
      </c>
      <c r="D956" s="67" t="s">
        <v>5032</v>
      </c>
      <c r="E956" s="96" t="s">
        <v>62</v>
      </c>
      <c r="F956" s="29" t="s">
        <v>61</v>
      </c>
      <c r="G956" s="29"/>
      <c r="H956" s="103">
        <f>_xlfn.XLOOKUP(B956,GM!$Q$5:$Q$756,GM!$J$5:$J$756)</f>
        <v>46107</v>
      </c>
    </row>
    <row r="957" spans="1:8" hidden="1" x14ac:dyDescent="0.35">
      <c r="A957" s="29" t="s">
        <v>18</v>
      </c>
      <c r="B957" s="29" t="str">
        <f t="shared" si="14"/>
        <v>CPV-04</v>
      </c>
      <c r="C957" s="29" t="s">
        <v>5033</v>
      </c>
      <c r="D957" s="67" t="s">
        <v>5034</v>
      </c>
      <c r="E957" s="96" t="s">
        <v>62</v>
      </c>
      <c r="F957" s="29" t="s">
        <v>61</v>
      </c>
      <c r="G957" s="29"/>
      <c r="H957" s="103">
        <f>_xlfn.XLOOKUP(B957,GM!$Q$5:$Q$756,GM!$J$5:$J$756)</f>
        <v>46107</v>
      </c>
    </row>
    <row r="958" spans="1:8" hidden="1" x14ac:dyDescent="0.35">
      <c r="A958" s="29" t="s">
        <v>18</v>
      </c>
      <c r="B958" s="29" t="str">
        <f t="shared" si="14"/>
        <v>CPV-04</v>
      </c>
      <c r="C958" s="29" t="s">
        <v>5035</v>
      </c>
      <c r="D958" s="67" t="s">
        <v>5036</v>
      </c>
      <c r="E958" s="96" t="s">
        <v>62</v>
      </c>
      <c r="F958" s="29" t="s">
        <v>61</v>
      </c>
      <c r="G958" s="29"/>
      <c r="H958" s="103">
        <f>_xlfn.XLOOKUP(B958,GM!$Q$5:$Q$756,GM!$J$5:$J$756)</f>
        <v>46107</v>
      </c>
    </row>
    <row r="959" spans="1:8" hidden="1" x14ac:dyDescent="0.35">
      <c r="A959" s="29" t="s">
        <v>18</v>
      </c>
      <c r="B959" s="29" t="str">
        <f t="shared" si="14"/>
        <v>CPV-04</v>
      </c>
      <c r="C959" s="29" t="s">
        <v>5037</v>
      </c>
      <c r="D959" s="67" t="s">
        <v>5038</v>
      </c>
      <c r="E959" s="96" t="s">
        <v>62</v>
      </c>
      <c r="F959" s="29" t="s">
        <v>61</v>
      </c>
      <c r="G959" s="29"/>
      <c r="H959" s="103">
        <f>_xlfn.XLOOKUP(B959,GM!$Q$5:$Q$756,GM!$J$5:$J$756)</f>
        <v>46107</v>
      </c>
    </row>
    <row r="960" spans="1:8" hidden="1" x14ac:dyDescent="0.35">
      <c r="A960" s="29" t="s">
        <v>18</v>
      </c>
      <c r="B960" s="29" t="str">
        <f t="shared" si="14"/>
        <v>CPV-03</v>
      </c>
      <c r="C960" s="29" t="s">
        <v>5039</v>
      </c>
      <c r="D960" s="67" t="s">
        <v>5040</v>
      </c>
      <c r="E960" s="96" t="s">
        <v>62</v>
      </c>
      <c r="F960" s="29" t="s">
        <v>61</v>
      </c>
      <c r="G960" s="29"/>
      <c r="H960" s="103">
        <f>_xlfn.XLOOKUP(B960,GM!$Q$5:$Q$756,GM!$J$5:$J$756)</f>
        <v>45506</v>
      </c>
    </row>
    <row r="961" spans="1:8" hidden="1" x14ac:dyDescent="0.35">
      <c r="A961" s="29" t="s">
        <v>18</v>
      </c>
      <c r="B961" s="29" t="str">
        <f t="shared" si="14"/>
        <v>CPV-03</v>
      </c>
      <c r="C961" s="29" t="s">
        <v>5041</v>
      </c>
      <c r="D961" s="67" t="s">
        <v>5042</v>
      </c>
      <c r="E961" s="96" t="s">
        <v>62</v>
      </c>
      <c r="F961" s="29" t="s">
        <v>61</v>
      </c>
      <c r="G961" s="29"/>
      <c r="H961" s="103">
        <f>_xlfn.XLOOKUP(B961,GM!$Q$5:$Q$756,GM!$J$5:$J$756)</f>
        <v>45506</v>
      </c>
    </row>
    <row r="962" spans="1:8" hidden="1" x14ac:dyDescent="0.35">
      <c r="A962" s="29" t="s">
        <v>18</v>
      </c>
      <c r="B962" s="29" t="str">
        <f t="shared" si="14"/>
        <v>CPV-03</v>
      </c>
      <c r="C962" s="29" t="s">
        <v>5043</v>
      </c>
      <c r="D962" s="67" t="s">
        <v>5044</v>
      </c>
      <c r="E962" s="96" t="s">
        <v>62</v>
      </c>
      <c r="F962" s="29" t="s">
        <v>61</v>
      </c>
      <c r="G962" s="29"/>
      <c r="H962" s="103">
        <f>_xlfn.XLOOKUP(B962,GM!$Q$5:$Q$756,GM!$J$5:$J$756)</f>
        <v>45506</v>
      </c>
    </row>
    <row r="963" spans="1:8" hidden="1" x14ac:dyDescent="0.35">
      <c r="A963" s="29" t="s">
        <v>18</v>
      </c>
      <c r="B963" s="29" t="str">
        <f t="shared" si="14"/>
        <v>CPV-03</v>
      </c>
      <c r="C963" s="29" t="s">
        <v>5045</v>
      </c>
      <c r="D963" s="67" t="s">
        <v>5046</v>
      </c>
      <c r="E963" s="96" t="s">
        <v>62</v>
      </c>
      <c r="F963" s="29" t="s">
        <v>61</v>
      </c>
      <c r="G963" s="29"/>
      <c r="H963" s="103">
        <f>_xlfn.XLOOKUP(B963,GM!$Q$5:$Q$756,GM!$J$5:$J$756)</f>
        <v>45506</v>
      </c>
    </row>
    <row r="964" spans="1:8" hidden="1" x14ac:dyDescent="0.35">
      <c r="A964" s="29" t="s">
        <v>18</v>
      </c>
      <c r="B964" s="29" t="str">
        <f t="shared" si="14"/>
        <v>CPV-03</v>
      </c>
      <c r="C964" s="29" t="s">
        <v>5047</v>
      </c>
      <c r="D964" s="67" t="s">
        <v>5048</v>
      </c>
      <c r="E964" s="96" t="s">
        <v>62</v>
      </c>
      <c r="F964" s="29" t="s">
        <v>61</v>
      </c>
      <c r="G964" s="29"/>
      <c r="H964" s="103">
        <f>_xlfn.XLOOKUP(B964,GM!$Q$5:$Q$756,GM!$J$5:$J$756)</f>
        <v>45506</v>
      </c>
    </row>
    <row r="965" spans="1:8" hidden="1" x14ac:dyDescent="0.35">
      <c r="A965" s="29" t="s">
        <v>18</v>
      </c>
      <c r="B965" s="29" t="str">
        <f t="shared" ref="B965:B1028" si="15">IF(OR(A965="ARN",A965="SDP"),MID(C965,4,7),MID(C965,4,6))</f>
        <v>CPV-03</v>
      </c>
      <c r="C965" s="29" t="s">
        <v>5049</v>
      </c>
      <c r="D965" s="67" t="s">
        <v>5050</v>
      </c>
      <c r="E965" s="96" t="s">
        <v>62</v>
      </c>
      <c r="F965" s="29" t="s">
        <v>61</v>
      </c>
      <c r="G965" s="29"/>
      <c r="H965" s="103">
        <f>_xlfn.XLOOKUP(B965,GM!$Q$5:$Q$756,GM!$J$5:$J$756)</f>
        <v>45506</v>
      </c>
    </row>
    <row r="966" spans="1:8" hidden="1" x14ac:dyDescent="0.35">
      <c r="A966" s="29" t="s">
        <v>18</v>
      </c>
      <c r="B966" s="29" t="str">
        <f t="shared" si="15"/>
        <v>CPV-03</v>
      </c>
      <c r="C966" s="29" t="s">
        <v>5051</v>
      </c>
      <c r="D966" s="67" t="s">
        <v>5052</v>
      </c>
      <c r="E966" s="96" t="s">
        <v>62</v>
      </c>
      <c r="F966" s="29" t="s">
        <v>61</v>
      </c>
      <c r="G966" s="29"/>
      <c r="H966" s="103">
        <f>_xlfn.XLOOKUP(B966,GM!$Q$5:$Q$756,GM!$J$5:$J$756)</f>
        <v>45506</v>
      </c>
    </row>
    <row r="967" spans="1:8" hidden="1" x14ac:dyDescent="0.35">
      <c r="A967" s="29" t="s">
        <v>18</v>
      </c>
      <c r="B967" s="29" t="str">
        <f t="shared" si="15"/>
        <v>CPV-03</v>
      </c>
      <c r="C967" s="29" t="s">
        <v>5053</v>
      </c>
      <c r="D967" s="67" t="s">
        <v>5054</v>
      </c>
      <c r="E967" s="96" t="s">
        <v>62</v>
      </c>
      <c r="F967" s="29" t="s">
        <v>61</v>
      </c>
      <c r="G967" s="29"/>
      <c r="H967" s="103">
        <f>_xlfn.XLOOKUP(B967,GM!$Q$5:$Q$756,GM!$J$5:$J$756)</f>
        <v>45506</v>
      </c>
    </row>
    <row r="968" spans="1:8" hidden="1" x14ac:dyDescent="0.35">
      <c r="A968" s="29" t="s">
        <v>18</v>
      </c>
      <c r="B968" s="29" t="str">
        <f t="shared" si="15"/>
        <v>CPV-03</v>
      </c>
      <c r="C968" s="29" t="s">
        <v>5055</v>
      </c>
      <c r="D968" s="67" t="s">
        <v>5056</v>
      </c>
      <c r="E968" s="96" t="s">
        <v>62</v>
      </c>
      <c r="F968" s="29" t="s">
        <v>61</v>
      </c>
      <c r="G968" s="29"/>
      <c r="H968" s="103">
        <f>_xlfn.XLOOKUP(B968,GM!$Q$5:$Q$756,GM!$J$5:$J$756)</f>
        <v>45506</v>
      </c>
    </row>
    <row r="969" spans="1:8" hidden="1" x14ac:dyDescent="0.35">
      <c r="A969" s="29" t="s">
        <v>18</v>
      </c>
      <c r="B969" s="29" t="str">
        <f t="shared" si="15"/>
        <v>CPV-03</v>
      </c>
      <c r="C969" s="29" t="s">
        <v>5057</v>
      </c>
      <c r="D969" s="67" t="s">
        <v>5058</v>
      </c>
      <c r="E969" s="96" t="s">
        <v>62</v>
      </c>
      <c r="F969" s="29" t="s">
        <v>61</v>
      </c>
      <c r="G969" s="29"/>
      <c r="H969" s="103">
        <f>_xlfn.XLOOKUP(B969,GM!$Q$5:$Q$756,GM!$J$5:$J$756)</f>
        <v>45506</v>
      </c>
    </row>
    <row r="970" spans="1:8" hidden="1" x14ac:dyDescent="0.35">
      <c r="A970" s="29" t="s">
        <v>18</v>
      </c>
      <c r="B970" s="29" t="str">
        <f t="shared" si="15"/>
        <v>CPV-03</v>
      </c>
      <c r="C970" s="29" t="s">
        <v>5059</v>
      </c>
      <c r="D970" s="67" t="s">
        <v>5060</v>
      </c>
      <c r="E970" s="96" t="s">
        <v>62</v>
      </c>
      <c r="F970" s="29" t="s">
        <v>61</v>
      </c>
      <c r="G970" s="29"/>
      <c r="H970" s="103">
        <f>_xlfn.XLOOKUP(B970,GM!$Q$5:$Q$756,GM!$J$5:$J$756)</f>
        <v>45506</v>
      </c>
    </row>
    <row r="971" spans="1:8" hidden="1" x14ac:dyDescent="0.35">
      <c r="A971" s="29" t="s">
        <v>18</v>
      </c>
      <c r="B971" s="29" t="str">
        <f t="shared" si="15"/>
        <v>CPV-03</v>
      </c>
      <c r="C971" s="29" t="s">
        <v>5061</v>
      </c>
      <c r="D971" s="67" t="s">
        <v>5062</v>
      </c>
      <c r="E971" s="96" t="s">
        <v>62</v>
      </c>
      <c r="F971" s="29" t="s">
        <v>61</v>
      </c>
      <c r="G971" s="29"/>
      <c r="H971" s="103">
        <f>_xlfn.XLOOKUP(B971,GM!$Q$5:$Q$756,GM!$J$5:$J$756)</f>
        <v>45506</v>
      </c>
    </row>
    <row r="972" spans="1:8" hidden="1" x14ac:dyDescent="0.35">
      <c r="A972" s="29" t="s">
        <v>18</v>
      </c>
      <c r="B972" s="29" t="str">
        <f t="shared" si="15"/>
        <v>CPV-03</v>
      </c>
      <c r="C972" s="29" t="s">
        <v>5063</v>
      </c>
      <c r="D972" s="67" t="s">
        <v>5064</v>
      </c>
      <c r="E972" s="96" t="s">
        <v>62</v>
      </c>
      <c r="F972" s="29" t="s">
        <v>61</v>
      </c>
      <c r="G972" s="29"/>
      <c r="H972" s="103">
        <f>_xlfn.XLOOKUP(B972,GM!$Q$5:$Q$756,GM!$J$5:$J$756)</f>
        <v>45506</v>
      </c>
    </row>
    <row r="973" spans="1:8" hidden="1" x14ac:dyDescent="0.35">
      <c r="A973" s="29" t="s">
        <v>18</v>
      </c>
      <c r="B973" s="29" t="str">
        <f t="shared" si="15"/>
        <v>CPV-03</v>
      </c>
      <c r="C973" s="29" t="s">
        <v>5065</v>
      </c>
      <c r="D973" s="67" t="s">
        <v>5066</v>
      </c>
      <c r="E973" s="96" t="s">
        <v>62</v>
      </c>
      <c r="F973" s="29" t="s">
        <v>61</v>
      </c>
      <c r="G973" s="29"/>
      <c r="H973" s="103">
        <f>_xlfn.XLOOKUP(B973,GM!$Q$5:$Q$756,GM!$J$5:$J$756)</f>
        <v>45506</v>
      </c>
    </row>
    <row r="974" spans="1:8" hidden="1" x14ac:dyDescent="0.35">
      <c r="A974" s="29" t="s">
        <v>18</v>
      </c>
      <c r="B974" s="29" t="str">
        <f t="shared" si="15"/>
        <v>CPV-03</v>
      </c>
      <c r="C974" s="29" t="s">
        <v>5067</v>
      </c>
      <c r="D974" s="67" t="s">
        <v>5068</v>
      </c>
      <c r="E974" s="96" t="s">
        <v>62</v>
      </c>
      <c r="F974" s="29" t="s">
        <v>61</v>
      </c>
      <c r="G974" s="29"/>
      <c r="H974" s="103">
        <f>_xlfn.XLOOKUP(B974,GM!$Q$5:$Q$756,GM!$J$5:$J$756)</f>
        <v>45506</v>
      </c>
    </row>
    <row r="975" spans="1:8" hidden="1" x14ac:dyDescent="0.35">
      <c r="A975" s="29" t="s">
        <v>18</v>
      </c>
      <c r="B975" s="29" t="str">
        <f t="shared" si="15"/>
        <v>CPV-03</v>
      </c>
      <c r="C975" s="29" t="s">
        <v>5069</v>
      </c>
      <c r="D975" s="67" t="s">
        <v>5070</v>
      </c>
      <c r="E975" s="96" t="s">
        <v>62</v>
      </c>
      <c r="F975" s="29" t="s">
        <v>61</v>
      </c>
      <c r="G975" s="29"/>
      <c r="H975" s="103">
        <f>_xlfn.XLOOKUP(B975,GM!$Q$5:$Q$756,GM!$J$5:$J$756)</f>
        <v>45506</v>
      </c>
    </row>
    <row r="976" spans="1:8" hidden="1" x14ac:dyDescent="0.35">
      <c r="A976" s="29" t="s">
        <v>18</v>
      </c>
      <c r="B976" s="29" t="str">
        <f t="shared" si="15"/>
        <v>CPV-03</v>
      </c>
      <c r="C976" s="29" t="s">
        <v>5071</v>
      </c>
      <c r="D976" s="67" t="s">
        <v>5072</v>
      </c>
      <c r="E976" s="96" t="s">
        <v>62</v>
      </c>
      <c r="F976" s="29" t="s">
        <v>61</v>
      </c>
      <c r="G976" s="29"/>
      <c r="H976" s="103">
        <f>_xlfn.XLOOKUP(B976,GM!$Q$5:$Q$756,GM!$J$5:$J$756)</f>
        <v>45506</v>
      </c>
    </row>
    <row r="977" spans="1:8" hidden="1" x14ac:dyDescent="0.35">
      <c r="A977" s="29" t="s">
        <v>18</v>
      </c>
      <c r="B977" s="29" t="str">
        <f t="shared" si="15"/>
        <v>CPV-03</v>
      </c>
      <c r="C977" s="29" t="s">
        <v>5073</v>
      </c>
      <c r="D977" s="67" t="s">
        <v>5074</v>
      </c>
      <c r="E977" s="96" t="s">
        <v>62</v>
      </c>
      <c r="F977" s="29" t="s">
        <v>61</v>
      </c>
      <c r="G977" s="29"/>
      <c r="H977" s="103">
        <f>_xlfn.XLOOKUP(B977,GM!$Q$5:$Q$756,GM!$J$5:$J$756)</f>
        <v>45506</v>
      </c>
    </row>
    <row r="978" spans="1:8" hidden="1" x14ac:dyDescent="0.35">
      <c r="A978" s="29" t="s">
        <v>18</v>
      </c>
      <c r="B978" s="29" t="str">
        <f t="shared" si="15"/>
        <v>CPV-03</v>
      </c>
      <c r="C978" s="29" t="s">
        <v>5075</v>
      </c>
      <c r="D978" s="67" t="s">
        <v>5076</v>
      </c>
      <c r="E978" s="96" t="s">
        <v>62</v>
      </c>
      <c r="F978" s="29" t="s">
        <v>61</v>
      </c>
      <c r="G978" s="29"/>
      <c r="H978" s="103">
        <f>_xlfn.XLOOKUP(B978,GM!$Q$5:$Q$756,GM!$J$5:$J$756)</f>
        <v>45506</v>
      </c>
    </row>
    <row r="979" spans="1:8" hidden="1" x14ac:dyDescent="0.35">
      <c r="A979" s="29" t="s">
        <v>18</v>
      </c>
      <c r="B979" s="29" t="str">
        <f t="shared" si="15"/>
        <v>CPV-03</v>
      </c>
      <c r="C979" s="29" t="s">
        <v>5077</v>
      </c>
      <c r="D979" s="67" t="s">
        <v>5078</v>
      </c>
      <c r="E979" s="96" t="s">
        <v>62</v>
      </c>
      <c r="F979" s="29" t="s">
        <v>61</v>
      </c>
      <c r="G979" s="29"/>
      <c r="H979" s="103">
        <f>_xlfn.XLOOKUP(B979,GM!$Q$5:$Q$756,GM!$J$5:$J$756)</f>
        <v>45506</v>
      </c>
    </row>
    <row r="980" spans="1:8" hidden="1" x14ac:dyDescent="0.35">
      <c r="A980" s="29" t="s">
        <v>18</v>
      </c>
      <c r="B980" s="29" t="str">
        <f t="shared" si="15"/>
        <v>CPV-03</v>
      </c>
      <c r="C980" s="29" t="s">
        <v>5079</v>
      </c>
      <c r="D980" s="67" t="s">
        <v>5080</v>
      </c>
      <c r="E980" s="96" t="s">
        <v>62</v>
      </c>
      <c r="F980" s="29" t="s">
        <v>61</v>
      </c>
      <c r="G980" s="29"/>
      <c r="H980" s="103">
        <f>_xlfn.XLOOKUP(B980,GM!$Q$5:$Q$756,GM!$J$5:$J$756)</f>
        <v>45506</v>
      </c>
    </row>
    <row r="981" spans="1:8" hidden="1" x14ac:dyDescent="0.35">
      <c r="A981" s="29" t="s">
        <v>18</v>
      </c>
      <c r="B981" s="29" t="str">
        <f t="shared" si="15"/>
        <v>CPV-03</v>
      </c>
      <c r="C981" s="29" t="s">
        <v>5081</v>
      </c>
      <c r="D981" s="67" t="s">
        <v>5082</v>
      </c>
      <c r="E981" s="96" t="s">
        <v>62</v>
      </c>
      <c r="F981" s="29" t="s">
        <v>61</v>
      </c>
      <c r="G981" s="29"/>
      <c r="H981" s="103">
        <f>_xlfn.XLOOKUP(B981,GM!$Q$5:$Q$756,GM!$J$5:$J$756)</f>
        <v>45506</v>
      </c>
    </row>
    <row r="982" spans="1:8" hidden="1" x14ac:dyDescent="0.35">
      <c r="A982" s="29" t="s">
        <v>18</v>
      </c>
      <c r="B982" s="29" t="str">
        <f t="shared" si="15"/>
        <v>CPV-03</v>
      </c>
      <c r="C982" s="29" t="s">
        <v>5083</v>
      </c>
      <c r="D982" s="67" t="s">
        <v>5084</v>
      </c>
      <c r="E982" s="96" t="s">
        <v>62</v>
      </c>
      <c r="F982" s="29" t="s">
        <v>61</v>
      </c>
      <c r="G982" s="29"/>
      <c r="H982" s="103">
        <f>_xlfn.XLOOKUP(B982,GM!$Q$5:$Q$756,GM!$J$5:$J$756)</f>
        <v>45506</v>
      </c>
    </row>
    <row r="983" spans="1:8" hidden="1" x14ac:dyDescent="0.35">
      <c r="A983" s="29" t="s">
        <v>18</v>
      </c>
      <c r="B983" s="29" t="str">
        <f t="shared" si="15"/>
        <v>CPV-03</v>
      </c>
      <c r="C983" s="29" t="s">
        <v>5085</v>
      </c>
      <c r="D983" s="67" t="s">
        <v>5086</v>
      </c>
      <c r="E983" s="96" t="s">
        <v>62</v>
      </c>
      <c r="F983" s="29" t="s">
        <v>61</v>
      </c>
      <c r="G983" s="29"/>
      <c r="H983" s="103">
        <f>_xlfn.XLOOKUP(B983,GM!$Q$5:$Q$756,GM!$J$5:$J$756)</f>
        <v>45506</v>
      </c>
    </row>
    <row r="984" spans="1:8" hidden="1" x14ac:dyDescent="0.35">
      <c r="A984" s="29" t="s">
        <v>18</v>
      </c>
      <c r="B984" s="29" t="str">
        <f t="shared" si="15"/>
        <v>CPV-03</v>
      </c>
      <c r="C984" s="29" t="s">
        <v>5087</v>
      </c>
      <c r="D984" s="67" t="s">
        <v>5088</v>
      </c>
      <c r="E984" s="96" t="s">
        <v>62</v>
      </c>
      <c r="F984" s="29" t="s">
        <v>61</v>
      </c>
      <c r="G984" s="29"/>
      <c r="H984" s="103">
        <f>_xlfn.XLOOKUP(B984,GM!$Q$5:$Q$756,GM!$J$5:$J$756)</f>
        <v>45506</v>
      </c>
    </row>
    <row r="985" spans="1:8" hidden="1" x14ac:dyDescent="0.35">
      <c r="A985" s="29" t="s">
        <v>18</v>
      </c>
      <c r="B985" s="29" t="str">
        <f t="shared" si="15"/>
        <v>CPV-03</v>
      </c>
      <c r="C985" s="29" t="s">
        <v>5089</v>
      </c>
      <c r="D985" s="67" t="s">
        <v>5090</v>
      </c>
      <c r="E985" s="96" t="s">
        <v>62</v>
      </c>
      <c r="F985" s="29" t="s">
        <v>61</v>
      </c>
      <c r="G985" s="29"/>
      <c r="H985" s="103">
        <f>_xlfn.XLOOKUP(B985,GM!$Q$5:$Q$756,GM!$J$5:$J$756)</f>
        <v>45506</v>
      </c>
    </row>
    <row r="986" spans="1:8" hidden="1" x14ac:dyDescent="0.35">
      <c r="A986" s="29" t="s">
        <v>18</v>
      </c>
      <c r="B986" s="29" t="str">
        <f t="shared" si="15"/>
        <v>CPV-03</v>
      </c>
      <c r="C986" s="29" t="s">
        <v>5091</v>
      </c>
      <c r="D986" s="67" t="s">
        <v>5092</v>
      </c>
      <c r="E986" s="96" t="s">
        <v>62</v>
      </c>
      <c r="F986" s="29" t="s">
        <v>61</v>
      </c>
      <c r="G986" s="29"/>
      <c r="H986" s="103">
        <f>_xlfn.XLOOKUP(B986,GM!$Q$5:$Q$756,GM!$J$5:$J$756)</f>
        <v>45506</v>
      </c>
    </row>
    <row r="987" spans="1:8" hidden="1" x14ac:dyDescent="0.35">
      <c r="A987" s="29" t="s">
        <v>18</v>
      </c>
      <c r="B987" s="29" t="str">
        <f t="shared" si="15"/>
        <v>CPV-03</v>
      </c>
      <c r="C987" s="29" t="s">
        <v>5093</v>
      </c>
      <c r="D987" s="67" t="s">
        <v>5094</v>
      </c>
      <c r="E987" s="96" t="s">
        <v>62</v>
      </c>
      <c r="F987" s="29" t="s">
        <v>61</v>
      </c>
      <c r="G987" s="29"/>
      <c r="H987" s="103">
        <f>_xlfn.XLOOKUP(B987,GM!$Q$5:$Q$756,GM!$J$5:$J$756)</f>
        <v>45506</v>
      </c>
    </row>
    <row r="988" spans="1:8" hidden="1" x14ac:dyDescent="0.35">
      <c r="A988" s="29" t="s">
        <v>18</v>
      </c>
      <c r="B988" s="29" t="str">
        <f t="shared" si="15"/>
        <v>CPV-03</v>
      </c>
      <c r="C988" s="29" t="s">
        <v>5095</v>
      </c>
      <c r="D988" s="67" t="s">
        <v>5096</v>
      </c>
      <c r="E988" s="96" t="s">
        <v>62</v>
      </c>
      <c r="F988" s="29" t="s">
        <v>61</v>
      </c>
      <c r="G988" s="29"/>
      <c r="H988" s="103">
        <f>_xlfn.XLOOKUP(B988,GM!$Q$5:$Q$756,GM!$J$5:$J$756)</f>
        <v>45506</v>
      </c>
    </row>
    <row r="989" spans="1:8" hidden="1" x14ac:dyDescent="0.35">
      <c r="A989" s="29" t="s">
        <v>18</v>
      </c>
      <c r="B989" s="29" t="str">
        <f t="shared" si="15"/>
        <v>CPV-03</v>
      </c>
      <c r="C989" s="29" t="s">
        <v>5097</v>
      </c>
      <c r="D989" s="67" t="s">
        <v>5098</v>
      </c>
      <c r="E989" s="96" t="s">
        <v>62</v>
      </c>
      <c r="F989" s="29" t="s">
        <v>61</v>
      </c>
      <c r="G989" s="29"/>
      <c r="H989" s="103">
        <f>_xlfn.XLOOKUP(B989,GM!$Q$5:$Q$756,GM!$J$5:$J$756)</f>
        <v>45506</v>
      </c>
    </row>
    <row r="990" spans="1:8" hidden="1" x14ac:dyDescent="0.35">
      <c r="A990" s="29" t="s">
        <v>18</v>
      </c>
      <c r="B990" s="29" t="str">
        <f t="shared" si="15"/>
        <v>CPV-02</v>
      </c>
      <c r="C990" s="29" t="s">
        <v>5099</v>
      </c>
      <c r="D990" s="67" t="s">
        <v>5100</v>
      </c>
      <c r="E990" s="96" t="s">
        <v>62</v>
      </c>
      <c r="F990" s="29" t="s">
        <v>61</v>
      </c>
      <c r="G990" s="29"/>
      <c r="H990" s="103">
        <f>_xlfn.XLOOKUP(B990,GM!$Q$5:$Q$756,GM!$J$5:$J$756)</f>
        <v>44739</v>
      </c>
    </row>
    <row r="991" spans="1:8" hidden="1" x14ac:dyDescent="0.35">
      <c r="A991" s="29" t="s">
        <v>18</v>
      </c>
      <c r="B991" s="29" t="str">
        <f t="shared" si="15"/>
        <v>CPV-02</v>
      </c>
      <c r="C991" s="29" t="s">
        <v>5101</v>
      </c>
      <c r="D991" s="67" t="s">
        <v>5102</v>
      </c>
      <c r="E991" s="96" t="s">
        <v>62</v>
      </c>
      <c r="F991" s="29" t="s">
        <v>61</v>
      </c>
      <c r="G991" s="29"/>
      <c r="H991" s="103">
        <f>_xlfn.XLOOKUP(B991,GM!$Q$5:$Q$756,GM!$J$5:$J$756)</f>
        <v>44739</v>
      </c>
    </row>
    <row r="992" spans="1:8" hidden="1" x14ac:dyDescent="0.35">
      <c r="A992" s="29" t="s">
        <v>18</v>
      </c>
      <c r="B992" s="29" t="str">
        <f t="shared" si="15"/>
        <v>CPV-02</v>
      </c>
      <c r="C992" s="29" t="s">
        <v>5103</v>
      </c>
      <c r="D992" s="67" t="s">
        <v>5104</v>
      </c>
      <c r="E992" s="96" t="s">
        <v>62</v>
      </c>
      <c r="F992" s="29" t="s">
        <v>61</v>
      </c>
      <c r="G992" s="29"/>
      <c r="H992" s="103">
        <f>_xlfn.XLOOKUP(B992,GM!$Q$5:$Q$756,GM!$J$5:$J$756)</f>
        <v>44739</v>
      </c>
    </row>
    <row r="993" spans="1:8" hidden="1" x14ac:dyDescent="0.35">
      <c r="A993" s="29" t="s">
        <v>18</v>
      </c>
      <c r="B993" s="29" t="str">
        <f t="shared" si="15"/>
        <v>CPV-02</v>
      </c>
      <c r="C993" s="29" t="s">
        <v>5105</v>
      </c>
      <c r="D993" s="67" t="s">
        <v>5106</v>
      </c>
      <c r="E993" s="96" t="s">
        <v>62</v>
      </c>
      <c r="F993" s="29" t="s">
        <v>61</v>
      </c>
      <c r="G993" s="29"/>
      <c r="H993" s="103">
        <f>_xlfn.XLOOKUP(B993,GM!$Q$5:$Q$756,GM!$J$5:$J$756)</f>
        <v>44739</v>
      </c>
    </row>
    <row r="994" spans="1:8" hidden="1" x14ac:dyDescent="0.35">
      <c r="A994" s="29" t="s">
        <v>18</v>
      </c>
      <c r="B994" s="29" t="str">
        <f t="shared" si="15"/>
        <v>CPV-02</v>
      </c>
      <c r="C994" s="29" t="s">
        <v>5107</v>
      </c>
      <c r="D994" s="67" t="s">
        <v>5108</v>
      </c>
      <c r="E994" s="96" t="s">
        <v>62</v>
      </c>
      <c r="F994" s="29" t="s">
        <v>61</v>
      </c>
      <c r="G994" s="29"/>
      <c r="H994" s="103">
        <f>_xlfn.XLOOKUP(B994,GM!$Q$5:$Q$756,GM!$J$5:$J$756)</f>
        <v>44739</v>
      </c>
    </row>
    <row r="995" spans="1:8" hidden="1" x14ac:dyDescent="0.35">
      <c r="A995" s="29" t="s">
        <v>18</v>
      </c>
      <c r="B995" s="29" t="str">
        <f t="shared" si="15"/>
        <v>CPV-02</v>
      </c>
      <c r="C995" s="29" t="s">
        <v>5109</v>
      </c>
      <c r="D995" s="67" t="s">
        <v>5110</v>
      </c>
      <c r="E995" s="96" t="s">
        <v>62</v>
      </c>
      <c r="F995" s="29" t="s">
        <v>61</v>
      </c>
      <c r="G995" s="29"/>
      <c r="H995" s="103">
        <f>_xlfn.XLOOKUP(B995,GM!$Q$5:$Q$756,GM!$J$5:$J$756)</f>
        <v>44739</v>
      </c>
    </row>
    <row r="996" spans="1:8" hidden="1" x14ac:dyDescent="0.35">
      <c r="A996" s="29" t="s">
        <v>18</v>
      </c>
      <c r="B996" s="29" t="str">
        <f t="shared" si="15"/>
        <v>CPV-02</v>
      </c>
      <c r="C996" s="29" t="s">
        <v>5111</v>
      </c>
      <c r="D996" s="67" t="s">
        <v>5112</v>
      </c>
      <c r="E996" s="96" t="s">
        <v>62</v>
      </c>
      <c r="F996" s="29" t="s">
        <v>61</v>
      </c>
      <c r="G996" s="29"/>
      <c r="H996" s="103">
        <f>_xlfn.XLOOKUP(B996,GM!$Q$5:$Q$756,GM!$J$5:$J$756)</f>
        <v>44739</v>
      </c>
    </row>
    <row r="997" spans="1:8" hidden="1" x14ac:dyDescent="0.35">
      <c r="A997" s="29" t="s">
        <v>18</v>
      </c>
      <c r="B997" s="29" t="str">
        <f t="shared" si="15"/>
        <v>CPV-02</v>
      </c>
      <c r="C997" s="29" t="s">
        <v>5113</v>
      </c>
      <c r="D997" s="67" t="s">
        <v>5114</v>
      </c>
      <c r="E997" s="96" t="s">
        <v>62</v>
      </c>
      <c r="F997" s="29" t="s">
        <v>61</v>
      </c>
      <c r="G997" s="29"/>
      <c r="H997" s="103">
        <f>_xlfn.XLOOKUP(B997,GM!$Q$5:$Q$756,GM!$J$5:$J$756)</f>
        <v>44739</v>
      </c>
    </row>
    <row r="998" spans="1:8" hidden="1" x14ac:dyDescent="0.35">
      <c r="A998" s="29" t="s">
        <v>18</v>
      </c>
      <c r="B998" s="29" t="str">
        <f t="shared" si="15"/>
        <v>CPV-02</v>
      </c>
      <c r="C998" s="29" t="s">
        <v>5115</v>
      </c>
      <c r="D998" s="67" t="s">
        <v>5116</v>
      </c>
      <c r="E998" s="96" t="s">
        <v>62</v>
      </c>
      <c r="F998" s="29" t="s">
        <v>61</v>
      </c>
      <c r="G998" s="29"/>
      <c r="H998" s="103">
        <f>_xlfn.XLOOKUP(B998,GM!$Q$5:$Q$756,GM!$J$5:$J$756)</f>
        <v>44739</v>
      </c>
    </row>
    <row r="999" spans="1:8" hidden="1" x14ac:dyDescent="0.35">
      <c r="A999" s="29" t="s">
        <v>18</v>
      </c>
      <c r="B999" s="29" t="str">
        <f t="shared" si="15"/>
        <v>CPV-02</v>
      </c>
      <c r="C999" s="29" t="s">
        <v>5117</v>
      </c>
      <c r="D999" s="67" t="s">
        <v>5118</v>
      </c>
      <c r="E999" s="96" t="s">
        <v>62</v>
      </c>
      <c r="F999" s="29" t="s">
        <v>61</v>
      </c>
      <c r="G999" s="29"/>
      <c r="H999" s="103">
        <f>_xlfn.XLOOKUP(B999,GM!$Q$5:$Q$756,GM!$J$5:$J$756)</f>
        <v>44739</v>
      </c>
    </row>
    <row r="1000" spans="1:8" hidden="1" x14ac:dyDescent="0.35">
      <c r="A1000" s="29" t="s">
        <v>18</v>
      </c>
      <c r="B1000" s="29" t="str">
        <f t="shared" si="15"/>
        <v>CPV-02</v>
      </c>
      <c r="C1000" s="29" t="s">
        <v>5119</v>
      </c>
      <c r="D1000" s="67" t="s">
        <v>5120</v>
      </c>
      <c r="E1000" s="96" t="s">
        <v>62</v>
      </c>
      <c r="F1000" s="29" t="s">
        <v>61</v>
      </c>
      <c r="G1000" s="29"/>
      <c r="H1000" s="103">
        <f>_xlfn.XLOOKUP(B1000,GM!$Q$5:$Q$756,GM!$J$5:$J$756)</f>
        <v>44739</v>
      </c>
    </row>
    <row r="1001" spans="1:8" hidden="1" x14ac:dyDescent="0.35">
      <c r="A1001" s="29" t="s">
        <v>18</v>
      </c>
      <c r="B1001" s="29" t="str">
        <f t="shared" si="15"/>
        <v>CPV-02</v>
      </c>
      <c r="C1001" s="29" t="s">
        <v>5121</v>
      </c>
      <c r="D1001" s="67" t="s">
        <v>5122</v>
      </c>
      <c r="E1001" s="96" t="s">
        <v>62</v>
      </c>
      <c r="F1001" s="29" t="s">
        <v>61</v>
      </c>
      <c r="G1001" s="29"/>
      <c r="H1001" s="103">
        <f>_xlfn.XLOOKUP(B1001,GM!$Q$5:$Q$756,GM!$J$5:$J$756)</f>
        <v>44739</v>
      </c>
    </row>
    <row r="1002" spans="1:8" hidden="1" x14ac:dyDescent="0.35">
      <c r="A1002" s="29" t="s">
        <v>18</v>
      </c>
      <c r="B1002" s="29" t="str">
        <f t="shared" si="15"/>
        <v>CPV-02</v>
      </c>
      <c r="C1002" s="29" t="s">
        <v>5123</v>
      </c>
      <c r="D1002" s="67" t="s">
        <v>5124</v>
      </c>
      <c r="E1002" s="96" t="s">
        <v>62</v>
      </c>
      <c r="F1002" s="29" t="s">
        <v>61</v>
      </c>
      <c r="G1002" s="29"/>
      <c r="H1002" s="103">
        <f>_xlfn.XLOOKUP(B1002,GM!$Q$5:$Q$756,GM!$J$5:$J$756)</f>
        <v>44739</v>
      </c>
    </row>
    <row r="1003" spans="1:8" hidden="1" x14ac:dyDescent="0.35">
      <c r="A1003" s="29" t="s">
        <v>18</v>
      </c>
      <c r="B1003" s="29" t="str">
        <f t="shared" si="15"/>
        <v>CPV-02</v>
      </c>
      <c r="C1003" s="29" t="s">
        <v>5125</v>
      </c>
      <c r="D1003" s="67" t="s">
        <v>5126</v>
      </c>
      <c r="E1003" s="96" t="s">
        <v>62</v>
      </c>
      <c r="F1003" s="29" t="s">
        <v>61</v>
      </c>
      <c r="G1003" s="29"/>
      <c r="H1003" s="103">
        <f>_xlfn.XLOOKUP(B1003,GM!$Q$5:$Q$756,GM!$J$5:$J$756)</f>
        <v>44739</v>
      </c>
    </row>
    <row r="1004" spans="1:8" hidden="1" x14ac:dyDescent="0.35">
      <c r="A1004" s="29" t="s">
        <v>18</v>
      </c>
      <c r="B1004" s="29" t="str">
        <f t="shared" si="15"/>
        <v>CPV-02</v>
      </c>
      <c r="C1004" s="29" t="s">
        <v>5127</v>
      </c>
      <c r="D1004" s="67" t="s">
        <v>5128</v>
      </c>
      <c r="E1004" s="96" t="s">
        <v>62</v>
      </c>
      <c r="F1004" s="29" t="s">
        <v>61</v>
      </c>
      <c r="G1004" s="29"/>
      <c r="H1004" s="103">
        <f>_xlfn.XLOOKUP(B1004,GM!$Q$5:$Q$756,GM!$J$5:$J$756)</f>
        <v>44739</v>
      </c>
    </row>
    <row r="1005" spans="1:8" hidden="1" x14ac:dyDescent="0.35">
      <c r="A1005" s="29" t="s">
        <v>18</v>
      </c>
      <c r="B1005" s="29" t="str">
        <f t="shared" si="15"/>
        <v>CPV-02</v>
      </c>
      <c r="C1005" s="29" t="s">
        <v>5129</v>
      </c>
      <c r="D1005" s="67" t="s">
        <v>5130</v>
      </c>
      <c r="E1005" s="96" t="s">
        <v>62</v>
      </c>
      <c r="F1005" s="29" t="s">
        <v>61</v>
      </c>
      <c r="G1005" s="29"/>
      <c r="H1005" s="103">
        <f>_xlfn.XLOOKUP(B1005,GM!$Q$5:$Q$756,GM!$J$5:$J$756)</f>
        <v>44739</v>
      </c>
    </row>
    <row r="1006" spans="1:8" hidden="1" x14ac:dyDescent="0.35">
      <c r="A1006" s="29" t="s">
        <v>18</v>
      </c>
      <c r="B1006" s="29" t="str">
        <f t="shared" si="15"/>
        <v>CPV-02</v>
      </c>
      <c r="C1006" s="29" t="s">
        <v>5131</v>
      </c>
      <c r="D1006" s="67" t="s">
        <v>5132</v>
      </c>
      <c r="E1006" s="96" t="s">
        <v>62</v>
      </c>
      <c r="F1006" s="29" t="s">
        <v>61</v>
      </c>
      <c r="G1006" s="29"/>
      <c r="H1006" s="103">
        <f>_xlfn.XLOOKUP(B1006,GM!$Q$5:$Q$756,GM!$J$5:$J$756)</f>
        <v>44739</v>
      </c>
    </row>
    <row r="1007" spans="1:8" hidden="1" x14ac:dyDescent="0.35">
      <c r="A1007" s="29" t="s">
        <v>18</v>
      </c>
      <c r="B1007" s="29" t="str">
        <f t="shared" si="15"/>
        <v>CPV-02</v>
      </c>
      <c r="C1007" s="29" t="s">
        <v>5133</v>
      </c>
      <c r="D1007" s="67" t="s">
        <v>5134</v>
      </c>
      <c r="E1007" s="96" t="s">
        <v>62</v>
      </c>
      <c r="F1007" s="29" t="s">
        <v>61</v>
      </c>
      <c r="G1007" s="29"/>
      <c r="H1007" s="103">
        <f>_xlfn.XLOOKUP(B1007,GM!$Q$5:$Q$756,GM!$J$5:$J$756)</f>
        <v>44739</v>
      </c>
    </row>
    <row r="1008" spans="1:8" hidden="1" x14ac:dyDescent="0.35">
      <c r="A1008" s="29" t="s">
        <v>18</v>
      </c>
      <c r="B1008" s="29" t="str">
        <f t="shared" si="15"/>
        <v>CPV-02</v>
      </c>
      <c r="C1008" s="29" t="s">
        <v>5135</v>
      </c>
      <c r="D1008" s="67" t="s">
        <v>5136</v>
      </c>
      <c r="E1008" s="96" t="s">
        <v>62</v>
      </c>
      <c r="F1008" s="29" t="s">
        <v>61</v>
      </c>
      <c r="G1008" s="29"/>
      <c r="H1008" s="103">
        <f>_xlfn.XLOOKUP(B1008,GM!$Q$5:$Q$756,GM!$J$5:$J$756)</f>
        <v>44739</v>
      </c>
    </row>
    <row r="1009" spans="1:8" hidden="1" x14ac:dyDescent="0.35">
      <c r="A1009" s="29" t="s">
        <v>18</v>
      </c>
      <c r="B1009" s="29" t="str">
        <f t="shared" si="15"/>
        <v>CPV-02</v>
      </c>
      <c r="C1009" s="29" t="s">
        <v>5137</v>
      </c>
      <c r="D1009" s="67" t="s">
        <v>5138</v>
      </c>
      <c r="E1009" s="96" t="s">
        <v>62</v>
      </c>
      <c r="F1009" s="29" t="s">
        <v>61</v>
      </c>
      <c r="G1009" s="29"/>
      <c r="H1009" s="103">
        <f>_xlfn.XLOOKUP(B1009,GM!$Q$5:$Q$756,GM!$J$5:$J$756)</f>
        <v>44739</v>
      </c>
    </row>
    <row r="1010" spans="1:8" hidden="1" x14ac:dyDescent="0.35">
      <c r="A1010" s="29" t="s">
        <v>18</v>
      </c>
      <c r="B1010" s="29" t="str">
        <f t="shared" si="15"/>
        <v>CPV-02</v>
      </c>
      <c r="C1010" s="29" t="s">
        <v>5139</v>
      </c>
      <c r="D1010" s="67" t="s">
        <v>5140</v>
      </c>
      <c r="E1010" s="96" t="s">
        <v>62</v>
      </c>
      <c r="F1010" s="29" t="s">
        <v>61</v>
      </c>
      <c r="G1010" s="29"/>
      <c r="H1010" s="103">
        <f>_xlfn.XLOOKUP(B1010,GM!$Q$5:$Q$756,GM!$J$5:$J$756)</f>
        <v>44739</v>
      </c>
    </row>
    <row r="1011" spans="1:8" hidden="1" x14ac:dyDescent="0.35">
      <c r="A1011" s="29" t="s">
        <v>18</v>
      </c>
      <c r="B1011" s="29" t="str">
        <f t="shared" si="15"/>
        <v>CPV-02</v>
      </c>
      <c r="C1011" s="29" t="s">
        <v>5141</v>
      </c>
      <c r="D1011" s="67" t="s">
        <v>5142</v>
      </c>
      <c r="E1011" s="96" t="s">
        <v>62</v>
      </c>
      <c r="F1011" s="29" t="s">
        <v>61</v>
      </c>
      <c r="G1011" s="29"/>
      <c r="H1011" s="103">
        <f>_xlfn.XLOOKUP(B1011,GM!$Q$5:$Q$756,GM!$J$5:$J$756)</f>
        <v>44739</v>
      </c>
    </row>
    <row r="1012" spans="1:8" hidden="1" x14ac:dyDescent="0.35">
      <c r="A1012" s="29" t="s">
        <v>18</v>
      </c>
      <c r="B1012" s="29" t="str">
        <f t="shared" si="15"/>
        <v>CPV-02</v>
      </c>
      <c r="C1012" s="29" t="s">
        <v>5143</v>
      </c>
      <c r="D1012" s="67" t="s">
        <v>5144</v>
      </c>
      <c r="E1012" s="96" t="s">
        <v>62</v>
      </c>
      <c r="F1012" s="29" t="s">
        <v>61</v>
      </c>
      <c r="G1012" s="29"/>
      <c r="H1012" s="103">
        <f>_xlfn.XLOOKUP(B1012,GM!$Q$5:$Q$756,GM!$J$5:$J$756)</f>
        <v>44739</v>
      </c>
    </row>
    <row r="1013" spans="1:8" hidden="1" x14ac:dyDescent="0.35">
      <c r="A1013" s="29" t="s">
        <v>18</v>
      </c>
      <c r="B1013" s="29" t="str">
        <f t="shared" si="15"/>
        <v>CPV-02</v>
      </c>
      <c r="C1013" s="29" t="s">
        <v>5145</v>
      </c>
      <c r="D1013" s="67" t="s">
        <v>5146</v>
      </c>
      <c r="E1013" s="96" t="s">
        <v>62</v>
      </c>
      <c r="F1013" s="29" t="s">
        <v>61</v>
      </c>
      <c r="G1013" s="29"/>
      <c r="H1013" s="103">
        <f>_xlfn.XLOOKUP(B1013,GM!$Q$5:$Q$756,GM!$J$5:$J$756)</f>
        <v>44739</v>
      </c>
    </row>
    <row r="1014" spans="1:8" hidden="1" x14ac:dyDescent="0.35">
      <c r="A1014" s="29" t="s">
        <v>18</v>
      </c>
      <c r="B1014" s="29" t="str">
        <f t="shared" si="15"/>
        <v>CPV-02</v>
      </c>
      <c r="C1014" s="29" t="s">
        <v>5147</v>
      </c>
      <c r="D1014" s="67" t="s">
        <v>5148</v>
      </c>
      <c r="E1014" s="96" t="s">
        <v>62</v>
      </c>
      <c r="F1014" s="29" t="s">
        <v>61</v>
      </c>
      <c r="G1014" s="29"/>
      <c r="H1014" s="103">
        <f>_xlfn.XLOOKUP(B1014,GM!$Q$5:$Q$756,GM!$J$5:$J$756)</f>
        <v>44739</v>
      </c>
    </row>
    <row r="1015" spans="1:8" hidden="1" x14ac:dyDescent="0.35">
      <c r="A1015" s="29" t="s">
        <v>18</v>
      </c>
      <c r="B1015" s="29" t="str">
        <f t="shared" si="15"/>
        <v>CPV-01</v>
      </c>
      <c r="C1015" s="29" t="s">
        <v>5149</v>
      </c>
      <c r="D1015" s="67" t="s">
        <v>5150</v>
      </c>
      <c r="E1015" s="96" t="s">
        <v>62</v>
      </c>
      <c r="F1015" s="29" t="s">
        <v>61</v>
      </c>
      <c r="G1015" s="29"/>
      <c r="H1015" s="103">
        <f>_xlfn.XLOOKUP(B1015,GM!$Q$5:$Q$756,GM!$J$5:$J$756)</f>
        <v>44739</v>
      </c>
    </row>
    <row r="1016" spans="1:8" hidden="1" x14ac:dyDescent="0.35">
      <c r="A1016" s="29" t="s">
        <v>18</v>
      </c>
      <c r="B1016" s="29" t="str">
        <f t="shared" si="15"/>
        <v>CPV-01</v>
      </c>
      <c r="C1016" s="29" t="s">
        <v>5149</v>
      </c>
      <c r="D1016" s="67" t="s">
        <v>5151</v>
      </c>
      <c r="E1016" s="96" t="s">
        <v>62</v>
      </c>
      <c r="F1016" s="29" t="s">
        <v>61</v>
      </c>
      <c r="G1016" s="29"/>
      <c r="H1016" s="103">
        <f>_xlfn.XLOOKUP(B1016,GM!$Q$5:$Q$756,GM!$J$5:$J$756)</f>
        <v>44739</v>
      </c>
    </row>
    <row r="1017" spans="1:8" hidden="1" x14ac:dyDescent="0.35">
      <c r="A1017" s="29" t="s">
        <v>18</v>
      </c>
      <c r="B1017" s="29" t="str">
        <f t="shared" si="15"/>
        <v>CPV-01</v>
      </c>
      <c r="C1017" s="29" t="s">
        <v>5152</v>
      </c>
      <c r="D1017" s="67" t="s">
        <v>5153</v>
      </c>
      <c r="E1017" s="96" t="s">
        <v>62</v>
      </c>
      <c r="F1017" s="29" t="s">
        <v>61</v>
      </c>
      <c r="G1017" s="29"/>
      <c r="H1017" s="103">
        <f>_xlfn.XLOOKUP(B1017,GM!$Q$5:$Q$756,GM!$J$5:$J$756)</f>
        <v>44739</v>
      </c>
    </row>
    <row r="1018" spans="1:8" hidden="1" x14ac:dyDescent="0.35">
      <c r="A1018" s="29" t="s">
        <v>18</v>
      </c>
      <c r="B1018" s="29" t="str">
        <f t="shared" si="15"/>
        <v>CPV-01</v>
      </c>
      <c r="C1018" s="29" t="s">
        <v>5154</v>
      </c>
      <c r="D1018" s="67" t="s">
        <v>5155</v>
      </c>
      <c r="E1018" s="96" t="s">
        <v>62</v>
      </c>
      <c r="F1018" s="29" t="s">
        <v>61</v>
      </c>
      <c r="G1018" s="29"/>
      <c r="H1018" s="103">
        <f>_xlfn.XLOOKUP(B1018,GM!$Q$5:$Q$756,GM!$J$5:$J$756)</f>
        <v>44739</v>
      </c>
    </row>
    <row r="1019" spans="1:8" hidden="1" x14ac:dyDescent="0.35">
      <c r="A1019" s="29" t="s">
        <v>18</v>
      </c>
      <c r="B1019" s="29" t="str">
        <f t="shared" si="15"/>
        <v>CPV-01</v>
      </c>
      <c r="C1019" s="29" t="s">
        <v>5156</v>
      </c>
      <c r="D1019" s="67" t="s">
        <v>5157</v>
      </c>
      <c r="E1019" s="96" t="s">
        <v>62</v>
      </c>
      <c r="F1019" s="29" t="s">
        <v>61</v>
      </c>
      <c r="G1019" s="29"/>
      <c r="H1019" s="103">
        <f>_xlfn.XLOOKUP(B1019,GM!$Q$5:$Q$756,GM!$J$5:$J$756)</f>
        <v>44739</v>
      </c>
    </row>
    <row r="1020" spans="1:8" hidden="1" x14ac:dyDescent="0.35">
      <c r="A1020" s="29" t="s">
        <v>18</v>
      </c>
      <c r="B1020" s="29" t="str">
        <f t="shared" si="15"/>
        <v>CPV-01</v>
      </c>
      <c r="C1020" s="29" t="s">
        <v>5158</v>
      </c>
      <c r="D1020" s="67" t="s">
        <v>5159</v>
      </c>
      <c r="E1020" s="96" t="s">
        <v>62</v>
      </c>
      <c r="F1020" s="29" t="s">
        <v>61</v>
      </c>
      <c r="G1020" s="29"/>
      <c r="H1020" s="103">
        <f>_xlfn.XLOOKUP(B1020,GM!$Q$5:$Q$756,GM!$J$5:$J$756)</f>
        <v>44739</v>
      </c>
    </row>
    <row r="1021" spans="1:8" hidden="1" x14ac:dyDescent="0.35">
      <c r="A1021" s="29" t="s">
        <v>18</v>
      </c>
      <c r="B1021" s="29" t="str">
        <f t="shared" si="15"/>
        <v>CPV-01</v>
      </c>
      <c r="C1021" s="29" t="s">
        <v>5160</v>
      </c>
      <c r="D1021" s="67" t="s">
        <v>5161</v>
      </c>
      <c r="E1021" s="96" t="s">
        <v>62</v>
      </c>
      <c r="F1021" s="29" t="s">
        <v>61</v>
      </c>
      <c r="G1021" s="29"/>
      <c r="H1021" s="103">
        <f>_xlfn.XLOOKUP(B1021,GM!$Q$5:$Q$756,GM!$J$5:$J$756)</f>
        <v>44739</v>
      </c>
    </row>
    <row r="1022" spans="1:8" hidden="1" x14ac:dyDescent="0.35">
      <c r="A1022" s="29" t="s">
        <v>18</v>
      </c>
      <c r="B1022" s="29" t="str">
        <f t="shared" si="15"/>
        <v>CPV-01</v>
      </c>
      <c r="C1022" s="29" t="s">
        <v>5162</v>
      </c>
      <c r="D1022" s="67" t="s">
        <v>5163</v>
      </c>
      <c r="E1022" s="96" t="s">
        <v>62</v>
      </c>
      <c r="F1022" s="29" t="s">
        <v>61</v>
      </c>
      <c r="G1022" s="29"/>
      <c r="H1022" s="103">
        <f>_xlfn.XLOOKUP(B1022,GM!$Q$5:$Q$756,GM!$J$5:$J$756)</f>
        <v>44739</v>
      </c>
    </row>
    <row r="1023" spans="1:8" hidden="1" x14ac:dyDescent="0.35">
      <c r="A1023" s="29" t="s">
        <v>18</v>
      </c>
      <c r="B1023" s="29" t="str">
        <f t="shared" si="15"/>
        <v>CPV-01</v>
      </c>
      <c r="C1023" s="29" t="s">
        <v>5164</v>
      </c>
      <c r="D1023" s="67" t="s">
        <v>5165</v>
      </c>
      <c r="E1023" s="96" t="s">
        <v>62</v>
      </c>
      <c r="F1023" s="29" t="s">
        <v>61</v>
      </c>
      <c r="G1023" s="29"/>
      <c r="H1023" s="103">
        <f>_xlfn.XLOOKUP(B1023,GM!$Q$5:$Q$756,GM!$J$5:$J$756)</f>
        <v>44739</v>
      </c>
    </row>
    <row r="1024" spans="1:8" hidden="1" x14ac:dyDescent="0.35">
      <c r="A1024" s="29" t="s">
        <v>18</v>
      </c>
      <c r="B1024" s="29" t="str">
        <f t="shared" si="15"/>
        <v>CPV-01</v>
      </c>
      <c r="C1024" s="29" t="s">
        <v>5166</v>
      </c>
      <c r="D1024" s="67" t="s">
        <v>5167</v>
      </c>
      <c r="E1024" s="96" t="s">
        <v>62</v>
      </c>
      <c r="F1024" s="29" t="s">
        <v>61</v>
      </c>
      <c r="G1024" s="29"/>
      <c r="H1024" s="103">
        <f>_xlfn.XLOOKUP(B1024,GM!$Q$5:$Q$756,GM!$J$5:$J$756)</f>
        <v>44739</v>
      </c>
    </row>
    <row r="1025" spans="1:8" hidden="1" x14ac:dyDescent="0.35">
      <c r="A1025" s="29" t="s">
        <v>18</v>
      </c>
      <c r="B1025" s="29" t="str">
        <f t="shared" si="15"/>
        <v>CPV-01</v>
      </c>
      <c r="C1025" s="29" t="s">
        <v>5168</v>
      </c>
      <c r="D1025" s="67" t="s">
        <v>5169</v>
      </c>
      <c r="E1025" s="96" t="s">
        <v>62</v>
      </c>
      <c r="F1025" s="29" t="s">
        <v>61</v>
      </c>
      <c r="G1025" s="29"/>
      <c r="H1025" s="103">
        <f>_xlfn.XLOOKUP(B1025,GM!$Q$5:$Q$756,GM!$J$5:$J$756)</f>
        <v>44739</v>
      </c>
    </row>
    <row r="1026" spans="1:8" hidden="1" x14ac:dyDescent="0.35">
      <c r="A1026" s="29" t="s">
        <v>18</v>
      </c>
      <c r="B1026" s="29" t="str">
        <f t="shared" si="15"/>
        <v>CPV-01</v>
      </c>
      <c r="C1026" s="29" t="s">
        <v>5170</v>
      </c>
      <c r="D1026" s="67" t="s">
        <v>5171</v>
      </c>
      <c r="E1026" s="96" t="s">
        <v>62</v>
      </c>
      <c r="F1026" s="29" t="s">
        <v>61</v>
      </c>
      <c r="G1026" s="29"/>
      <c r="H1026" s="103">
        <f>_xlfn.XLOOKUP(B1026,GM!$Q$5:$Q$756,GM!$J$5:$J$756)</f>
        <v>44739</v>
      </c>
    </row>
    <row r="1027" spans="1:8" hidden="1" x14ac:dyDescent="0.35">
      <c r="A1027" s="29" t="s">
        <v>18</v>
      </c>
      <c r="B1027" s="29" t="str">
        <f t="shared" si="15"/>
        <v>CPV-01</v>
      </c>
      <c r="C1027" s="29" t="s">
        <v>5172</v>
      </c>
      <c r="D1027" s="67" t="s">
        <v>5173</v>
      </c>
      <c r="E1027" s="96" t="s">
        <v>62</v>
      </c>
      <c r="F1027" s="29" t="s">
        <v>61</v>
      </c>
      <c r="G1027" s="29"/>
      <c r="H1027" s="103">
        <f>_xlfn.XLOOKUP(B1027,GM!$Q$5:$Q$756,GM!$J$5:$J$756)</f>
        <v>44739</v>
      </c>
    </row>
    <row r="1028" spans="1:8" hidden="1" x14ac:dyDescent="0.35">
      <c r="A1028" s="29" t="s">
        <v>18</v>
      </c>
      <c r="B1028" s="29" t="str">
        <f t="shared" si="15"/>
        <v>CPV-01</v>
      </c>
      <c r="C1028" s="29" t="s">
        <v>5174</v>
      </c>
      <c r="D1028" s="67" t="s">
        <v>5175</v>
      </c>
      <c r="E1028" s="96" t="s">
        <v>62</v>
      </c>
      <c r="F1028" s="29" t="s">
        <v>61</v>
      </c>
      <c r="G1028" s="29"/>
      <c r="H1028" s="103">
        <f>_xlfn.XLOOKUP(B1028,GM!$Q$5:$Q$756,GM!$J$5:$J$756)</f>
        <v>44739</v>
      </c>
    </row>
    <row r="1029" spans="1:8" hidden="1" x14ac:dyDescent="0.35">
      <c r="A1029" s="29" t="s">
        <v>18</v>
      </c>
      <c r="B1029" s="29" t="str">
        <f t="shared" ref="B1029:B1092" si="16">IF(OR(A1029="ARN",A1029="SDP"),MID(C1029,4,7),MID(C1029,4,6))</f>
        <v>CPV-01</v>
      </c>
      <c r="C1029" s="29" t="s">
        <v>5176</v>
      </c>
      <c r="D1029" s="67" t="s">
        <v>5177</v>
      </c>
      <c r="E1029" s="96" t="s">
        <v>62</v>
      </c>
      <c r="F1029" s="29" t="s">
        <v>61</v>
      </c>
      <c r="G1029" s="29"/>
      <c r="H1029" s="103">
        <f>_xlfn.XLOOKUP(B1029,GM!$Q$5:$Q$756,GM!$J$5:$J$756)</f>
        <v>44739</v>
      </c>
    </row>
    <row r="1030" spans="1:8" hidden="1" x14ac:dyDescent="0.35">
      <c r="A1030" s="29" t="s">
        <v>18</v>
      </c>
      <c r="B1030" s="29" t="str">
        <f t="shared" si="16"/>
        <v>CPV-01</v>
      </c>
      <c r="C1030" s="29" t="s">
        <v>5178</v>
      </c>
      <c r="D1030" s="67" t="s">
        <v>5179</v>
      </c>
      <c r="E1030" s="96" t="s">
        <v>62</v>
      </c>
      <c r="F1030" s="29" t="s">
        <v>61</v>
      </c>
      <c r="G1030" s="29"/>
      <c r="H1030" s="103">
        <f>_xlfn.XLOOKUP(B1030,GM!$Q$5:$Q$756,GM!$J$5:$J$756)</f>
        <v>44739</v>
      </c>
    </row>
    <row r="1031" spans="1:8" hidden="1" x14ac:dyDescent="0.35">
      <c r="A1031" s="29" t="s">
        <v>18</v>
      </c>
      <c r="B1031" s="29" t="str">
        <f t="shared" si="16"/>
        <v>CPV-01</v>
      </c>
      <c r="C1031" s="29" t="s">
        <v>5180</v>
      </c>
      <c r="D1031" s="67" t="s">
        <v>5181</v>
      </c>
      <c r="E1031" s="96" t="s">
        <v>62</v>
      </c>
      <c r="F1031" s="29" t="s">
        <v>61</v>
      </c>
      <c r="G1031" s="29"/>
      <c r="H1031" s="103">
        <f>_xlfn.XLOOKUP(B1031,GM!$Q$5:$Q$756,GM!$J$5:$J$756)</f>
        <v>44739</v>
      </c>
    </row>
    <row r="1032" spans="1:8" hidden="1" x14ac:dyDescent="0.35">
      <c r="A1032" s="29" t="s">
        <v>18</v>
      </c>
      <c r="B1032" s="29" t="str">
        <f t="shared" si="16"/>
        <v>CPV-01</v>
      </c>
      <c r="C1032" s="29" t="s">
        <v>5182</v>
      </c>
      <c r="D1032" s="67" t="s">
        <v>5183</v>
      </c>
      <c r="E1032" s="96" t="s">
        <v>62</v>
      </c>
      <c r="F1032" s="29" t="s">
        <v>61</v>
      </c>
      <c r="G1032" s="29"/>
      <c r="H1032" s="103">
        <f>_xlfn.XLOOKUP(B1032,GM!$Q$5:$Q$756,GM!$J$5:$J$756)</f>
        <v>44739</v>
      </c>
    </row>
    <row r="1033" spans="1:8" hidden="1" x14ac:dyDescent="0.35">
      <c r="A1033" s="29" t="s">
        <v>18</v>
      </c>
      <c r="B1033" s="29" t="str">
        <f t="shared" si="16"/>
        <v>CPV-01</v>
      </c>
      <c r="C1033" s="29" t="s">
        <v>5184</v>
      </c>
      <c r="D1033" s="67" t="s">
        <v>5185</v>
      </c>
      <c r="E1033" s="96" t="s">
        <v>62</v>
      </c>
      <c r="F1033" s="29" t="s">
        <v>61</v>
      </c>
      <c r="G1033" s="29"/>
      <c r="H1033" s="103">
        <f>_xlfn.XLOOKUP(B1033,GM!$Q$5:$Q$756,GM!$J$5:$J$756)</f>
        <v>44739</v>
      </c>
    </row>
    <row r="1034" spans="1:8" hidden="1" x14ac:dyDescent="0.35">
      <c r="A1034" s="29" t="s">
        <v>18</v>
      </c>
      <c r="B1034" s="29" t="str">
        <f t="shared" si="16"/>
        <v>CPV-00</v>
      </c>
      <c r="C1034" s="29" t="s">
        <v>5186</v>
      </c>
      <c r="D1034" s="67" t="s">
        <v>5187</v>
      </c>
      <c r="E1034" s="96" t="s">
        <v>62</v>
      </c>
      <c r="F1034" s="29" t="s">
        <v>61</v>
      </c>
      <c r="G1034" s="29"/>
      <c r="H1034" s="103">
        <f>_xlfn.XLOOKUP(B1034,GM!$Q$5:$Q$756,GM!$J$5:$J$756)</f>
        <v>45202</v>
      </c>
    </row>
    <row r="1035" spans="1:8" hidden="1" x14ac:dyDescent="0.35">
      <c r="A1035" s="29" t="s">
        <v>18</v>
      </c>
      <c r="B1035" s="29" t="str">
        <f t="shared" si="16"/>
        <v>CPV-00</v>
      </c>
      <c r="C1035" s="29" t="s">
        <v>5188</v>
      </c>
      <c r="D1035" s="67" t="s">
        <v>5189</v>
      </c>
      <c r="E1035" s="96" t="s">
        <v>62</v>
      </c>
      <c r="F1035" s="29" t="s">
        <v>61</v>
      </c>
      <c r="G1035" s="29"/>
      <c r="H1035" s="103">
        <f>_xlfn.XLOOKUP(B1035,GM!$Q$5:$Q$756,GM!$J$5:$J$756)</f>
        <v>45202</v>
      </c>
    </row>
    <row r="1036" spans="1:8" hidden="1" x14ac:dyDescent="0.35">
      <c r="A1036" s="29" t="s">
        <v>18</v>
      </c>
      <c r="B1036" s="29" t="str">
        <f t="shared" si="16"/>
        <v>CPV-00</v>
      </c>
      <c r="C1036" s="29" t="s">
        <v>5190</v>
      </c>
      <c r="D1036" s="67" t="s">
        <v>5191</v>
      </c>
      <c r="E1036" s="96" t="s">
        <v>62</v>
      </c>
      <c r="F1036" s="29" t="s">
        <v>61</v>
      </c>
      <c r="G1036" s="29"/>
      <c r="H1036" s="103">
        <f>_xlfn.XLOOKUP(B1036,GM!$Q$5:$Q$756,GM!$J$5:$J$756)</f>
        <v>45202</v>
      </c>
    </row>
    <row r="1037" spans="1:8" hidden="1" x14ac:dyDescent="0.35">
      <c r="A1037" s="29" t="s">
        <v>18</v>
      </c>
      <c r="B1037" s="29" t="str">
        <f t="shared" si="16"/>
        <v>CPV-00</v>
      </c>
      <c r="C1037" s="29" t="s">
        <v>5192</v>
      </c>
      <c r="D1037" s="67" t="s">
        <v>5193</v>
      </c>
      <c r="E1037" s="96" t="s">
        <v>62</v>
      </c>
      <c r="F1037" s="29" t="s">
        <v>61</v>
      </c>
      <c r="G1037" s="29"/>
      <c r="H1037" s="103">
        <f>_xlfn.XLOOKUP(B1037,GM!$Q$5:$Q$756,GM!$J$5:$J$756)</f>
        <v>45202</v>
      </c>
    </row>
    <row r="1038" spans="1:8" hidden="1" x14ac:dyDescent="0.35">
      <c r="A1038" s="29" t="s">
        <v>18</v>
      </c>
      <c r="B1038" s="29" t="str">
        <f t="shared" si="16"/>
        <v>CPV-00</v>
      </c>
      <c r="C1038" s="29" t="s">
        <v>5194</v>
      </c>
      <c r="D1038" s="67" t="s">
        <v>5195</v>
      </c>
      <c r="E1038" s="96" t="s">
        <v>62</v>
      </c>
      <c r="F1038" s="29" t="s">
        <v>61</v>
      </c>
      <c r="G1038" s="29"/>
      <c r="H1038" s="103">
        <f>_xlfn.XLOOKUP(B1038,GM!$Q$5:$Q$756,GM!$J$5:$J$756)</f>
        <v>45202</v>
      </c>
    </row>
    <row r="1039" spans="1:8" hidden="1" x14ac:dyDescent="0.35">
      <c r="A1039" s="29" t="s">
        <v>18</v>
      </c>
      <c r="B1039" s="29" t="str">
        <f t="shared" si="16"/>
        <v>CPV-00</v>
      </c>
      <c r="C1039" s="29" t="s">
        <v>5196</v>
      </c>
      <c r="D1039" s="67" t="s">
        <v>5197</v>
      </c>
      <c r="E1039" s="96" t="s">
        <v>62</v>
      </c>
      <c r="F1039" s="29" t="s">
        <v>61</v>
      </c>
      <c r="G1039" s="29"/>
      <c r="H1039" s="103">
        <f>_xlfn.XLOOKUP(B1039,GM!$Q$5:$Q$756,GM!$J$5:$J$756)</f>
        <v>45202</v>
      </c>
    </row>
    <row r="1040" spans="1:8" hidden="1" x14ac:dyDescent="0.35">
      <c r="A1040" s="29" t="s">
        <v>18</v>
      </c>
      <c r="B1040" s="29" t="str">
        <f t="shared" si="16"/>
        <v>CPV-00</v>
      </c>
      <c r="C1040" s="29" t="s">
        <v>5198</v>
      </c>
      <c r="D1040" s="67" t="s">
        <v>5199</v>
      </c>
      <c r="E1040" s="96" t="s">
        <v>62</v>
      </c>
      <c r="F1040" s="29" t="s">
        <v>61</v>
      </c>
      <c r="G1040" s="29"/>
      <c r="H1040" s="103">
        <f>_xlfn.XLOOKUP(B1040,GM!$Q$5:$Q$756,GM!$J$5:$J$756)</f>
        <v>45202</v>
      </c>
    </row>
    <row r="1041" spans="1:8" hidden="1" x14ac:dyDescent="0.35">
      <c r="A1041" s="29" t="s">
        <v>18</v>
      </c>
      <c r="B1041" s="29" t="str">
        <f t="shared" si="16"/>
        <v>CPV-00</v>
      </c>
      <c r="C1041" s="29" t="s">
        <v>5200</v>
      </c>
      <c r="D1041" s="67" t="s">
        <v>5201</v>
      </c>
      <c r="E1041" s="96" t="s">
        <v>62</v>
      </c>
      <c r="F1041" s="29" t="s">
        <v>61</v>
      </c>
      <c r="G1041" s="29"/>
      <c r="H1041" s="103">
        <f>_xlfn.XLOOKUP(B1041,GM!$Q$5:$Q$756,GM!$J$5:$J$756)</f>
        <v>45202</v>
      </c>
    </row>
    <row r="1042" spans="1:8" hidden="1" x14ac:dyDescent="0.35">
      <c r="A1042" s="29" t="s">
        <v>18</v>
      </c>
      <c r="B1042" s="29" t="str">
        <f t="shared" si="16"/>
        <v>CPV-00</v>
      </c>
      <c r="C1042" s="29" t="s">
        <v>5202</v>
      </c>
      <c r="D1042" s="67" t="s">
        <v>5203</v>
      </c>
      <c r="E1042" s="96" t="s">
        <v>62</v>
      </c>
      <c r="F1042" s="29" t="s">
        <v>61</v>
      </c>
      <c r="G1042" s="29"/>
      <c r="H1042" s="103">
        <f>_xlfn.XLOOKUP(B1042,GM!$Q$5:$Q$756,GM!$J$5:$J$756)</f>
        <v>45202</v>
      </c>
    </row>
    <row r="1043" spans="1:8" hidden="1" x14ac:dyDescent="0.35">
      <c r="A1043" s="29" t="s">
        <v>26</v>
      </c>
      <c r="B1043" s="29" t="str">
        <f t="shared" si="16"/>
        <v>GAR-00</v>
      </c>
      <c r="C1043" s="29" t="s">
        <v>5204</v>
      </c>
      <c r="D1043" s="67" t="s">
        <v>5205</v>
      </c>
      <c r="E1043" s="96" t="s">
        <v>62</v>
      </c>
      <c r="F1043" s="29" t="s">
        <v>61</v>
      </c>
      <c r="G1043" s="29"/>
      <c r="H1043" s="103">
        <f>_xlfn.XLOOKUP(B1043,GM!$Q$5:$Q$756,GM!$J$5:$J$756)</f>
        <v>45202</v>
      </c>
    </row>
    <row r="1044" spans="1:8" hidden="1" x14ac:dyDescent="0.35">
      <c r="A1044" s="29" t="s">
        <v>26</v>
      </c>
      <c r="B1044" s="29" t="str">
        <f t="shared" si="16"/>
        <v>GAR-00</v>
      </c>
      <c r="C1044" s="29" t="s">
        <v>5206</v>
      </c>
      <c r="D1044" s="67" t="s">
        <v>5207</v>
      </c>
      <c r="E1044" s="96" t="s">
        <v>62</v>
      </c>
      <c r="F1044" s="29" t="s">
        <v>61</v>
      </c>
      <c r="G1044" s="29"/>
      <c r="H1044" s="103">
        <f>_xlfn.XLOOKUP(B1044,GM!$Q$5:$Q$756,GM!$J$5:$J$756)</f>
        <v>45202</v>
      </c>
    </row>
    <row r="1045" spans="1:8" hidden="1" x14ac:dyDescent="0.35">
      <c r="A1045" s="29" t="s">
        <v>26</v>
      </c>
      <c r="B1045" s="29" t="str">
        <f t="shared" si="16"/>
        <v>GAR-00</v>
      </c>
      <c r="C1045" s="29" t="s">
        <v>5208</v>
      </c>
      <c r="D1045" s="67" t="s">
        <v>5209</v>
      </c>
      <c r="E1045" s="96" t="s">
        <v>62</v>
      </c>
      <c r="F1045" s="29" t="s">
        <v>61</v>
      </c>
      <c r="G1045" s="29"/>
      <c r="H1045" s="103">
        <f>_xlfn.XLOOKUP(B1045,GM!$Q$5:$Q$756,GM!$J$5:$J$756)</f>
        <v>45202</v>
      </c>
    </row>
    <row r="1046" spans="1:8" hidden="1" x14ac:dyDescent="0.35">
      <c r="A1046" s="29" t="s">
        <v>26</v>
      </c>
      <c r="B1046" s="29" t="str">
        <f t="shared" si="16"/>
        <v>GAR-00</v>
      </c>
      <c r="C1046" s="29" t="s">
        <v>5210</v>
      </c>
      <c r="D1046" s="67" t="s">
        <v>5211</v>
      </c>
      <c r="E1046" s="96" t="s">
        <v>62</v>
      </c>
      <c r="F1046" s="29" t="s">
        <v>61</v>
      </c>
      <c r="G1046" s="29"/>
      <c r="H1046" s="103">
        <f>_xlfn.XLOOKUP(B1046,GM!$Q$5:$Q$756,GM!$J$5:$J$756)</f>
        <v>45202</v>
      </c>
    </row>
    <row r="1047" spans="1:8" hidden="1" x14ac:dyDescent="0.35">
      <c r="A1047" s="29" t="s">
        <v>26</v>
      </c>
      <c r="B1047" s="29" t="str">
        <f t="shared" si="16"/>
        <v>GAR-00</v>
      </c>
      <c r="C1047" s="29" t="s">
        <v>5212</v>
      </c>
      <c r="D1047" s="67" t="s">
        <v>5213</v>
      </c>
      <c r="E1047" s="96" t="s">
        <v>62</v>
      </c>
      <c r="F1047" s="29" t="s">
        <v>61</v>
      </c>
      <c r="G1047" s="29"/>
      <c r="H1047" s="103">
        <f>_xlfn.XLOOKUP(B1047,GM!$Q$5:$Q$756,GM!$J$5:$J$756)</f>
        <v>45202</v>
      </c>
    </row>
    <row r="1048" spans="1:8" hidden="1" x14ac:dyDescent="0.35">
      <c r="A1048" s="29" t="s">
        <v>26</v>
      </c>
      <c r="B1048" s="29" t="str">
        <f t="shared" si="16"/>
        <v>GAR-00</v>
      </c>
      <c r="C1048" s="29" t="s">
        <v>5214</v>
      </c>
      <c r="D1048" s="67" t="s">
        <v>5215</v>
      </c>
      <c r="E1048" s="96" t="s">
        <v>62</v>
      </c>
      <c r="F1048" s="29" t="s">
        <v>61</v>
      </c>
      <c r="G1048" s="29"/>
      <c r="H1048" s="103">
        <f>_xlfn.XLOOKUP(B1048,GM!$Q$5:$Q$756,GM!$J$5:$J$756)</f>
        <v>45202</v>
      </c>
    </row>
    <row r="1049" spans="1:8" hidden="1" x14ac:dyDescent="0.35">
      <c r="A1049" s="29" t="s">
        <v>26</v>
      </c>
      <c r="B1049" s="29" t="str">
        <f t="shared" si="16"/>
        <v>GAR-00</v>
      </c>
      <c r="C1049" s="29" t="s">
        <v>5216</v>
      </c>
      <c r="D1049" s="67" t="s">
        <v>5217</v>
      </c>
      <c r="E1049" s="96" t="s">
        <v>62</v>
      </c>
      <c r="F1049" s="29" t="s">
        <v>61</v>
      </c>
      <c r="G1049" s="29"/>
      <c r="H1049" s="103">
        <f>_xlfn.XLOOKUP(B1049,GM!$Q$5:$Q$756,GM!$J$5:$J$756)</f>
        <v>45202</v>
      </c>
    </row>
    <row r="1050" spans="1:8" hidden="1" x14ac:dyDescent="0.35">
      <c r="A1050" s="29" t="s">
        <v>26</v>
      </c>
      <c r="B1050" s="29" t="str">
        <f t="shared" si="16"/>
        <v>GAR-00</v>
      </c>
      <c r="C1050" s="29" t="s">
        <v>5218</v>
      </c>
      <c r="D1050" s="67" t="s">
        <v>5219</v>
      </c>
      <c r="E1050" s="96" t="s">
        <v>62</v>
      </c>
      <c r="F1050" s="29" t="s">
        <v>61</v>
      </c>
      <c r="G1050" s="29"/>
      <c r="H1050" s="103">
        <f>_xlfn.XLOOKUP(B1050,GM!$Q$5:$Q$756,GM!$J$5:$J$756)</f>
        <v>45202</v>
      </c>
    </row>
    <row r="1051" spans="1:8" hidden="1" x14ac:dyDescent="0.35">
      <c r="A1051" s="29" t="s">
        <v>26</v>
      </c>
      <c r="B1051" s="29" t="str">
        <f t="shared" si="16"/>
        <v>GAR-00</v>
      </c>
      <c r="C1051" s="29" t="s">
        <v>5220</v>
      </c>
      <c r="D1051" s="67" t="s">
        <v>5221</v>
      </c>
      <c r="E1051" s="96" t="s">
        <v>62</v>
      </c>
      <c r="F1051" s="29" t="s">
        <v>61</v>
      </c>
      <c r="G1051" s="29"/>
      <c r="H1051" s="103">
        <f>_xlfn.XLOOKUP(B1051,GM!$Q$5:$Q$756,GM!$J$5:$J$756)</f>
        <v>45202</v>
      </c>
    </row>
    <row r="1052" spans="1:8" hidden="1" x14ac:dyDescent="0.35">
      <c r="A1052" s="29" t="s">
        <v>26</v>
      </c>
      <c r="B1052" s="29" t="str">
        <f t="shared" si="16"/>
        <v>GAR-01</v>
      </c>
      <c r="C1052" s="29" t="s">
        <v>5222</v>
      </c>
      <c r="D1052" s="67" t="s">
        <v>5223</v>
      </c>
      <c r="E1052" s="96" t="s">
        <v>62</v>
      </c>
      <c r="F1052" s="29" t="s">
        <v>61</v>
      </c>
      <c r="G1052" s="29"/>
      <c r="H1052" s="103">
        <f>_xlfn.XLOOKUP(B1052,GM!$Q$5:$Q$756,GM!$J$5:$J$756)</f>
        <v>44739</v>
      </c>
    </row>
    <row r="1053" spans="1:8" hidden="1" x14ac:dyDescent="0.35">
      <c r="A1053" s="29" t="s">
        <v>26</v>
      </c>
      <c r="B1053" s="29" t="str">
        <f t="shared" si="16"/>
        <v>GAR-01</v>
      </c>
      <c r="C1053" s="29" t="s">
        <v>5224</v>
      </c>
      <c r="D1053" s="67" t="s">
        <v>5225</v>
      </c>
      <c r="E1053" s="96" t="s">
        <v>62</v>
      </c>
      <c r="F1053" s="29" t="s">
        <v>61</v>
      </c>
      <c r="G1053" s="29"/>
      <c r="H1053" s="103">
        <f>_xlfn.XLOOKUP(B1053,GM!$Q$5:$Q$756,GM!$J$5:$J$756)</f>
        <v>44739</v>
      </c>
    </row>
    <row r="1054" spans="1:8" hidden="1" x14ac:dyDescent="0.35">
      <c r="A1054" s="29" t="s">
        <v>26</v>
      </c>
      <c r="B1054" s="29" t="str">
        <f t="shared" si="16"/>
        <v>GAR-01</v>
      </c>
      <c r="C1054" s="29" t="s">
        <v>5226</v>
      </c>
      <c r="D1054" s="67" t="s">
        <v>5227</v>
      </c>
      <c r="E1054" s="96" t="s">
        <v>62</v>
      </c>
      <c r="F1054" s="29" t="s">
        <v>61</v>
      </c>
      <c r="G1054" s="29"/>
      <c r="H1054" s="103">
        <f>_xlfn.XLOOKUP(B1054,GM!$Q$5:$Q$756,GM!$J$5:$J$756)</f>
        <v>44739</v>
      </c>
    </row>
    <row r="1055" spans="1:8" hidden="1" x14ac:dyDescent="0.35">
      <c r="A1055" s="29" t="s">
        <v>26</v>
      </c>
      <c r="B1055" s="29" t="str">
        <f t="shared" si="16"/>
        <v>GAR-01</v>
      </c>
      <c r="C1055" s="29" t="s">
        <v>5228</v>
      </c>
      <c r="D1055" s="67" t="s">
        <v>5229</v>
      </c>
      <c r="E1055" s="96" t="s">
        <v>62</v>
      </c>
      <c r="F1055" s="29" t="s">
        <v>61</v>
      </c>
      <c r="G1055" s="29"/>
      <c r="H1055" s="103">
        <f>_xlfn.XLOOKUP(B1055,GM!$Q$5:$Q$756,GM!$J$5:$J$756)</f>
        <v>44739</v>
      </c>
    </row>
    <row r="1056" spans="1:8" hidden="1" x14ac:dyDescent="0.35">
      <c r="A1056" s="29" t="s">
        <v>26</v>
      </c>
      <c r="B1056" s="29" t="str">
        <f t="shared" si="16"/>
        <v>GAR-01</v>
      </c>
      <c r="C1056" s="29" t="s">
        <v>5230</v>
      </c>
      <c r="D1056" s="67" t="s">
        <v>5231</v>
      </c>
      <c r="E1056" s="96" t="s">
        <v>62</v>
      </c>
      <c r="F1056" s="29" t="s">
        <v>61</v>
      </c>
      <c r="G1056" s="29"/>
      <c r="H1056" s="103">
        <f>_xlfn.XLOOKUP(B1056,GM!$Q$5:$Q$756,GM!$J$5:$J$756)</f>
        <v>44739</v>
      </c>
    </row>
    <row r="1057" spans="1:8" hidden="1" x14ac:dyDescent="0.35">
      <c r="A1057" s="29" t="s">
        <v>26</v>
      </c>
      <c r="B1057" s="29" t="str">
        <f t="shared" si="16"/>
        <v>GAR-01</v>
      </c>
      <c r="C1057" s="29" t="s">
        <v>5232</v>
      </c>
      <c r="D1057" s="67" t="s">
        <v>5233</v>
      </c>
      <c r="E1057" s="96" t="s">
        <v>62</v>
      </c>
      <c r="F1057" s="29" t="s">
        <v>61</v>
      </c>
      <c r="G1057" s="29"/>
      <c r="H1057" s="103">
        <f>_xlfn.XLOOKUP(B1057,GM!$Q$5:$Q$756,GM!$J$5:$J$756)</f>
        <v>44739</v>
      </c>
    </row>
    <row r="1058" spans="1:8" hidden="1" x14ac:dyDescent="0.35">
      <c r="A1058" s="29" t="s">
        <v>26</v>
      </c>
      <c r="B1058" s="29" t="str">
        <f t="shared" si="16"/>
        <v>GAR-01</v>
      </c>
      <c r="C1058" s="29" t="s">
        <v>5234</v>
      </c>
      <c r="D1058" s="67" t="s">
        <v>5235</v>
      </c>
      <c r="E1058" s="96" t="s">
        <v>62</v>
      </c>
      <c r="F1058" s="29" t="s">
        <v>61</v>
      </c>
      <c r="G1058" s="29"/>
      <c r="H1058" s="103">
        <f>_xlfn.XLOOKUP(B1058,GM!$Q$5:$Q$756,GM!$J$5:$J$756)</f>
        <v>44739</v>
      </c>
    </row>
    <row r="1059" spans="1:8" hidden="1" x14ac:dyDescent="0.35">
      <c r="A1059" s="29" t="s">
        <v>26</v>
      </c>
      <c r="B1059" s="29" t="str">
        <f t="shared" si="16"/>
        <v>GAR-01</v>
      </c>
      <c r="C1059" s="29" t="s">
        <v>5236</v>
      </c>
      <c r="D1059" s="67" t="s">
        <v>5237</v>
      </c>
      <c r="E1059" s="96" t="s">
        <v>62</v>
      </c>
      <c r="F1059" s="29" t="s">
        <v>61</v>
      </c>
      <c r="G1059" s="29"/>
      <c r="H1059" s="103">
        <f>_xlfn.XLOOKUP(B1059,GM!$Q$5:$Q$756,GM!$J$5:$J$756)</f>
        <v>44739</v>
      </c>
    </row>
    <row r="1060" spans="1:8" hidden="1" x14ac:dyDescent="0.35">
      <c r="A1060" s="29" t="s">
        <v>26</v>
      </c>
      <c r="B1060" s="29" t="str">
        <f t="shared" si="16"/>
        <v>GAR-01</v>
      </c>
      <c r="C1060" s="29" t="s">
        <v>5238</v>
      </c>
      <c r="D1060" s="67" t="s">
        <v>5239</v>
      </c>
      <c r="E1060" s="96" t="s">
        <v>62</v>
      </c>
      <c r="F1060" s="29" t="s">
        <v>61</v>
      </c>
      <c r="G1060" s="29"/>
      <c r="H1060" s="103">
        <f>_xlfn.XLOOKUP(B1060,GM!$Q$5:$Q$756,GM!$J$5:$J$756)</f>
        <v>44739</v>
      </c>
    </row>
    <row r="1061" spans="1:8" hidden="1" x14ac:dyDescent="0.35">
      <c r="A1061" s="29" t="s">
        <v>26</v>
      </c>
      <c r="B1061" s="29" t="str">
        <f t="shared" si="16"/>
        <v>GAR-01</v>
      </c>
      <c r="C1061" s="29" t="s">
        <v>5240</v>
      </c>
      <c r="D1061" s="67" t="s">
        <v>5241</v>
      </c>
      <c r="E1061" s="96" t="s">
        <v>62</v>
      </c>
      <c r="F1061" s="29" t="s">
        <v>61</v>
      </c>
      <c r="G1061" s="29"/>
      <c r="H1061" s="103">
        <f>_xlfn.XLOOKUP(B1061,GM!$Q$5:$Q$756,GM!$J$5:$J$756)</f>
        <v>44739</v>
      </c>
    </row>
    <row r="1062" spans="1:8" hidden="1" x14ac:dyDescent="0.35">
      <c r="A1062" s="29" t="s">
        <v>26</v>
      </c>
      <c r="B1062" s="29" t="str">
        <f t="shared" si="16"/>
        <v>GAR-01</v>
      </c>
      <c r="C1062" s="29" t="s">
        <v>5242</v>
      </c>
      <c r="D1062" s="67" t="s">
        <v>5243</v>
      </c>
      <c r="E1062" s="96" t="s">
        <v>62</v>
      </c>
      <c r="F1062" s="29" t="s">
        <v>61</v>
      </c>
      <c r="G1062" s="29"/>
      <c r="H1062" s="103">
        <f>_xlfn.XLOOKUP(B1062,GM!$Q$5:$Q$756,GM!$J$5:$J$756)</f>
        <v>44739</v>
      </c>
    </row>
    <row r="1063" spans="1:8" hidden="1" x14ac:dyDescent="0.35">
      <c r="A1063" s="29" t="s">
        <v>26</v>
      </c>
      <c r="B1063" s="29" t="str">
        <f t="shared" si="16"/>
        <v>GAR-01</v>
      </c>
      <c r="C1063" s="29" t="s">
        <v>5244</v>
      </c>
      <c r="D1063" s="67" t="s">
        <v>5245</v>
      </c>
      <c r="E1063" s="96" t="s">
        <v>62</v>
      </c>
      <c r="F1063" s="29" t="s">
        <v>61</v>
      </c>
      <c r="G1063" s="29"/>
      <c r="H1063" s="103">
        <f>_xlfn.XLOOKUP(B1063,GM!$Q$5:$Q$756,GM!$J$5:$J$756)</f>
        <v>44739</v>
      </c>
    </row>
    <row r="1064" spans="1:8" hidden="1" x14ac:dyDescent="0.35">
      <c r="A1064" s="29" t="s">
        <v>26</v>
      </c>
      <c r="B1064" s="29" t="str">
        <f t="shared" si="16"/>
        <v>GAR-01</v>
      </c>
      <c r="C1064" s="29" t="s">
        <v>5246</v>
      </c>
      <c r="D1064" s="67" t="s">
        <v>5247</v>
      </c>
      <c r="E1064" s="96" t="s">
        <v>62</v>
      </c>
      <c r="F1064" s="29" t="s">
        <v>61</v>
      </c>
      <c r="G1064" s="29"/>
      <c r="H1064" s="103">
        <f>_xlfn.XLOOKUP(B1064,GM!$Q$5:$Q$756,GM!$J$5:$J$756)</f>
        <v>44739</v>
      </c>
    </row>
    <row r="1065" spans="1:8" hidden="1" x14ac:dyDescent="0.35">
      <c r="A1065" s="29" t="s">
        <v>26</v>
      </c>
      <c r="B1065" s="29" t="str">
        <f t="shared" si="16"/>
        <v>GAR-01</v>
      </c>
      <c r="C1065" s="29" t="s">
        <v>5248</v>
      </c>
      <c r="D1065" s="67" t="s">
        <v>5249</v>
      </c>
      <c r="E1065" s="96" t="s">
        <v>62</v>
      </c>
      <c r="F1065" s="29" t="s">
        <v>61</v>
      </c>
      <c r="G1065" s="29"/>
      <c r="H1065" s="103">
        <f>_xlfn.XLOOKUP(B1065,GM!$Q$5:$Q$756,GM!$J$5:$J$756)</f>
        <v>44739</v>
      </c>
    </row>
    <row r="1066" spans="1:8" hidden="1" x14ac:dyDescent="0.35">
      <c r="A1066" s="29" t="s">
        <v>26</v>
      </c>
      <c r="B1066" s="29" t="str">
        <f t="shared" si="16"/>
        <v>GAR-01</v>
      </c>
      <c r="C1066" s="29" t="s">
        <v>5250</v>
      </c>
      <c r="D1066" s="67" t="s">
        <v>5251</v>
      </c>
      <c r="E1066" s="96" t="s">
        <v>62</v>
      </c>
      <c r="F1066" s="29" t="s">
        <v>61</v>
      </c>
      <c r="G1066" s="29"/>
      <c r="H1066" s="103">
        <f>_xlfn.XLOOKUP(B1066,GM!$Q$5:$Q$756,GM!$J$5:$J$756)</f>
        <v>44739</v>
      </c>
    </row>
    <row r="1067" spans="1:8" hidden="1" x14ac:dyDescent="0.35">
      <c r="A1067" s="29" t="s">
        <v>26</v>
      </c>
      <c r="B1067" s="29" t="str">
        <f t="shared" si="16"/>
        <v>GAR-01</v>
      </c>
      <c r="C1067" s="29" t="s">
        <v>5252</v>
      </c>
      <c r="D1067" s="67" t="s">
        <v>5253</v>
      </c>
      <c r="E1067" s="96" t="s">
        <v>62</v>
      </c>
      <c r="F1067" s="29" t="s">
        <v>61</v>
      </c>
      <c r="G1067" s="29"/>
      <c r="H1067" s="103">
        <f>_xlfn.XLOOKUP(B1067,GM!$Q$5:$Q$756,GM!$J$5:$J$756)</f>
        <v>44739</v>
      </c>
    </row>
    <row r="1068" spans="1:8" hidden="1" x14ac:dyDescent="0.35">
      <c r="A1068" s="29" t="s">
        <v>26</v>
      </c>
      <c r="B1068" s="29" t="str">
        <f t="shared" si="16"/>
        <v>GAR-01</v>
      </c>
      <c r="C1068" s="29" t="s">
        <v>5254</v>
      </c>
      <c r="D1068" s="67" t="s">
        <v>5255</v>
      </c>
      <c r="E1068" s="96" t="s">
        <v>62</v>
      </c>
      <c r="F1068" s="29" t="s">
        <v>61</v>
      </c>
      <c r="G1068" s="29"/>
      <c r="H1068" s="103">
        <f>_xlfn.XLOOKUP(B1068,GM!$Q$5:$Q$756,GM!$J$5:$J$756)</f>
        <v>44739</v>
      </c>
    </row>
    <row r="1069" spans="1:8" hidden="1" x14ac:dyDescent="0.35">
      <c r="A1069" s="29" t="s">
        <v>26</v>
      </c>
      <c r="B1069" s="29" t="str">
        <f t="shared" si="16"/>
        <v>GAR-01</v>
      </c>
      <c r="C1069" s="29" t="s">
        <v>5256</v>
      </c>
      <c r="D1069" s="67" t="s">
        <v>5257</v>
      </c>
      <c r="E1069" s="96" t="s">
        <v>62</v>
      </c>
      <c r="F1069" s="29" t="s">
        <v>61</v>
      </c>
      <c r="G1069" s="29"/>
      <c r="H1069" s="103">
        <f>_xlfn.XLOOKUP(B1069,GM!$Q$5:$Q$756,GM!$J$5:$J$756)</f>
        <v>44739</v>
      </c>
    </row>
    <row r="1070" spans="1:8" hidden="1" x14ac:dyDescent="0.35">
      <c r="A1070" s="29" t="s">
        <v>26</v>
      </c>
      <c r="B1070" s="29" t="str">
        <f t="shared" si="16"/>
        <v>GAR-02</v>
      </c>
      <c r="C1070" s="29" t="s">
        <v>5258</v>
      </c>
      <c r="D1070" s="67" t="s">
        <v>5259</v>
      </c>
      <c r="E1070" s="96" t="s">
        <v>62</v>
      </c>
      <c r="F1070" s="29" t="s">
        <v>61</v>
      </c>
      <c r="G1070" s="29"/>
      <c r="H1070" s="103">
        <f>_xlfn.XLOOKUP(B1070,GM!$Q$5:$Q$756,GM!$J$5:$J$756)</f>
        <v>44739</v>
      </c>
    </row>
    <row r="1071" spans="1:8" hidden="1" x14ac:dyDescent="0.35">
      <c r="A1071" s="29" t="s">
        <v>26</v>
      </c>
      <c r="B1071" s="29" t="str">
        <f t="shared" si="16"/>
        <v>GAR-02</v>
      </c>
      <c r="C1071" s="29" t="s">
        <v>5260</v>
      </c>
      <c r="D1071" s="67" t="s">
        <v>5261</v>
      </c>
      <c r="E1071" s="96" t="s">
        <v>62</v>
      </c>
      <c r="F1071" s="29" t="s">
        <v>61</v>
      </c>
      <c r="G1071" s="29"/>
      <c r="H1071" s="103">
        <f>_xlfn.XLOOKUP(B1071,GM!$Q$5:$Q$756,GM!$J$5:$J$756)</f>
        <v>44739</v>
      </c>
    </row>
    <row r="1072" spans="1:8" hidden="1" x14ac:dyDescent="0.35">
      <c r="A1072" s="29" t="s">
        <v>26</v>
      </c>
      <c r="B1072" s="29" t="str">
        <f t="shared" si="16"/>
        <v>GAR-02</v>
      </c>
      <c r="C1072" s="29" t="s">
        <v>5262</v>
      </c>
      <c r="D1072" s="67" t="s">
        <v>5263</v>
      </c>
      <c r="E1072" s="96" t="s">
        <v>62</v>
      </c>
      <c r="F1072" s="29" t="s">
        <v>61</v>
      </c>
      <c r="G1072" s="29"/>
      <c r="H1072" s="103">
        <f>_xlfn.XLOOKUP(B1072,GM!$Q$5:$Q$756,GM!$J$5:$J$756)</f>
        <v>44739</v>
      </c>
    </row>
    <row r="1073" spans="1:8" hidden="1" x14ac:dyDescent="0.35">
      <c r="A1073" s="29" t="s">
        <v>26</v>
      </c>
      <c r="B1073" s="29" t="str">
        <f t="shared" si="16"/>
        <v>GAR-02</v>
      </c>
      <c r="C1073" s="29" t="s">
        <v>5264</v>
      </c>
      <c r="D1073" s="67" t="s">
        <v>5265</v>
      </c>
      <c r="E1073" s="96" t="s">
        <v>62</v>
      </c>
      <c r="F1073" s="29" t="s">
        <v>61</v>
      </c>
      <c r="G1073" s="29"/>
      <c r="H1073" s="103">
        <f>_xlfn.XLOOKUP(B1073,GM!$Q$5:$Q$756,GM!$J$5:$J$756)</f>
        <v>44739</v>
      </c>
    </row>
    <row r="1074" spans="1:8" hidden="1" x14ac:dyDescent="0.35">
      <c r="A1074" s="29" t="s">
        <v>26</v>
      </c>
      <c r="B1074" s="29" t="str">
        <f t="shared" si="16"/>
        <v>GAR-02</v>
      </c>
      <c r="C1074" s="29" t="s">
        <v>5266</v>
      </c>
      <c r="D1074" s="67" t="s">
        <v>5267</v>
      </c>
      <c r="E1074" s="96" t="s">
        <v>62</v>
      </c>
      <c r="F1074" s="29" t="s">
        <v>61</v>
      </c>
      <c r="G1074" s="29"/>
      <c r="H1074" s="103">
        <f>_xlfn.XLOOKUP(B1074,GM!$Q$5:$Q$756,GM!$J$5:$J$756)</f>
        <v>44739</v>
      </c>
    </row>
    <row r="1075" spans="1:8" hidden="1" x14ac:dyDescent="0.35">
      <c r="A1075" s="29" t="s">
        <v>26</v>
      </c>
      <c r="B1075" s="29" t="str">
        <f t="shared" si="16"/>
        <v>GAR-02</v>
      </c>
      <c r="C1075" s="29" t="s">
        <v>5268</v>
      </c>
      <c r="D1075" s="67" t="s">
        <v>5269</v>
      </c>
      <c r="E1075" s="96" t="s">
        <v>62</v>
      </c>
      <c r="F1075" s="29" t="s">
        <v>61</v>
      </c>
      <c r="G1075" s="29"/>
      <c r="H1075" s="103">
        <f>_xlfn.XLOOKUP(B1075,GM!$Q$5:$Q$756,GM!$J$5:$J$756)</f>
        <v>44739</v>
      </c>
    </row>
    <row r="1076" spans="1:8" hidden="1" x14ac:dyDescent="0.35">
      <c r="A1076" s="29" t="s">
        <v>26</v>
      </c>
      <c r="B1076" s="29" t="str">
        <f t="shared" si="16"/>
        <v>GAR-02</v>
      </c>
      <c r="C1076" s="29" t="s">
        <v>5270</v>
      </c>
      <c r="D1076" s="67" t="s">
        <v>5271</v>
      </c>
      <c r="E1076" s="96" t="s">
        <v>62</v>
      </c>
      <c r="F1076" s="29" t="s">
        <v>61</v>
      </c>
      <c r="G1076" s="29"/>
      <c r="H1076" s="103">
        <f>_xlfn.XLOOKUP(B1076,GM!$Q$5:$Q$756,GM!$J$5:$J$756)</f>
        <v>44739</v>
      </c>
    </row>
    <row r="1077" spans="1:8" hidden="1" x14ac:dyDescent="0.35">
      <c r="A1077" s="29" t="s">
        <v>26</v>
      </c>
      <c r="B1077" s="29" t="str">
        <f t="shared" si="16"/>
        <v>GAR-02</v>
      </c>
      <c r="C1077" s="29" t="s">
        <v>5272</v>
      </c>
      <c r="D1077" s="67" t="s">
        <v>5273</v>
      </c>
      <c r="E1077" s="96" t="s">
        <v>62</v>
      </c>
      <c r="F1077" s="29" t="s">
        <v>61</v>
      </c>
      <c r="G1077" s="29"/>
      <c r="H1077" s="103">
        <f>_xlfn.XLOOKUP(B1077,GM!$Q$5:$Q$756,GM!$J$5:$J$756)</f>
        <v>44739</v>
      </c>
    </row>
    <row r="1078" spans="1:8" hidden="1" x14ac:dyDescent="0.35">
      <c r="A1078" s="29" t="s">
        <v>26</v>
      </c>
      <c r="B1078" s="29" t="str">
        <f t="shared" si="16"/>
        <v>GAR-02</v>
      </c>
      <c r="C1078" s="29" t="s">
        <v>5274</v>
      </c>
      <c r="D1078" s="67" t="s">
        <v>5275</v>
      </c>
      <c r="E1078" s="96" t="s">
        <v>62</v>
      </c>
      <c r="F1078" s="29" t="s">
        <v>61</v>
      </c>
      <c r="G1078" s="29"/>
      <c r="H1078" s="103">
        <f>_xlfn.XLOOKUP(B1078,GM!$Q$5:$Q$756,GM!$J$5:$J$756)</f>
        <v>44739</v>
      </c>
    </row>
    <row r="1079" spans="1:8" hidden="1" x14ac:dyDescent="0.35">
      <c r="A1079" s="29" t="s">
        <v>26</v>
      </c>
      <c r="B1079" s="29" t="str">
        <f t="shared" si="16"/>
        <v>GAR-02</v>
      </c>
      <c r="C1079" s="29" t="s">
        <v>5276</v>
      </c>
      <c r="D1079" s="67" t="s">
        <v>5277</v>
      </c>
      <c r="E1079" s="96" t="s">
        <v>62</v>
      </c>
      <c r="F1079" s="29" t="s">
        <v>61</v>
      </c>
      <c r="G1079" s="29"/>
      <c r="H1079" s="103">
        <f>_xlfn.XLOOKUP(B1079,GM!$Q$5:$Q$756,GM!$J$5:$J$756)</f>
        <v>44739</v>
      </c>
    </row>
    <row r="1080" spans="1:8" hidden="1" x14ac:dyDescent="0.35">
      <c r="A1080" s="29" t="s">
        <v>26</v>
      </c>
      <c r="B1080" s="29" t="str">
        <f t="shared" si="16"/>
        <v>GAR-02</v>
      </c>
      <c r="C1080" s="29" t="s">
        <v>5278</v>
      </c>
      <c r="D1080" s="67" t="s">
        <v>5279</v>
      </c>
      <c r="E1080" s="96" t="s">
        <v>62</v>
      </c>
      <c r="F1080" s="29" t="s">
        <v>61</v>
      </c>
      <c r="G1080" s="29"/>
      <c r="H1080" s="103">
        <f>_xlfn.XLOOKUP(B1080,GM!$Q$5:$Q$756,GM!$J$5:$J$756)</f>
        <v>44739</v>
      </c>
    </row>
    <row r="1081" spans="1:8" hidden="1" x14ac:dyDescent="0.35">
      <c r="A1081" s="29" t="s">
        <v>26</v>
      </c>
      <c r="B1081" s="29" t="str">
        <f t="shared" si="16"/>
        <v>GAR-02</v>
      </c>
      <c r="C1081" s="29" t="s">
        <v>5280</v>
      </c>
      <c r="D1081" s="67" t="s">
        <v>5281</v>
      </c>
      <c r="E1081" s="96" t="s">
        <v>62</v>
      </c>
      <c r="F1081" s="29" t="s">
        <v>61</v>
      </c>
      <c r="G1081" s="29"/>
      <c r="H1081" s="103">
        <f>_xlfn.XLOOKUP(B1081,GM!$Q$5:$Q$756,GM!$J$5:$J$756)</f>
        <v>44739</v>
      </c>
    </row>
    <row r="1082" spans="1:8" hidden="1" x14ac:dyDescent="0.35">
      <c r="A1082" s="29" t="s">
        <v>26</v>
      </c>
      <c r="B1082" s="29" t="str">
        <f t="shared" si="16"/>
        <v>GAR-02</v>
      </c>
      <c r="C1082" s="29" t="s">
        <v>5282</v>
      </c>
      <c r="D1082" s="67" t="s">
        <v>5283</v>
      </c>
      <c r="E1082" s="96" t="s">
        <v>62</v>
      </c>
      <c r="F1082" s="29" t="s">
        <v>61</v>
      </c>
      <c r="G1082" s="29"/>
      <c r="H1082" s="103">
        <f>_xlfn.XLOOKUP(B1082,GM!$Q$5:$Q$756,GM!$J$5:$J$756)</f>
        <v>44739</v>
      </c>
    </row>
    <row r="1083" spans="1:8" hidden="1" x14ac:dyDescent="0.35">
      <c r="A1083" s="29" t="s">
        <v>26</v>
      </c>
      <c r="B1083" s="29" t="str">
        <f t="shared" si="16"/>
        <v>GAR-02</v>
      </c>
      <c r="C1083" s="29" t="s">
        <v>5284</v>
      </c>
      <c r="D1083" s="67" t="s">
        <v>5285</v>
      </c>
      <c r="E1083" s="96" t="s">
        <v>62</v>
      </c>
      <c r="F1083" s="29" t="s">
        <v>61</v>
      </c>
      <c r="G1083" s="29"/>
      <c r="H1083" s="103">
        <f>_xlfn.XLOOKUP(B1083,GM!$Q$5:$Q$756,GM!$J$5:$J$756)</f>
        <v>44739</v>
      </c>
    </row>
    <row r="1084" spans="1:8" hidden="1" x14ac:dyDescent="0.35">
      <c r="A1084" s="29" t="s">
        <v>26</v>
      </c>
      <c r="B1084" s="29" t="str">
        <f t="shared" si="16"/>
        <v>GAR-02</v>
      </c>
      <c r="C1084" s="29" t="s">
        <v>5286</v>
      </c>
      <c r="D1084" s="67" t="s">
        <v>5287</v>
      </c>
      <c r="E1084" s="96" t="s">
        <v>62</v>
      </c>
      <c r="F1084" s="29" t="s">
        <v>61</v>
      </c>
      <c r="G1084" s="29"/>
      <c r="H1084" s="103">
        <f>_xlfn.XLOOKUP(B1084,GM!$Q$5:$Q$756,GM!$J$5:$J$756)</f>
        <v>44739</v>
      </c>
    </row>
    <row r="1085" spans="1:8" hidden="1" x14ac:dyDescent="0.35">
      <c r="A1085" s="29" t="s">
        <v>26</v>
      </c>
      <c r="B1085" s="29" t="str">
        <f t="shared" si="16"/>
        <v>GAR-02</v>
      </c>
      <c r="C1085" s="29" t="s">
        <v>5288</v>
      </c>
      <c r="D1085" s="67" t="s">
        <v>5289</v>
      </c>
      <c r="E1085" s="96" t="s">
        <v>62</v>
      </c>
      <c r="F1085" s="29" t="s">
        <v>61</v>
      </c>
      <c r="G1085" s="29"/>
      <c r="H1085" s="103">
        <f>_xlfn.XLOOKUP(B1085,GM!$Q$5:$Q$756,GM!$J$5:$J$756)</f>
        <v>44739</v>
      </c>
    </row>
    <row r="1086" spans="1:8" hidden="1" x14ac:dyDescent="0.35">
      <c r="A1086" s="29" t="s">
        <v>26</v>
      </c>
      <c r="B1086" s="29" t="str">
        <f t="shared" si="16"/>
        <v>GAR-02</v>
      </c>
      <c r="C1086" s="29" t="s">
        <v>5290</v>
      </c>
      <c r="D1086" s="67" t="s">
        <v>5291</v>
      </c>
      <c r="E1086" s="96" t="s">
        <v>62</v>
      </c>
      <c r="F1086" s="29" t="s">
        <v>61</v>
      </c>
      <c r="G1086" s="29"/>
      <c r="H1086" s="103">
        <f>_xlfn.XLOOKUP(B1086,GM!$Q$5:$Q$756,GM!$J$5:$J$756)</f>
        <v>44739</v>
      </c>
    </row>
    <row r="1087" spans="1:8" hidden="1" x14ac:dyDescent="0.35">
      <c r="A1087" s="29" t="s">
        <v>26</v>
      </c>
      <c r="B1087" s="29" t="str">
        <f t="shared" si="16"/>
        <v>GAR-02</v>
      </c>
      <c r="C1087" s="29" t="s">
        <v>5292</v>
      </c>
      <c r="D1087" s="67" t="s">
        <v>5293</v>
      </c>
      <c r="E1087" s="96" t="s">
        <v>62</v>
      </c>
      <c r="F1087" s="29" t="s">
        <v>61</v>
      </c>
      <c r="G1087" s="29"/>
      <c r="H1087" s="103">
        <f>_xlfn.XLOOKUP(B1087,GM!$Q$5:$Q$756,GM!$J$5:$J$756)</f>
        <v>44739</v>
      </c>
    </row>
    <row r="1088" spans="1:8" hidden="1" x14ac:dyDescent="0.35">
      <c r="A1088" s="29" t="s">
        <v>26</v>
      </c>
      <c r="B1088" s="29" t="str">
        <f t="shared" si="16"/>
        <v>GAR-02</v>
      </c>
      <c r="C1088" s="29" t="s">
        <v>5294</v>
      </c>
      <c r="D1088" s="67" t="s">
        <v>5295</v>
      </c>
      <c r="E1088" s="96" t="s">
        <v>62</v>
      </c>
      <c r="F1088" s="29" t="s">
        <v>61</v>
      </c>
      <c r="G1088" s="29"/>
      <c r="H1088" s="103">
        <f>_xlfn.XLOOKUP(B1088,GM!$Q$5:$Q$756,GM!$J$5:$J$756)</f>
        <v>44739</v>
      </c>
    </row>
    <row r="1089" spans="1:8" hidden="1" x14ac:dyDescent="0.35">
      <c r="A1089" s="29" t="s">
        <v>26</v>
      </c>
      <c r="B1089" s="29" t="str">
        <f t="shared" si="16"/>
        <v>GAR-02</v>
      </c>
      <c r="C1089" s="29" t="s">
        <v>5296</v>
      </c>
      <c r="D1089" s="67" t="s">
        <v>5297</v>
      </c>
      <c r="E1089" s="96" t="s">
        <v>62</v>
      </c>
      <c r="F1089" s="29" t="s">
        <v>61</v>
      </c>
      <c r="G1089" s="29"/>
      <c r="H1089" s="103">
        <f>_xlfn.XLOOKUP(B1089,GM!$Q$5:$Q$756,GM!$J$5:$J$756)</f>
        <v>44739</v>
      </c>
    </row>
    <row r="1090" spans="1:8" hidden="1" x14ac:dyDescent="0.35">
      <c r="A1090" s="29" t="s">
        <v>26</v>
      </c>
      <c r="B1090" s="29" t="str">
        <f t="shared" si="16"/>
        <v>GAR-02</v>
      </c>
      <c r="C1090" s="29" t="s">
        <v>5298</v>
      </c>
      <c r="D1090" s="67" t="s">
        <v>5299</v>
      </c>
      <c r="E1090" s="96" t="s">
        <v>62</v>
      </c>
      <c r="F1090" s="29" t="s">
        <v>61</v>
      </c>
      <c r="G1090" s="29"/>
      <c r="H1090" s="103">
        <f>_xlfn.XLOOKUP(B1090,GM!$Q$5:$Q$756,GM!$J$5:$J$756)</f>
        <v>44739</v>
      </c>
    </row>
    <row r="1091" spans="1:8" hidden="1" x14ac:dyDescent="0.35">
      <c r="A1091" s="29" t="s">
        <v>26</v>
      </c>
      <c r="B1091" s="29" t="str">
        <f t="shared" si="16"/>
        <v>GAR-02</v>
      </c>
      <c r="C1091" s="29" t="s">
        <v>5300</v>
      </c>
      <c r="D1091" s="67" t="s">
        <v>5301</v>
      </c>
      <c r="E1091" s="96" t="s">
        <v>62</v>
      </c>
      <c r="F1091" s="29" t="s">
        <v>61</v>
      </c>
      <c r="G1091" s="29"/>
      <c r="H1091" s="103">
        <f>_xlfn.XLOOKUP(B1091,GM!$Q$5:$Q$756,GM!$J$5:$J$756)</f>
        <v>44739</v>
      </c>
    </row>
    <row r="1092" spans="1:8" hidden="1" x14ac:dyDescent="0.35">
      <c r="A1092" s="29" t="s">
        <v>26</v>
      </c>
      <c r="B1092" s="29" t="str">
        <f t="shared" si="16"/>
        <v>GAR-02</v>
      </c>
      <c r="C1092" s="29" t="s">
        <v>5302</v>
      </c>
      <c r="D1092" s="67" t="s">
        <v>5303</v>
      </c>
      <c r="E1092" s="96" t="s">
        <v>62</v>
      </c>
      <c r="F1092" s="29" t="s">
        <v>61</v>
      </c>
      <c r="G1092" s="29"/>
      <c r="H1092" s="103">
        <f>_xlfn.XLOOKUP(B1092,GM!$Q$5:$Q$756,GM!$J$5:$J$756)</f>
        <v>44739</v>
      </c>
    </row>
    <row r="1093" spans="1:8" hidden="1" x14ac:dyDescent="0.35">
      <c r="A1093" s="29" t="s">
        <v>26</v>
      </c>
      <c r="B1093" s="29" t="str">
        <f t="shared" ref="B1093:B1156" si="17">IF(OR(A1093="ARN",A1093="SDP"),MID(C1093,4,7),MID(C1093,4,6))</f>
        <v>GAR-02</v>
      </c>
      <c r="C1093" s="29" t="s">
        <v>5304</v>
      </c>
      <c r="D1093" s="67" t="s">
        <v>5305</v>
      </c>
      <c r="E1093" s="96" t="s">
        <v>62</v>
      </c>
      <c r="F1093" s="29" t="s">
        <v>61</v>
      </c>
      <c r="G1093" s="29"/>
      <c r="H1093" s="103">
        <f>_xlfn.XLOOKUP(B1093,GM!$Q$5:$Q$756,GM!$J$5:$J$756)</f>
        <v>44739</v>
      </c>
    </row>
    <row r="1094" spans="1:8" hidden="1" x14ac:dyDescent="0.35">
      <c r="A1094" s="29" t="s">
        <v>26</v>
      </c>
      <c r="B1094" s="29" t="str">
        <f t="shared" si="17"/>
        <v>GAR-02</v>
      </c>
      <c r="C1094" s="29" t="s">
        <v>5306</v>
      </c>
      <c r="D1094" s="67" t="s">
        <v>5307</v>
      </c>
      <c r="E1094" s="96" t="s">
        <v>62</v>
      </c>
      <c r="F1094" s="29" t="s">
        <v>61</v>
      </c>
      <c r="G1094" s="29"/>
      <c r="H1094" s="103">
        <f>_xlfn.XLOOKUP(B1094,GM!$Q$5:$Q$756,GM!$J$5:$J$756)</f>
        <v>44739</v>
      </c>
    </row>
    <row r="1095" spans="1:8" hidden="1" x14ac:dyDescent="0.35">
      <c r="A1095" s="29" t="s">
        <v>26</v>
      </c>
      <c r="B1095" s="29" t="str">
        <f t="shared" si="17"/>
        <v>GAR-02</v>
      </c>
      <c r="C1095" s="29" t="s">
        <v>5308</v>
      </c>
      <c r="D1095" s="67" t="s">
        <v>5309</v>
      </c>
      <c r="E1095" s="96" t="s">
        <v>62</v>
      </c>
      <c r="F1095" s="29" t="s">
        <v>61</v>
      </c>
      <c r="G1095" s="29"/>
      <c r="H1095" s="103">
        <f>_xlfn.XLOOKUP(B1095,GM!$Q$5:$Q$756,GM!$J$5:$J$756)</f>
        <v>44739</v>
      </c>
    </row>
    <row r="1096" spans="1:8" hidden="1" x14ac:dyDescent="0.35">
      <c r="A1096" s="29" t="s">
        <v>26</v>
      </c>
      <c r="B1096" s="29" t="str">
        <f t="shared" si="17"/>
        <v>GAR-03</v>
      </c>
      <c r="C1096" s="29" t="s">
        <v>5310</v>
      </c>
      <c r="D1096" s="67" t="s">
        <v>5311</v>
      </c>
      <c r="E1096" s="96" t="s">
        <v>62</v>
      </c>
      <c r="F1096" s="29" t="s">
        <v>61</v>
      </c>
      <c r="G1096" s="29"/>
      <c r="H1096" s="103">
        <f>_xlfn.XLOOKUP(B1096,GM!$Q$5:$Q$756,GM!$J$5:$J$756)</f>
        <v>45506</v>
      </c>
    </row>
    <row r="1097" spans="1:8" hidden="1" x14ac:dyDescent="0.35">
      <c r="A1097" s="29" t="s">
        <v>26</v>
      </c>
      <c r="B1097" s="29" t="str">
        <f t="shared" si="17"/>
        <v>GAR-03</v>
      </c>
      <c r="C1097" s="29" t="s">
        <v>5312</v>
      </c>
      <c r="D1097" s="67" t="s">
        <v>5313</v>
      </c>
      <c r="E1097" s="96" t="s">
        <v>62</v>
      </c>
      <c r="F1097" s="29" t="s">
        <v>61</v>
      </c>
      <c r="G1097" s="29"/>
      <c r="H1097" s="103">
        <f>_xlfn.XLOOKUP(B1097,GM!$Q$5:$Q$756,GM!$J$5:$J$756)</f>
        <v>45506</v>
      </c>
    </row>
    <row r="1098" spans="1:8" hidden="1" x14ac:dyDescent="0.35">
      <c r="A1098" s="29" t="s">
        <v>26</v>
      </c>
      <c r="B1098" s="29" t="str">
        <f t="shared" si="17"/>
        <v>GAR-03</v>
      </c>
      <c r="C1098" s="29" t="s">
        <v>5314</v>
      </c>
      <c r="D1098" s="67" t="s">
        <v>5315</v>
      </c>
      <c r="E1098" s="96" t="s">
        <v>62</v>
      </c>
      <c r="F1098" s="29" t="s">
        <v>61</v>
      </c>
      <c r="G1098" s="29"/>
      <c r="H1098" s="103">
        <f>_xlfn.XLOOKUP(B1098,GM!$Q$5:$Q$756,GM!$J$5:$J$756)</f>
        <v>45506</v>
      </c>
    </row>
    <row r="1099" spans="1:8" hidden="1" x14ac:dyDescent="0.35">
      <c r="A1099" s="29" t="s">
        <v>26</v>
      </c>
      <c r="B1099" s="29" t="str">
        <f t="shared" si="17"/>
        <v>GAR-03</v>
      </c>
      <c r="C1099" s="29" t="s">
        <v>5316</v>
      </c>
      <c r="D1099" s="67" t="s">
        <v>5317</v>
      </c>
      <c r="E1099" s="96" t="s">
        <v>62</v>
      </c>
      <c r="F1099" s="29" t="s">
        <v>61</v>
      </c>
      <c r="G1099" s="29"/>
      <c r="H1099" s="103">
        <f>_xlfn.XLOOKUP(B1099,GM!$Q$5:$Q$756,GM!$J$5:$J$756)</f>
        <v>45506</v>
      </c>
    </row>
    <row r="1100" spans="1:8" hidden="1" x14ac:dyDescent="0.35">
      <c r="A1100" s="29" t="s">
        <v>26</v>
      </c>
      <c r="B1100" s="29" t="str">
        <f t="shared" si="17"/>
        <v>GAR-03</v>
      </c>
      <c r="C1100" s="29" t="s">
        <v>5318</v>
      </c>
      <c r="D1100" s="67" t="s">
        <v>5319</v>
      </c>
      <c r="E1100" s="96" t="s">
        <v>62</v>
      </c>
      <c r="F1100" s="29" t="s">
        <v>61</v>
      </c>
      <c r="G1100" s="29"/>
      <c r="H1100" s="103">
        <f>_xlfn.XLOOKUP(B1100,GM!$Q$5:$Q$756,GM!$J$5:$J$756)</f>
        <v>45506</v>
      </c>
    </row>
    <row r="1101" spans="1:8" hidden="1" x14ac:dyDescent="0.35">
      <c r="A1101" s="29" t="s">
        <v>26</v>
      </c>
      <c r="B1101" s="29" t="str">
        <f t="shared" si="17"/>
        <v>GAR-03</v>
      </c>
      <c r="C1101" s="29" t="s">
        <v>5320</v>
      </c>
      <c r="D1101" s="67" t="s">
        <v>5321</v>
      </c>
      <c r="E1101" s="96" t="s">
        <v>62</v>
      </c>
      <c r="F1101" s="29" t="s">
        <v>61</v>
      </c>
      <c r="G1101" s="29"/>
      <c r="H1101" s="103">
        <f>_xlfn.XLOOKUP(B1101,GM!$Q$5:$Q$756,GM!$J$5:$J$756)</f>
        <v>45506</v>
      </c>
    </row>
    <row r="1102" spans="1:8" hidden="1" x14ac:dyDescent="0.35">
      <c r="A1102" s="29" t="s">
        <v>26</v>
      </c>
      <c r="B1102" s="29" t="str">
        <f t="shared" si="17"/>
        <v>GAR-03</v>
      </c>
      <c r="C1102" s="29" t="s">
        <v>5322</v>
      </c>
      <c r="D1102" s="67" t="s">
        <v>5323</v>
      </c>
      <c r="E1102" s="96" t="s">
        <v>62</v>
      </c>
      <c r="F1102" s="29" t="s">
        <v>61</v>
      </c>
      <c r="G1102" s="29"/>
      <c r="H1102" s="103">
        <f>_xlfn.XLOOKUP(B1102,GM!$Q$5:$Q$756,GM!$J$5:$J$756)</f>
        <v>45506</v>
      </c>
    </row>
    <row r="1103" spans="1:8" hidden="1" x14ac:dyDescent="0.35">
      <c r="A1103" s="29" t="s">
        <v>26</v>
      </c>
      <c r="B1103" s="29" t="str">
        <f t="shared" si="17"/>
        <v>GAR-03</v>
      </c>
      <c r="C1103" s="29" t="s">
        <v>5324</v>
      </c>
      <c r="D1103" s="67" t="s">
        <v>5325</v>
      </c>
      <c r="E1103" s="96" t="s">
        <v>62</v>
      </c>
      <c r="F1103" s="29" t="s">
        <v>61</v>
      </c>
      <c r="G1103" s="29"/>
      <c r="H1103" s="103">
        <f>_xlfn.XLOOKUP(B1103,GM!$Q$5:$Q$756,GM!$J$5:$J$756)</f>
        <v>45506</v>
      </c>
    </row>
    <row r="1104" spans="1:8" hidden="1" x14ac:dyDescent="0.35">
      <c r="A1104" s="29" t="s">
        <v>26</v>
      </c>
      <c r="B1104" s="29" t="str">
        <f t="shared" si="17"/>
        <v>GAR-03</v>
      </c>
      <c r="C1104" s="29" t="s">
        <v>5326</v>
      </c>
      <c r="D1104" s="67" t="s">
        <v>5327</v>
      </c>
      <c r="E1104" s="96" t="s">
        <v>62</v>
      </c>
      <c r="F1104" s="29" t="s">
        <v>61</v>
      </c>
      <c r="G1104" s="29"/>
      <c r="H1104" s="103">
        <f>_xlfn.XLOOKUP(B1104,GM!$Q$5:$Q$756,GM!$J$5:$J$756)</f>
        <v>45506</v>
      </c>
    </row>
    <row r="1105" spans="1:8" hidden="1" x14ac:dyDescent="0.35">
      <c r="A1105" s="29" t="s">
        <v>26</v>
      </c>
      <c r="B1105" s="29" t="str">
        <f t="shared" si="17"/>
        <v>GAR-03</v>
      </c>
      <c r="C1105" s="29" t="s">
        <v>5328</v>
      </c>
      <c r="D1105" s="67" t="s">
        <v>5329</v>
      </c>
      <c r="E1105" s="96" t="s">
        <v>62</v>
      </c>
      <c r="F1105" s="29" t="s">
        <v>61</v>
      </c>
      <c r="G1105" s="29"/>
      <c r="H1105" s="103">
        <f>_xlfn.XLOOKUP(B1105,GM!$Q$5:$Q$756,GM!$J$5:$J$756)</f>
        <v>45506</v>
      </c>
    </row>
    <row r="1106" spans="1:8" hidden="1" x14ac:dyDescent="0.35">
      <c r="A1106" s="29" t="s">
        <v>26</v>
      </c>
      <c r="B1106" s="29" t="str">
        <f t="shared" si="17"/>
        <v>GAR-03</v>
      </c>
      <c r="C1106" s="29" t="s">
        <v>5330</v>
      </c>
      <c r="D1106" s="67" t="s">
        <v>5331</v>
      </c>
      <c r="E1106" s="96" t="s">
        <v>62</v>
      </c>
      <c r="F1106" s="29" t="s">
        <v>61</v>
      </c>
      <c r="G1106" s="29"/>
      <c r="H1106" s="103">
        <f>_xlfn.XLOOKUP(B1106,GM!$Q$5:$Q$756,GM!$J$5:$J$756)</f>
        <v>45506</v>
      </c>
    </row>
    <row r="1107" spans="1:8" hidden="1" x14ac:dyDescent="0.35">
      <c r="A1107" s="29" t="s">
        <v>26</v>
      </c>
      <c r="B1107" s="29" t="str">
        <f t="shared" si="17"/>
        <v>GAR-03</v>
      </c>
      <c r="C1107" s="29" t="s">
        <v>5332</v>
      </c>
      <c r="D1107" s="67" t="s">
        <v>5333</v>
      </c>
      <c r="E1107" s="96" t="s">
        <v>62</v>
      </c>
      <c r="F1107" s="29" t="s">
        <v>61</v>
      </c>
      <c r="G1107" s="29"/>
      <c r="H1107" s="103">
        <f>_xlfn.XLOOKUP(B1107,GM!$Q$5:$Q$756,GM!$J$5:$J$756)</f>
        <v>45506</v>
      </c>
    </row>
    <row r="1108" spans="1:8" hidden="1" x14ac:dyDescent="0.35">
      <c r="A1108" s="29" t="s">
        <v>26</v>
      </c>
      <c r="B1108" s="29" t="str">
        <f t="shared" si="17"/>
        <v>GAR-03</v>
      </c>
      <c r="C1108" s="29" t="s">
        <v>5334</v>
      </c>
      <c r="D1108" s="67" t="s">
        <v>5335</v>
      </c>
      <c r="E1108" s="96" t="s">
        <v>62</v>
      </c>
      <c r="F1108" s="29" t="s">
        <v>61</v>
      </c>
      <c r="G1108" s="29"/>
      <c r="H1108" s="103">
        <f>_xlfn.XLOOKUP(B1108,GM!$Q$5:$Q$756,GM!$J$5:$J$756)</f>
        <v>45506</v>
      </c>
    </row>
    <row r="1109" spans="1:8" hidden="1" x14ac:dyDescent="0.35">
      <c r="A1109" s="29" t="s">
        <v>26</v>
      </c>
      <c r="B1109" s="29" t="str">
        <f t="shared" si="17"/>
        <v>GAR-03</v>
      </c>
      <c r="C1109" s="29" t="s">
        <v>5336</v>
      </c>
      <c r="D1109" s="67" t="s">
        <v>5337</v>
      </c>
      <c r="E1109" s="96" t="s">
        <v>62</v>
      </c>
      <c r="F1109" s="29" t="s">
        <v>61</v>
      </c>
      <c r="G1109" s="29"/>
      <c r="H1109" s="103">
        <f>_xlfn.XLOOKUP(B1109,GM!$Q$5:$Q$756,GM!$J$5:$J$756)</f>
        <v>45506</v>
      </c>
    </row>
    <row r="1110" spans="1:8" hidden="1" x14ac:dyDescent="0.35">
      <c r="A1110" s="29" t="s">
        <v>26</v>
      </c>
      <c r="B1110" s="29" t="str">
        <f t="shared" si="17"/>
        <v>GAR-03</v>
      </c>
      <c r="C1110" s="29" t="s">
        <v>5338</v>
      </c>
      <c r="D1110" s="67" t="s">
        <v>5339</v>
      </c>
      <c r="E1110" s="96" t="s">
        <v>62</v>
      </c>
      <c r="F1110" s="29" t="s">
        <v>61</v>
      </c>
      <c r="G1110" s="29"/>
      <c r="H1110" s="103">
        <f>_xlfn.XLOOKUP(B1110,GM!$Q$5:$Q$756,GM!$J$5:$J$756)</f>
        <v>45506</v>
      </c>
    </row>
    <row r="1111" spans="1:8" hidden="1" x14ac:dyDescent="0.35">
      <c r="A1111" s="29" t="s">
        <v>26</v>
      </c>
      <c r="B1111" s="29" t="str">
        <f t="shared" si="17"/>
        <v>GAR-04</v>
      </c>
      <c r="C1111" s="29" t="s">
        <v>5340</v>
      </c>
      <c r="D1111" s="67" t="s">
        <v>5341</v>
      </c>
      <c r="E1111" s="96" t="s">
        <v>62</v>
      </c>
      <c r="F1111" s="29" t="s">
        <v>61</v>
      </c>
      <c r="G1111" s="29"/>
      <c r="H1111" s="103">
        <f>_xlfn.XLOOKUP(B1111,GM!$Q$5:$Q$756,GM!$J$5:$J$756)</f>
        <v>46107</v>
      </c>
    </row>
    <row r="1112" spans="1:8" hidden="1" x14ac:dyDescent="0.35">
      <c r="A1112" s="29" t="s">
        <v>26</v>
      </c>
      <c r="B1112" s="29" t="str">
        <f t="shared" si="17"/>
        <v>GAR-04</v>
      </c>
      <c r="C1112" s="29" t="s">
        <v>5342</v>
      </c>
      <c r="D1112" s="67" t="s">
        <v>5343</v>
      </c>
      <c r="E1112" s="96" t="s">
        <v>62</v>
      </c>
      <c r="F1112" s="29" t="s">
        <v>61</v>
      </c>
      <c r="G1112" s="29"/>
      <c r="H1112" s="103">
        <f>_xlfn.XLOOKUP(B1112,GM!$Q$5:$Q$756,GM!$J$5:$J$756)</f>
        <v>46107</v>
      </c>
    </row>
    <row r="1113" spans="1:8" hidden="1" x14ac:dyDescent="0.35">
      <c r="A1113" s="29" t="s">
        <v>26</v>
      </c>
      <c r="B1113" s="29" t="str">
        <f t="shared" si="17"/>
        <v>GAR-04</v>
      </c>
      <c r="C1113" s="29" t="s">
        <v>5344</v>
      </c>
      <c r="D1113" s="67" t="s">
        <v>5345</v>
      </c>
      <c r="E1113" s="96" t="s">
        <v>62</v>
      </c>
      <c r="F1113" s="29" t="s">
        <v>61</v>
      </c>
      <c r="G1113" s="29"/>
      <c r="H1113" s="103">
        <f>_xlfn.XLOOKUP(B1113,GM!$Q$5:$Q$756,GM!$J$5:$J$756)</f>
        <v>46107</v>
      </c>
    </row>
    <row r="1114" spans="1:8" hidden="1" x14ac:dyDescent="0.35">
      <c r="A1114" s="29" t="s">
        <v>26</v>
      </c>
      <c r="B1114" s="29" t="str">
        <f t="shared" si="17"/>
        <v>GAR-04</v>
      </c>
      <c r="C1114" s="29" t="s">
        <v>5346</v>
      </c>
      <c r="D1114" s="67" t="s">
        <v>5347</v>
      </c>
      <c r="E1114" s="96" t="s">
        <v>62</v>
      </c>
      <c r="F1114" s="29" t="s">
        <v>61</v>
      </c>
      <c r="G1114" s="29"/>
      <c r="H1114" s="103">
        <f>_xlfn.XLOOKUP(B1114,GM!$Q$5:$Q$756,GM!$J$5:$J$756)</f>
        <v>46107</v>
      </c>
    </row>
    <row r="1115" spans="1:8" hidden="1" x14ac:dyDescent="0.35">
      <c r="A1115" s="29" t="s">
        <v>26</v>
      </c>
      <c r="B1115" s="29" t="str">
        <f t="shared" si="17"/>
        <v>GAR-04</v>
      </c>
      <c r="C1115" s="29" t="s">
        <v>5348</v>
      </c>
      <c r="D1115" s="67" t="s">
        <v>5349</v>
      </c>
      <c r="E1115" s="96" t="s">
        <v>62</v>
      </c>
      <c r="F1115" s="29" t="s">
        <v>61</v>
      </c>
      <c r="G1115" s="29"/>
      <c r="H1115" s="103">
        <f>_xlfn.XLOOKUP(B1115,GM!$Q$5:$Q$756,GM!$J$5:$J$756)</f>
        <v>46107</v>
      </c>
    </row>
    <row r="1116" spans="1:8" hidden="1" x14ac:dyDescent="0.35">
      <c r="A1116" s="29" t="s">
        <v>26</v>
      </c>
      <c r="B1116" s="29" t="str">
        <f t="shared" si="17"/>
        <v>GAR-04</v>
      </c>
      <c r="C1116" s="29" t="s">
        <v>5350</v>
      </c>
      <c r="D1116" s="67" t="s">
        <v>5351</v>
      </c>
      <c r="E1116" s="96" t="s">
        <v>62</v>
      </c>
      <c r="F1116" s="29" t="s">
        <v>61</v>
      </c>
      <c r="G1116" s="29"/>
      <c r="H1116" s="103">
        <f>_xlfn.XLOOKUP(B1116,GM!$Q$5:$Q$756,GM!$J$5:$J$756)</f>
        <v>46107</v>
      </c>
    </row>
    <row r="1117" spans="1:8" hidden="1" x14ac:dyDescent="0.35">
      <c r="A1117" s="29" t="s">
        <v>26</v>
      </c>
      <c r="B1117" s="29" t="str">
        <f t="shared" si="17"/>
        <v>GAR-04</v>
      </c>
      <c r="C1117" s="29" t="s">
        <v>5352</v>
      </c>
      <c r="D1117" s="67" t="s">
        <v>5353</v>
      </c>
      <c r="E1117" s="96" t="s">
        <v>62</v>
      </c>
      <c r="F1117" s="29" t="s">
        <v>61</v>
      </c>
      <c r="G1117" s="29"/>
      <c r="H1117" s="103">
        <f>_xlfn.XLOOKUP(B1117,GM!$Q$5:$Q$756,GM!$J$5:$J$756)</f>
        <v>46107</v>
      </c>
    </row>
    <row r="1118" spans="1:8" hidden="1" x14ac:dyDescent="0.35">
      <c r="A1118" s="29" t="s">
        <v>26</v>
      </c>
      <c r="B1118" s="29" t="str">
        <f t="shared" si="17"/>
        <v>GAR-04</v>
      </c>
      <c r="C1118" s="29" t="s">
        <v>5354</v>
      </c>
      <c r="D1118" s="67" t="s">
        <v>5355</v>
      </c>
      <c r="E1118" s="96" t="s">
        <v>62</v>
      </c>
      <c r="F1118" s="29" t="s">
        <v>61</v>
      </c>
      <c r="G1118" s="29"/>
      <c r="H1118" s="103">
        <f>_xlfn.XLOOKUP(B1118,GM!$Q$5:$Q$756,GM!$J$5:$J$756)</f>
        <v>46107</v>
      </c>
    </row>
    <row r="1119" spans="1:8" hidden="1" x14ac:dyDescent="0.35">
      <c r="A1119" s="29" t="s">
        <v>26</v>
      </c>
      <c r="B1119" s="29" t="str">
        <f t="shared" si="17"/>
        <v>GAR-04</v>
      </c>
      <c r="C1119" s="29" t="s">
        <v>5356</v>
      </c>
      <c r="D1119" s="67" t="s">
        <v>5357</v>
      </c>
      <c r="E1119" s="96" t="s">
        <v>62</v>
      </c>
      <c r="F1119" s="29" t="s">
        <v>61</v>
      </c>
      <c r="G1119" s="29"/>
      <c r="H1119" s="103">
        <f>_xlfn.XLOOKUP(B1119,GM!$Q$5:$Q$756,GM!$J$5:$J$756)</f>
        <v>46107</v>
      </c>
    </row>
    <row r="1120" spans="1:8" hidden="1" x14ac:dyDescent="0.35">
      <c r="A1120" s="29" t="s">
        <v>26</v>
      </c>
      <c r="B1120" s="29" t="str">
        <f t="shared" si="17"/>
        <v>GAR-04</v>
      </c>
      <c r="C1120" s="29" t="s">
        <v>5358</v>
      </c>
      <c r="D1120" s="67" t="s">
        <v>5359</v>
      </c>
      <c r="E1120" s="96" t="s">
        <v>62</v>
      </c>
      <c r="F1120" s="29" t="s">
        <v>61</v>
      </c>
      <c r="G1120" s="29"/>
      <c r="H1120" s="103">
        <f>_xlfn.XLOOKUP(B1120,GM!$Q$5:$Q$756,GM!$J$5:$J$756)</f>
        <v>46107</v>
      </c>
    </row>
    <row r="1121" spans="1:8" hidden="1" x14ac:dyDescent="0.35">
      <c r="A1121" s="29" t="s">
        <v>26</v>
      </c>
      <c r="B1121" s="29" t="str">
        <f t="shared" si="17"/>
        <v>GAR-04</v>
      </c>
      <c r="C1121" s="29" t="s">
        <v>5360</v>
      </c>
      <c r="D1121" s="67" t="s">
        <v>5361</v>
      </c>
      <c r="E1121" s="96" t="s">
        <v>62</v>
      </c>
      <c r="F1121" s="29" t="s">
        <v>61</v>
      </c>
      <c r="G1121" s="29"/>
      <c r="H1121" s="103">
        <f>_xlfn.XLOOKUP(B1121,GM!$Q$5:$Q$756,GM!$J$5:$J$756)</f>
        <v>46107</v>
      </c>
    </row>
    <row r="1122" spans="1:8" hidden="1" x14ac:dyDescent="0.35">
      <c r="A1122" s="29" t="s">
        <v>26</v>
      </c>
      <c r="B1122" s="29" t="str">
        <f t="shared" si="17"/>
        <v>GAR-04</v>
      </c>
      <c r="C1122" s="29" t="s">
        <v>5362</v>
      </c>
      <c r="D1122" s="67" t="s">
        <v>5363</v>
      </c>
      <c r="E1122" s="96" t="s">
        <v>62</v>
      </c>
      <c r="F1122" s="29" t="s">
        <v>61</v>
      </c>
      <c r="G1122" s="29"/>
      <c r="H1122" s="103">
        <f>_xlfn.XLOOKUP(B1122,GM!$Q$5:$Q$756,GM!$J$5:$J$756)</f>
        <v>46107</v>
      </c>
    </row>
    <row r="1123" spans="1:8" hidden="1" x14ac:dyDescent="0.35">
      <c r="A1123" s="29" t="s">
        <v>26</v>
      </c>
      <c r="B1123" s="29" t="str">
        <f t="shared" si="17"/>
        <v>GAR-04</v>
      </c>
      <c r="C1123" s="29" t="s">
        <v>5364</v>
      </c>
      <c r="D1123" s="67" t="s">
        <v>5365</v>
      </c>
      <c r="E1123" s="96" t="s">
        <v>62</v>
      </c>
      <c r="F1123" s="29" t="s">
        <v>61</v>
      </c>
      <c r="G1123" s="29"/>
      <c r="H1123" s="103">
        <f>_xlfn.XLOOKUP(B1123,GM!$Q$5:$Q$756,GM!$J$5:$J$756)</f>
        <v>46107</v>
      </c>
    </row>
    <row r="1124" spans="1:8" hidden="1" x14ac:dyDescent="0.35">
      <c r="A1124" s="29" t="s">
        <v>26</v>
      </c>
      <c r="B1124" s="29" t="str">
        <f t="shared" si="17"/>
        <v>GAR-04</v>
      </c>
      <c r="C1124" s="29" t="s">
        <v>5366</v>
      </c>
      <c r="D1124" s="67" t="s">
        <v>5367</v>
      </c>
      <c r="E1124" s="96" t="s">
        <v>62</v>
      </c>
      <c r="F1124" s="29" t="s">
        <v>61</v>
      </c>
      <c r="G1124" s="29"/>
      <c r="H1124" s="103">
        <f>_xlfn.XLOOKUP(B1124,GM!$Q$5:$Q$756,GM!$J$5:$J$756)</f>
        <v>46107</v>
      </c>
    </row>
    <row r="1125" spans="1:8" hidden="1" x14ac:dyDescent="0.35">
      <c r="A1125" s="29" t="s">
        <v>26</v>
      </c>
      <c r="B1125" s="29" t="str">
        <f t="shared" si="17"/>
        <v>GAR-04</v>
      </c>
      <c r="C1125" s="29" t="s">
        <v>5368</v>
      </c>
      <c r="D1125" s="67" t="s">
        <v>5369</v>
      </c>
      <c r="E1125" s="96" t="s">
        <v>62</v>
      </c>
      <c r="F1125" s="29" t="s">
        <v>61</v>
      </c>
      <c r="G1125" s="29"/>
      <c r="H1125" s="103">
        <f>_xlfn.XLOOKUP(B1125,GM!$Q$5:$Q$756,GM!$J$5:$J$756)</f>
        <v>46107</v>
      </c>
    </row>
    <row r="1126" spans="1:8" hidden="1" x14ac:dyDescent="0.35">
      <c r="A1126" s="29" t="s">
        <v>26</v>
      </c>
      <c r="B1126" s="29" t="str">
        <f t="shared" si="17"/>
        <v>GAR-04</v>
      </c>
      <c r="C1126" s="29" t="s">
        <v>5370</v>
      </c>
      <c r="D1126" s="67" t="s">
        <v>5371</v>
      </c>
      <c r="E1126" s="96" t="s">
        <v>62</v>
      </c>
      <c r="F1126" s="29" t="s">
        <v>61</v>
      </c>
      <c r="G1126" s="29"/>
      <c r="H1126" s="103">
        <f>_xlfn.XLOOKUP(B1126,GM!$Q$5:$Q$756,GM!$J$5:$J$756)</f>
        <v>46107</v>
      </c>
    </row>
    <row r="1127" spans="1:8" hidden="1" x14ac:dyDescent="0.35">
      <c r="A1127" s="29" t="s">
        <v>26</v>
      </c>
      <c r="B1127" s="29" t="str">
        <f t="shared" si="17"/>
        <v>GAR-04</v>
      </c>
      <c r="C1127" s="29" t="s">
        <v>5372</v>
      </c>
      <c r="D1127" s="67" t="s">
        <v>5373</v>
      </c>
      <c r="E1127" s="96" t="s">
        <v>62</v>
      </c>
      <c r="F1127" s="29" t="s">
        <v>61</v>
      </c>
      <c r="G1127" s="29"/>
      <c r="H1127" s="103">
        <f>_xlfn.XLOOKUP(B1127,GM!$Q$5:$Q$756,GM!$J$5:$J$756)</f>
        <v>46107</v>
      </c>
    </row>
    <row r="1128" spans="1:8" hidden="1" x14ac:dyDescent="0.35">
      <c r="A1128" s="29" t="s">
        <v>26</v>
      </c>
      <c r="B1128" s="29" t="str">
        <f t="shared" si="17"/>
        <v>GAR-04</v>
      </c>
      <c r="C1128" s="29" t="s">
        <v>5374</v>
      </c>
      <c r="D1128" s="67" t="s">
        <v>5375</v>
      </c>
      <c r="E1128" s="96" t="s">
        <v>62</v>
      </c>
      <c r="F1128" s="29" t="s">
        <v>61</v>
      </c>
      <c r="G1128" s="29"/>
      <c r="H1128" s="103">
        <f>_xlfn.XLOOKUP(B1128,GM!$Q$5:$Q$756,GM!$J$5:$J$756)</f>
        <v>46107</v>
      </c>
    </row>
    <row r="1129" spans="1:8" hidden="1" x14ac:dyDescent="0.35">
      <c r="A1129" s="29" t="s">
        <v>26</v>
      </c>
      <c r="B1129" s="29" t="str">
        <f t="shared" si="17"/>
        <v>GAR-04</v>
      </c>
      <c r="C1129" s="29" t="s">
        <v>5376</v>
      </c>
      <c r="D1129" s="67" t="s">
        <v>5377</v>
      </c>
      <c r="E1129" s="96" t="s">
        <v>62</v>
      </c>
      <c r="F1129" s="29" t="s">
        <v>61</v>
      </c>
      <c r="G1129" s="29"/>
      <c r="H1129" s="103">
        <f>_xlfn.XLOOKUP(B1129,GM!$Q$5:$Q$756,GM!$J$5:$J$756)</f>
        <v>46107</v>
      </c>
    </row>
    <row r="1130" spans="1:8" hidden="1" x14ac:dyDescent="0.35">
      <c r="A1130" s="29" t="s">
        <v>26</v>
      </c>
      <c r="B1130" s="29" t="str">
        <f t="shared" si="17"/>
        <v>GAR-04</v>
      </c>
      <c r="C1130" s="29" t="s">
        <v>5378</v>
      </c>
      <c r="D1130" s="67" t="s">
        <v>5379</v>
      </c>
      <c r="E1130" s="96" t="s">
        <v>62</v>
      </c>
      <c r="F1130" s="29" t="s">
        <v>61</v>
      </c>
      <c r="G1130" s="29"/>
      <c r="H1130" s="103">
        <f>_xlfn.XLOOKUP(B1130,GM!$Q$5:$Q$756,GM!$J$5:$J$756)</f>
        <v>46107</v>
      </c>
    </row>
    <row r="1131" spans="1:8" hidden="1" x14ac:dyDescent="0.35">
      <c r="A1131" s="29" t="s">
        <v>26</v>
      </c>
      <c r="B1131" s="29" t="str">
        <f t="shared" si="17"/>
        <v>GAR-04</v>
      </c>
      <c r="C1131" s="29" t="s">
        <v>5380</v>
      </c>
      <c r="D1131" s="67" t="s">
        <v>5381</v>
      </c>
      <c r="E1131" s="96" t="s">
        <v>62</v>
      </c>
      <c r="F1131" s="29" t="s">
        <v>61</v>
      </c>
      <c r="G1131" s="29"/>
      <c r="H1131" s="103">
        <f>_xlfn.XLOOKUP(B1131,GM!$Q$5:$Q$756,GM!$J$5:$J$756)</f>
        <v>46107</v>
      </c>
    </row>
    <row r="1132" spans="1:8" hidden="1" x14ac:dyDescent="0.35">
      <c r="A1132" s="29" t="s">
        <v>26</v>
      </c>
      <c r="B1132" s="29" t="str">
        <f t="shared" si="17"/>
        <v>GAR-04</v>
      </c>
      <c r="C1132" s="29" t="s">
        <v>5382</v>
      </c>
      <c r="D1132" s="67" t="s">
        <v>5383</v>
      </c>
      <c r="E1132" s="96" t="s">
        <v>62</v>
      </c>
      <c r="F1132" s="29" t="s">
        <v>61</v>
      </c>
      <c r="G1132" s="29"/>
      <c r="H1132" s="103">
        <f>_xlfn.XLOOKUP(B1132,GM!$Q$5:$Q$756,GM!$J$5:$J$756)</f>
        <v>46107</v>
      </c>
    </row>
    <row r="1133" spans="1:8" hidden="1" x14ac:dyDescent="0.35">
      <c r="A1133" s="29" t="s">
        <v>26</v>
      </c>
      <c r="B1133" s="29" t="str">
        <f t="shared" si="17"/>
        <v>GAR-05</v>
      </c>
      <c r="C1133" s="29" t="s">
        <v>5384</v>
      </c>
      <c r="D1133" s="67" t="s">
        <v>5385</v>
      </c>
      <c r="E1133" s="96" t="s">
        <v>62</v>
      </c>
      <c r="F1133" s="29" t="s">
        <v>61</v>
      </c>
      <c r="G1133" s="29"/>
      <c r="H1133" s="103">
        <f>_xlfn.XLOOKUP(B1133,GM!$Q$5:$Q$756,GM!$J$5:$J$756)</f>
        <v>46107</v>
      </c>
    </row>
    <row r="1134" spans="1:8" hidden="1" x14ac:dyDescent="0.35">
      <c r="A1134" s="29" t="s">
        <v>26</v>
      </c>
      <c r="B1134" s="29" t="str">
        <f t="shared" si="17"/>
        <v>GAR-05</v>
      </c>
      <c r="C1134" s="29" t="s">
        <v>5386</v>
      </c>
      <c r="D1134" s="67" t="s">
        <v>5387</v>
      </c>
      <c r="E1134" s="96" t="s">
        <v>62</v>
      </c>
      <c r="F1134" s="29" t="s">
        <v>61</v>
      </c>
      <c r="G1134" s="29"/>
      <c r="H1134" s="103">
        <f>_xlfn.XLOOKUP(B1134,GM!$Q$5:$Q$756,GM!$J$5:$J$756)</f>
        <v>46107</v>
      </c>
    </row>
    <row r="1135" spans="1:8" hidden="1" x14ac:dyDescent="0.35">
      <c r="A1135" s="29" t="s">
        <v>26</v>
      </c>
      <c r="B1135" s="29" t="str">
        <f t="shared" si="17"/>
        <v>GAR-05</v>
      </c>
      <c r="C1135" s="29" t="s">
        <v>5388</v>
      </c>
      <c r="D1135" s="67" t="s">
        <v>5389</v>
      </c>
      <c r="E1135" s="96" t="s">
        <v>62</v>
      </c>
      <c r="F1135" s="29" t="s">
        <v>61</v>
      </c>
      <c r="G1135" s="29"/>
      <c r="H1135" s="103">
        <f>_xlfn.XLOOKUP(B1135,GM!$Q$5:$Q$756,GM!$J$5:$J$756)</f>
        <v>46107</v>
      </c>
    </row>
    <row r="1136" spans="1:8" hidden="1" x14ac:dyDescent="0.35">
      <c r="A1136" s="29" t="s">
        <v>26</v>
      </c>
      <c r="B1136" s="29" t="str">
        <f t="shared" si="17"/>
        <v>GAR-05</v>
      </c>
      <c r="C1136" s="29" t="s">
        <v>5390</v>
      </c>
      <c r="D1136" s="67" t="s">
        <v>5391</v>
      </c>
      <c r="E1136" s="96" t="s">
        <v>62</v>
      </c>
      <c r="F1136" s="29" t="s">
        <v>61</v>
      </c>
      <c r="G1136" s="29"/>
      <c r="H1136" s="103">
        <f>_xlfn.XLOOKUP(B1136,GM!$Q$5:$Q$756,GM!$J$5:$J$756)</f>
        <v>46107</v>
      </c>
    </row>
    <row r="1137" spans="1:8" hidden="1" x14ac:dyDescent="0.35">
      <c r="A1137" s="29" t="s">
        <v>26</v>
      </c>
      <c r="B1137" s="29" t="str">
        <f t="shared" si="17"/>
        <v>GAR-05</v>
      </c>
      <c r="C1137" s="29" t="s">
        <v>5392</v>
      </c>
      <c r="D1137" s="67" t="s">
        <v>5393</v>
      </c>
      <c r="E1137" s="96" t="s">
        <v>62</v>
      </c>
      <c r="F1137" s="29" t="s">
        <v>61</v>
      </c>
      <c r="G1137" s="29"/>
      <c r="H1137" s="103">
        <f>_xlfn.XLOOKUP(B1137,GM!$Q$5:$Q$756,GM!$J$5:$J$756)</f>
        <v>46107</v>
      </c>
    </row>
    <row r="1138" spans="1:8" hidden="1" x14ac:dyDescent="0.35">
      <c r="A1138" s="29" t="s">
        <v>26</v>
      </c>
      <c r="B1138" s="29" t="str">
        <f t="shared" si="17"/>
        <v>GAR-05</v>
      </c>
      <c r="C1138" s="29" t="s">
        <v>5394</v>
      </c>
      <c r="D1138" s="67" t="s">
        <v>5395</v>
      </c>
      <c r="E1138" s="96" t="s">
        <v>62</v>
      </c>
      <c r="F1138" s="29" t="s">
        <v>61</v>
      </c>
      <c r="G1138" s="29"/>
      <c r="H1138" s="103">
        <f>_xlfn.XLOOKUP(B1138,GM!$Q$5:$Q$756,GM!$J$5:$J$756)</f>
        <v>46107</v>
      </c>
    </row>
    <row r="1139" spans="1:8" hidden="1" x14ac:dyDescent="0.35">
      <c r="A1139" s="29" t="s">
        <v>26</v>
      </c>
      <c r="B1139" s="29" t="str">
        <f t="shared" si="17"/>
        <v>GAR-06</v>
      </c>
      <c r="C1139" s="29" t="s">
        <v>5396</v>
      </c>
      <c r="D1139" s="67" t="s">
        <v>5397</v>
      </c>
      <c r="E1139" s="96" t="s">
        <v>62</v>
      </c>
      <c r="F1139" s="29" t="s">
        <v>61</v>
      </c>
      <c r="G1139" s="29"/>
      <c r="H1139" s="103">
        <f>_xlfn.XLOOKUP(B1139,GM!$Q$5:$Q$756,GM!$J$5:$J$756)</f>
        <v>46107</v>
      </c>
    </row>
    <row r="1140" spans="1:8" hidden="1" x14ac:dyDescent="0.35">
      <c r="A1140" s="29" t="s">
        <v>26</v>
      </c>
      <c r="B1140" s="29" t="str">
        <f t="shared" si="17"/>
        <v>GAR-06</v>
      </c>
      <c r="C1140" s="29" t="s">
        <v>5398</v>
      </c>
      <c r="D1140" s="67" t="s">
        <v>5399</v>
      </c>
      <c r="E1140" s="96" t="s">
        <v>62</v>
      </c>
      <c r="F1140" s="29" t="s">
        <v>61</v>
      </c>
      <c r="G1140" s="29"/>
      <c r="H1140" s="103">
        <f>_xlfn.XLOOKUP(B1140,GM!$Q$5:$Q$756,GM!$J$5:$J$756)</f>
        <v>46107</v>
      </c>
    </row>
    <row r="1141" spans="1:8" hidden="1" x14ac:dyDescent="0.35">
      <c r="A1141" s="29" t="s">
        <v>26</v>
      </c>
      <c r="B1141" s="29" t="str">
        <f t="shared" si="17"/>
        <v>GAR-06</v>
      </c>
      <c r="C1141" s="29" t="s">
        <v>5400</v>
      </c>
      <c r="D1141" s="67" t="s">
        <v>5401</v>
      </c>
      <c r="E1141" s="96" t="s">
        <v>62</v>
      </c>
      <c r="F1141" s="29" t="s">
        <v>61</v>
      </c>
      <c r="G1141" s="29"/>
      <c r="H1141" s="103">
        <f>_xlfn.XLOOKUP(B1141,GM!$Q$5:$Q$756,GM!$J$5:$J$756)</f>
        <v>46107</v>
      </c>
    </row>
    <row r="1142" spans="1:8" hidden="1" x14ac:dyDescent="0.35">
      <c r="A1142" s="29" t="s">
        <v>26</v>
      </c>
      <c r="B1142" s="29" t="str">
        <f t="shared" si="17"/>
        <v>GAR-06</v>
      </c>
      <c r="C1142" s="29" t="s">
        <v>5402</v>
      </c>
      <c r="D1142" s="67" t="s">
        <v>5403</v>
      </c>
      <c r="E1142" s="96" t="s">
        <v>62</v>
      </c>
      <c r="F1142" s="29" t="s">
        <v>61</v>
      </c>
      <c r="G1142" s="29"/>
      <c r="H1142" s="103">
        <f>_xlfn.XLOOKUP(B1142,GM!$Q$5:$Q$756,GM!$J$5:$J$756)</f>
        <v>46107</v>
      </c>
    </row>
    <row r="1143" spans="1:8" hidden="1" x14ac:dyDescent="0.35">
      <c r="A1143" s="29" t="s">
        <v>26</v>
      </c>
      <c r="B1143" s="29" t="str">
        <f t="shared" si="17"/>
        <v>GAR-06</v>
      </c>
      <c r="C1143" s="29" t="s">
        <v>5404</v>
      </c>
      <c r="D1143" s="67" t="s">
        <v>5405</v>
      </c>
      <c r="E1143" s="96" t="s">
        <v>62</v>
      </c>
      <c r="F1143" s="29" t="s">
        <v>61</v>
      </c>
      <c r="G1143" s="29"/>
      <c r="H1143" s="103">
        <f>_xlfn.XLOOKUP(B1143,GM!$Q$5:$Q$756,GM!$J$5:$J$756)</f>
        <v>46107</v>
      </c>
    </row>
    <row r="1144" spans="1:8" hidden="1" x14ac:dyDescent="0.35">
      <c r="A1144" s="29" t="s">
        <v>26</v>
      </c>
      <c r="B1144" s="29" t="str">
        <f t="shared" si="17"/>
        <v>GAR-06</v>
      </c>
      <c r="C1144" s="29" t="s">
        <v>5406</v>
      </c>
      <c r="D1144" s="67" t="s">
        <v>5407</v>
      </c>
      <c r="E1144" s="96" t="s">
        <v>62</v>
      </c>
      <c r="F1144" s="29" t="s">
        <v>61</v>
      </c>
      <c r="G1144" s="29"/>
      <c r="H1144" s="103">
        <f>_xlfn.XLOOKUP(B1144,GM!$Q$5:$Q$756,GM!$J$5:$J$756)</f>
        <v>46107</v>
      </c>
    </row>
    <row r="1145" spans="1:8" hidden="1" x14ac:dyDescent="0.35">
      <c r="A1145" s="29" t="s">
        <v>26</v>
      </c>
      <c r="B1145" s="29" t="str">
        <f t="shared" si="17"/>
        <v>GAR-06</v>
      </c>
      <c r="C1145" s="29" t="s">
        <v>5408</v>
      </c>
      <c r="D1145" s="67" t="s">
        <v>5409</v>
      </c>
      <c r="E1145" s="96" t="s">
        <v>62</v>
      </c>
      <c r="F1145" s="29" t="s">
        <v>61</v>
      </c>
      <c r="G1145" s="29"/>
      <c r="H1145" s="103">
        <f>_xlfn.XLOOKUP(B1145,GM!$Q$5:$Q$756,GM!$J$5:$J$756)</f>
        <v>46107</v>
      </c>
    </row>
    <row r="1146" spans="1:8" hidden="1" x14ac:dyDescent="0.35">
      <c r="A1146" s="29" t="s">
        <v>26</v>
      </c>
      <c r="B1146" s="29" t="str">
        <f t="shared" si="17"/>
        <v>GAR-06</v>
      </c>
      <c r="C1146" s="29" t="s">
        <v>5410</v>
      </c>
      <c r="D1146" s="67" t="s">
        <v>5411</v>
      </c>
      <c r="E1146" s="96" t="s">
        <v>62</v>
      </c>
      <c r="F1146" s="29" t="s">
        <v>61</v>
      </c>
      <c r="G1146" s="29"/>
      <c r="H1146" s="103">
        <f>_xlfn.XLOOKUP(B1146,GM!$Q$5:$Q$756,GM!$J$5:$J$756)</f>
        <v>46107</v>
      </c>
    </row>
    <row r="1147" spans="1:8" hidden="1" x14ac:dyDescent="0.35">
      <c r="A1147" s="29" t="s">
        <v>26</v>
      </c>
      <c r="B1147" s="29" t="str">
        <f t="shared" si="17"/>
        <v>GAR-06</v>
      </c>
      <c r="C1147" s="29" t="s">
        <v>5412</v>
      </c>
      <c r="D1147" s="67" t="s">
        <v>5413</v>
      </c>
      <c r="E1147" s="96" t="s">
        <v>62</v>
      </c>
      <c r="F1147" s="29" t="s">
        <v>61</v>
      </c>
      <c r="G1147" s="29"/>
      <c r="H1147" s="103">
        <f>_xlfn.XLOOKUP(B1147,GM!$Q$5:$Q$756,GM!$J$5:$J$756)</f>
        <v>46107</v>
      </c>
    </row>
    <row r="1148" spans="1:8" hidden="1" x14ac:dyDescent="0.35">
      <c r="A1148" s="29" t="s">
        <v>26</v>
      </c>
      <c r="B1148" s="29" t="str">
        <f t="shared" si="17"/>
        <v>GAR-06</v>
      </c>
      <c r="C1148" s="29" t="s">
        <v>5414</v>
      </c>
      <c r="D1148" s="67" t="s">
        <v>5415</v>
      </c>
      <c r="E1148" s="96" t="s">
        <v>62</v>
      </c>
      <c r="F1148" s="29" t="s">
        <v>61</v>
      </c>
      <c r="G1148" s="29"/>
      <c r="H1148" s="103">
        <f>_xlfn.XLOOKUP(B1148,GM!$Q$5:$Q$756,GM!$J$5:$J$756)</f>
        <v>46107</v>
      </c>
    </row>
    <row r="1149" spans="1:8" hidden="1" x14ac:dyDescent="0.35">
      <c r="A1149" s="29" t="s">
        <v>26</v>
      </c>
      <c r="B1149" s="29" t="str">
        <f t="shared" si="17"/>
        <v>GAR-06</v>
      </c>
      <c r="C1149" s="29" t="s">
        <v>5416</v>
      </c>
      <c r="D1149" s="67" t="s">
        <v>5417</v>
      </c>
      <c r="E1149" s="96" t="s">
        <v>62</v>
      </c>
      <c r="F1149" s="29" t="s">
        <v>61</v>
      </c>
      <c r="G1149" s="29"/>
      <c r="H1149" s="103">
        <f>_xlfn.XLOOKUP(B1149,GM!$Q$5:$Q$756,GM!$J$5:$J$756)</f>
        <v>46107</v>
      </c>
    </row>
    <row r="1150" spans="1:8" hidden="1" x14ac:dyDescent="0.35">
      <c r="A1150" s="29" t="s">
        <v>26</v>
      </c>
      <c r="B1150" s="29" t="str">
        <f t="shared" si="17"/>
        <v>GAR-06</v>
      </c>
      <c r="C1150" s="29" t="s">
        <v>5418</v>
      </c>
      <c r="D1150" s="67" t="s">
        <v>5419</v>
      </c>
      <c r="E1150" s="96" t="s">
        <v>62</v>
      </c>
      <c r="F1150" s="29" t="s">
        <v>61</v>
      </c>
      <c r="G1150" s="29"/>
      <c r="H1150" s="103">
        <f>_xlfn.XLOOKUP(B1150,GM!$Q$5:$Q$756,GM!$J$5:$J$756)</f>
        <v>46107</v>
      </c>
    </row>
    <row r="1151" spans="1:8" hidden="1" x14ac:dyDescent="0.35">
      <c r="A1151" s="29" t="s">
        <v>26</v>
      </c>
      <c r="B1151" s="29" t="str">
        <f t="shared" si="17"/>
        <v>GAR-06</v>
      </c>
      <c r="C1151" s="29" t="s">
        <v>5420</v>
      </c>
      <c r="D1151" s="67" t="s">
        <v>5421</v>
      </c>
      <c r="E1151" s="96" t="s">
        <v>62</v>
      </c>
      <c r="F1151" s="29" t="s">
        <v>61</v>
      </c>
      <c r="G1151" s="29"/>
      <c r="H1151" s="103">
        <f>_xlfn.XLOOKUP(B1151,GM!$Q$5:$Q$756,GM!$J$5:$J$756)</f>
        <v>46107</v>
      </c>
    </row>
    <row r="1152" spans="1:8" hidden="1" x14ac:dyDescent="0.35">
      <c r="A1152" s="29" t="s">
        <v>26</v>
      </c>
      <c r="B1152" s="29" t="str">
        <f t="shared" si="17"/>
        <v>GAR-06</v>
      </c>
      <c r="C1152" s="29" t="s">
        <v>5422</v>
      </c>
      <c r="D1152" s="67" t="s">
        <v>5423</v>
      </c>
      <c r="E1152" s="96" t="s">
        <v>62</v>
      </c>
      <c r="F1152" s="29" t="s">
        <v>61</v>
      </c>
      <c r="G1152" s="29"/>
      <c r="H1152" s="103">
        <f>_xlfn.XLOOKUP(B1152,GM!$Q$5:$Q$756,GM!$J$5:$J$756)</f>
        <v>46107</v>
      </c>
    </row>
    <row r="1153" spans="1:8" hidden="1" x14ac:dyDescent="0.35">
      <c r="A1153" s="29" t="s">
        <v>26</v>
      </c>
      <c r="B1153" s="29" t="str">
        <f t="shared" si="17"/>
        <v>GAR-06</v>
      </c>
      <c r="C1153" s="29" t="s">
        <v>5424</v>
      </c>
      <c r="D1153" s="67" t="s">
        <v>5425</v>
      </c>
      <c r="E1153" s="96" t="s">
        <v>62</v>
      </c>
      <c r="F1153" s="29" t="s">
        <v>61</v>
      </c>
      <c r="G1153" s="29"/>
      <c r="H1153" s="103">
        <f>_xlfn.XLOOKUP(B1153,GM!$Q$5:$Q$756,GM!$J$5:$J$756)</f>
        <v>46107</v>
      </c>
    </row>
    <row r="1154" spans="1:8" hidden="1" x14ac:dyDescent="0.35">
      <c r="A1154" s="29" t="s">
        <v>26</v>
      </c>
      <c r="B1154" s="29" t="str">
        <f t="shared" si="17"/>
        <v>GAR-06</v>
      </c>
      <c r="C1154" s="29" t="s">
        <v>5426</v>
      </c>
      <c r="D1154" s="67" t="s">
        <v>5427</v>
      </c>
      <c r="E1154" s="96" t="s">
        <v>62</v>
      </c>
      <c r="F1154" s="29" t="s">
        <v>61</v>
      </c>
      <c r="G1154" s="29"/>
      <c r="H1154" s="103">
        <f>_xlfn.XLOOKUP(B1154,GM!$Q$5:$Q$756,GM!$J$5:$J$756)</f>
        <v>46107</v>
      </c>
    </row>
    <row r="1155" spans="1:8" hidden="1" x14ac:dyDescent="0.35">
      <c r="A1155" s="29" t="s">
        <v>26</v>
      </c>
      <c r="B1155" s="29" t="str">
        <f t="shared" si="17"/>
        <v>GAR-06</v>
      </c>
      <c r="C1155" s="29" t="s">
        <v>5426</v>
      </c>
      <c r="D1155" s="67" t="s">
        <v>5428</v>
      </c>
      <c r="E1155" s="96" t="s">
        <v>62</v>
      </c>
      <c r="F1155" s="29" t="s">
        <v>61</v>
      </c>
      <c r="G1155" s="29"/>
      <c r="H1155" s="103">
        <f>_xlfn.XLOOKUP(B1155,GM!$Q$5:$Q$756,GM!$J$5:$J$756)</f>
        <v>46107</v>
      </c>
    </row>
    <row r="1156" spans="1:8" hidden="1" x14ac:dyDescent="0.35">
      <c r="A1156" s="29" t="s">
        <v>26</v>
      </c>
      <c r="B1156" s="29" t="str">
        <f t="shared" si="17"/>
        <v>GAR-06</v>
      </c>
      <c r="C1156" s="29" t="s">
        <v>5429</v>
      </c>
      <c r="D1156" s="67" t="s">
        <v>5430</v>
      </c>
      <c r="E1156" s="96" t="s">
        <v>62</v>
      </c>
      <c r="F1156" s="29" t="s">
        <v>61</v>
      </c>
      <c r="G1156" s="29"/>
      <c r="H1156" s="103">
        <f>_xlfn.XLOOKUP(B1156,GM!$Q$5:$Q$756,GM!$J$5:$J$756)</f>
        <v>46107</v>
      </c>
    </row>
    <row r="1157" spans="1:8" hidden="1" x14ac:dyDescent="0.35">
      <c r="A1157" s="29" t="s">
        <v>26</v>
      </c>
      <c r="B1157" s="29" t="str">
        <f t="shared" ref="B1157:B1220" si="18">IF(OR(A1157="ARN",A1157="SDP"),MID(C1157,4,7),MID(C1157,4,6))</f>
        <v>GAR-07</v>
      </c>
      <c r="C1157" s="29" t="s">
        <v>5431</v>
      </c>
      <c r="D1157" s="67" t="s">
        <v>5432</v>
      </c>
      <c r="E1157" s="96" t="s">
        <v>62</v>
      </c>
      <c r="F1157" s="29" t="s">
        <v>61</v>
      </c>
      <c r="G1157" s="29"/>
      <c r="H1157" s="103">
        <f>_xlfn.XLOOKUP(B1157,GM!$Q$5:$Q$756,GM!$J$5:$J$756)</f>
        <v>45959</v>
      </c>
    </row>
    <row r="1158" spans="1:8" hidden="1" x14ac:dyDescent="0.35">
      <c r="A1158" s="29" t="s">
        <v>26</v>
      </c>
      <c r="B1158" s="29" t="str">
        <f t="shared" si="18"/>
        <v>GAR-07</v>
      </c>
      <c r="C1158" s="29" t="s">
        <v>5433</v>
      </c>
      <c r="D1158" s="67" t="s">
        <v>5434</v>
      </c>
      <c r="E1158" s="96" t="s">
        <v>62</v>
      </c>
      <c r="F1158" s="29" t="s">
        <v>61</v>
      </c>
      <c r="G1158" s="29"/>
      <c r="H1158" s="103">
        <f>_xlfn.XLOOKUP(B1158,GM!$Q$5:$Q$756,GM!$J$5:$J$756)</f>
        <v>45959</v>
      </c>
    </row>
    <row r="1159" spans="1:8" hidden="1" x14ac:dyDescent="0.35">
      <c r="A1159" s="29" t="s">
        <v>26</v>
      </c>
      <c r="B1159" s="29" t="str">
        <f t="shared" si="18"/>
        <v>GAR-07</v>
      </c>
      <c r="C1159" s="29" t="s">
        <v>5435</v>
      </c>
      <c r="D1159" s="67" t="s">
        <v>5436</v>
      </c>
      <c r="E1159" s="96" t="s">
        <v>62</v>
      </c>
      <c r="F1159" s="29" t="s">
        <v>61</v>
      </c>
      <c r="G1159" s="29"/>
      <c r="H1159" s="103">
        <f>_xlfn.XLOOKUP(B1159,GM!$Q$5:$Q$756,GM!$J$5:$J$756)</f>
        <v>45959</v>
      </c>
    </row>
    <row r="1160" spans="1:8" hidden="1" x14ac:dyDescent="0.35">
      <c r="A1160" s="29" t="s">
        <v>26</v>
      </c>
      <c r="B1160" s="29" t="str">
        <f t="shared" si="18"/>
        <v>GAR-07</v>
      </c>
      <c r="C1160" s="29" t="s">
        <v>5437</v>
      </c>
      <c r="D1160" s="67" t="s">
        <v>5438</v>
      </c>
      <c r="E1160" s="96" t="s">
        <v>62</v>
      </c>
      <c r="F1160" s="29" t="s">
        <v>61</v>
      </c>
      <c r="G1160" s="29"/>
      <c r="H1160" s="103">
        <f>_xlfn.XLOOKUP(B1160,GM!$Q$5:$Q$756,GM!$J$5:$J$756)</f>
        <v>45959</v>
      </c>
    </row>
    <row r="1161" spans="1:8" hidden="1" x14ac:dyDescent="0.35">
      <c r="A1161" s="29" t="s">
        <v>26</v>
      </c>
      <c r="B1161" s="29" t="str">
        <f t="shared" si="18"/>
        <v>GAR-07</v>
      </c>
      <c r="C1161" s="29" t="s">
        <v>5439</v>
      </c>
      <c r="D1161" s="67" t="s">
        <v>5440</v>
      </c>
      <c r="E1161" s="96" t="s">
        <v>62</v>
      </c>
      <c r="F1161" s="29" t="s">
        <v>61</v>
      </c>
      <c r="G1161" s="29"/>
      <c r="H1161" s="103">
        <f>_xlfn.XLOOKUP(B1161,GM!$Q$5:$Q$756,GM!$J$5:$J$756)</f>
        <v>45959</v>
      </c>
    </row>
    <row r="1162" spans="1:8" hidden="1" x14ac:dyDescent="0.35">
      <c r="A1162" s="29" t="s">
        <v>26</v>
      </c>
      <c r="B1162" s="29" t="str">
        <f t="shared" si="18"/>
        <v>GAR-09</v>
      </c>
      <c r="C1162" s="29" t="s">
        <v>5441</v>
      </c>
      <c r="D1162" s="67" t="s">
        <v>5442</v>
      </c>
      <c r="E1162" s="96" t="s">
        <v>62</v>
      </c>
      <c r="F1162" s="29" t="s">
        <v>61</v>
      </c>
      <c r="G1162" s="29"/>
      <c r="H1162" s="103">
        <f>_xlfn.XLOOKUP(B1162,GM!$Q$5:$Q$756,GM!$J$5:$J$756)</f>
        <v>45959</v>
      </c>
    </row>
    <row r="1163" spans="1:8" hidden="1" x14ac:dyDescent="0.35">
      <c r="A1163" s="29" t="s">
        <v>26</v>
      </c>
      <c r="B1163" s="29" t="str">
        <f t="shared" si="18"/>
        <v>GAR-09</v>
      </c>
      <c r="C1163" s="29" t="s">
        <v>5443</v>
      </c>
      <c r="D1163" s="67" t="s">
        <v>5444</v>
      </c>
      <c r="E1163" s="96" t="s">
        <v>62</v>
      </c>
      <c r="F1163" s="29" t="s">
        <v>61</v>
      </c>
      <c r="G1163" s="29"/>
      <c r="H1163" s="103">
        <f>_xlfn.XLOOKUP(B1163,GM!$Q$5:$Q$756,GM!$J$5:$J$756)</f>
        <v>45959</v>
      </c>
    </row>
    <row r="1164" spans="1:8" hidden="1" x14ac:dyDescent="0.35">
      <c r="A1164" s="29" t="s">
        <v>26</v>
      </c>
      <c r="B1164" s="29" t="str">
        <f t="shared" si="18"/>
        <v>GAR-09</v>
      </c>
      <c r="C1164" s="29" t="s">
        <v>5445</v>
      </c>
      <c r="D1164" s="67" t="s">
        <v>5446</v>
      </c>
      <c r="E1164" s="96" t="s">
        <v>62</v>
      </c>
      <c r="F1164" s="29" t="s">
        <v>61</v>
      </c>
      <c r="G1164" s="29"/>
      <c r="H1164" s="103">
        <f>_xlfn.XLOOKUP(B1164,GM!$Q$5:$Q$756,GM!$J$5:$J$756)</f>
        <v>45959</v>
      </c>
    </row>
    <row r="1165" spans="1:8" hidden="1" x14ac:dyDescent="0.35">
      <c r="A1165" s="29" t="s">
        <v>26</v>
      </c>
      <c r="B1165" s="29" t="str">
        <f t="shared" si="18"/>
        <v>GAR-09</v>
      </c>
      <c r="C1165" s="29" t="s">
        <v>5447</v>
      </c>
      <c r="D1165" s="67" t="s">
        <v>5448</v>
      </c>
      <c r="E1165" s="96" t="s">
        <v>62</v>
      </c>
      <c r="F1165" s="29" t="s">
        <v>61</v>
      </c>
      <c r="G1165" s="29"/>
      <c r="H1165" s="103">
        <f>_xlfn.XLOOKUP(B1165,GM!$Q$5:$Q$756,GM!$J$5:$J$756)</f>
        <v>45959</v>
      </c>
    </row>
    <row r="1166" spans="1:8" hidden="1" x14ac:dyDescent="0.35">
      <c r="A1166" s="29" t="s">
        <v>26</v>
      </c>
      <c r="B1166" s="29" t="str">
        <f t="shared" si="18"/>
        <v>GAR-09</v>
      </c>
      <c r="C1166" s="29" t="s">
        <v>5449</v>
      </c>
      <c r="D1166" s="67" t="s">
        <v>5450</v>
      </c>
      <c r="E1166" s="96" t="s">
        <v>62</v>
      </c>
      <c r="F1166" s="29" t="s">
        <v>61</v>
      </c>
      <c r="G1166" s="29"/>
      <c r="H1166" s="103">
        <f>_xlfn.XLOOKUP(B1166,GM!$Q$5:$Q$756,GM!$J$5:$J$756)</f>
        <v>45959</v>
      </c>
    </row>
    <row r="1167" spans="1:8" hidden="1" x14ac:dyDescent="0.35">
      <c r="A1167" s="29" t="s">
        <v>26</v>
      </c>
      <c r="B1167" s="29" t="str">
        <f t="shared" si="18"/>
        <v>GAR-09</v>
      </c>
      <c r="C1167" s="29" t="s">
        <v>5451</v>
      </c>
      <c r="D1167" s="67" t="s">
        <v>5452</v>
      </c>
      <c r="E1167" s="96" t="s">
        <v>62</v>
      </c>
      <c r="F1167" s="29" t="s">
        <v>61</v>
      </c>
      <c r="G1167" s="29"/>
      <c r="H1167" s="103">
        <f>_xlfn.XLOOKUP(B1167,GM!$Q$5:$Q$756,GM!$J$5:$J$756)</f>
        <v>45959</v>
      </c>
    </row>
    <row r="1168" spans="1:8" hidden="1" x14ac:dyDescent="0.35">
      <c r="A1168" s="29" t="s">
        <v>26</v>
      </c>
      <c r="B1168" s="29" t="str">
        <f t="shared" si="18"/>
        <v>GAR-09</v>
      </c>
      <c r="C1168" s="29" t="s">
        <v>5453</v>
      </c>
      <c r="D1168" s="67" t="s">
        <v>5454</v>
      </c>
      <c r="E1168" s="96" t="s">
        <v>62</v>
      </c>
      <c r="F1168" s="29" t="s">
        <v>61</v>
      </c>
      <c r="G1168" s="29"/>
      <c r="H1168" s="103">
        <f>_xlfn.XLOOKUP(B1168,GM!$Q$5:$Q$756,GM!$J$5:$J$756)</f>
        <v>45959</v>
      </c>
    </row>
    <row r="1169" spans="1:8" hidden="1" x14ac:dyDescent="0.35">
      <c r="A1169" s="29" t="s">
        <v>26</v>
      </c>
      <c r="B1169" s="29" t="str">
        <f t="shared" si="18"/>
        <v>GAR-09</v>
      </c>
      <c r="C1169" s="29" t="s">
        <v>5455</v>
      </c>
      <c r="D1169" s="67" t="s">
        <v>5456</v>
      </c>
      <c r="E1169" s="96" t="s">
        <v>62</v>
      </c>
      <c r="F1169" s="29" t="s">
        <v>61</v>
      </c>
      <c r="G1169" s="29"/>
      <c r="H1169" s="103">
        <f>_xlfn.XLOOKUP(B1169,GM!$Q$5:$Q$756,GM!$J$5:$J$756)</f>
        <v>45959</v>
      </c>
    </row>
    <row r="1170" spans="1:8" hidden="1" x14ac:dyDescent="0.35">
      <c r="A1170" s="29" t="s">
        <v>26</v>
      </c>
      <c r="B1170" s="29" t="str">
        <f t="shared" si="18"/>
        <v>GAR-09</v>
      </c>
      <c r="C1170" s="29" t="s">
        <v>5457</v>
      </c>
      <c r="D1170" s="67" t="s">
        <v>5458</v>
      </c>
      <c r="E1170" s="96" t="s">
        <v>62</v>
      </c>
      <c r="F1170" s="29" t="s">
        <v>61</v>
      </c>
      <c r="G1170" s="29"/>
      <c r="H1170" s="103">
        <f>_xlfn.XLOOKUP(B1170,GM!$Q$5:$Q$756,GM!$J$5:$J$756)</f>
        <v>45959</v>
      </c>
    </row>
    <row r="1171" spans="1:8" hidden="1" x14ac:dyDescent="0.35">
      <c r="A1171" s="29" t="s">
        <v>26</v>
      </c>
      <c r="B1171" s="29" t="str">
        <f t="shared" si="18"/>
        <v>GAR-10</v>
      </c>
      <c r="C1171" s="29" t="s">
        <v>5459</v>
      </c>
      <c r="D1171" s="67" t="s">
        <v>5460</v>
      </c>
      <c r="E1171" s="96" t="s">
        <v>62</v>
      </c>
      <c r="F1171" s="29" t="s">
        <v>61</v>
      </c>
      <c r="G1171" s="29"/>
      <c r="H1171" s="103">
        <f>_xlfn.XLOOKUP(B1171,GM!$Q$5:$Q$756,GM!$J$5:$J$756)</f>
        <v>45959</v>
      </c>
    </row>
    <row r="1172" spans="1:8" hidden="1" x14ac:dyDescent="0.35">
      <c r="A1172" s="29" t="s">
        <v>26</v>
      </c>
      <c r="B1172" s="29" t="str">
        <f t="shared" si="18"/>
        <v>GAR-10</v>
      </c>
      <c r="C1172" s="29" t="s">
        <v>5461</v>
      </c>
      <c r="D1172" s="67" t="s">
        <v>5462</v>
      </c>
      <c r="E1172" s="96" t="s">
        <v>62</v>
      </c>
      <c r="F1172" s="29" t="s">
        <v>61</v>
      </c>
      <c r="G1172" s="29"/>
      <c r="H1172" s="103">
        <f>_xlfn.XLOOKUP(B1172,GM!$Q$5:$Q$756,GM!$J$5:$J$756)</f>
        <v>45959</v>
      </c>
    </row>
    <row r="1173" spans="1:8" hidden="1" x14ac:dyDescent="0.35">
      <c r="A1173" s="29" t="s">
        <v>26</v>
      </c>
      <c r="B1173" s="29" t="str">
        <f t="shared" si="18"/>
        <v>GAR-10</v>
      </c>
      <c r="C1173" s="29" t="s">
        <v>5463</v>
      </c>
      <c r="D1173" s="67" t="s">
        <v>5464</v>
      </c>
      <c r="E1173" s="96" t="s">
        <v>62</v>
      </c>
      <c r="F1173" s="29" t="s">
        <v>61</v>
      </c>
      <c r="G1173" s="29"/>
      <c r="H1173" s="103">
        <f>_xlfn.XLOOKUP(B1173,GM!$Q$5:$Q$756,GM!$J$5:$J$756)</f>
        <v>45959</v>
      </c>
    </row>
    <row r="1174" spans="1:8" hidden="1" x14ac:dyDescent="0.35">
      <c r="A1174" s="29" t="s">
        <v>26</v>
      </c>
      <c r="B1174" s="29" t="str">
        <f t="shared" si="18"/>
        <v>GAR-10</v>
      </c>
      <c r="C1174" s="29" t="s">
        <v>5465</v>
      </c>
      <c r="D1174" s="67" t="s">
        <v>5466</v>
      </c>
      <c r="E1174" s="96" t="s">
        <v>62</v>
      </c>
      <c r="F1174" s="29" t="s">
        <v>61</v>
      </c>
      <c r="G1174" s="29"/>
      <c r="H1174" s="103">
        <f>_xlfn.XLOOKUP(B1174,GM!$Q$5:$Q$756,GM!$J$5:$J$756)</f>
        <v>45959</v>
      </c>
    </row>
    <row r="1175" spans="1:8" hidden="1" x14ac:dyDescent="0.35">
      <c r="A1175" s="29" t="s">
        <v>26</v>
      </c>
      <c r="B1175" s="29" t="str">
        <f t="shared" si="18"/>
        <v>GAR-10</v>
      </c>
      <c r="C1175" s="29" t="s">
        <v>5467</v>
      </c>
      <c r="D1175" s="67" t="s">
        <v>5468</v>
      </c>
      <c r="E1175" s="96" t="s">
        <v>62</v>
      </c>
      <c r="F1175" s="29" t="s">
        <v>61</v>
      </c>
      <c r="G1175" s="29"/>
      <c r="H1175" s="103">
        <f>_xlfn.XLOOKUP(B1175,GM!$Q$5:$Q$756,GM!$J$5:$J$756)</f>
        <v>45959</v>
      </c>
    </row>
    <row r="1176" spans="1:8" hidden="1" x14ac:dyDescent="0.35">
      <c r="A1176" s="29" t="s">
        <v>26</v>
      </c>
      <c r="B1176" s="29" t="str">
        <f t="shared" si="18"/>
        <v>GAR-10</v>
      </c>
      <c r="C1176" s="29" t="s">
        <v>5469</v>
      </c>
      <c r="D1176" s="67" t="s">
        <v>5470</v>
      </c>
      <c r="E1176" s="96" t="s">
        <v>62</v>
      </c>
      <c r="F1176" s="29" t="s">
        <v>61</v>
      </c>
      <c r="G1176" s="29"/>
      <c r="H1176" s="103">
        <f>_xlfn.XLOOKUP(B1176,GM!$Q$5:$Q$756,GM!$J$5:$J$756)</f>
        <v>45959</v>
      </c>
    </row>
    <row r="1177" spans="1:8" hidden="1" x14ac:dyDescent="0.35">
      <c r="A1177" s="29" t="s">
        <v>26</v>
      </c>
      <c r="B1177" s="29" t="str">
        <f t="shared" si="18"/>
        <v>GAR-10</v>
      </c>
      <c r="C1177" s="29" t="s">
        <v>5471</v>
      </c>
      <c r="D1177" s="67" t="s">
        <v>5472</v>
      </c>
      <c r="E1177" s="96" t="s">
        <v>62</v>
      </c>
      <c r="F1177" s="29" t="s">
        <v>61</v>
      </c>
      <c r="G1177" s="29"/>
      <c r="H1177" s="103">
        <f>_xlfn.XLOOKUP(B1177,GM!$Q$5:$Q$756,GM!$J$5:$J$756)</f>
        <v>45959</v>
      </c>
    </row>
    <row r="1178" spans="1:8" hidden="1" x14ac:dyDescent="0.35">
      <c r="A1178" s="29" t="s">
        <v>26</v>
      </c>
      <c r="B1178" s="29" t="str">
        <f t="shared" si="18"/>
        <v>GAR-10</v>
      </c>
      <c r="C1178" s="29" t="s">
        <v>5473</v>
      </c>
      <c r="D1178" s="67" t="s">
        <v>5474</v>
      </c>
      <c r="E1178" s="96" t="s">
        <v>62</v>
      </c>
      <c r="F1178" s="29" t="s">
        <v>61</v>
      </c>
      <c r="G1178" s="29"/>
      <c r="H1178" s="103">
        <f>_xlfn.XLOOKUP(B1178,GM!$Q$5:$Q$756,GM!$J$5:$J$756)</f>
        <v>45959</v>
      </c>
    </row>
    <row r="1179" spans="1:8" hidden="1" x14ac:dyDescent="0.35">
      <c r="A1179" s="29" t="s">
        <v>26</v>
      </c>
      <c r="B1179" s="29" t="str">
        <f t="shared" si="18"/>
        <v>GAR-11</v>
      </c>
      <c r="C1179" s="29" t="s">
        <v>5475</v>
      </c>
      <c r="D1179" s="67" t="s">
        <v>5476</v>
      </c>
      <c r="E1179" s="96" t="s">
        <v>62</v>
      </c>
      <c r="F1179" s="29" t="s">
        <v>61</v>
      </c>
      <c r="G1179" s="29"/>
      <c r="H1179" s="103">
        <f>_xlfn.XLOOKUP(B1179,GM!$Q$5:$Q$756,GM!$J$5:$J$756)</f>
        <v>46107</v>
      </c>
    </row>
    <row r="1180" spans="1:8" hidden="1" x14ac:dyDescent="0.35">
      <c r="A1180" s="29" t="s">
        <v>26</v>
      </c>
      <c r="B1180" s="29" t="str">
        <f t="shared" si="18"/>
        <v>GAR-11</v>
      </c>
      <c r="C1180" s="29" t="s">
        <v>5477</v>
      </c>
      <c r="D1180" s="67" t="s">
        <v>5478</v>
      </c>
      <c r="E1180" s="96" t="s">
        <v>62</v>
      </c>
      <c r="F1180" s="29" t="s">
        <v>61</v>
      </c>
      <c r="G1180" s="29"/>
      <c r="H1180" s="103">
        <f>_xlfn.XLOOKUP(B1180,GM!$Q$5:$Q$756,GM!$J$5:$J$756)</f>
        <v>46107</v>
      </c>
    </row>
    <row r="1181" spans="1:8" hidden="1" x14ac:dyDescent="0.35">
      <c r="A1181" s="29" t="s">
        <v>26</v>
      </c>
      <c r="B1181" s="29" t="str">
        <f t="shared" si="18"/>
        <v>GAR-11</v>
      </c>
      <c r="C1181" s="29" t="s">
        <v>5479</v>
      </c>
      <c r="D1181" s="67" t="s">
        <v>5480</v>
      </c>
      <c r="E1181" s="96" t="s">
        <v>62</v>
      </c>
      <c r="F1181" s="29" t="s">
        <v>61</v>
      </c>
      <c r="G1181" s="29"/>
      <c r="H1181" s="103">
        <f>_xlfn.XLOOKUP(B1181,GM!$Q$5:$Q$756,GM!$J$5:$J$756)</f>
        <v>46107</v>
      </c>
    </row>
    <row r="1182" spans="1:8" hidden="1" x14ac:dyDescent="0.35">
      <c r="A1182" s="29" t="s">
        <v>26</v>
      </c>
      <c r="B1182" s="29" t="str">
        <f t="shared" si="18"/>
        <v>GAR-11</v>
      </c>
      <c r="C1182" s="29" t="s">
        <v>5481</v>
      </c>
      <c r="D1182" s="67" t="s">
        <v>5482</v>
      </c>
      <c r="E1182" s="96" t="s">
        <v>62</v>
      </c>
      <c r="F1182" s="29" t="s">
        <v>61</v>
      </c>
      <c r="G1182" s="29"/>
      <c r="H1182" s="103">
        <f>_xlfn.XLOOKUP(B1182,GM!$Q$5:$Q$756,GM!$J$5:$J$756)</f>
        <v>46107</v>
      </c>
    </row>
    <row r="1183" spans="1:8" hidden="1" x14ac:dyDescent="0.35">
      <c r="A1183" s="29" t="s">
        <v>26</v>
      </c>
      <c r="B1183" s="29" t="str">
        <f t="shared" si="18"/>
        <v>GAR-12</v>
      </c>
      <c r="C1183" s="29" t="s">
        <v>5483</v>
      </c>
      <c r="D1183" s="67" t="s">
        <v>5484</v>
      </c>
      <c r="E1183" s="96" t="s">
        <v>62</v>
      </c>
      <c r="F1183" s="29" t="s">
        <v>61</v>
      </c>
      <c r="G1183" s="29"/>
      <c r="H1183" s="103">
        <f>_xlfn.XLOOKUP(B1183,GM!$Q$5:$Q$756,GM!$J$5:$J$756)</f>
        <v>46107</v>
      </c>
    </row>
    <row r="1184" spans="1:8" hidden="1" x14ac:dyDescent="0.35">
      <c r="A1184" s="29" t="s">
        <v>26</v>
      </c>
      <c r="B1184" s="29" t="str">
        <f t="shared" si="18"/>
        <v>GAR-13</v>
      </c>
      <c r="C1184" s="29" t="s">
        <v>5485</v>
      </c>
      <c r="D1184" s="67" t="s">
        <v>5486</v>
      </c>
      <c r="E1184" s="96" t="s">
        <v>62</v>
      </c>
      <c r="F1184" s="29" t="s">
        <v>61</v>
      </c>
      <c r="G1184" s="29"/>
      <c r="H1184" s="103">
        <f>_xlfn.XLOOKUP(B1184,GM!$Q$5:$Q$756,GM!$J$5:$J$756)</f>
        <v>46107</v>
      </c>
    </row>
    <row r="1185" spans="1:8" hidden="1" x14ac:dyDescent="0.35">
      <c r="A1185" s="29" t="s">
        <v>26</v>
      </c>
      <c r="B1185" s="29" t="str">
        <f t="shared" si="18"/>
        <v>GAR-13</v>
      </c>
      <c r="C1185" s="29" t="s">
        <v>5487</v>
      </c>
      <c r="D1185" s="67" t="s">
        <v>5488</v>
      </c>
      <c r="E1185" s="96" t="s">
        <v>62</v>
      </c>
      <c r="F1185" s="29" t="s">
        <v>61</v>
      </c>
      <c r="G1185" s="29"/>
      <c r="H1185" s="103">
        <f>_xlfn.XLOOKUP(B1185,GM!$Q$5:$Q$756,GM!$J$5:$J$756)</f>
        <v>46107</v>
      </c>
    </row>
    <row r="1186" spans="1:8" hidden="1" x14ac:dyDescent="0.35">
      <c r="A1186" s="29" t="s">
        <v>26</v>
      </c>
      <c r="B1186" s="29" t="str">
        <f t="shared" si="18"/>
        <v>GAR-13</v>
      </c>
      <c r="C1186" s="29" t="s">
        <v>5489</v>
      </c>
      <c r="D1186" s="67" t="s">
        <v>5490</v>
      </c>
      <c r="E1186" s="96" t="s">
        <v>62</v>
      </c>
      <c r="F1186" s="29" t="s">
        <v>61</v>
      </c>
      <c r="G1186" s="29"/>
      <c r="H1186" s="103">
        <f>_xlfn.XLOOKUP(B1186,GM!$Q$5:$Q$756,GM!$J$5:$J$756)</f>
        <v>46107</v>
      </c>
    </row>
    <row r="1187" spans="1:8" hidden="1" x14ac:dyDescent="0.35">
      <c r="A1187" s="29" t="s">
        <v>26</v>
      </c>
      <c r="B1187" s="29" t="str">
        <f t="shared" si="18"/>
        <v>GAR-13</v>
      </c>
      <c r="C1187" s="29" t="s">
        <v>5491</v>
      </c>
      <c r="D1187" s="67" t="s">
        <v>5492</v>
      </c>
      <c r="E1187" s="96" t="s">
        <v>62</v>
      </c>
      <c r="F1187" s="29" t="s">
        <v>61</v>
      </c>
      <c r="G1187" s="29"/>
      <c r="H1187" s="103">
        <f>_xlfn.XLOOKUP(B1187,GM!$Q$5:$Q$756,GM!$J$5:$J$756)</f>
        <v>46107</v>
      </c>
    </row>
    <row r="1188" spans="1:8" hidden="1" x14ac:dyDescent="0.35">
      <c r="A1188" s="29" t="s">
        <v>26</v>
      </c>
      <c r="B1188" s="29" t="str">
        <f t="shared" si="18"/>
        <v>GAR-13</v>
      </c>
      <c r="C1188" s="29" t="s">
        <v>5493</v>
      </c>
      <c r="D1188" s="67" t="s">
        <v>5494</v>
      </c>
      <c r="E1188" s="96" t="s">
        <v>62</v>
      </c>
      <c r="F1188" s="29" t="s">
        <v>61</v>
      </c>
      <c r="G1188" s="29"/>
      <c r="H1188" s="103">
        <f>_xlfn.XLOOKUP(B1188,GM!$Q$5:$Q$756,GM!$J$5:$J$756)</f>
        <v>46107</v>
      </c>
    </row>
    <row r="1189" spans="1:8" hidden="1" x14ac:dyDescent="0.35">
      <c r="A1189" s="29" t="s">
        <v>26</v>
      </c>
      <c r="B1189" s="29" t="str">
        <f t="shared" si="18"/>
        <v>GAR-13</v>
      </c>
      <c r="C1189" s="29" t="s">
        <v>5495</v>
      </c>
      <c r="D1189" s="67" t="s">
        <v>5496</v>
      </c>
      <c r="E1189" s="96" t="s">
        <v>62</v>
      </c>
      <c r="F1189" s="29" t="s">
        <v>61</v>
      </c>
      <c r="G1189" s="29"/>
      <c r="H1189" s="103">
        <f>_xlfn.XLOOKUP(B1189,GM!$Q$5:$Q$756,GM!$J$5:$J$756)</f>
        <v>46107</v>
      </c>
    </row>
    <row r="1190" spans="1:8" hidden="1" x14ac:dyDescent="0.35">
      <c r="A1190" s="29" t="s">
        <v>26</v>
      </c>
      <c r="B1190" s="29" t="str">
        <f t="shared" si="18"/>
        <v>GAR-14</v>
      </c>
      <c r="C1190" s="29" t="s">
        <v>5497</v>
      </c>
      <c r="D1190" s="67" t="s">
        <v>5498</v>
      </c>
      <c r="E1190" s="96" t="s">
        <v>62</v>
      </c>
      <c r="F1190" s="29" t="s">
        <v>61</v>
      </c>
      <c r="G1190" s="29"/>
      <c r="H1190" s="103">
        <f>_xlfn.XLOOKUP(B1190,GM!$Q$5:$Q$756,GM!$J$5:$J$756)</f>
        <v>45202</v>
      </c>
    </row>
    <row r="1191" spans="1:8" hidden="1" x14ac:dyDescent="0.35">
      <c r="A1191" s="29" t="s">
        <v>26</v>
      </c>
      <c r="B1191" s="29" t="str">
        <f t="shared" si="18"/>
        <v>GAR-15</v>
      </c>
      <c r="C1191" s="29" t="s">
        <v>5499</v>
      </c>
      <c r="D1191" s="67" t="s">
        <v>5500</v>
      </c>
      <c r="E1191" s="96" t="s">
        <v>62</v>
      </c>
      <c r="F1191" s="29" t="s">
        <v>61</v>
      </c>
      <c r="G1191" s="29"/>
      <c r="H1191" s="103">
        <f>_xlfn.XLOOKUP(B1191,GM!$Q$5:$Q$756,GM!$J$5:$J$756)</f>
        <v>46107</v>
      </c>
    </row>
    <row r="1192" spans="1:8" hidden="1" x14ac:dyDescent="0.35">
      <c r="A1192" s="29" t="s">
        <v>26</v>
      </c>
      <c r="B1192" s="29" t="str">
        <f t="shared" si="18"/>
        <v>GAR-15</v>
      </c>
      <c r="C1192" s="29" t="s">
        <v>5501</v>
      </c>
      <c r="D1192" s="67" t="s">
        <v>5502</v>
      </c>
      <c r="E1192" s="96" t="s">
        <v>62</v>
      </c>
      <c r="F1192" s="29" t="s">
        <v>61</v>
      </c>
      <c r="G1192" s="29"/>
      <c r="H1192" s="103">
        <f>_xlfn.XLOOKUP(B1192,GM!$Q$5:$Q$756,GM!$J$5:$J$756)</f>
        <v>46107</v>
      </c>
    </row>
    <row r="1193" spans="1:8" hidden="1" x14ac:dyDescent="0.35">
      <c r="A1193" s="29" t="s">
        <v>26</v>
      </c>
      <c r="B1193" s="29" t="str">
        <f t="shared" si="18"/>
        <v>GAR-15</v>
      </c>
      <c r="C1193" s="29" t="s">
        <v>5503</v>
      </c>
      <c r="D1193" s="67" t="s">
        <v>5504</v>
      </c>
      <c r="E1193" s="96" t="s">
        <v>62</v>
      </c>
      <c r="F1193" s="29" t="s">
        <v>61</v>
      </c>
      <c r="G1193" s="29"/>
      <c r="H1193" s="103">
        <f>_xlfn.XLOOKUP(B1193,GM!$Q$5:$Q$756,GM!$J$5:$J$756)</f>
        <v>46107</v>
      </c>
    </row>
    <row r="1194" spans="1:8" hidden="1" x14ac:dyDescent="0.35">
      <c r="A1194" s="29" t="s">
        <v>26</v>
      </c>
      <c r="B1194" s="29" t="str">
        <f t="shared" si="18"/>
        <v>GAR-15</v>
      </c>
      <c r="C1194" s="29" t="s">
        <v>5505</v>
      </c>
      <c r="D1194" s="67" t="s">
        <v>5506</v>
      </c>
      <c r="E1194" s="96" t="s">
        <v>62</v>
      </c>
      <c r="F1194" s="29" t="s">
        <v>61</v>
      </c>
      <c r="G1194" s="29"/>
      <c r="H1194" s="103">
        <f>_xlfn.XLOOKUP(B1194,GM!$Q$5:$Q$756,GM!$J$5:$J$756)</f>
        <v>46107</v>
      </c>
    </row>
    <row r="1195" spans="1:8" hidden="1" x14ac:dyDescent="0.35">
      <c r="A1195" s="29" t="s">
        <v>26</v>
      </c>
      <c r="B1195" s="29" t="str">
        <f t="shared" si="18"/>
        <v>GAR-15</v>
      </c>
      <c r="C1195" s="29" t="s">
        <v>5507</v>
      </c>
      <c r="D1195" s="67" t="s">
        <v>5508</v>
      </c>
      <c r="E1195" s="96" t="s">
        <v>62</v>
      </c>
      <c r="F1195" s="29" t="s">
        <v>61</v>
      </c>
      <c r="G1195" s="29"/>
      <c r="H1195" s="103">
        <f>_xlfn.XLOOKUP(B1195,GM!$Q$5:$Q$756,GM!$J$5:$J$756)</f>
        <v>46107</v>
      </c>
    </row>
    <row r="1196" spans="1:8" hidden="1" x14ac:dyDescent="0.35">
      <c r="A1196" s="29" t="s">
        <v>26</v>
      </c>
      <c r="B1196" s="29" t="str">
        <f t="shared" si="18"/>
        <v>GAR-15</v>
      </c>
      <c r="C1196" s="29" t="s">
        <v>5509</v>
      </c>
      <c r="D1196" s="67" t="s">
        <v>5510</v>
      </c>
      <c r="E1196" s="96" t="s">
        <v>62</v>
      </c>
      <c r="F1196" s="29" t="s">
        <v>61</v>
      </c>
      <c r="G1196" s="29"/>
      <c r="H1196" s="103">
        <f>_xlfn.XLOOKUP(B1196,GM!$Q$5:$Q$756,GM!$J$5:$J$756)</f>
        <v>46107</v>
      </c>
    </row>
    <row r="1197" spans="1:8" hidden="1" x14ac:dyDescent="0.35">
      <c r="A1197" s="29" t="s">
        <v>26</v>
      </c>
      <c r="B1197" s="29" t="str">
        <f t="shared" si="18"/>
        <v>GAR-15</v>
      </c>
      <c r="C1197" s="29" t="s">
        <v>5511</v>
      </c>
      <c r="D1197" s="67" t="s">
        <v>5512</v>
      </c>
      <c r="E1197" s="96" t="s">
        <v>62</v>
      </c>
      <c r="F1197" s="29" t="s">
        <v>61</v>
      </c>
      <c r="G1197" s="29"/>
      <c r="H1197" s="103">
        <f>_xlfn.XLOOKUP(B1197,GM!$Q$5:$Q$756,GM!$J$5:$J$756)</f>
        <v>46107</v>
      </c>
    </row>
    <row r="1198" spans="1:8" hidden="1" x14ac:dyDescent="0.35">
      <c r="A1198" s="29" t="s">
        <v>26</v>
      </c>
      <c r="B1198" s="29" t="str">
        <f t="shared" si="18"/>
        <v>GAR-15</v>
      </c>
      <c r="C1198" s="29" t="s">
        <v>5513</v>
      </c>
      <c r="D1198" s="67" t="s">
        <v>5514</v>
      </c>
      <c r="E1198" s="96" t="s">
        <v>62</v>
      </c>
      <c r="F1198" s="29" t="s">
        <v>61</v>
      </c>
      <c r="G1198" s="29"/>
      <c r="H1198" s="103">
        <f>_xlfn.XLOOKUP(B1198,GM!$Q$5:$Q$756,GM!$J$5:$J$756)</f>
        <v>46107</v>
      </c>
    </row>
    <row r="1199" spans="1:8" hidden="1" x14ac:dyDescent="0.35">
      <c r="A1199" s="29" t="s">
        <v>26</v>
      </c>
      <c r="B1199" s="29" t="str">
        <f t="shared" si="18"/>
        <v>GAR-15</v>
      </c>
      <c r="C1199" s="29" t="s">
        <v>5515</v>
      </c>
      <c r="D1199" s="67" t="s">
        <v>5516</v>
      </c>
      <c r="E1199" s="96" t="s">
        <v>62</v>
      </c>
      <c r="F1199" s="29" t="s">
        <v>61</v>
      </c>
      <c r="G1199" s="29"/>
      <c r="H1199" s="103">
        <f>_xlfn.XLOOKUP(B1199,GM!$Q$5:$Q$756,GM!$J$5:$J$756)</f>
        <v>46107</v>
      </c>
    </row>
    <row r="1200" spans="1:8" hidden="1" x14ac:dyDescent="0.35">
      <c r="A1200" s="29" t="s">
        <v>26</v>
      </c>
      <c r="B1200" s="29" t="str">
        <f t="shared" si="18"/>
        <v>GAR-15</v>
      </c>
      <c r="C1200" s="29" t="s">
        <v>5517</v>
      </c>
      <c r="D1200" s="67" t="s">
        <v>5518</v>
      </c>
      <c r="E1200" s="96" t="s">
        <v>62</v>
      </c>
      <c r="F1200" s="29" t="s">
        <v>61</v>
      </c>
      <c r="G1200" s="29"/>
      <c r="H1200" s="103">
        <f>_xlfn.XLOOKUP(B1200,GM!$Q$5:$Q$756,GM!$J$5:$J$756)</f>
        <v>46107</v>
      </c>
    </row>
    <row r="1201" spans="1:8" hidden="1" x14ac:dyDescent="0.35">
      <c r="A1201" s="29" t="s">
        <v>26</v>
      </c>
      <c r="B1201" s="29" t="str">
        <f t="shared" si="18"/>
        <v>GAR-15</v>
      </c>
      <c r="C1201" s="29" t="s">
        <v>5519</v>
      </c>
      <c r="D1201" s="67" t="s">
        <v>5520</v>
      </c>
      <c r="E1201" s="96" t="s">
        <v>62</v>
      </c>
      <c r="F1201" s="29" t="s">
        <v>61</v>
      </c>
      <c r="G1201" s="29"/>
      <c r="H1201" s="103">
        <f>_xlfn.XLOOKUP(B1201,GM!$Q$5:$Q$756,GM!$J$5:$J$756)</f>
        <v>46107</v>
      </c>
    </row>
    <row r="1202" spans="1:8" hidden="1" x14ac:dyDescent="0.35">
      <c r="A1202" s="29" t="s">
        <v>26</v>
      </c>
      <c r="B1202" s="29" t="str">
        <f t="shared" si="18"/>
        <v>GAR-15</v>
      </c>
      <c r="C1202" s="29" t="s">
        <v>5521</v>
      </c>
      <c r="D1202" s="67" t="s">
        <v>5522</v>
      </c>
      <c r="E1202" s="96" t="s">
        <v>62</v>
      </c>
      <c r="F1202" s="29" t="s">
        <v>61</v>
      </c>
      <c r="G1202" s="29"/>
      <c r="H1202" s="103">
        <f>_xlfn.XLOOKUP(B1202,GM!$Q$5:$Q$756,GM!$J$5:$J$756)</f>
        <v>46107</v>
      </c>
    </row>
    <row r="1203" spans="1:8" hidden="1" x14ac:dyDescent="0.35">
      <c r="A1203" s="29" t="s">
        <v>26</v>
      </c>
      <c r="B1203" s="29" t="str">
        <f t="shared" si="18"/>
        <v>GAR-15</v>
      </c>
      <c r="C1203" s="29" t="s">
        <v>5523</v>
      </c>
      <c r="D1203" s="67" t="s">
        <v>5524</v>
      </c>
      <c r="E1203" s="96" t="s">
        <v>62</v>
      </c>
      <c r="F1203" s="29" t="s">
        <v>61</v>
      </c>
      <c r="G1203" s="29"/>
      <c r="H1203" s="103">
        <f>_xlfn.XLOOKUP(B1203,GM!$Q$5:$Q$756,GM!$J$5:$J$756)</f>
        <v>46107</v>
      </c>
    </row>
    <row r="1204" spans="1:8" hidden="1" x14ac:dyDescent="0.35">
      <c r="A1204" s="29" t="s">
        <v>26</v>
      </c>
      <c r="B1204" s="29" t="str">
        <f t="shared" si="18"/>
        <v>GAR-15</v>
      </c>
      <c r="C1204" s="29" t="s">
        <v>5525</v>
      </c>
      <c r="D1204" s="67" t="s">
        <v>5526</v>
      </c>
      <c r="E1204" s="96" t="s">
        <v>62</v>
      </c>
      <c r="F1204" s="29" t="s">
        <v>61</v>
      </c>
      <c r="G1204" s="29"/>
      <c r="H1204" s="103">
        <f>_xlfn.XLOOKUP(B1204,GM!$Q$5:$Q$756,GM!$J$5:$J$756)</f>
        <v>46107</v>
      </c>
    </row>
    <row r="1205" spans="1:8" hidden="1" x14ac:dyDescent="0.35">
      <c r="A1205" s="29" t="s">
        <v>26</v>
      </c>
      <c r="B1205" s="29" t="str">
        <f t="shared" si="18"/>
        <v>GAR-15</v>
      </c>
      <c r="C1205" s="29" t="s">
        <v>5527</v>
      </c>
      <c r="D1205" s="67" t="s">
        <v>5528</v>
      </c>
      <c r="E1205" s="96" t="s">
        <v>62</v>
      </c>
      <c r="F1205" s="29" t="s">
        <v>61</v>
      </c>
      <c r="G1205" s="29"/>
      <c r="H1205" s="103">
        <f>_xlfn.XLOOKUP(B1205,GM!$Q$5:$Q$756,GM!$J$5:$J$756)</f>
        <v>46107</v>
      </c>
    </row>
    <row r="1206" spans="1:8" hidden="1" x14ac:dyDescent="0.35">
      <c r="A1206" s="29" t="s">
        <v>26</v>
      </c>
      <c r="B1206" s="29" t="str">
        <f t="shared" si="18"/>
        <v>GAR-15</v>
      </c>
      <c r="C1206" s="29" t="s">
        <v>5529</v>
      </c>
      <c r="D1206" s="67" t="s">
        <v>5530</v>
      </c>
      <c r="E1206" s="96" t="s">
        <v>62</v>
      </c>
      <c r="F1206" s="29" t="s">
        <v>61</v>
      </c>
      <c r="G1206" s="29"/>
      <c r="H1206" s="103">
        <f>_xlfn.XLOOKUP(B1206,GM!$Q$5:$Q$756,GM!$J$5:$J$756)</f>
        <v>46107</v>
      </c>
    </row>
    <row r="1207" spans="1:8" hidden="1" x14ac:dyDescent="0.35">
      <c r="A1207" s="29" t="s">
        <v>26</v>
      </c>
      <c r="B1207" s="29" t="str">
        <f t="shared" si="18"/>
        <v>GAR-15</v>
      </c>
      <c r="C1207" s="29" t="s">
        <v>5531</v>
      </c>
      <c r="D1207" s="67" t="s">
        <v>5532</v>
      </c>
      <c r="E1207" s="96" t="s">
        <v>62</v>
      </c>
      <c r="F1207" s="29" t="s">
        <v>61</v>
      </c>
      <c r="G1207" s="29"/>
      <c r="H1207" s="103">
        <f>_xlfn.XLOOKUP(B1207,GM!$Q$5:$Q$756,GM!$J$5:$J$756)</f>
        <v>46107</v>
      </c>
    </row>
    <row r="1208" spans="1:8" hidden="1" x14ac:dyDescent="0.35">
      <c r="A1208" s="29" t="s">
        <v>26</v>
      </c>
      <c r="B1208" s="29" t="str">
        <f t="shared" si="18"/>
        <v>GAR-15</v>
      </c>
      <c r="C1208" s="29" t="s">
        <v>5533</v>
      </c>
      <c r="D1208" s="67" t="s">
        <v>5534</v>
      </c>
      <c r="E1208" s="96" t="s">
        <v>62</v>
      </c>
      <c r="F1208" s="29" t="s">
        <v>61</v>
      </c>
      <c r="G1208" s="29"/>
      <c r="H1208" s="103">
        <f>_xlfn.XLOOKUP(B1208,GM!$Q$5:$Q$756,GM!$J$5:$J$756)</f>
        <v>46107</v>
      </c>
    </row>
    <row r="1209" spans="1:8" hidden="1" x14ac:dyDescent="0.35">
      <c r="A1209" s="29" t="s">
        <v>26</v>
      </c>
      <c r="B1209" s="29" t="str">
        <f t="shared" si="18"/>
        <v>GAR-15</v>
      </c>
      <c r="C1209" s="29" t="s">
        <v>5535</v>
      </c>
      <c r="D1209" s="67" t="s">
        <v>5536</v>
      </c>
      <c r="E1209" s="96" t="s">
        <v>62</v>
      </c>
      <c r="F1209" s="29" t="s">
        <v>61</v>
      </c>
      <c r="G1209" s="29"/>
      <c r="H1209" s="103">
        <f>_xlfn.XLOOKUP(B1209,GM!$Q$5:$Q$756,GM!$J$5:$J$756)</f>
        <v>46107</v>
      </c>
    </row>
    <row r="1210" spans="1:8" hidden="1" x14ac:dyDescent="0.35">
      <c r="A1210" s="29" t="s">
        <v>26</v>
      </c>
      <c r="B1210" s="29" t="str">
        <f t="shared" si="18"/>
        <v>GAR-15</v>
      </c>
      <c r="C1210" s="29" t="s">
        <v>5537</v>
      </c>
      <c r="D1210" s="67" t="s">
        <v>5538</v>
      </c>
      <c r="E1210" s="96" t="s">
        <v>62</v>
      </c>
      <c r="F1210" s="29" t="s">
        <v>61</v>
      </c>
      <c r="G1210" s="29"/>
      <c r="H1210" s="103">
        <f>_xlfn.XLOOKUP(B1210,GM!$Q$5:$Q$756,GM!$J$5:$J$756)</f>
        <v>46107</v>
      </c>
    </row>
    <row r="1211" spans="1:8" hidden="1" x14ac:dyDescent="0.35">
      <c r="A1211" s="29" t="s">
        <v>26</v>
      </c>
      <c r="B1211" s="29" t="str">
        <f t="shared" si="18"/>
        <v>GAR-15</v>
      </c>
      <c r="C1211" s="29" t="s">
        <v>5539</v>
      </c>
      <c r="D1211" s="67" t="s">
        <v>5540</v>
      </c>
      <c r="E1211" s="96" t="s">
        <v>62</v>
      </c>
      <c r="F1211" s="29" t="s">
        <v>61</v>
      </c>
      <c r="G1211" s="29"/>
      <c r="H1211" s="103">
        <f>_xlfn.XLOOKUP(B1211,GM!$Q$5:$Q$756,GM!$J$5:$J$756)</f>
        <v>46107</v>
      </c>
    </row>
    <row r="1212" spans="1:8" hidden="1" x14ac:dyDescent="0.35">
      <c r="A1212" s="29" t="s">
        <v>26</v>
      </c>
      <c r="B1212" s="29" t="str">
        <f t="shared" si="18"/>
        <v>GAR-15</v>
      </c>
      <c r="C1212" s="29" t="s">
        <v>5541</v>
      </c>
      <c r="D1212" s="67" t="s">
        <v>5542</v>
      </c>
      <c r="E1212" s="96" t="s">
        <v>62</v>
      </c>
      <c r="F1212" s="29" t="s">
        <v>61</v>
      </c>
      <c r="G1212" s="29"/>
      <c r="H1212" s="103">
        <f>_xlfn.XLOOKUP(B1212,GM!$Q$5:$Q$756,GM!$J$5:$J$756)</f>
        <v>46107</v>
      </c>
    </row>
    <row r="1213" spans="1:8" hidden="1" x14ac:dyDescent="0.35">
      <c r="A1213" s="29" t="s">
        <v>26</v>
      </c>
      <c r="B1213" s="29" t="str">
        <f t="shared" si="18"/>
        <v>GAR-15</v>
      </c>
      <c r="C1213" s="29" t="s">
        <v>5543</v>
      </c>
      <c r="D1213" s="67" t="s">
        <v>5544</v>
      </c>
      <c r="E1213" s="96" t="s">
        <v>62</v>
      </c>
      <c r="F1213" s="29" t="s">
        <v>61</v>
      </c>
      <c r="G1213" s="29"/>
      <c r="H1213" s="103">
        <f>_xlfn.XLOOKUP(B1213,GM!$Q$5:$Q$756,GM!$J$5:$J$756)</f>
        <v>46107</v>
      </c>
    </row>
    <row r="1214" spans="1:8" hidden="1" x14ac:dyDescent="0.35">
      <c r="A1214" s="29" t="s">
        <v>26</v>
      </c>
      <c r="B1214" s="29" t="str">
        <f t="shared" si="18"/>
        <v>GAR-15</v>
      </c>
      <c r="C1214" s="29" t="s">
        <v>5545</v>
      </c>
      <c r="D1214" s="67" t="s">
        <v>5546</v>
      </c>
      <c r="E1214" s="96" t="s">
        <v>62</v>
      </c>
      <c r="F1214" s="29" t="s">
        <v>61</v>
      </c>
      <c r="G1214" s="29"/>
      <c r="H1214" s="103">
        <f>_xlfn.XLOOKUP(B1214,GM!$Q$5:$Q$756,GM!$J$5:$J$756)</f>
        <v>46107</v>
      </c>
    </row>
    <row r="1215" spans="1:8" hidden="1" x14ac:dyDescent="0.35">
      <c r="A1215" s="29" t="s">
        <v>26</v>
      </c>
      <c r="B1215" s="29" t="str">
        <f t="shared" si="18"/>
        <v>GAR-15</v>
      </c>
      <c r="C1215" s="29" t="s">
        <v>5547</v>
      </c>
      <c r="D1215" s="67" t="s">
        <v>5548</v>
      </c>
      <c r="E1215" s="96" t="s">
        <v>62</v>
      </c>
      <c r="F1215" s="29" t="s">
        <v>61</v>
      </c>
      <c r="G1215" s="29"/>
      <c r="H1215" s="103">
        <f>_xlfn.XLOOKUP(B1215,GM!$Q$5:$Q$756,GM!$J$5:$J$756)</f>
        <v>46107</v>
      </c>
    </row>
    <row r="1216" spans="1:8" hidden="1" x14ac:dyDescent="0.35">
      <c r="A1216" s="29" t="s">
        <v>26</v>
      </c>
      <c r="B1216" s="29" t="str">
        <f t="shared" si="18"/>
        <v>GAR-17</v>
      </c>
      <c r="C1216" s="29" t="s">
        <v>5549</v>
      </c>
      <c r="D1216" s="67" t="s">
        <v>5550</v>
      </c>
      <c r="E1216" s="96" t="s">
        <v>62</v>
      </c>
      <c r="F1216" s="29" t="s">
        <v>61</v>
      </c>
      <c r="G1216" s="29"/>
      <c r="H1216" s="103">
        <f>_xlfn.XLOOKUP(B1216,GM!$Q$5:$Q$756,GM!$J$5:$J$756)</f>
        <v>45202</v>
      </c>
    </row>
    <row r="1217" spans="1:8" hidden="1" x14ac:dyDescent="0.35">
      <c r="A1217" s="29" t="s">
        <v>26</v>
      </c>
      <c r="B1217" s="29" t="str">
        <f t="shared" si="18"/>
        <v>GAR-17</v>
      </c>
      <c r="C1217" s="29" t="s">
        <v>5551</v>
      </c>
      <c r="D1217" s="67" t="s">
        <v>5552</v>
      </c>
      <c r="E1217" s="96" t="s">
        <v>62</v>
      </c>
      <c r="F1217" s="29" t="s">
        <v>61</v>
      </c>
      <c r="G1217" s="29"/>
      <c r="H1217" s="103">
        <f>_xlfn.XLOOKUP(B1217,GM!$Q$5:$Q$756,GM!$J$5:$J$756)</f>
        <v>45202</v>
      </c>
    </row>
    <row r="1218" spans="1:8" hidden="1" x14ac:dyDescent="0.35">
      <c r="A1218" s="29" t="s">
        <v>26</v>
      </c>
      <c r="B1218" s="29" t="str">
        <f t="shared" si="18"/>
        <v>GAR-17</v>
      </c>
      <c r="C1218" s="29" t="s">
        <v>5553</v>
      </c>
      <c r="D1218" s="67" t="s">
        <v>5554</v>
      </c>
      <c r="E1218" s="96" t="s">
        <v>62</v>
      </c>
      <c r="F1218" s="29" t="s">
        <v>61</v>
      </c>
      <c r="G1218" s="29"/>
      <c r="H1218" s="103">
        <f>_xlfn.XLOOKUP(B1218,GM!$Q$5:$Q$756,GM!$J$5:$J$756)</f>
        <v>45202</v>
      </c>
    </row>
    <row r="1219" spans="1:8" hidden="1" x14ac:dyDescent="0.35">
      <c r="A1219" s="29" t="s">
        <v>26</v>
      </c>
      <c r="B1219" s="29" t="str">
        <f t="shared" si="18"/>
        <v>GAR-17</v>
      </c>
      <c r="C1219" s="29" t="s">
        <v>5555</v>
      </c>
      <c r="D1219" s="67" t="s">
        <v>5556</v>
      </c>
      <c r="E1219" s="96" t="s">
        <v>62</v>
      </c>
      <c r="F1219" s="29" t="s">
        <v>61</v>
      </c>
      <c r="G1219" s="29"/>
      <c r="H1219" s="103">
        <f>_xlfn.XLOOKUP(B1219,GM!$Q$5:$Q$756,GM!$J$5:$J$756)</f>
        <v>45202</v>
      </c>
    </row>
    <row r="1220" spans="1:8" hidden="1" x14ac:dyDescent="0.35">
      <c r="A1220" s="29" t="s">
        <v>26</v>
      </c>
      <c r="B1220" s="29" t="str">
        <f t="shared" si="18"/>
        <v>GAR-17</v>
      </c>
      <c r="C1220" s="29" t="s">
        <v>5557</v>
      </c>
      <c r="D1220" s="67" t="s">
        <v>5558</v>
      </c>
      <c r="E1220" s="96" t="s">
        <v>62</v>
      </c>
      <c r="F1220" s="29" t="s">
        <v>61</v>
      </c>
      <c r="G1220" s="29"/>
      <c r="H1220" s="103">
        <f>_xlfn.XLOOKUP(B1220,GM!$Q$5:$Q$756,GM!$J$5:$J$756)</f>
        <v>45202</v>
      </c>
    </row>
    <row r="1221" spans="1:8" hidden="1" x14ac:dyDescent="0.35">
      <c r="A1221" s="29" t="s">
        <v>26</v>
      </c>
      <c r="B1221" s="29" t="str">
        <f t="shared" ref="B1221:B1284" si="19">IF(OR(A1221="ARN",A1221="SDP"),MID(C1221,4,7),MID(C1221,4,6))</f>
        <v>GAR-17</v>
      </c>
      <c r="C1221" s="29" t="s">
        <v>5559</v>
      </c>
      <c r="D1221" s="67" t="s">
        <v>5560</v>
      </c>
      <c r="E1221" s="96" t="s">
        <v>62</v>
      </c>
      <c r="F1221" s="29" t="s">
        <v>61</v>
      </c>
      <c r="G1221" s="29"/>
      <c r="H1221" s="103">
        <f>_xlfn.XLOOKUP(B1221,GM!$Q$5:$Q$756,GM!$J$5:$J$756)</f>
        <v>45202</v>
      </c>
    </row>
    <row r="1222" spans="1:8" hidden="1" x14ac:dyDescent="0.35">
      <c r="A1222" s="29" t="s">
        <v>26</v>
      </c>
      <c r="B1222" s="29" t="str">
        <f t="shared" si="19"/>
        <v>GAR-18</v>
      </c>
      <c r="C1222" s="29" t="s">
        <v>5561</v>
      </c>
      <c r="D1222" s="67" t="s">
        <v>5562</v>
      </c>
      <c r="E1222" s="96" t="s">
        <v>62</v>
      </c>
      <c r="F1222" s="29" t="s">
        <v>61</v>
      </c>
      <c r="G1222" s="29"/>
      <c r="H1222" s="103">
        <f>_xlfn.XLOOKUP(B1222,GM!$Q$5:$Q$756,GM!$J$5:$J$756)</f>
        <v>45645</v>
      </c>
    </row>
    <row r="1223" spans="1:8" hidden="1" x14ac:dyDescent="0.35">
      <c r="A1223" s="29" t="s">
        <v>26</v>
      </c>
      <c r="B1223" s="29" t="str">
        <f t="shared" si="19"/>
        <v>GAR-18</v>
      </c>
      <c r="C1223" s="29" t="s">
        <v>5563</v>
      </c>
      <c r="D1223" s="67" t="s">
        <v>5564</v>
      </c>
      <c r="E1223" s="96" t="s">
        <v>62</v>
      </c>
      <c r="F1223" s="29" t="s">
        <v>61</v>
      </c>
      <c r="G1223" s="29"/>
      <c r="H1223" s="103">
        <f>_xlfn.XLOOKUP(B1223,GM!$Q$5:$Q$756,GM!$J$5:$J$756)</f>
        <v>45645</v>
      </c>
    </row>
    <row r="1224" spans="1:8" hidden="1" x14ac:dyDescent="0.35">
      <c r="A1224" s="29" t="s">
        <v>26</v>
      </c>
      <c r="B1224" s="29" t="str">
        <f t="shared" si="19"/>
        <v>GAR-18</v>
      </c>
      <c r="C1224" s="29" t="s">
        <v>5565</v>
      </c>
      <c r="D1224" s="67" t="s">
        <v>5566</v>
      </c>
      <c r="E1224" s="96" t="s">
        <v>62</v>
      </c>
      <c r="F1224" s="29" t="s">
        <v>61</v>
      </c>
      <c r="G1224" s="29"/>
      <c r="H1224" s="103">
        <f>_xlfn.XLOOKUP(B1224,GM!$Q$5:$Q$756,GM!$J$5:$J$756)</f>
        <v>45645</v>
      </c>
    </row>
    <row r="1225" spans="1:8" hidden="1" x14ac:dyDescent="0.35">
      <c r="A1225" s="29" t="s">
        <v>26</v>
      </c>
      <c r="B1225" s="29" t="str">
        <f t="shared" si="19"/>
        <v>GAR-18</v>
      </c>
      <c r="C1225" s="29" t="s">
        <v>5567</v>
      </c>
      <c r="D1225" s="67" t="s">
        <v>5568</v>
      </c>
      <c r="E1225" s="96" t="s">
        <v>62</v>
      </c>
      <c r="F1225" s="29" t="s">
        <v>61</v>
      </c>
      <c r="G1225" s="29"/>
      <c r="H1225" s="103">
        <f>_xlfn.XLOOKUP(B1225,GM!$Q$5:$Q$756,GM!$J$5:$J$756)</f>
        <v>45645</v>
      </c>
    </row>
    <row r="1226" spans="1:8" hidden="1" x14ac:dyDescent="0.35">
      <c r="A1226" s="29" t="s">
        <v>26</v>
      </c>
      <c r="B1226" s="29" t="str">
        <f t="shared" si="19"/>
        <v>GAR-18</v>
      </c>
      <c r="C1226" s="29" t="s">
        <v>5569</v>
      </c>
      <c r="D1226" s="67" t="s">
        <v>5570</v>
      </c>
      <c r="E1226" s="96" t="s">
        <v>62</v>
      </c>
      <c r="F1226" s="29" t="s">
        <v>61</v>
      </c>
      <c r="G1226" s="29"/>
      <c r="H1226" s="103">
        <f>_xlfn.XLOOKUP(B1226,GM!$Q$5:$Q$756,GM!$J$5:$J$756)</f>
        <v>45645</v>
      </c>
    </row>
    <row r="1227" spans="1:8" hidden="1" x14ac:dyDescent="0.35">
      <c r="A1227" s="29" t="s">
        <v>26</v>
      </c>
      <c r="B1227" s="29" t="str">
        <f t="shared" si="19"/>
        <v>GAR-18</v>
      </c>
      <c r="C1227" s="29" t="s">
        <v>5571</v>
      </c>
      <c r="D1227" s="67" t="s">
        <v>5572</v>
      </c>
      <c r="E1227" s="96" t="s">
        <v>62</v>
      </c>
      <c r="F1227" s="29" t="s">
        <v>61</v>
      </c>
      <c r="G1227" s="29"/>
      <c r="H1227" s="103">
        <f>_xlfn.XLOOKUP(B1227,GM!$Q$5:$Q$756,GM!$J$5:$J$756)</f>
        <v>45645</v>
      </c>
    </row>
    <row r="1228" spans="1:8" hidden="1" x14ac:dyDescent="0.35">
      <c r="A1228" s="29" t="s">
        <v>26</v>
      </c>
      <c r="B1228" s="29" t="str">
        <f t="shared" si="19"/>
        <v>GAR-18</v>
      </c>
      <c r="C1228" s="29" t="s">
        <v>5573</v>
      </c>
      <c r="D1228" s="67" t="s">
        <v>5574</v>
      </c>
      <c r="E1228" s="96" t="s">
        <v>62</v>
      </c>
      <c r="F1228" s="29" t="s">
        <v>61</v>
      </c>
      <c r="G1228" s="29"/>
      <c r="H1228" s="103">
        <f>_xlfn.XLOOKUP(B1228,GM!$Q$5:$Q$756,GM!$J$5:$J$756)</f>
        <v>45645</v>
      </c>
    </row>
    <row r="1229" spans="1:8" hidden="1" x14ac:dyDescent="0.35">
      <c r="A1229" s="29" t="s">
        <v>26</v>
      </c>
      <c r="B1229" s="29" t="str">
        <f t="shared" si="19"/>
        <v>GAR-18</v>
      </c>
      <c r="C1229" s="29" t="s">
        <v>5575</v>
      </c>
      <c r="D1229" s="67" t="s">
        <v>5576</v>
      </c>
      <c r="E1229" s="96" t="s">
        <v>62</v>
      </c>
      <c r="F1229" s="29" t="s">
        <v>61</v>
      </c>
      <c r="G1229" s="29"/>
      <c r="H1229" s="103">
        <f>_xlfn.XLOOKUP(B1229,GM!$Q$5:$Q$756,GM!$J$5:$J$756)</f>
        <v>45645</v>
      </c>
    </row>
    <row r="1230" spans="1:8" hidden="1" x14ac:dyDescent="0.35">
      <c r="A1230" s="29" t="s">
        <v>26</v>
      </c>
      <c r="B1230" s="29" t="str">
        <f t="shared" si="19"/>
        <v>GAR-19</v>
      </c>
      <c r="C1230" s="29" t="s">
        <v>5577</v>
      </c>
      <c r="D1230" s="67" t="s">
        <v>5578</v>
      </c>
      <c r="E1230" s="96" t="s">
        <v>62</v>
      </c>
      <c r="F1230" s="29" t="s">
        <v>61</v>
      </c>
      <c r="G1230" s="29"/>
      <c r="H1230" s="103">
        <f>_xlfn.XLOOKUP(B1230,GM!$Q$5:$Q$756,GM!$J$5:$J$756)</f>
        <v>45959</v>
      </c>
    </row>
    <row r="1231" spans="1:8" hidden="1" x14ac:dyDescent="0.35">
      <c r="A1231" s="29" t="s">
        <v>26</v>
      </c>
      <c r="B1231" s="29" t="str">
        <f t="shared" si="19"/>
        <v>GAR-19</v>
      </c>
      <c r="C1231" s="29" t="s">
        <v>5579</v>
      </c>
      <c r="D1231" s="67" t="s">
        <v>5580</v>
      </c>
      <c r="E1231" s="96" t="s">
        <v>62</v>
      </c>
      <c r="F1231" s="29" t="s">
        <v>61</v>
      </c>
      <c r="G1231" s="29"/>
      <c r="H1231" s="103">
        <f>_xlfn.XLOOKUP(B1231,GM!$Q$5:$Q$756,GM!$J$5:$J$756)</f>
        <v>45959</v>
      </c>
    </row>
    <row r="1232" spans="1:8" hidden="1" x14ac:dyDescent="0.35">
      <c r="A1232" s="29" t="s">
        <v>26</v>
      </c>
      <c r="B1232" s="29" t="str">
        <f t="shared" si="19"/>
        <v>GAR-19</v>
      </c>
      <c r="C1232" s="29" t="s">
        <v>5581</v>
      </c>
      <c r="D1232" s="67" t="s">
        <v>5582</v>
      </c>
      <c r="E1232" s="96" t="s">
        <v>62</v>
      </c>
      <c r="F1232" s="29" t="s">
        <v>61</v>
      </c>
      <c r="G1232" s="29"/>
      <c r="H1232" s="103">
        <f>_xlfn.XLOOKUP(B1232,GM!$Q$5:$Q$756,GM!$J$5:$J$756)</f>
        <v>45959</v>
      </c>
    </row>
    <row r="1233" spans="1:8" hidden="1" x14ac:dyDescent="0.35">
      <c r="A1233" s="29" t="s">
        <v>26</v>
      </c>
      <c r="B1233" s="29" t="str">
        <f t="shared" si="19"/>
        <v>GAR-19</v>
      </c>
      <c r="C1233" s="29" t="s">
        <v>5583</v>
      </c>
      <c r="D1233" s="67" t="s">
        <v>5584</v>
      </c>
      <c r="E1233" s="96" t="s">
        <v>62</v>
      </c>
      <c r="F1233" s="29" t="s">
        <v>61</v>
      </c>
      <c r="G1233" s="29"/>
      <c r="H1233" s="103">
        <f>_xlfn.XLOOKUP(B1233,GM!$Q$5:$Q$756,GM!$J$5:$J$756)</f>
        <v>45959</v>
      </c>
    </row>
    <row r="1234" spans="1:8" hidden="1" x14ac:dyDescent="0.35">
      <c r="A1234" s="29" t="s">
        <v>26</v>
      </c>
      <c r="B1234" s="29" t="str">
        <f t="shared" si="19"/>
        <v>GAR-20</v>
      </c>
      <c r="C1234" s="29" t="s">
        <v>5585</v>
      </c>
      <c r="D1234" s="67" t="s">
        <v>5586</v>
      </c>
      <c r="E1234" s="96" t="s">
        <v>62</v>
      </c>
      <c r="F1234" s="29" t="s">
        <v>61</v>
      </c>
      <c r="G1234" s="29"/>
      <c r="H1234" s="103">
        <f>_xlfn.XLOOKUP(B1234,GM!$Q$5:$Q$756,GM!$J$5:$J$756)</f>
        <v>44889</v>
      </c>
    </row>
    <row r="1235" spans="1:8" hidden="1" x14ac:dyDescent="0.35">
      <c r="A1235" s="29" t="s">
        <v>26</v>
      </c>
      <c r="B1235" s="29" t="str">
        <f t="shared" si="19"/>
        <v>GAR-20</v>
      </c>
      <c r="C1235" s="29" t="s">
        <v>5587</v>
      </c>
      <c r="D1235" s="67" t="s">
        <v>5588</v>
      </c>
      <c r="E1235" s="96" t="s">
        <v>62</v>
      </c>
      <c r="F1235" s="29" t="s">
        <v>61</v>
      </c>
      <c r="G1235" s="29"/>
      <c r="H1235" s="103">
        <f>_xlfn.XLOOKUP(B1235,GM!$Q$5:$Q$756,GM!$J$5:$J$756)</f>
        <v>44889</v>
      </c>
    </row>
    <row r="1236" spans="1:8" hidden="1" x14ac:dyDescent="0.35">
      <c r="A1236" s="29" t="s">
        <v>26</v>
      </c>
      <c r="B1236" s="29" t="str">
        <f t="shared" si="19"/>
        <v>GAR-20</v>
      </c>
      <c r="C1236" s="29" t="s">
        <v>5589</v>
      </c>
      <c r="D1236" s="67" t="s">
        <v>5590</v>
      </c>
      <c r="E1236" s="96" t="s">
        <v>62</v>
      </c>
      <c r="F1236" s="29" t="s">
        <v>61</v>
      </c>
      <c r="G1236" s="29"/>
      <c r="H1236" s="103">
        <f>_xlfn.XLOOKUP(B1236,GM!$Q$5:$Q$756,GM!$J$5:$J$756)</f>
        <v>44889</v>
      </c>
    </row>
    <row r="1237" spans="1:8" hidden="1" x14ac:dyDescent="0.35">
      <c r="A1237" s="29" t="s">
        <v>26</v>
      </c>
      <c r="B1237" s="29" t="str">
        <f t="shared" si="19"/>
        <v>GAR-20</v>
      </c>
      <c r="C1237" s="29" t="s">
        <v>5591</v>
      </c>
      <c r="D1237" s="67" t="s">
        <v>5592</v>
      </c>
      <c r="E1237" s="96" t="s">
        <v>62</v>
      </c>
      <c r="F1237" s="29" t="s">
        <v>61</v>
      </c>
      <c r="G1237" s="29"/>
      <c r="H1237" s="103">
        <f>_xlfn.XLOOKUP(B1237,GM!$Q$5:$Q$756,GM!$J$5:$J$756)</f>
        <v>44889</v>
      </c>
    </row>
    <row r="1238" spans="1:8" hidden="1" x14ac:dyDescent="0.35">
      <c r="A1238" s="29" t="s">
        <v>26</v>
      </c>
      <c r="B1238" s="29" t="str">
        <f t="shared" si="19"/>
        <v>GAR-20</v>
      </c>
      <c r="C1238" s="29" t="s">
        <v>5593</v>
      </c>
      <c r="D1238" s="67" t="s">
        <v>5594</v>
      </c>
      <c r="E1238" s="96" t="s">
        <v>62</v>
      </c>
      <c r="F1238" s="29" t="s">
        <v>61</v>
      </c>
      <c r="G1238" s="29"/>
      <c r="H1238" s="103">
        <f>_xlfn.XLOOKUP(B1238,GM!$Q$5:$Q$756,GM!$J$5:$J$756)</f>
        <v>44889</v>
      </c>
    </row>
    <row r="1239" spans="1:8" hidden="1" x14ac:dyDescent="0.35">
      <c r="A1239" s="29" t="s">
        <v>26</v>
      </c>
      <c r="B1239" s="29" t="str">
        <f t="shared" si="19"/>
        <v>GAR-20</v>
      </c>
      <c r="C1239" s="29" t="s">
        <v>5595</v>
      </c>
      <c r="D1239" s="67" t="s">
        <v>5596</v>
      </c>
      <c r="E1239" s="96" t="s">
        <v>62</v>
      </c>
      <c r="F1239" s="29" t="s">
        <v>61</v>
      </c>
      <c r="G1239" s="29"/>
      <c r="H1239" s="103">
        <f>_xlfn.XLOOKUP(B1239,GM!$Q$5:$Q$756,GM!$J$5:$J$756)</f>
        <v>44889</v>
      </c>
    </row>
    <row r="1240" spans="1:8" hidden="1" x14ac:dyDescent="0.35">
      <c r="A1240" s="29" t="s">
        <v>26</v>
      </c>
      <c r="B1240" s="29" t="str">
        <f t="shared" si="19"/>
        <v>GAR-20</v>
      </c>
      <c r="C1240" s="29" t="s">
        <v>5597</v>
      </c>
      <c r="D1240" s="67" t="s">
        <v>5598</v>
      </c>
      <c r="E1240" s="96" t="s">
        <v>62</v>
      </c>
      <c r="F1240" s="29" t="s">
        <v>61</v>
      </c>
      <c r="G1240" s="29"/>
      <c r="H1240" s="103">
        <f>_xlfn.XLOOKUP(B1240,GM!$Q$5:$Q$756,GM!$J$5:$J$756)</f>
        <v>44889</v>
      </c>
    </row>
    <row r="1241" spans="1:8" hidden="1" x14ac:dyDescent="0.35">
      <c r="A1241" s="29" t="s">
        <v>26</v>
      </c>
      <c r="B1241" s="29" t="str">
        <f t="shared" si="19"/>
        <v>GAR-21</v>
      </c>
      <c r="C1241" s="29" t="s">
        <v>5599</v>
      </c>
      <c r="D1241" s="67" t="s">
        <v>5600</v>
      </c>
      <c r="E1241" s="96" t="s">
        <v>62</v>
      </c>
      <c r="F1241" s="29" t="s">
        <v>61</v>
      </c>
      <c r="G1241" s="29"/>
      <c r="H1241" s="103">
        <f>_xlfn.XLOOKUP(B1241,GM!$Q$5:$Q$756,GM!$J$5:$J$756)</f>
        <v>45645</v>
      </c>
    </row>
    <row r="1242" spans="1:8" hidden="1" x14ac:dyDescent="0.35">
      <c r="A1242" s="29" t="s">
        <v>26</v>
      </c>
      <c r="B1242" s="29" t="str">
        <f t="shared" si="19"/>
        <v>GAR-21</v>
      </c>
      <c r="C1242" s="29" t="s">
        <v>5601</v>
      </c>
      <c r="D1242" s="67" t="s">
        <v>5602</v>
      </c>
      <c r="E1242" s="96" t="s">
        <v>62</v>
      </c>
      <c r="F1242" s="29" t="s">
        <v>61</v>
      </c>
      <c r="G1242" s="29"/>
      <c r="H1242" s="103">
        <f>_xlfn.XLOOKUP(B1242,GM!$Q$5:$Q$756,GM!$J$5:$J$756)</f>
        <v>45645</v>
      </c>
    </row>
    <row r="1243" spans="1:8" hidden="1" x14ac:dyDescent="0.35">
      <c r="A1243" s="29" t="s">
        <v>26</v>
      </c>
      <c r="B1243" s="29" t="str">
        <f t="shared" si="19"/>
        <v>GAR-21</v>
      </c>
      <c r="C1243" s="29" t="s">
        <v>5603</v>
      </c>
      <c r="D1243" s="67" t="s">
        <v>5604</v>
      </c>
      <c r="E1243" s="96" t="s">
        <v>62</v>
      </c>
      <c r="F1243" s="29" t="s">
        <v>61</v>
      </c>
      <c r="G1243" s="29"/>
      <c r="H1243" s="103">
        <f>_xlfn.XLOOKUP(B1243,GM!$Q$5:$Q$756,GM!$J$5:$J$756)</f>
        <v>45645</v>
      </c>
    </row>
    <row r="1244" spans="1:8" hidden="1" x14ac:dyDescent="0.35">
      <c r="A1244" s="29" t="s">
        <v>26</v>
      </c>
      <c r="B1244" s="29" t="str">
        <f t="shared" si="19"/>
        <v>GAR-21</v>
      </c>
      <c r="C1244" s="29" t="s">
        <v>5605</v>
      </c>
      <c r="D1244" s="67" t="s">
        <v>5606</v>
      </c>
      <c r="E1244" s="96" t="s">
        <v>62</v>
      </c>
      <c r="F1244" s="29" t="s">
        <v>61</v>
      </c>
      <c r="G1244" s="29"/>
      <c r="H1244" s="103">
        <f>_xlfn.XLOOKUP(B1244,GM!$Q$5:$Q$756,GM!$J$5:$J$756)</f>
        <v>45645</v>
      </c>
    </row>
    <row r="1245" spans="1:8" hidden="1" x14ac:dyDescent="0.35">
      <c r="A1245" s="29" t="s">
        <v>26</v>
      </c>
      <c r="B1245" s="29" t="str">
        <f t="shared" si="19"/>
        <v>GAR-21</v>
      </c>
      <c r="C1245" s="29" t="s">
        <v>5607</v>
      </c>
      <c r="D1245" s="67" t="s">
        <v>5608</v>
      </c>
      <c r="E1245" s="96" t="s">
        <v>62</v>
      </c>
      <c r="F1245" s="29" t="s">
        <v>61</v>
      </c>
      <c r="G1245" s="29"/>
      <c r="H1245" s="103">
        <f>_xlfn.XLOOKUP(B1245,GM!$Q$5:$Q$756,GM!$J$5:$J$756)</f>
        <v>45645</v>
      </c>
    </row>
    <row r="1246" spans="1:8" hidden="1" x14ac:dyDescent="0.35">
      <c r="A1246" s="29" t="s">
        <v>26</v>
      </c>
      <c r="B1246" s="29" t="str">
        <f t="shared" si="19"/>
        <v>GAR-21</v>
      </c>
      <c r="C1246" s="29" t="s">
        <v>5609</v>
      </c>
      <c r="D1246" s="67" t="s">
        <v>5610</v>
      </c>
      <c r="E1246" s="96" t="s">
        <v>62</v>
      </c>
      <c r="F1246" s="29" t="s">
        <v>61</v>
      </c>
      <c r="G1246" s="29"/>
      <c r="H1246" s="103">
        <f>_xlfn.XLOOKUP(B1246,GM!$Q$5:$Q$756,GM!$J$5:$J$756)</f>
        <v>45645</v>
      </c>
    </row>
    <row r="1247" spans="1:8" hidden="1" x14ac:dyDescent="0.35">
      <c r="A1247" s="29" t="s">
        <v>26</v>
      </c>
      <c r="B1247" s="29" t="str">
        <f t="shared" si="19"/>
        <v>GAR-22</v>
      </c>
      <c r="C1247" s="29" t="s">
        <v>5611</v>
      </c>
      <c r="D1247" s="67" t="s">
        <v>5612</v>
      </c>
      <c r="E1247" s="96" t="s">
        <v>62</v>
      </c>
      <c r="F1247" s="29" t="s">
        <v>61</v>
      </c>
      <c r="G1247" s="29" t="s">
        <v>371</v>
      </c>
      <c r="H1247" s="103">
        <f>_xlfn.XLOOKUP(B1247,GM!$Q$5:$Q$756,GM!$J$5:$J$756)</f>
        <v>44739</v>
      </c>
    </row>
    <row r="1248" spans="1:8" hidden="1" x14ac:dyDescent="0.35">
      <c r="A1248" s="29" t="s">
        <v>26</v>
      </c>
      <c r="B1248" s="29" t="str">
        <f t="shared" si="19"/>
        <v>GAR-23</v>
      </c>
      <c r="C1248" s="29" t="s">
        <v>5613</v>
      </c>
      <c r="D1248" s="67" t="s">
        <v>5614</v>
      </c>
      <c r="E1248" s="96" t="s">
        <v>62</v>
      </c>
      <c r="F1248" s="29" t="s">
        <v>61</v>
      </c>
      <c r="G1248" s="29" t="s">
        <v>371</v>
      </c>
      <c r="H1248" s="103">
        <f>_xlfn.XLOOKUP(B1248,GM!$Q$5:$Q$756,GM!$J$5:$J$756)</f>
        <v>44739</v>
      </c>
    </row>
    <row r="1249" spans="1:8" hidden="1" x14ac:dyDescent="0.35">
      <c r="A1249" s="29" t="s">
        <v>26</v>
      </c>
      <c r="B1249" s="29" t="str">
        <f t="shared" si="19"/>
        <v>GAR-24</v>
      </c>
      <c r="C1249" s="29" t="s">
        <v>5615</v>
      </c>
      <c r="D1249" s="67" t="s">
        <v>5616</v>
      </c>
      <c r="E1249" s="96" t="s">
        <v>62</v>
      </c>
      <c r="F1249" s="29" t="s">
        <v>61</v>
      </c>
      <c r="G1249" s="29" t="s">
        <v>371</v>
      </c>
      <c r="H1249" s="103">
        <f>_xlfn.XLOOKUP(B1249,GM!$Q$5:$Q$756,GM!$J$5:$J$756)</f>
        <v>44739</v>
      </c>
    </row>
    <row r="1250" spans="1:8" hidden="1" x14ac:dyDescent="0.35">
      <c r="A1250" s="29" t="s">
        <v>26</v>
      </c>
      <c r="B1250" s="29" t="str">
        <f t="shared" si="19"/>
        <v>GAR-25</v>
      </c>
      <c r="C1250" s="29" t="s">
        <v>5617</v>
      </c>
      <c r="D1250" s="67" t="s">
        <v>5618</v>
      </c>
      <c r="E1250" s="96" t="s">
        <v>62</v>
      </c>
      <c r="F1250" s="29" t="s">
        <v>61</v>
      </c>
      <c r="G1250" s="29"/>
      <c r="H1250" s="103">
        <f>_xlfn.XLOOKUP(B1250,GM!$Q$5:$Q$756,GM!$J$5:$J$756)</f>
        <v>46009</v>
      </c>
    </row>
    <row r="1251" spans="1:8" hidden="1" x14ac:dyDescent="0.35">
      <c r="A1251" s="29" t="s">
        <v>26</v>
      </c>
      <c r="B1251" s="29" t="str">
        <f t="shared" si="19"/>
        <v>GAR-25</v>
      </c>
      <c r="C1251" s="29" t="s">
        <v>5619</v>
      </c>
      <c r="D1251" s="67" t="s">
        <v>5620</v>
      </c>
      <c r="E1251" s="96" t="s">
        <v>62</v>
      </c>
      <c r="F1251" s="29" t="s">
        <v>61</v>
      </c>
      <c r="G1251" s="29"/>
      <c r="H1251" s="103">
        <f>_xlfn.XLOOKUP(B1251,GM!$Q$5:$Q$756,GM!$J$5:$J$756)</f>
        <v>46009</v>
      </c>
    </row>
    <row r="1252" spans="1:8" hidden="1" x14ac:dyDescent="0.35">
      <c r="A1252" s="29" t="s">
        <v>26</v>
      </c>
      <c r="B1252" s="29" t="str">
        <f t="shared" si="19"/>
        <v>GAR-26</v>
      </c>
      <c r="C1252" s="29" t="s">
        <v>5621</v>
      </c>
      <c r="D1252" s="67" t="s">
        <v>5622</v>
      </c>
      <c r="E1252" s="96" t="s">
        <v>62</v>
      </c>
      <c r="F1252" s="29" t="s">
        <v>61</v>
      </c>
      <c r="G1252" s="29" t="s">
        <v>371</v>
      </c>
      <c r="H1252" s="103">
        <f>_xlfn.XLOOKUP(B1252,GM!$Q$5:$Q$756,GM!$J$5:$J$756)</f>
        <v>44739</v>
      </c>
    </row>
    <row r="1253" spans="1:8" hidden="1" x14ac:dyDescent="0.35">
      <c r="A1253" s="29" t="s">
        <v>26</v>
      </c>
      <c r="B1253" s="29" t="str">
        <f t="shared" si="19"/>
        <v>GAR-27</v>
      </c>
      <c r="C1253" s="29" t="s">
        <v>5623</v>
      </c>
      <c r="D1253" s="67" t="s">
        <v>5624</v>
      </c>
      <c r="E1253" s="96" t="s">
        <v>62</v>
      </c>
      <c r="F1253" s="29" t="s">
        <v>61</v>
      </c>
      <c r="G1253" s="29" t="s">
        <v>371</v>
      </c>
      <c r="H1253" s="103">
        <f>_xlfn.XLOOKUP(B1253,GM!$Q$5:$Q$756,GM!$J$5:$J$756)</f>
        <v>44739</v>
      </c>
    </row>
    <row r="1254" spans="1:8" hidden="1" x14ac:dyDescent="0.35">
      <c r="A1254" s="29" t="s">
        <v>26</v>
      </c>
      <c r="B1254" s="29" t="str">
        <f t="shared" si="19"/>
        <v>GAR-28</v>
      </c>
      <c r="C1254" s="29" t="s">
        <v>5625</v>
      </c>
      <c r="D1254" s="67" t="s">
        <v>5626</v>
      </c>
      <c r="E1254" s="96" t="s">
        <v>62</v>
      </c>
      <c r="F1254" s="29" t="s">
        <v>61</v>
      </c>
      <c r="G1254" s="29"/>
      <c r="H1254" s="103">
        <f>_xlfn.XLOOKUP(B1254,GM!$Q$5:$Q$756,GM!$J$5:$J$756)</f>
        <v>45202</v>
      </c>
    </row>
    <row r="1255" spans="1:8" hidden="1" x14ac:dyDescent="0.35">
      <c r="A1255" s="29" t="s">
        <v>26</v>
      </c>
      <c r="B1255" s="29" t="str">
        <f t="shared" si="19"/>
        <v>GAR-29</v>
      </c>
      <c r="C1255" s="29" t="s">
        <v>5627</v>
      </c>
      <c r="D1255" s="67" t="s">
        <v>5628</v>
      </c>
      <c r="E1255" s="96" t="s">
        <v>62</v>
      </c>
      <c r="F1255" s="29" t="s">
        <v>61</v>
      </c>
      <c r="G1255" s="29"/>
      <c r="H1255" s="103">
        <f>_xlfn.XLOOKUP(B1255,GM!$Q$5:$Q$756,GM!$J$5:$J$756)</f>
        <v>45202</v>
      </c>
    </row>
    <row r="1256" spans="1:8" hidden="1" x14ac:dyDescent="0.35">
      <c r="A1256" s="29" t="s">
        <v>26</v>
      </c>
      <c r="B1256" s="29" t="str">
        <f t="shared" si="19"/>
        <v>GAR-30</v>
      </c>
      <c r="C1256" s="29" t="s">
        <v>5629</v>
      </c>
      <c r="D1256" s="67" t="s">
        <v>5630</v>
      </c>
      <c r="E1256" s="96" t="s">
        <v>62</v>
      </c>
      <c r="F1256" s="29" t="s">
        <v>61</v>
      </c>
      <c r="G1256" s="29"/>
      <c r="H1256" s="103">
        <f>_xlfn.XLOOKUP(B1256,GM!$Q$5:$Q$756,GM!$J$5:$J$756)</f>
        <v>44838</v>
      </c>
    </row>
    <row r="1257" spans="1:8" hidden="1" x14ac:dyDescent="0.35">
      <c r="A1257" s="29" t="s">
        <v>26</v>
      </c>
      <c r="B1257" s="29" t="str">
        <f t="shared" si="19"/>
        <v>GAR-30</v>
      </c>
      <c r="C1257" s="29" t="s">
        <v>5631</v>
      </c>
      <c r="D1257" s="67" t="s">
        <v>5632</v>
      </c>
      <c r="E1257" s="96" t="s">
        <v>62</v>
      </c>
      <c r="F1257" s="29" t="s">
        <v>61</v>
      </c>
      <c r="G1257" s="29"/>
      <c r="H1257" s="103">
        <f>_xlfn.XLOOKUP(B1257,GM!$Q$5:$Q$756,GM!$J$5:$J$756)</f>
        <v>44838</v>
      </c>
    </row>
    <row r="1258" spans="1:8" hidden="1" x14ac:dyDescent="0.35">
      <c r="A1258" s="29" t="s">
        <v>26</v>
      </c>
      <c r="B1258" s="29" t="str">
        <f t="shared" si="19"/>
        <v>GAR-33</v>
      </c>
      <c r="C1258" s="29" t="s">
        <v>5633</v>
      </c>
      <c r="D1258" s="67" t="s">
        <v>5634</v>
      </c>
      <c r="E1258" s="96" t="s">
        <v>62</v>
      </c>
      <c r="F1258" s="29" t="s">
        <v>61</v>
      </c>
      <c r="G1258" s="29" t="s">
        <v>371</v>
      </c>
      <c r="H1258" s="103">
        <f>_xlfn.XLOOKUP(B1258,GM!$Q$5:$Q$756,GM!$J$5:$J$756)</f>
        <v>44739</v>
      </c>
    </row>
    <row r="1259" spans="1:8" hidden="1" x14ac:dyDescent="0.35">
      <c r="A1259" s="29" t="s">
        <v>26</v>
      </c>
      <c r="B1259" s="29" t="str">
        <f t="shared" si="19"/>
        <v>GAR-40</v>
      </c>
      <c r="C1259" s="29" t="s">
        <v>5635</v>
      </c>
      <c r="D1259" s="67" t="s">
        <v>5636</v>
      </c>
      <c r="E1259" s="96" t="s">
        <v>62</v>
      </c>
      <c r="F1259" s="29" t="s">
        <v>61</v>
      </c>
      <c r="G1259" s="29"/>
      <c r="H1259" s="103">
        <f>_xlfn.XLOOKUP(B1259,GM!$Q$5:$Q$756,GM!$J$5:$J$756)</f>
        <v>45202</v>
      </c>
    </row>
    <row r="1260" spans="1:8" hidden="1" x14ac:dyDescent="0.35">
      <c r="A1260" s="29" t="s">
        <v>26</v>
      </c>
      <c r="B1260" s="29" t="str">
        <f t="shared" si="19"/>
        <v>GAR-40</v>
      </c>
      <c r="C1260" s="29" t="s">
        <v>5637</v>
      </c>
      <c r="D1260" s="67" t="s">
        <v>5638</v>
      </c>
      <c r="E1260" s="96" t="s">
        <v>62</v>
      </c>
      <c r="F1260" s="29" t="s">
        <v>61</v>
      </c>
      <c r="G1260" s="29"/>
      <c r="H1260" s="103">
        <f>_xlfn.XLOOKUP(B1260,GM!$Q$5:$Q$756,GM!$J$5:$J$756)</f>
        <v>45202</v>
      </c>
    </row>
    <row r="1261" spans="1:8" hidden="1" x14ac:dyDescent="0.35">
      <c r="A1261" s="29" t="s">
        <v>26</v>
      </c>
      <c r="B1261" s="29" t="str">
        <f t="shared" si="19"/>
        <v>GAR-41</v>
      </c>
      <c r="C1261" s="29" t="s">
        <v>5639</v>
      </c>
      <c r="D1261" s="67" t="s">
        <v>5640</v>
      </c>
      <c r="E1261" s="96" t="s">
        <v>62</v>
      </c>
      <c r="F1261" s="29" t="s">
        <v>61</v>
      </c>
      <c r="G1261" s="29"/>
      <c r="H1261" s="103">
        <f>_xlfn.XLOOKUP(B1261,GM!$Q$5:$Q$756,GM!$J$5:$J$756)</f>
        <v>45202</v>
      </c>
    </row>
    <row r="1262" spans="1:8" hidden="1" x14ac:dyDescent="0.35">
      <c r="A1262" s="29" t="s">
        <v>26</v>
      </c>
      <c r="B1262" s="29" t="str">
        <f t="shared" si="19"/>
        <v>GAR-41</v>
      </c>
      <c r="C1262" s="29" t="s">
        <v>5641</v>
      </c>
      <c r="D1262" s="67" t="s">
        <v>5642</v>
      </c>
      <c r="E1262" s="96" t="s">
        <v>62</v>
      </c>
      <c r="F1262" s="29" t="s">
        <v>61</v>
      </c>
      <c r="G1262" s="29"/>
      <c r="H1262" s="103">
        <f>_xlfn.XLOOKUP(B1262,GM!$Q$5:$Q$756,GM!$J$5:$J$756)</f>
        <v>45202</v>
      </c>
    </row>
    <row r="1263" spans="1:8" hidden="1" x14ac:dyDescent="0.35">
      <c r="A1263" s="29" t="s">
        <v>26</v>
      </c>
      <c r="B1263" s="29" t="str">
        <f t="shared" si="19"/>
        <v>GAR-41</v>
      </c>
      <c r="C1263" s="29" t="s">
        <v>5643</v>
      </c>
      <c r="D1263" s="67" t="s">
        <v>5644</v>
      </c>
      <c r="E1263" s="96" t="s">
        <v>62</v>
      </c>
      <c r="F1263" s="29" t="s">
        <v>61</v>
      </c>
      <c r="G1263" s="29"/>
      <c r="H1263" s="103">
        <f>_xlfn.XLOOKUP(B1263,GM!$Q$5:$Q$756,GM!$J$5:$J$756)</f>
        <v>45202</v>
      </c>
    </row>
    <row r="1264" spans="1:8" hidden="1" x14ac:dyDescent="0.35">
      <c r="A1264" s="29" t="s">
        <v>26</v>
      </c>
      <c r="B1264" s="29" t="str">
        <f t="shared" si="19"/>
        <v>GAR-51</v>
      </c>
      <c r="C1264" s="29" t="s">
        <v>5645</v>
      </c>
      <c r="D1264" s="67" t="s">
        <v>5646</v>
      </c>
      <c r="E1264" s="96" t="s">
        <v>62</v>
      </c>
      <c r="F1264" s="29" t="s">
        <v>61</v>
      </c>
      <c r="G1264" s="29"/>
      <c r="H1264" s="103">
        <f>_xlfn.XLOOKUP(B1264,GM!$Q$5:$Q$756,GM!$J$5:$J$756)</f>
        <v>45959</v>
      </c>
    </row>
    <row r="1265" spans="1:8" hidden="1" x14ac:dyDescent="0.35">
      <c r="A1265" s="29" t="s">
        <v>26</v>
      </c>
      <c r="B1265" s="29" t="str">
        <f t="shared" si="19"/>
        <v>GAR-51</v>
      </c>
      <c r="C1265" s="29" t="s">
        <v>5647</v>
      </c>
      <c r="D1265" s="67" t="s">
        <v>5648</v>
      </c>
      <c r="E1265" s="96" t="s">
        <v>62</v>
      </c>
      <c r="F1265" s="29" t="s">
        <v>61</v>
      </c>
      <c r="G1265" s="29"/>
      <c r="H1265" s="103">
        <f>_xlfn.XLOOKUP(B1265,GM!$Q$5:$Q$756,GM!$J$5:$J$756)</f>
        <v>45959</v>
      </c>
    </row>
    <row r="1266" spans="1:8" hidden="1" x14ac:dyDescent="0.35">
      <c r="A1266" s="29" t="s">
        <v>26</v>
      </c>
      <c r="B1266" s="29" t="str">
        <f t="shared" si="19"/>
        <v>GAR-51</v>
      </c>
      <c r="C1266" s="29" t="s">
        <v>5649</v>
      </c>
      <c r="D1266" s="67" t="s">
        <v>5650</v>
      </c>
      <c r="E1266" s="96" t="s">
        <v>62</v>
      </c>
      <c r="F1266" s="29" t="s">
        <v>61</v>
      </c>
      <c r="G1266" s="29"/>
      <c r="H1266" s="103">
        <f>_xlfn.XLOOKUP(B1266,GM!$Q$5:$Q$756,GM!$J$5:$J$756)</f>
        <v>45959</v>
      </c>
    </row>
    <row r="1267" spans="1:8" hidden="1" x14ac:dyDescent="0.35">
      <c r="A1267" s="29" t="s">
        <v>26</v>
      </c>
      <c r="B1267" s="29" t="str">
        <f t="shared" si="19"/>
        <v>GAR-51</v>
      </c>
      <c r="C1267" s="29" t="s">
        <v>5651</v>
      </c>
      <c r="D1267" s="67" t="s">
        <v>5652</v>
      </c>
      <c r="E1267" s="96" t="s">
        <v>62</v>
      </c>
      <c r="F1267" s="29" t="s">
        <v>61</v>
      </c>
      <c r="G1267" s="29"/>
      <c r="H1267" s="103">
        <f>_xlfn.XLOOKUP(B1267,GM!$Q$5:$Q$756,GM!$J$5:$J$756)</f>
        <v>45959</v>
      </c>
    </row>
    <row r="1268" spans="1:8" hidden="1" x14ac:dyDescent="0.35">
      <c r="A1268" s="29" t="s">
        <v>26</v>
      </c>
      <c r="B1268" s="29" t="str">
        <f t="shared" si="19"/>
        <v>GAR-51</v>
      </c>
      <c r="C1268" s="29" t="s">
        <v>5653</v>
      </c>
      <c r="D1268" s="67" t="s">
        <v>5654</v>
      </c>
      <c r="E1268" s="96" t="s">
        <v>62</v>
      </c>
      <c r="F1268" s="29" t="s">
        <v>61</v>
      </c>
      <c r="G1268" s="29"/>
      <c r="H1268" s="103">
        <f>_xlfn.XLOOKUP(B1268,GM!$Q$5:$Q$756,GM!$J$5:$J$756)</f>
        <v>45959</v>
      </c>
    </row>
    <row r="1269" spans="1:8" hidden="1" x14ac:dyDescent="0.35">
      <c r="A1269" s="29" t="s">
        <v>26</v>
      </c>
      <c r="B1269" s="29" t="str">
        <f t="shared" si="19"/>
        <v>GAR-51</v>
      </c>
      <c r="C1269" s="29" t="s">
        <v>5655</v>
      </c>
      <c r="D1269" s="67" t="s">
        <v>5656</v>
      </c>
      <c r="E1269" s="96" t="s">
        <v>62</v>
      </c>
      <c r="F1269" s="29" t="s">
        <v>61</v>
      </c>
      <c r="G1269" s="29"/>
      <c r="H1269" s="103">
        <f>_xlfn.XLOOKUP(B1269,GM!$Q$5:$Q$756,GM!$J$5:$J$756)</f>
        <v>45959</v>
      </c>
    </row>
    <row r="1270" spans="1:8" hidden="1" x14ac:dyDescent="0.35">
      <c r="A1270" s="29" t="s">
        <v>26</v>
      </c>
      <c r="B1270" s="29" t="str">
        <f t="shared" si="19"/>
        <v>GAR-51</v>
      </c>
      <c r="C1270" s="29" t="s">
        <v>5657</v>
      </c>
      <c r="D1270" s="67" t="s">
        <v>5658</v>
      </c>
      <c r="E1270" s="96" t="s">
        <v>62</v>
      </c>
      <c r="F1270" s="29" t="s">
        <v>61</v>
      </c>
      <c r="G1270" s="29"/>
      <c r="H1270" s="103">
        <f>_xlfn.XLOOKUP(B1270,GM!$Q$5:$Q$756,GM!$J$5:$J$756)</f>
        <v>45959</v>
      </c>
    </row>
    <row r="1271" spans="1:8" hidden="1" x14ac:dyDescent="0.35">
      <c r="A1271" s="29" t="s">
        <v>26</v>
      </c>
      <c r="B1271" s="29" t="str">
        <f t="shared" si="19"/>
        <v>GAR-51</v>
      </c>
      <c r="C1271" s="29" t="s">
        <v>5659</v>
      </c>
      <c r="D1271" s="67" t="s">
        <v>5660</v>
      </c>
      <c r="E1271" s="96" t="s">
        <v>62</v>
      </c>
      <c r="F1271" s="29" t="s">
        <v>61</v>
      </c>
      <c r="G1271" s="29"/>
      <c r="H1271" s="103">
        <f>_xlfn.XLOOKUP(B1271,GM!$Q$5:$Q$756,GM!$J$5:$J$756)</f>
        <v>45959</v>
      </c>
    </row>
    <row r="1272" spans="1:8" hidden="1" x14ac:dyDescent="0.35">
      <c r="A1272" s="29" t="s">
        <v>26</v>
      </c>
      <c r="B1272" s="29" t="str">
        <f t="shared" si="19"/>
        <v>GAR-51</v>
      </c>
      <c r="C1272" s="29" t="s">
        <v>5661</v>
      </c>
      <c r="D1272" s="67" t="s">
        <v>5662</v>
      </c>
      <c r="E1272" s="96" t="s">
        <v>62</v>
      </c>
      <c r="F1272" s="29" t="s">
        <v>61</v>
      </c>
      <c r="G1272" s="29"/>
      <c r="H1272" s="103">
        <f>_xlfn.XLOOKUP(B1272,GM!$Q$5:$Q$756,GM!$J$5:$J$756)</f>
        <v>45959</v>
      </c>
    </row>
    <row r="1273" spans="1:8" hidden="1" x14ac:dyDescent="0.35">
      <c r="A1273" s="29" t="s">
        <v>26</v>
      </c>
      <c r="B1273" s="29" t="str">
        <f t="shared" si="19"/>
        <v>GAR-51</v>
      </c>
      <c r="C1273" s="29" t="s">
        <v>5663</v>
      </c>
      <c r="D1273" s="67" t="s">
        <v>5664</v>
      </c>
      <c r="E1273" s="96" t="s">
        <v>62</v>
      </c>
      <c r="F1273" s="29" t="s">
        <v>61</v>
      </c>
      <c r="G1273" s="29"/>
      <c r="H1273" s="103">
        <f>_xlfn.XLOOKUP(B1273,GM!$Q$5:$Q$756,GM!$J$5:$J$756)</f>
        <v>45959</v>
      </c>
    </row>
    <row r="1274" spans="1:8" hidden="1" x14ac:dyDescent="0.35">
      <c r="A1274" s="29" t="s">
        <v>26</v>
      </c>
      <c r="B1274" s="29" t="str">
        <f t="shared" si="19"/>
        <v>GAR-51</v>
      </c>
      <c r="C1274" s="29" t="s">
        <v>5665</v>
      </c>
      <c r="D1274" s="67" t="s">
        <v>5666</v>
      </c>
      <c r="E1274" s="96" t="s">
        <v>62</v>
      </c>
      <c r="F1274" s="29" t="s">
        <v>61</v>
      </c>
      <c r="G1274" s="29"/>
      <c r="H1274" s="103">
        <f>_xlfn.XLOOKUP(B1274,GM!$Q$5:$Q$756,GM!$J$5:$J$756)</f>
        <v>45959</v>
      </c>
    </row>
    <row r="1275" spans="1:8" hidden="1" x14ac:dyDescent="0.35">
      <c r="A1275" s="29" t="s">
        <v>26</v>
      </c>
      <c r="B1275" s="29" t="str">
        <f t="shared" si="19"/>
        <v>GAR-51</v>
      </c>
      <c r="C1275" s="29" t="s">
        <v>5667</v>
      </c>
      <c r="D1275" s="67" t="s">
        <v>5668</v>
      </c>
      <c r="E1275" s="96" t="s">
        <v>62</v>
      </c>
      <c r="F1275" s="29" t="s">
        <v>61</v>
      </c>
      <c r="G1275" s="29"/>
      <c r="H1275" s="103">
        <f>_xlfn.XLOOKUP(B1275,GM!$Q$5:$Q$756,GM!$J$5:$J$756)</f>
        <v>45959</v>
      </c>
    </row>
    <row r="1276" spans="1:8" hidden="1" x14ac:dyDescent="0.35">
      <c r="A1276" s="29" t="s">
        <v>26</v>
      </c>
      <c r="B1276" s="29" t="str">
        <f t="shared" si="19"/>
        <v>GAR-51</v>
      </c>
      <c r="C1276" s="29" t="s">
        <v>5669</v>
      </c>
      <c r="D1276" s="67" t="s">
        <v>5670</v>
      </c>
      <c r="E1276" s="96" t="s">
        <v>62</v>
      </c>
      <c r="F1276" s="29" t="s">
        <v>61</v>
      </c>
      <c r="G1276" s="29"/>
      <c r="H1276" s="103">
        <f>_xlfn.XLOOKUP(B1276,GM!$Q$5:$Q$756,GM!$J$5:$J$756)</f>
        <v>45959</v>
      </c>
    </row>
    <row r="1277" spans="1:8" hidden="1" x14ac:dyDescent="0.35">
      <c r="A1277" s="29" t="s">
        <v>26</v>
      </c>
      <c r="B1277" s="29" t="str">
        <f t="shared" si="19"/>
        <v>GAR-56</v>
      </c>
      <c r="C1277" s="29" t="s">
        <v>5671</v>
      </c>
      <c r="D1277" s="67" t="s">
        <v>5672</v>
      </c>
      <c r="E1277" s="96" t="s">
        <v>62</v>
      </c>
      <c r="F1277" s="29" t="s">
        <v>61</v>
      </c>
      <c r="G1277" s="29"/>
      <c r="H1277" s="103">
        <f>_xlfn.XLOOKUP(B1277,GM!$Q$5:$Q$756,GM!$J$5:$J$756)</f>
        <v>46107</v>
      </c>
    </row>
    <row r="1278" spans="1:8" hidden="1" x14ac:dyDescent="0.35">
      <c r="A1278" s="29" t="s">
        <v>26</v>
      </c>
      <c r="B1278" s="29" t="str">
        <f t="shared" si="19"/>
        <v>GAR-56</v>
      </c>
      <c r="C1278" s="29" t="s">
        <v>5673</v>
      </c>
      <c r="D1278" s="67" t="s">
        <v>5674</v>
      </c>
      <c r="E1278" s="96" t="s">
        <v>62</v>
      </c>
      <c r="F1278" s="29" t="s">
        <v>61</v>
      </c>
      <c r="G1278" s="29"/>
      <c r="H1278" s="103">
        <f>_xlfn.XLOOKUP(B1278,GM!$Q$5:$Q$756,GM!$J$5:$J$756)</f>
        <v>46107</v>
      </c>
    </row>
    <row r="1279" spans="1:8" hidden="1" x14ac:dyDescent="0.35">
      <c r="A1279" s="29" t="s">
        <v>26</v>
      </c>
      <c r="B1279" s="29" t="str">
        <f t="shared" si="19"/>
        <v>GAR-56</v>
      </c>
      <c r="C1279" s="29" t="s">
        <v>5675</v>
      </c>
      <c r="D1279" s="67" t="s">
        <v>5676</v>
      </c>
      <c r="E1279" s="96" t="s">
        <v>62</v>
      </c>
      <c r="F1279" s="29" t="s">
        <v>61</v>
      </c>
      <c r="G1279" s="29"/>
      <c r="H1279" s="103">
        <f>_xlfn.XLOOKUP(B1279,GM!$Q$5:$Q$756,GM!$J$5:$J$756)</f>
        <v>46107</v>
      </c>
    </row>
    <row r="1280" spans="1:8" hidden="1" x14ac:dyDescent="0.35">
      <c r="A1280" s="29" t="s">
        <v>26</v>
      </c>
      <c r="B1280" s="29" t="str">
        <f t="shared" si="19"/>
        <v>GAR-56</v>
      </c>
      <c r="C1280" s="29" t="s">
        <v>5677</v>
      </c>
      <c r="D1280" s="67" t="s">
        <v>5678</v>
      </c>
      <c r="E1280" s="96" t="s">
        <v>62</v>
      </c>
      <c r="F1280" s="29" t="s">
        <v>61</v>
      </c>
      <c r="G1280" s="29"/>
      <c r="H1280" s="103">
        <f>_xlfn.XLOOKUP(B1280,GM!$Q$5:$Q$756,GM!$J$5:$J$756)</f>
        <v>46107</v>
      </c>
    </row>
    <row r="1281" spans="1:8" hidden="1" x14ac:dyDescent="0.35">
      <c r="A1281" s="29" t="s">
        <v>26</v>
      </c>
      <c r="B1281" s="29" t="str">
        <f t="shared" si="19"/>
        <v>GAR-57</v>
      </c>
      <c r="C1281" s="29" t="s">
        <v>5679</v>
      </c>
      <c r="D1281" s="67" t="s">
        <v>5680</v>
      </c>
      <c r="E1281" s="96" t="s">
        <v>62</v>
      </c>
      <c r="F1281" s="29" t="s">
        <v>61</v>
      </c>
      <c r="G1281" s="29"/>
      <c r="H1281" s="103">
        <f>_xlfn.XLOOKUP(B1281,GM!$Q$5:$Q$756,GM!$J$5:$J$756)</f>
        <v>46107</v>
      </c>
    </row>
    <row r="1282" spans="1:8" hidden="1" x14ac:dyDescent="0.35">
      <c r="A1282" s="29" t="s">
        <v>26</v>
      </c>
      <c r="B1282" s="29" t="str">
        <f t="shared" si="19"/>
        <v>GAR-57</v>
      </c>
      <c r="C1282" s="29" t="s">
        <v>5681</v>
      </c>
      <c r="D1282" s="67" t="s">
        <v>5682</v>
      </c>
      <c r="E1282" s="96" t="s">
        <v>62</v>
      </c>
      <c r="F1282" s="29" t="s">
        <v>61</v>
      </c>
      <c r="G1282" s="29"/>
      <c r="H1282" s="103">
        <f>_xlfn.XLOOKUP(B1282,GM!$Q$5:$Q$756,GM!$J$5:$J$756)</f>
        <v>46107</v>
      </c>
    </row>
    <row r="1283" spans="1:8" hidden="1" x14ac:dyDescent="0.35">
      <c r="A1283" s="29" t="s">
        <v>26</v>
      </c>
      <c r="B1283" s="29" t="str">
        <f t="shared" si="19"/>
        <v>GAR-57</v>
      </c>
      <c r="C1283" s="29" t="s">
        <v>5683</v>
      </c>
      <c r="D1283" s="67" t="s">
        <v>5684</v>
      </c>
      <c r="E1283" s="96" t="s">
        <v>62</v>
      </c>
      <c r="F1283" s="29" t="s">
        <v>61</v>
      </c>
      <c r="G1283" s="29"/>
      <c r="H1283" s="103">
        <f>_xlfn.XLOOKUP(B1283,GM!$Q$5:$Q$756,GM!$J$5:$J$756)</f>
        <v>46107</v>
      </c>
    </row>
    <row r="1284" spans="1:8" hidden="1" x14ac:dyDescent="0.35">
      <c r="A1284" s="29" t="s">
        <v>26</v>
      </c>
      <c r="B1284" s="29" t="str">
        <f t="shared" si="19"/>
        <v>GAR-57</v>
      </c>
      <c r="C1284" s="29" t="s">
        <v>5685</v>
      </c>
      <c r="D1284" s="67" t="s">
        <v>5686</v>
      </c>
      <c r="E1284" s="96" t="s">
        <v>62</v>
      </c>
      <c r="F1284" s="29" t="s">
        <v>61</v>
      </c>
      <c r="G1284" s="29"/>
      <c r="H1284" s="103">
        <f>_xlfn.XLOOKUP(B1284,GM!$Q$5:$Q$756,GM!$J$5:$J$756)</f>
        <v>46107</v>
      </c>
    </row>
    <row r="1285" spans="1:8" hidden="1" x14ac:dyDescent="0.35">
      <c r="A1285" s="29" t="s">
        <v>26</v>
      </c>
      <c r="B1285" s="29" t="str">
        <f t="shared" ref="B1285:B1348" si="20">IF(OR(A1285="ARN",A1285="SDP"),MID(C1285,4,7),MID(C1285,4,6))</f>
        <v>GAR-57</v>
      </c>
      <c r="C1285" s="29" t="s">
        <v>5687</v>
      </c>
      <c r="D1285" s="67" t="s">
        <v>5688</v>
      </c>
      <c r="E1285" s="96" t="s">
        <v>62</v>
      </c>
      <c r="F1285" s="29" t="s">
        <v>61</v>
      </c>
      <c r="G1285" s="29"/>
      <c r="H1285" s="103">
        <f>_xlfn.XLOOKUP(B1285,GM!$Q$5:$Q$756,GM!$J$5:$J$756)</f>
        <v>46107</v>
      </c>
    </row>
    <row r="1286" spans="1:8" hidden="1" x14ac:dyDescent="0.35">
      <c r="A1286" s="29" t="s">
        <v>26</v>
      </c>
      <c r="B1286" s="29" t="str">
        <f t="shared" si="20"/>
        <v>GAR-58</v>
      </c>
      <c r="C1286" s="29" t="s">
        <v>5689</v>
      </c>
      <c r="D1286" s="67" t="s">
        <v>5690</v>
      </c>
      <c r="E1286" s="96" t="s">
        <v>62</v>
      </c>
      <c r="F1286" s="29" t="s">
        <v>61</v>
      </c>
      <c r="G1286" s="29" t="s">
        <v>371</v>
      </c>
      <c r="H1286" s="103">
        <f>_xlfn.XLOOKUP(B1286,GM!$Q$5:$Q$756,GM!$J$5:$J$756)</f>
        <v>44739</v>
      </c>
    </row>
    <row r="1287" spans="1:8" hidden="1" x14ac:dyDescent="0.35">
      <c r="A1287" s="29" t="s">
        <v>26</v>
      </c>
      <c r="B1287" s="29" t="str">
        <f t="shared" si="20"/>
        <v>GAR-59</v>
      </c>
      <c r="C1287" s="29" t="s">
        <v>5691</v>
      </c>
      <c r="D1287" s="67" t="s">
        <v>5692</v>
      </c>
      <c r="E1287" s="96" t="s">
        <v>62</v>
      </c>
      <c r="F1287" s="29" t="s">
        <v>61</v>
      </c>
      <c r="G1287" s="29"/>
      <c r="H1287" s="103">
        <f>_xlfn.XLOOKUP(B1287,GM!$Q$5:$Q$756,GM!$J$5:$J$756)</f>
        <v>45462</v>
      </c>
    </row>
    <row r="1288" spans="1:8" hidden="1" x14ac:dyDescent="0.35">
      <c r="A1288" s="29" t="s">
        <v>26</v>
      </c>
      <c r="B1288" s="29" t="str">
        <f t="shared" si="20"/>
        <v>GAR-59</v>
      </c>
      <c r="C1288" s="29" t="s">
        <v>5693</v>
      </c>
      <c r="D1288" s="67" t="s">
        <v>5694</v>
      </c>
      <c r="E1288" s="96" t="s">
        <v>62</v>
      </c>
      <c r="F1288" s="29" t="s">
        <v>61</v>
      </c>
      <c r="G1288" s="29"/>
      <c r="H1288" s="103">
        <f>_xlfn.XLOOKUP(B1288,GM!$Q$5:$Q$756,GM!$J$5:$J$756)</f>
        <v>45462</v>
      </c>
    </row>
    <row r="1289" spans="1:8" hidden="1" x14ac:dyDescent="0.35">
      <c r="A1289" s="29" t="s">
        <v>26</v>
      </c>
      <c r="B1289" s="29" t="str">
        <f t="shared" si="20"/>
        <v>GAR-60</v>
      </c>
      <c r="C1289" s="29" t="s">
        <v>5695</v>
      </c>
      <c r="D1289" s="67" t="s">
        <v>5696</v>
      </c>
      <c r="E1289" s="96" t="s">
        <v>62</v>
      </c>
      <c r="F1289" s="29" t="s">
        <v>61</v>
      </c>
      <c r="G1289" s="29" t="s">
        <v>371</v>
      </c>
      <c r="H1289" s="103">
        <f>_xlfn.XLOOKUP(B1289,GM!$Q$5:$Q$756,GM!$J$5:$J$756)</f>
        <v>44819</v>
      </c>
    </row>
    <row r="1290" spans="1:8" hidden="1" x14ac:dyDescent="0.35">
      <c r="A1290" s="29" t="s">
        <v>26</v>
      </c>
      <c r="B1290" s="29" t="str">
        <f t="shared" si="20"/>
        <v>GAR-61</v>
      </c>
      <c r="C1290" s="29" t="s">
        <v>5697</v>
      </c>
      <c r="D1290" s="67" t="s">
        <v>5698</v>
      </c>
      <c r="E1290" s="96" t="s">
        <v>62</v>
      </c>
      <c r="F1290" s="29" t="s">
        <v>61</v>
      </c>
      <c r="G1290" s="29"/>
      <c r="H1290" s="103" t="e">
        <f>_xlfn.XLOOKUP(B1290,GM!$Q$5:$Q$756,GM!$J$5:$J$756)</f>
        <v>#N/A</v>
      </c>
    </row>
    <row r="1291" spans="1:8" hidden="1" x14ac:dyDescent="0.35">
      <c r="A1291" s="29" t="s">
        <v>26</v>
      </c>
      <c r="B1291" s="29" t="str">
        <f t="shared" si="20"/>
        <v>GAR-62</v>
      </c>
      <c r="C1291" s="29" t="s">
        <v>5699</v>
      </c>
      <c r="D1291" s="67" t="s">
        <v>5700</v>
      </c>
      <c r="E1291" s="96" t="s">
        <v>62</v>
      </c>
      <c r="F1291" s="29" t="s">
        <v>61</v>
      </c>
      <c r="G1291" s="29"/>
      <c r="H1291" s="103">
        <f>_xlfn.XLOOKUP(B1291,GM!$Q$5:$Q$756,GM!$J$5:$J$756)</f>
        <v>45202</v>
      </c>
    </row>
    <row r="1292" spans="1:8" hidden="1" x14ac:dyDescent="0.35">
      <c r="A1292" s="29" t="s">
        <v>26</v>
      </c>
      <c r="B1292" s="29" t="str">
        <f t="shared" si="20"/>
        <v>GAR-64</v>
      </c>
      <c r="C1292" s="29" t="s">
        <v>5701</v>
      </c>
      <c r="D1292" s="67" t="s">
        <v>5702</v>
      </c>
      <c r="E1292" s="96" t="s">
        <v>62</v>
      </c>
      <c r="F1292" s="29" t="s">
        <v>61</v>
      </c>
      <c r="G1292" s="29"/>
      <c r="H1292" s="103">
        <f>_xlfn.XLOOKUP(B1292,GM!$Q$5:$Q$756,GM!$J$5:$J$756)</f>
        <v>45202</v>
      </c>
    </row>
    <row r="1293" spans="1:8" hidden="1" x14ac:dyDescent="0.35">
      <c r="A1293" s="29" t="s">
        <v>26</v>
      </c>
      <c r="B1293" s="29" t="str">
        <f t="shared" si="20"/>
        <v>GAR-65</v>
      </c>
      <c r="C1293" s="29" t="s">
        <v>5703</v>
      </c>
      <c r="D1293" s="67" t="s">
        <v>5704</v>
      </c>
      <c r="E1293" s="96" t="s">
        <v>62</v>
      </c>
      <c r="F1293" s="29" t="s">
        <v>61</v>
      </c>
      <c r="G1293" s="29"/>
      <c r="H1293" s="103" t="e">
        <f>_xlfn.XLOOKUP(B1293,GM!$Q$5:$Q$756,GM!$J$5:$J$756)</f>
        <v>#N/A</v>
      </c>
    </row>
    <row r="1294" spans="1:8" hidden="1" x14ac:dyDescent="0.35">
      <c r="A1294" s="29" t="s">
        <v>26</v>
      </c>
      <c r="B1294" s="29" t="str">
        <f t="shared" si="20"/>
        <v>GAR-66</v>
      </c>
      <c r="C1294" s="29" t="s">
        <v>5705</v>
      </c>
      <c r="D1294" s="67" t="s">
        <v>5706</v>
      </c>
      <c r="E1294" s="96" t="s">
        <v>62</v>
      </c>
      <c r="F1294" s="29" t="s">
        <v>61</v>
      </c>
      <c r="G1294" s="29"/>
      <c r="H1294" s="103" t="e">
        <f>_xlfn.XLOOKUP(B1294,GM!$Q$5:$Q$756,GM!$J$5:$J$756)</f>
        <v>#N/A</v>
      </c>
    </row>
    <row r="1295" spans="1:8" hidden="1" x14ac:dyDescent="0.35">
      <c r="A1295" s="29" t="s">
        <v>26</v>
      </c>
      <c r="B1295" s="29" t="str">
        <f t="shared" si="20"/>
        <v>GAR-67</v>
      </c>
      <c r="C1295" s="29" t="s">
        <v>5707</v>
      </c>
      <c r="D1295" s="67" t="s">
        <v>5708</v>
      </c>
      <c r="E1295" s="96" t="s">
        <v>62</v>
      </c>
      <c r="F1295" s="29" t="s">
        <v>61</v>
      </c>
      <c r="G1295" s="29"/>
      <c r="H1295" s="103" t="e">
        <f>_xlfn.XLOOKUP(B1295,GM!$Q$5:$Q$756,GM!$J$5:$J$756)</f>
        <v>#N/A</v>
      </c>
    </row>
    <row r="1296" spans="1:8" hidden="1" x14ac:dyDescent="0.35">
      <c r="A1296" s="29" t="s">
        <v>26</v>
      </c>
      <c r="B1296" s="29" t="str">
        <f t="shared" si="20"/>
        <v>GAR-68</v>
      </c>
      <c r="C1296" s="29" t="s">
        <v>5709</v>
      </c>
      <c r="D1296" s="67" t="s">
        <v>5710</v>
      </c>
      <c r="E1296" s="96" t="s">
        <v>62</v>
      </c>
      <c r="F1296" s="29" t="s">
        <v>61</v>
      </c>
      <c r="G1296" s="29"/>
      <c r="H1296" s="103" t="e">
        <f>_xlfn.XLOOKUP(B1296,GM!$Q$5:$Q$756,GM!$J$5:$J$756)</f>
        <v>#N/A</v>
      </c>
    </row>
    <row r="1297" spans="1:8" hidden="1" x14ac:dyDescent="0.35">
      <c r="A1297" s="29" t="s">
        <v>23</v>
      </c>
      <c r="B1297" s="29" t="str">
        <f t="shared" si="20"/>
        <v>ILS-00</v>
      </c>
      <c r="C1297" s="29" t="s">
        <v>5711</v>
      </c>
      <c r="D1297" s="67" t="s">
        <v>5712</v>
      </c>
      <c r="E1297" s="96" t="s">
        <v>62</v>
      </c>
      <c r="F1297" s="29" t="s">
        <v>61</v>
      </c>
      <c r="G1297" s="29"/>
      <c r="H1297" s="103">
        <f>_xlfn.XLOOKUP(B1297,GM!$Q$5:$Q$756,GM!$J$5:$J$756)</f>
        <v>45202</v>
      </c>
    </row>
    <row r="1298" spans="1:8" hidden="1" x14ac:dyDescent="0.35">
      <c r="A1298" s="29" t="s">
        <v>23</v>
      </c>
      <c r="B1298" s="29" t="str">
        <f t="shared" si="20"/>
        <v>ILS-00</v>
      </c>
      <c r="C1298" s="29" t="s">
        <v>5713</v>
      </c>
      <c r="D1298" s="67" t="s">
        <v>5714</v>
      </c>
      <c r="E1298" s="96" t="s">
        <v>62</v>
      </c>
      <c r="F1298" s="29" t="s">
        <v>61</v>
      </c>
      <c r="G1298" s="29"/>
      <c r="H1298" s="103">
        <f>_xlfn.XLOOKUP(B1298,GM!$Q$5:$Q$756,GM!$J$5:$J$756)</f>
        <v>45202</v>
      </c>
    </row>
    <row r="1299" spans="1:8" hidden="1" x14ac:dyDescent="0.35">
      <c r="A1299" s="29" t="s">
        <v>23</v>
      </c>
      <c r="B1299" s="29" t="str">
        <f t="shared" si="20"/>
        <v>ILS-00</v>
      </c>
      <c r="C1299" s="29" t="s">
        <v>5715</v>
      </c>
      <c r="D1299" s="67" t="s">
        <v>5716</v>
      </c>
      <c r="E1299" s="96" t="s">
        <v>62</v>
      </c>
      <c r="F1299" s="29" t="s">
        <v>61</v>
      </c>
      <c r="G1299" s="29"/>
      <c r="H1299" s="103">
        <f>_xlfn.XLOOKUP(B1299,GM!$Q$5:$Q$756,GM!$J$5:$J$756)</f>
        <v>45202</v>
      </c>
    </row>
    <row r="1300" spans="1:8" hidden="1" x14ac:dyDescent="0.35">
      <c r="A1300" s="29" t="s">
        <v>23</v>
      </c>
      <c r="B1300" s="29" t="str">
        <f t="shared" si="20"/>
        <v>ILS-00</v>
      </c>
      <c r="C1300" s="29" t="s">
        <v>5717</v>
      </c>
      <c r="D1300" s="67" t="s">
        <v>5718</v>
      </c>
      <c r="E1300" s="96" t="s">
        <v>62</v>
      </c>
      <c r="F1300" s="29" t="s">
        <v>61</v>
      </c>
      <c r="G1300" s="29"/>
      <c r="H1300" s="103">
        <f>_xlfn.XLOOKUP(B1300,GM!$Q$5:$Q$756,GM!$J$5:$J$756)</f>
        <v>45202</v>
      </c>
    </row>
    <row r="1301" spans="1:8" hidden="1" x14ac:dyDescent="0.35">
      <c r="A1301" s="29" t="s">
        <v>23</v>
      </c>
      <c r="B1301" s="29" t="str">
        <f t="shared" si="20"/>
        <v>ILS-00</v>
      </c>
      <c r="C1301" s="29" t="s">
        <v>5719</v>
      </c>
      <c r="D1301" s="67" t="s">
        <v>5720</v>
      </c>
      <c r="E1301" s="96" t="s">
        <v>62</v>
      </c>
      <c r="F1301" s="29" t="s">
        <v>61</v>
      </c>
      <c r="G1301" s="29"/>
      <c r="H1301" s="103">
        <f>_xlfn.XLOOKUP(B1301,GM!$Q$5:$Q$756,GM!$J$5:$J$756)</f>
        <v>45202</v>
      </c>
    </row>
    <row r="1302" spans="1:8" hidden="1" x14ac:dyDescent="0.35">
      <c r="A1302" s="29" t="s">
        <v>23</v>
      </c>
      <c r="B1302" s="29" t="str">
        <f t="shared" si="20"/>
        <v>ILS-00</v>
      </c>
      <c r="C1302" s="29" t="s">
        <v>5721</v>
      </c>
      <c r="D1302" s="67" t="s">
        <v>5722</v>
      </c>
      <c r="E1302" s="96" t="s">
        <v>62</v>
      </c>
      <c r="F1302" s="29" t="s">
        <v>61</v>
      </c>
      <c r="G1302" s="29"/>
      <c r="H1302" s="103">
        <f>_xlfn.XLOOKUP(B1302,GM!$Q$5:$Q$756,GM!$J$5:$J$756)</f>
        <v>45202</v>
      </c>
    </row>
    <row r="1303" spans="1:8" hidden="1" x14ac:dyDescent="0.35">
      <c r="A1303" s="29" t="s">
        <v>23</v>
      </c>
      <c r="B1303" s="29" t="str">
        <f t="shared" si="20"/>
        <v>ILS-00</v>
      </c>
      <c r="C1303" s="29" t="s">
        <v>5723</v>
      </c>
      <c r="D1303" s="67" t="s">
        <v>5724</v>
      </c>
      <c r="E1303" s="96" t="s">
        <v>62</v>
      </c>
      <c r="F1303" s="29" t="s">
        <v>61</v>
      </c>
      <c r="G1303" s="29"/>
      <c r="H1303" s="103">
        <f>_xlfn.XLOOKUP(B1303,GM!$Q$5:$Q$756,GM!$J$5:$J$756)</f>
        <v>45202</v>
      </c>
    </row>
    <row r="1304" spans="1:8" hidden="1" x14ac:dyDescent="0.35">
      <c r="A1304" s="29" t="s">
        <v>23</v>
      </c>
      <c r="B1304" s="29" t="str">
        <f t="shared" si="20"/>
        <v>ILS-00</v>
      </c>
      <c r="C1304" s="29" t="s">
        <v>5725</v>
      </c>
      <c r="D1304" s="67" t="s">
        <v>5726</v>
      </c>
      <c r="E1304" s="96" t="s">
        <v>62</v>
      </c>
      <c r="F1304" s="29" t="s">
        <v>61</v>
      </c>
      <c r="G1304" s="29"/>
      <c r="H1304" s="103">
        <f>_xlfn.XLOOKUP(B1304,GM!$Q$5:$Q$756,GM!$J$5:$J$756)</f>
        <v>45202</v>
      </c>
    </row>
    <row r="1305" spans="1:8" hidden="1" x14ac:dyDescent="0.35">
      <c r="A1305" s="29" t="s">
        <v>23</v>
      </c>
      <c r="B1305" s="29" t="str">
        <f t="shared" si="20"/>
        <v>ILS-00</v>
      </c>
      <c r="C1305" s="29" t="s">
        <v>5727</v>
      </c>
      <c r="D1305" s="67" t="s">
        <v>5728</v>
      </c>
      <c r="E1305" s="96" t="s">
        <v>62</v>
      </c>
      <c r="F1305" s="29" t="s">
        <v>61</v>
      </c>
      <c r="G1305" s="29"/>
      <c r="H1305" s="103">
        <f>_xlfn.XLOOKUP(B1305,GM!$Q$5:$Q$756,GM!$J$5:$J$756)</f>
        <v>45202</v>
      </c>
    </row>
    <row r="1306" spans="1:8" hidden="1" x14ac:dyDescent="0.35">
      <c r="A1306" s="29" t="s">
        <v>23</v>
      </c>
      <c r="B1306" s="29" t="str">
        <f t="shared" si="20"/>
        <v>ILS-01</v>
      </c>
      <c r="C1306" s="29" t="s">
        <v>5729</v>
      </c>
      <c r="D1306" s="67" t="s">
        <v>5730</v>
      </c>
      <c r="E1306" s="96" t="s">
        <v>62</v>
      </c>
      <c r="F1306" s="29" t="s">
        <v>61</v>
      </c>
      <c r="G1306" s="29"/>
      <c r="H1306" s="103">
        <f>_xlfn.XLOOKUP(B1306,GM!$Q$5:$Q$756,GM!$J$5:$J$756)</f>
        <v>44739</v>
      </c>
    </row>
    <row r="1307" spans="1:8" hidden="1" x14ac:dyDescent="0.35">
      <c r="A1307" s="29" t="s">
        <v>23</v>
      </c>
      <c r="B1307" s="29" t="str">
        <f t="shared" si="20"/>
        <v>ILS-01</v>
      </c>
      <c r="C1307" s="29" t="s">
        <v>5731</v>
      </c>
      <c r="D1307" s="67" t="s">
        <v>5732</v>
      </c>
      <c r="E1307" s="96" t="s">
        <v>62</v>
      </c>
      <c r="F1307" s="29" t="s">
        <v>61</v>
      </c>
      <c r="G1307" s="29"/>
      <c r="H1307" s="103">
        <f>_xlfn.XLOOKUP(B1307,GM!$Q$5:$Q$756,GM!$J$5:$J$756)</f>
        <v>44739</v>
      </c>
    </row>
    <row r="1308" spans="1:8" hidden="1" x14ac:dyDescent="0.35">
      <c r="A1308" s="29" t="s">
        <v>23</v>
      </c>
      <c r="B1308" s="29" t="str">
        <f t="shared" si="20"/>
        <v>ILS-01</v>
      </c>
      <c r="C1308" s="29" t="s">
        <v>5733</v>
      </c>
      <c r="D1308" s="67" t="s">
        <v>5734</v>
      </c>
      <c r="E1308" s="96" t="s">
        <v>62</v>
      </c>
      <c r="F1308" s="29" t="s">
        <v>61</v>
      </c>
      <c r="G1308" s="29"/>
      <c r="H1308" s="103">
        <f>_xlfn.XLOOKUP(B1308,GM!$Q$5:$Q$756,GM!$J$5:$J$756)</f>
        <v>44739</v>
      </c>
    </row>
    <row r="1309" spans="1:8" hidden="1" x14ac:dyDescent="0.35">
      <c r="A1309" s="29" t="s">
        <v>23</v>
      </c>
      <c r="B1309" s="29" t="str">
        <f t="shared" si="20"/>
        <v>ILS-01</v>
      </c>
      <c r="C1309" s="29" t="s">
        <v>5735</v>
      </c>
      <c r="D1309" s="67" t="s">
        <v>5736</v>
      </c>
      <c r="E1309" s="96" t="s">
        <v>62</v>
      </c>
      <c r="F1309" s="29" t="s">
        <v>61</v>
      </c>
      <c r="G1309" s="29"/>
      <c r="H1309" s="103">
        <f>_xlfn.XLOOKUP(B1309,GM!$Q$5:$Q$756,GM!$J$5:$J$756)</f>
        <v>44739</v>
      </c>
    </row>
    <row r="1310" spans="1:8" hidden="1" x14ac:dyDescent="0.35">
      <c r="A1310" s="29" t="s">
        <v>23</v>
      </c>
      <c r="B1310" s="29" t="str">
        <f t="shared" si="20"/>
        <v>ILS-01</v>
      </c>
      <c r="C1310" s="29" t="s">
        <v>5737</v>
      </c>
      <c r="D1310" s="67" t="s">
        <v>5738</v>
      </c>
      <c r="E1310" s="96" t="s">
        <v>62</v>
      </c>
      <c r="F1310" s="29" t="s">
        <v>61</v>
      </c>
      <c r="G1310" s="29"/>
      <c r="H1310" s="103">
        <f>_xlfn.XLOOKUP(B1310,GM!$Q$5:$Q$756,GM!$J$5:$J$756)</f>
        <v>44739</v>
      </c>
    </row>
    <row r="1311" spans="1:8" hidden="1" x14ac:dyDescent="0.35">
      <c r="A1311" s="29" t="s">
        <v>23</v>
      </c>
      <c r="B1311" s="29" t="str">
        <f t="shared" si="20"/>
        <v>ILS-01</v>
      </c>
      <c r="C1311" s="29" t="s">
        <v>5739</v>
      </c>
      <c r="D1311" s="67" t="s">
        <v>5740</v>
      </c>
      <c r="E1311" s="96" t="s">
        <v>62</v>
      </c>
      <c r="F1311" s="29" t="s">
        <v>61</v>
      </c>
      <c r="G1311" s="29"/>
      <c r="H1311" s="103">
        <f>_xlfn.XLOOKUP(B1311,GM!$Q$5:$Q$756,GM!$J$5:$J$756)</f>
        <v>44739</v>
      </c>
    </row>
    <row r="1312" spans="1:8" hidden="1" x14ac:dyDescent="0.35">
      <c r="A1312" s="29" t="s">
        <v>23</v>
      </c>
      <c r="B1312" s="29" t="str">
        <f t="shared" si="20"/>
        <v>ILS-01</v>
      </c>
      <c r="C1312" s="29" t="s">
        <v>5741</v>
      </c>
      <c r="D1312" s="67" t="s">
        <v>5742</v>
      </c>
      <c r="E1312" s="96" t="s">
        <v>62</v>
      </c>
      <c r="F1312" s="29" t="s">
        <v>61</v>
      </c>
      <c r="G1312" s="29"/>
      <c r="H1312" s="103">
        <f>_xlfn.XLOOKUP(B1312,GM!$Q$5:$Q$756,GM!$J$5:$J$756)</f>
        <v>44739</v>
      </c>
    </row>
    <row r="1313" spans="1:8" hidden="1" x14ac:dyDescent="0.35">
      <c r="A1313" s="29" t="s">
        <v>23</v>
      </c>
      <c r="B1313" s="29" t="str">
        <f t="shared" si="20"/>
        <v>ILS-01</v>
      </c>
      <c r="C1313" s="29" t="s">
        <v>5743</v>
      </c>
      <c r="D1313" s="67" t="s">
        <v>5744</v>
      </c>
      <c r="E1313" s="96" t="s">
        <v>62</v>
      </c>
      <c r="F1313" s="29" t="s">
        <v>61</v>
      </c>
      <c r="G1313" s="29"/>
      <c r="H1313" s="103">
        <f>_xlfn.XLOOKUP(B1313,GM!$Q$5:$Q$756,GM!$J$5:$J$756)</f>
        <v>44739</v>
      </c>
    </row>
    <row r="1314" spans="1:8" hidden="1" x14ac:dyDescent="0.35">
      <c r="A1314" s="29" t="s">
        <v>23</v>
      </c>
      <c r="B1314" s="29" t="str">
        <f t="shared" si="20"/>
        <v>ILS-01</v>
      </c>
      <c r="C1314" s="29" t="s">
        <v>5745</v>
      </c>
      <c r="D1314" s="67" t="s">
        <v>5746</v>
      </c>
      <c r="E1314" s="96" t="s">
        <v>62</v>
      </c>
      <c r="F1314" s="29" t="s">
        <v>61</v>
      </c>
      <c r="G1314" s="29"/>
      <c r="H1314" s="103">
        <f>_xlfn.XLOOKUP(B1314,GM!$Q$5:$Q$756,GM!$J$5:$J$756)</f>
        <v>44739</v>
      </c>
    </row>
    <row r="1315" spans="1:8" hidden="1" x14ac:dyDescent="0.35">
      <c r="A1315" s="29" t="s">
        <v>23</v>
      </c>
      <c r="B1315" s="29" t="str">
        <f t="shared" si="20"/>
        <v>ILS-01</v>
      </c>
      <c r="C1315" s="29" t="s">
        <v>5747</v>
      </c>
      <c r="D1315" s="67" t="s">
        <v>5748</v>
      </c>
      <c r="E1315" s="96" t="s">
        <v>62</v>
      </c>
      <c r="F1315" s="29" t="s">
        <v>61</v>
      </c>
      <c r="G1315" s="29"/>
      <c r="H1315" s="103">
        <f>_xlfn.XLOOKUP(B1315,GM!$Q$5:$Q$756,GM!$J$5:$J$756)</f>
        <v>44739</v>
      </c>
    </row>
    <row r="1316" spans="1:8" hidden="1" x14ac:dyDescent="0.35">
      <c r="A1316" s="29" t="s">
        <v>23</v>
      </c>
      <c r="B1316" s="29" t="str">
        <f t="shared" si="20"/>
        <v>ILS-01</v>
      </c>
      <c r="C1316" s="29" t="s">
        <v>5749</v>
      </c>
      <c r="D1316" s="67" t="s">
        <v>5750</v>
      </c>
      <c r="E1316" s="96" t="s">
        <v>62</v>
      </c>
      <c r="F1316" s="29" t="s">
        <v>61</v>
      </c>
      <c r="G1316" s="29"/>
      <c r="H1316" s="103">
        <f>_xlfn.XLOOKUP(B1316,GM!$Q$5:$Q$756,GM!$J$5:$J$756)</f>
        <v>44739</v>
      </c>
    </row>
    <row r="1317" spans="1:8" hidden="1" x14ac:dyDescent="0.35">
      <c r="A1317" s="29" t="s">
        <v>23</v>
      </c>
      <c r="B1317" s="29" t="str">
        <f t="shared" si="20"/>
        <v>ILS-01</v>
      </c>
      <c r="C1317" s="29" t="s">
        <v>5751</v>
      </c>
      <c r="D1317" s="67" t="s">
        <v>5752</v>
      </c>
      <c r="E1317" s="96" t="s">
        <v>62</v>
      </c>
      <c r="F1317" s="29" t="s">
        <v>61</v>
      </c>
      <c r="G1317" s="29"/>
      <c r="H1317" s="103">
        <f>_xlfn.XLOOKUP(B1317,GM!$Q$5:$Q$756,GM!$J$5:$J$756)</f>
        <v>44739</v>
      </c>
    </row>
    <row r="1318" spans="1:8" hidden="1" x14ac:dyDescent="0.35">
      <c r="A1318" s="29" t="s">
        <v>23</v>
      </c>
      <c r="B1318" s="29" t="str">
        <f t="shared" si="20"/>
        <v>ILS-01</v>
      </c>
      <c r="C1318" s="29" t="s">
        <v>5753</v>
      </c>
      <c r="D1318" s="67" t="s">
        <v>5754</v>
      </c>
      <c r="E1318" s="96" t="s">
        <v>62</v>
      </c>
      <c r="F1318" s="29" t="s">
        <v>61</v>
      </c>
      <c r="G1318" s="29"/>
      <c r="H1318" s="103">
        <f>_xlfn.XLOOKUP(B1318,GM!$Q$5:$Q$756,GM!$J$5:$J$756)</f>
        <v>44739</v>
      </c>
    </row>
    <row r="1319" spans="1:8" hidden="1" x14ac:dyDescent="0.35">
      <c r="A1319" s="29" t="s">
        <v>23</v>
      </c>
      <c r="B1319" s="29" t="str">
        <f t="shared" si="20"/>
        <v>ILS-01</v>
      </c>
      <c r="C1319" s="29" t="s">
        <v>5755</v>
      </c>
      <c r="D1319" s="67" t="s">
        <v>5756</v>
      </c>
      <c r="E1319" s="96" t="s">
        <v>62</v>
      </c>
      <c r="F1319" s="29" t="s">
        <v>61</v>
      </c>
      <c r="G1319" s="29"/>
      <c r="H1319" s="103">
        <f>_xlfn.XLOOKUP(B1319,GM!$Q$5:$Q$756,GM!$J$5:$J$756)</f>
        <v>44739</v>
      </c>
    </row>
    <row r="1320" spans="1:8" hidden="1" x14ac:dyDescent="0.35">
      <c r="A1320" s="29" t="s">
        <v>23</v>
      </c>
      <c r="B1320" s="29" t="str">
        <f t="shared" si="20"/>
        <v>ILS-01</v>
      </c>
      <c r="C1320" s="29" t="s">
        <v>5757</v>
      </c>
      <c r="D1320" s="67" t="s">
        <v>5758</v>
      </c>
      <c r="E1320" s="96" t="s">
        <v>62</v>
      </c>
      <c r="F1320" s="29" t="s">
        <v>61</v>
      </c>
      <c r="G1320" s="29"/>
      <c r="H1320" s="103">
        <f>_xlfn.XLOOKUP(B1320,GM!$Q$5:$Q$756,GM!$J$5:$J$756)</f>
        <v>44739</v>
      </c>
    </row>
    <row r="1321" spans="1:8" hidden="1" x14ac:dyDescent="0.35">
      <c r="A1321" s="29" t="s">
        <v>23</v>
      </c>
      <c r="B1321" s="29" t="str">
        <f t="shared" si="20"/>
        <v>ILS-01</v>
      </c>
      <c r="C1321" s="29" t="s">
        <v>5759</v>
      </c>
      <c r="D1321" s="67" t="s">
        <v>5760</v>
      </c>
      <c r="E1321" s="96" t="s">
        <v>62</v>
      </c>
      <c r="F1321" s="29" t="s">
        <v>61</v>
      </c>
      <c r="G1321" s="29"/>
      <c r="H1321" s="103">
        <f>_xlfn.XLOOKUP(B1321,GM!$Q$5:$Q$756,GM!$J$5:$J$756)</f>
        <v>44739</v>
      </c>
    </row>
    <row r="1322" spans="1:8" hidden="1" x14ac:dyDescent="0.35">
      <c r="A1322" s="29" t="s">
        <v>23</v>
      </c>
      <c r="B1322" s="29" t="str">
        <f t="shared" si="20"/>
        <v>ILS-01</v>
      </c>
      <c r="C1322" s="29" t="s">
        <v>5761</v>
      </c>
      <c r="D1322" s="67" t="s">
        <v>5762</v>
      </c>
      <c r="E1322" s="96" t="s">
        <v>62</v>
      </c>
      <c r="F1322" s="29" t="s">
        <v>61</v>
      </c>
      <c r="G1322" s="29"/>
      <c r="H1322" s="103">
        <f>_xlfn.XLOOKUP(B1322,GM!$Q$5:$Q$756,GM!$J$5:$J$756)</f>
        <v>44739</v>
      </c>
    </row>
    <row r="1323" spans="1:8" hidden="1" x14ac:dyDescent="0.35">
      <c r="A1323" s="29" t="s">
        <v>23</v>
      </c>
      <c r="B1323" s="29" t="str">
        <f t="shared" si="20"/>
        <v>ILS-01</v>
      </c>
      <c r="C1323" s="29" t="s">
        <v>5763</v>
      </c>
      <c r="D1323" s="67" t="s">
        <v>5764</v>
      </c>
      <c r="E1323" s="96" t="s">
        <v>62</v>
      </c>
      <c r="F1323" s="29" t="s">
        <v>61</v>
      </c>
      <c r="G1323" s="29"/>
      <c r="H1323" s="103">
        <f>_xlfn.XLOOKUP(B1323,GM!$Q$5:$Q$756,GM!$J$5:$J$756)</f>
        <v>44739</v>
      </c>
    </row>
    <row r="1324" spans="1:8" hidden="1" x14ac:dyDescent="0.35">
      <c r="A1324" s="29" t="s">
        <v>23</v>
      </c>
      <c r="B1324" s="29" t="str">
        <f t="shared" si="20"/>
        <v>ILS-02</v>
      </c>
      <c r="C1324" s="29" t="s">
        <v>5765</v>
      </c>
      <c r="D1324" s="67" t="s">
        <v>5766</v>
      </c>
      <c r="E1324" s="96" t="s">
        <v>62</v>
      </c>
      <c r="F1324" s="29" t="s">
        <v>61</v>
      </c>
      <c r="G1324" s="29"/>
      <c r="H1324" s="103">
        <f>_xlfn.XLOOKUP(B1324,GM!$Q$5:$Q$756,GM!$J$5:$J$756)</f>
        <v>44739</v>
      </c>
    </row>
    <row r="1325" spans="1:8" hidden="1" x14ac:dyDescent="0.35">
      <c r="A1325" s="29" t="s">
        <v>23</v>
      </c>
      <c r="B1325" s="29" t="str">
        <f t="shared" si="20"/>
        <v>ILS-02</v>
      </c>
      <c r="C1325" s="29" t="s">
        <v>5767</v>
      </c>
      <c r="D1325" s="67" t="s">
        <v>5768</v>
      </c>
      <c r="E1325" s="96" t="s">
        <v>62</v>
      </c>
      <c r="F1325" s="29" t="s">
        <v>61</v>
      </c>
      <c r="G1325" s="29"/>
      <c r="H1325" s="103">
        <f>_xlfn.XLOOKUP(B1325,GM!$Q$5:$Q$756,GM!$J$5:$J$756)</f>
        <v>44739</v>
      </c>
    </row>
    <row r="1326" spans="1:8" hidden="1" x14ac:dyDescent="0.35">
      <c r="A1326" s="29" t="s">
        <v>23</v>
      </c>
      <c r="B1326" s="29" t="str">
        <f t="shared" si="20"/>
        <v>ILS-02</v>
      </c>
      <c r="C1326" s="29" t="s">
        <v>5769</v>
      </c>
      <c r="D1326" s="67" t="s">
        <v>5770</v>
      </c>
      <c r="E1326" s="96" t="s">
        <v>62</v>
      </c>
      <c r="F1326" s="29" t="s">
        <v>61</v>
      </c>
      <c r="G1326" s="29"/>
      <c r="H1326" s="103">
        <f>_xlfn.XLOOKUP(B1326,GM!$Q$5:$Q$756,GM!$J$5:$J$756)</f>
        <v>44739</v>
      </c>
    </row>
    <row r="1327" spans="1:8" hidden="1" x14ac:dyDescent="0.35">
      <c r="A1327" s="29" t="s">
        <v>23</v>
      </c>
      <c r="B1327" s="29" t="str">
        <f t="shared" si="20"/>
        <v>ILS-02</v>
      </c>
      <c r="C1327" s="29" t="s">
        <v>5771</v>
      </c>
      <c r="D1327" s="67" t="s">
        <v>5772</v>
      </c>
      <c r="E1327" s="96" t="s">
        <v>62</v>
      </c>
      <c r="F1327" s="29" t="s">
        <v>61</v>
      </c>
      <c r="G1327" s="29"/>
      <c r="H1327" s="103">
        <f>_xlfn.XLOOKUP(B1327,GM!$Q$5:$Q$756,GM!$J$5:$J$756)</f>
        <v>44739</v>
      </c>
    </row>
    <row r="1328" spans="1:8" hidden="1" x14ac:dyDescent="0.35">
      <c r="A1328" s="29" t="s">
        <v>23</v>
      </c>
      <c r="B1328" s="29" t="str">
        <f t="shared" si="20"/>
        <v>ILS-02</v>
      </c>
      <c r="C1328" s="29" t="s">
        <v>5773</v>
      </c>
      <c r="D1328" s="67" t="s">
        <v>5774</v>
      </c>
      <c r="E1328" s="96" t="s">
        <v>62</v>
      </c>
      <c r="F1328" s="29" t="s">
        <v>61</v>
      </c>
      <c r="G1328" s="29"/>
      <c r="H1328" s="103">
        <f>_xlfn.XLOOKUP(B1328,GM!$Q$5:$Q$756,GM!$J$5:$J$756)</f>
        <v>44739</v>
      </c>
    </row>
    <row r="1329" spans="1:8" hidden="1" x14ac:dyDescent="0.35">
      <c r="A1329" s="29" t="s">
        <v>23</v>
      </c>
      <c r="B1329" s="29" t="str">
        <f t="shared" si="20"/>
        <v>ILS-02</v>
      </c>
      <c r="C1329" s="29" t="s">
        <v>5775</v>
      </c>
      <c r="D1329" s="67" t="s">
        <v>5776</v>
      </c>
      <c r="E1329" s="96" t="s">
        <v>62</v>
      </c>
      <c r="F1329" s="29" t="s">
        <v>61</v>
      </c>
      <c r="G1329" s="29"/>
      <c r="H1329" s="103">
        <f>_xlfn.XLOOKUP(B1329,GM!$Q$5:$Q$756,GM!$J$5:$J$756)</f>
        <v>44739</v>
      </c>
    </row>
    <row r="1330" spans="1:8" hidden="1" x14ac:dyDescent="0.35">
      <c r="A1330" s="29" t="s">
        <v>23</v>
      </c>
      <c r="B1330" s="29" t="str">
        <f t="shared" si="20"/>
        <v>ILS-02</v>
      </c>
      <c r="C1330" s="29" t="s">
        <v>5777</v>
      </c>
      <c r="D1330" s="67" t="s">
        <v>5778</v>
      </c>
      <c r="E1330" s="96" t="s">
        <v>62</v>
      </c>
      <c r="F1330" s="29" t="s">
        <v>61</v>
      </c>
      <c r="G1330" s="29"/>
      <c r="H1330" s="103">
        <f>_xlfn.XLOOKUP(B1330,GM!$Q$5:$Q$756,GM!$J$5:$J$756)</f>
        <v>44739</v>
      </c>
    </row>
    <row r="1331" spans="1:8" hidden="1" x14ac:dyDescent="0.35">
      <c r="A1331" s="29" t="s">
        <v>23</v>
      </c>
      <c r="B1331" s="29" t="str">
        <f t="shared" si="20"/>
        <v>ILS-02</v>
      </c>
      <c r="C1331" s="29" t="s">
        <v>5779</v>
      </c>
      <c r="D1331" s="67" t="s">
        <v>5780</v>
      </c>
      <c r="E1331" s="96" t="s">
        <v>62</v>
      </c>
      <c r="F1331" s="29" t="s">
        <v>61</v>
      </c>
      <c r="G1331" s="29"/>
      <c r="H1331" s="103">
        <f>_xlfn.XLOOKUP(B1331,GM!$Q$5:$Q$756,GM!$J$5:$J$756)</f>
        <v>44739</v>
      </c>
    </row>
    <row r="1332" spans="1:8" hidden="1" x14ac:dyDescent="0.35">
      <c r="A1332" s="29" t="s">
        <v>23</v>
      </c>
      <c r="B1332" s="29" t="str">
        <f t="shared" si="20"/>
        <v>ILS-02</v>
      </c>
      <c r="C1332" s="29" t="s">
        <v>5781</v>
      </c>
      <c r="D1332" s="67" t="s">
        <v>5782</v>
      </c>
      <c r="E1332" s="96" t="s">
        <v>62</v>
      </c>
      <c r="F1332" s="29" t="s">
        <v>61</v>
      </c>
      <c r="G1332" s="29"/>
      <c r="H1332" s="103">
        <f>_xlfn.XLOOKUP(B1332,GM!$Q$5:$Q$756,GM!$J$5:$J$756)</f>
        <v>44739</v>
      </c>
    </row>
    <row r="1333" spans="1:8" hidden="1" x14ac:dyDescent="0.35">
      <c r="A1333" s="29" t="s">
        <v>23</v>
      </c>
      <c r="B1333" s="29" t="str">
        <f t="shared" si="20"/>
        <v>ILS-02</v>
      </c>
      <c r="C1333" s="29" t="s">
        <v>5783</v>
      </c>
      <c r="D1333" s="67" t="s">
        <v>5784</v>
      </c>
      <c r="E1333" s="96" t="s">
        <v>62</v>
      </c>
      <c r="F1333" s="29" t="s">
        <v>61</v>
      </c>
      <c r="G1333" s="29"/>
      <c r="H1333" s="103">
        <f>_xlfn.XLOOKUP(B1333,GM!$Q$5:$Q$756,GM!$J$5:$J$756)</f>
        <v>44739</v>
      </c>
    </row>
    <row r="1334" spans="1:8" hidden="1" x14ac:dyDescent="0.35">
      <c r="A1334" s="29" t="s">
        <v>23</v>
      </c>
      <c r="B1334" s="29" t="str">
        <f t="shared" si="20"/>
        <v>ILS-02</v>
      </c>
      <c r="C1334" s="29" t="s">
        <v>5785</v>
      </c>
      <c r="D1334" s="67" t="s">
        <v>5786</v>
      </c>
      <c r="E1334" s="96" t="s">
        <v>62</v>
      </c>
      <c r="F1334" s="29" t="s">
        <v>61</v>
      </c>
      <c r="G1334" s="29"/>
      <c r="H1334" s="103">
        <f>_xlfn.XLOOKUP(B1334,GM!$Q$5:$Q$756,GM!$J$5:$J$756)</f>
        <v>44739</v>
      </c>
    </row>
    <row r="1335" spans="1:8" hidden="1" x14ac:dyDescent="0.35">
      <c r="A1335" s="29" t="s">
        <v>23</v>
      </c>
      <c r="B1335" s="29" t="str">
        <f t="shared" si="20"/>
        <v>ILS-02</v>
      </c>
      <c r="C1335" s="29" t="s">
        <v>5787</v>
      </c>
      <c r="D1335" s="67" t="s">
        <v>5788</v>
      </c>
      <c r="E1335" s="96" t="s">
        <v>62</v>
      </c>
      <c r="F1335" s="29" t="s">
        <v>61</v>
      </c>
      <c r="G1335" s="29"/>
      <c r="H1335" s="103">
        <f>_xlfn.XLOOKUP(B1335,GM!$Q$5:$Q$756,GM!$J$5:$J$756)</f>
        <v>44739</v>
      </c>
    </row>
    <row r="1336" spans="1:8" hidden="1" x14ac:dyDescent="0.35">
      <c r="A1336" s="29" t="s">
        <v>23</v>
      </c>
      <c r="B1336" s="29" t="str">
        <f t="shared" si="20"/>
        <v>ILS-02</v>
      </c>
      <c r="C1336" s="29" t="s">
        <v>5789</v>
      </c>
      <c r="D1336" s="67" t="s">
        <v>5790</v>
      </c>
      <c r="E1336" s="96" t="s">
        <v>62</v>
      </c>
      <c r="F1336" s="29" t="s">
        <v>61</v>
      </c>
      <c r="G1336" s="29"/>
      <c r="H1336" s="103">
        <f>_xlfn.XLOOKUP(B1336,GM!$Q$5:$Q$756,GM!$J$5:$J$756)</f>
        <v>44739</v>
      </c>
    </row>
    <row r="1337" spans="1:8" hidden="1" x14ac:dyDescent="0.35">
      <c r="A1337" s="29" t="s">
        <v>23</v>
      </c>
      <c r="B1337" s="29" t="str">
        <f t="shared" si="20"/>
        <v>ILS-02</v>
      </c>
      <c r="C1337" s="29" t="s">
        <v>5791</v>
      </c>
      <c r="D1337" s="67" t="s">
        <v>5792</v>
      </c>
      <c r="E1337" s="96" t="s">
        <v>62</v>
      </c>
      <c r="F1337" s="29" t="s">
        <v>61</v>
      </c>
      <c r="G1337" s="29"/>
      <c r="H1337" s="103">
        <f>_xlfn.XLOOKUP(B1337,GM!$Q$5:$Q$756,GM!$J$5:$J$756)</f>
        <v>44739</v>
      </c>
    </row>
    <row r="1338" spans="1:8" hidden="1" x14ac:dyDescent="0.35">
      <c r="A1338" s="29" t="s">
        <v>23</v>
      </c>
      <c r="B1338" s="29" t="str">
        <f t="shared" si="20"/>
        <v>ILS-02</v>
      </c>
      <c r="C1338" s="29" t="s">
        <v>5793</v>
      </c>
      <c r="D1338" s="67" t="s">
        <v>5794</v>
      </c>
      <c r="E1338" s="96" t="s">
        <v>62</v>
      </c>
      <c r="F1338" s="29" t="s">
        <v>61</v>
      </c>
      <c r="G1338" s="29"/>
      <c r="H1338" s="103">
        <f>_xlfn.XLOOKUP(B1338,GM!$Q$5:$Q$756,GM!$J$5:$J$756)</f>
        <v>44739</v>
      </c>
    </row>
    <row r="1339" spans="1:8" hidden="1" x14ac:dyDescent="0.35">
      <c r="A1339" s="29" t="s">
        <v>23</v>
      </c>
      <c r="B1339" s="29" t="str">
        <f t="shared" si="20"/>
        <v>ILS-02</v>
      </c>
      <c r="C1339" s="29" t="s">
        <v>5795</v>
      </c>
      <c r="D1339" s="67" t="s">
        <v>5796</v>
      </c>
      <c r="E1339" s="96" t="s">
        <v>62</v>
      </c>
      <c r="F1339" s="29" t="s">
        <v>61</v>
      </c>
      <c r="G1339" s="29"/>
      <c r="H1339" s="103">
        <f>_xlfn.XLOOKUP(B1339,GM!$Q$5:$Q$756,GM!$J$5:$J$756)</f>
        <v>44739</v>
      </c>
    </row>
    <row r="1340" spans="1:8" hidden="1" x14ac:dyDescent="0.35">
      <c r="A1340" s="29" t="s">
        <v>23</v>
      </c>
      <c r="B1340" s="29" t="str">
        <f t="shared" si="20"/>
        <v>ILS-02</v>
      </c>
      <c r="C1340" s="29" t="s">
        <v>5797</v>
      </c>
      <c r="D1340" s="67" t="s">
        <v>5798</v>
      </c>
      <c r="E1340" s="96" t="s">
        <v>62</v>
      </c>
      <c r="F1340" s="29" t="s">
        <v>61</v>
      </c>
      <c r="G1340" s="29"/>
      <c r="H1340" s="103">
        <f>_xlfn.XLOOKUP(B1340,GM!$Q$5:$Q$756,GM!$J$5:$J$756)</f>
        <v>44739</v>
      </c>
    </row>
    <row r="1341" spans="1:8" hidden="1" x14ac:dyDescent="0.35">
      <c r="A1341" s="29" t="s">
        <v>23</v>
      </c>
      <c r="B1341" s="29" t="str">
        <f t="shared" si="20"/>
        <v>ILS-02</v>
      </c>
      <c r="C1341" s="29" t="s">
        <v>5799</v>
      </c>
      <c r="D1341" s="67" t="s">
        <v>5800</v>
      </c>
      <c r="E1341" s="96" t="s">
        <v>62</v>
      </c>
      <c r="F1341" s="29" t="s">
        <v>61</v>
      </c>
      <c r="G1341" s="29"/>
      <c r="H1341" s="103">
        <f>_xlfn.XLOOKUP(B1341,GM!$Q$5:$Q$756,GM!$J$5:$J$756)</f>
        <v>44739</v>
      </c>
    </row>
    <row r="1342" spans="1:8" hidden="1" x14ac:dyDescent="0.35">
      <c r="A1342" s="29" t="s">
        <v>23</v>
      </c>
      <c r="B1342" s="29" t="str">
        <f t="shared" si="20"/>
        <v>ILS-02</v>
      </c>
      <c r="C1342" s="29" t="s">
        <v>5801</v>
      </c>
      <c r="D1342" s="67" t="s">
        <v>5802</v>
      </c>
      <c r="E1342" s="96" t="s">
        <v>62</v>
      </c>
      <c r="F1342" s="29" t="s">
        <v>61</v>
      </c>
      <c r="G1342" s="29"/>
      <c r="H1342" s="103">
        <f>_xlfn.XLOOKUP(B1342,GM!$Q$5:$Q$756,GM!$J$5:$J$756)</f>
        <v>44739</v>
      </c>
    </row>
    <row r="1343" spans="1:8" hidden="1" x14ac:dyDescent="0.35">
      <c r="A1343" s="29" t="s">
        <v>23</v>
      </c>
      <c r="B1343" s="29" t="str">
        <f t="shared" si="20"/>
        <v>ILS-02</v>
      </c>
      <c r="C1343" s="29" t="s">
        <v>5803</v>
      </c>
      <c r="D1343" s="67" t="s">
        <v>5804</v>
      </c>
      <c r="E1343" s="96" t="s">
        <v>62</v>
      </c>
      <c r="F1343" s="29" t="s">
        <v>61</v>
      </c>
      <c r="G1343" s="29"/>
      <c r="H1343" s="103">
        <f>_xlfn.XLOOKUP(B1343,GM!$Q$5:$Q$756,GM!$J$5:$J$756)</f>
        <v>44739</v>
      </c>
    </row>
    <row r="1344" spans="1:8" hidden="1" x14ac:dyDescent="0.35">
      <c r="A1344" s="29" t="s">
        <v>23</v>
      </c>
      <c r="B1344" s="29" t="str">
        <f t="shared" si="20"/>
        <v>ILS-02</v>
      </c>
      <c r="C1344" s="29" t="s">
        <v>5805</v>
      </c>
      <c r="D1344" s="67" t="s">
        <v>5806</v>
      </c>
      <c r="E1344" s="96" t="s">
        <v>62</v>
      </c>
      <c r="F1344" s="29" t="s">
        <v>61</v>
      </c>
      <c r="G1344" s="29"/>
      <c r="H1344" s="103">
        <f>_xlfn.XLOOKUP(B1344,GM!$Q$5:$Q$756,GM!$J$5:$J$756)</f>
        <v>44739</v>
      </c>
    </row>
    <row r="1345" spans="1:8" hidden="1" x14ac:dyDescent="0.35">
      <c r="A1345" s="29" t="s">
        <v>23</v>
      </c>
      <c r="B1345" s="29" t="str">
        <f t="shared" si="20"/>
        <v>ILS-02</v>
      </c>
      <c r="C1345" s="29" t="s">
        <v>5807</v>
      </c>
      <c r="D1345" s="67" t="s">
        <v>5808</v>
      </c>
      <c r="E1345" s="96" t="s">
        <v>62</v>
      </c>
      <c r="F1345" s="29" t="s">
        <v>61</v>
      </c>
      <c r="G1345" s="29"/>
      <c r="H1345" s="103">
        <f>_xlfn.XLOOKUP(B1345,GM!$Q$5:$Q$756,GM!$J$5:$J$756)</f>
        <v>44739</v>
      </c>
    </row>
    <row r="1346" spans="1:8" hidden="1" x14ac:dyDescent="0.35">
      <c r="A1346" s="29" t="s">
        <v>23</v>
      </c>
      <c r="B1346" s="29" t="str">
        <f t="shared" si="20"/>
        <v>ILS-02</v>
      </c>
      <c r="C1346" s="29" t="s">
        <v>5809</v>
      </c>
      <c r="D1346" s="67" t="s">
        <v>5810</v>
      </c>
      <c r="E1346" s="96" t="s">
        <v>62</v>
      </c>
      <c r="F1346" s="29" t="s">
        <v>61</v>
      </c>
      <c r="G1346" s="29"/>
      <c r="H1346" s="103">
        <f>_xlfn.XLOOKUP(B1346,GM!$Q$5:$Q$756,GM!$J$5:$J$756)</f>
        <v>44739</v>
      </c>
    </row>
    <row r="1347" spans="1:8" hidden="1" x14ac:dyDescent="0.35">
      <c r="A1347" s="29" t="s">
        <v>23</v>
      </c>
      <c r="B1347" s="29" t="str">
        <f t="shared" si="20"/>
        <v>ILS-02</v>
      </c>
      <c r="C1347" s="29" t="s">
        <v>5811</v>
      </c>
      <c r="D1347" s="67" t="s">
        <v>5812</v>
      </c>
      <c r="E1347" s="96" t="s">
        <v>62</v>
      </c>
      <c r="F1347" s="29" t="s">
        <v>61</v>
      </c>
      <c r="G1347" s="29"/>
      <c r="H1347" s="103">
        <f>_xlfn.XLOOKUP(B1347,GM!$Q$5:$Q$756,GM!$J$5:$J$756)</f>
        <v>44739</v>
      </c>
    </row>
    <row r="1348" spans="1:8" hidden="1" x14ac:dyDescent="0.35">
      <c r="A1348" s="29" t="s">
        <v>23</v>
      </c>
      <c r="B1348" s="29" t="str">
        <f t="shared" si="20"/>
        <v>ILS-02</v>
      </c>
      <c r="C1348" s="29" t="s">
        <v>5813</v>
      </c>
      <c r="D1348" s="67" t="s">
        <v>5814</v>
      </c>
      <c r="E1348" s="96" t="s">
        <v>62</v>
      </c>
      <c r="F1348" s="29" t="s">
        <v>61</v>
      </c>
      <c r="G1348" s="29"/>
      <c r="H1348" s="103">
        <f>_xlfn.XLOOKUP(B1348,GM!$Q$5:$Q$756,GM!$J$5:$J$756)</f>
        <v>44739</v>
      </c>
    </row>
    <row r="1349" spans="1:8" hidden="1" x14ac:dyDescent="0.35">
      <c r="A1349" s="29" t="s">
        <v>23</v>
      </c>
      <c r="B1349" s="29" t="str">
        <f t="shared" ref="B1349:B1412" si="21">IF(OR(A1349="ARN",A1349="SDP"),MID(C1349,4,7),MID(C1349,4,6))</f>
        <v>ILS-02</v>
      </c>
      <c r="C1349" s="29" t="s">
        <v>5815</v>
      </c>
      <c r="D1349" s="67" t="s">
        <v>5816</v>
      </c>
      <c r="E1349" s="96" t="s">
        <v>62</v>
      </c>
      <c r="F1349" s="29" t="s">
        <v>61</v>
      </c>
      <c r="G1349" s="29"/>
      <c r="H1349" s="103">
        <f>_xlfn.XLOOKUP(B1349,GM!$Q$5:$Q$756,GM!$J$5:$J$756)</f>
        <v>44739</v>
      </c>
    </row>
    <row r="1350" spans="1:8" hidden="1" x14ac:dyDescent="0.35">
      <c r="A1350" s="29" t="s">
        <v>23</v>
      </c>
      <c r="B1350" s="29" t="str">
        <f t="shared" si="21"/>
        <v>ILS-02</v>
      </c>
      <c r="C1350" s="29" t="s">
        <v>5817</v>
      </c>
      <c r="D1350" s="67" t="s">
        <v>5818</v>
      </c>
      <c r="E1350" s="96" t="s">
        <v>62</v>
      </c>
      <c r="F1350" s="29" t="s">
        <v>61</v>
      </c>
      <c r="G1350" s="29"/>
      <c r="H1350" s="103">
        <f>_xlfn.XLOOKUP(B1350,GM!$Q$5:$Q$756,GM!$J$5:$J$756)</f>
        <v>44739</v>
      </c>
    </row>
    <row r="1351" spans="1:8" hidden="1" x14ac:dyDescent="0.35">
      <c r="A1351" s="29" t="s">
        <v>23</v>
      </c>
      <c r="B1351" s="29" t="str">
        <f t="shared" si="21"/>
        <v>ILS-03</v>
      </c>
      <c r="C1351" s="29" t="s">
        <v>5819</v>
      </c>
      <c r="D1351" s="67" t="s">
        <v>5820</v>
      </c>
      <c r="E1351" s="96" t="s">
        <v>62</v>
      </c>
      <c r="F1351" s="29" t="s">
        <v>61</v>
      </c>
      <c r="G1351" s="29"/>
      <c r="H1351" s="103">
        <f>_xlfn.XLOOKUP(B1351,GM!$Q$5:$Q$756,GM!$J$5:$J$756)</f>
        <v>45506</v>
      </c>
    </row>
    <row r="1352" spans="1:8" hidden="1" x14ac:dyDescent="0.35">
      <c r="A1352" s="29" t="s">
        <v>23</v>
      </c>
      <c r="B1352" s="29" t="str">
        <f t="shared" si="21"/>
        <v>ILS-03</v>
      </c>
      <c r="C1352" s="29" t="s">
        <v>5821</v>
      </c>
      <c r="D1352" s="67" t="s">
        <v>5822</v>
      </c>
      <c r="E1352" s="96" t="s">
        <v>62</v>
      </c>
      <c r="F1352" s="29" t="s">
        <v>61</v>
      </c>
      <c r="G1352" s="29"/>
      <c r="H1352" s="103">
        <f>_xlfn.XLOOKUP(B1352,GM!$Q$5:$Q$756,GM!$J$5:$J$756)</f>
        <v>45506</v>
      </c>
    </row>
    <row r="1353" spans="1:8" hidden="1" x14ac:dyDescent="0.35">
      <c r="A1353" s="29" t="s">
        <v>23</v>
      </c>
      <c r="B1353" s="29" t="str">
        <f t="shared" si="21"/>
        <v>ILS-03</v>
      </c>
      <c r="C1353" s="29" t="s">
        <v>5823</v>
      </c>
      <c r="D1353" s="67" t="s">
        <v>5824</v>
      </c>
      <c r="E1353" s="96" t="s">
        <v>62</v>
      </c>
      <c r="F1353" s="29" t="s">
        <v>61</v>
      </c>
      <c r="G1353" s="29"/>
      <c r="H1353" s="103">
        <f>_xlfn.XLOOKUP(B1353,GM!$Q$5:$Q$756,GM!$J$5:$J$756)</f>
        <v>45506</v>
      </c>
    </row>
    <row r="1354" spans="1:8" hidden="1" x14ac:dyDescent="0.35">
      <c r="A1354" s="29" t="s">
        <v>23</v>
      </c>
      <c r="B1354" s="29" t="str">
        <f t="shared" si="21"/>
        <v>ILS-03</v>
      </c>
      <c r="C1354" s="29" t="s">
        <v>5825</v>
      </c>
      <c r="D1354" s="67" t="s">
        <v>5826</v>
      </c>
      <c r="E1354" s="96" t="s">
        <v>62</v>
      </c>
      <c r="F1354" s="29" t="s">
        <v>61</v>
      </c>
      <c r="G1354" s="29"/>
      <c r="H1354" s="103">
        <f>_xlfn.XLOOKUP(B1354,GM!$Q$5:$Q$756,GM!$J$5:$J$756)</f>
        <v>45506</v>
      </c>
    </row>
    <row r="1355" spans="1:8" hidden="1" x14ac:dyDescent="0.35">
      <c r="A1355" s="29" t="s">
        <v>23</v>
      </c>
      <c r="B1355" s="29" t="str">
        <f t="shared" si="21"/>
        <v>ILS-03</v>
      </c>
      <c r="C1355" s="29" t="s">
        <v>5827</v>
      </c>
      <c r="D1355" s="67" t="s">
        <v>5828</v>
      </c>
      <c r="E1355" s="96" t="s">
        <v>62</v>
      </c>
      <c r="F1355" s="29" t="s">
        <v>61</v>
      </c>
      <c r="G1355" s="29"/>
      <c r="H1355" s="103">
        <f>_xlfn.XLOOKUP(B1355,GM!$Q$5:$Q$756,GM!$J$5:$J$756)</f>
        <v>45506</v>
      </c>
    </row>
    <row r="1356" spans="1:8" hidden="1" x14ac:dyDescent="0.35">
      <c r="A1356" s="29" t="s">
        <v>23</v>
      </c>
      <c r="B1356" s="29" t="str">
        <f t="shared" si="21"/>
        <v>ILS-03</v>
      </c>
      <c r="C1356" s="29" t="s">
        <v>5829</v>
      </c>
      <c r="D1356" s="67" t="s">
        <v>5830</v>
      </c>
      <c r="E1356" s="96" t="s">
        <v>62</v>
      </c>
      <c r="F1356" s="29" t="s">
        <v>61</v>
      </c>
      <c r="G1356" s="29"/>
      <c r="H1356" s="103">
        <f>_xlfn.XLOOKUP(B1356,GM!$Q$5:$Q$756,GM!$J$5:$J$756)</f>
        <v>45506</v>
      </c>
    </row>
    <row r="1357" spans="1:8" hidden="1" x14ac:dyDescent="0.35">
      <c r="A1357" s="29" t="s">
        <v>23</v>
      </c>
      <c r="B1357" s="29" t="str">
        <f t="shared" si="21"/>
        <v>ILS-03</v>
      </c>
      <c r="C1357" s="29" t="s">
        <v>5831</v>
      </c>
      <c r="D1357" s="67" t="s">
        <v>5832</v>
      </c>
      <c r="E1357" s="96" t="s">
        <v>62</v>
      </c>
      <c r="F1357" s="29" t="s">
        <v>61</v>
      </c>
      <c r="G1357" s="29"/>
      <c r="H1357" s="103">
        <f>_xlfn.XLOOKUP(B1357,GM!$Q$5:$Q$756,GM!$J$5:$J$756)</f>
        <v>45506</v>
      </c>
    </row>
    <row r="1358" spans="1:8" hidden="1" x14ac:dyDescent="0.35">
      <c r="A1358" s="29" t="s">
        <v>23</v>
      </c>
      <c r="B1358" s="29" t="str">
        <f t="shared" si="21"/>
        <v>ILS-03</v>
      </c>
      <c r="C1358" s="29" t="s">
        <v>5833</v>
      </c>
      <c r="D1358" s="67" t="s">
        <v>5834</v>
      </c>
      <c r="E1358" s="96" t="s">
        <v>62</v>
      </c>
      <c r="F1358" s="29" t="s">
        <v>61</v>
      </c>
      <c r="G1358" s="29"/>
      <c r="H1358" s="103">
        <f>_xlfn.XLOOKUP(B1358,GM!$Q$5:$Q$756,GM!$J$5:$J$756)</f>
        <v>45506</v>
      </c>
    </row>
    <row r="1359" spans="1:8" hidden="1" x14ac:dyDescent="0.35">
      <c r="A1359" s="29" t="s">
        <v>23</v>
      </c>
      <c r="B1359" s="29" t="str">
        <f t="shared" si="21"/>
        <v>ILS-03</v>
      </c>
      <c r="C1359" s="29" t="s">
        <v>5835</v>
      </c>
      <c r="D1359" s="67" t="s">
        <v>5836</v>
      </c>
      <c r="E1359" s="96" t="s">
        <v>62</v>
      </c>
      <c r="F1359" s="29" t="s">
        <v>61</v>
      </c>
      <c r="G1359" s="29"/>
      <c r="H1359" s="103">
        <f>_xlfn.XLOOKUP(B1359,GM!$Q$5:$Q$756,GM!$J$5:$J$756)</f>
        <v>45506</v>
      </c>
    </row>
    <row r="1360" spans="1:8" hidden="1" x14ac:dyDescent="0.35">
      <c r="A1360" s="29" t="s">
        <v>23</v>
      </c>
      <c r="B1360" s="29" t="str">
        <f t="shared" si="21"/>
        <v>ILS-03</v>
      </c>
      <c r="C1360" s="29" t="s">
        <v>5837</v>
      </c>
      <c r="D1360" s="67" t="s">
        <v>5838</v>
      </c>
      <c r="E1360" s="96" t="s">
        <v>62</v>
      </c>
      <c r="F1360" s="29" t="s">
        <v>61</v>
      </c>
      <c r="G1360" s="29"/>
      <c r="H1360" s="103">
        <f>_xlfn.XLOOKUP(B1360,GM!$Q$5:$Q$756,GM!$J$5:$J$756)</f>
        <v>45506</v>
      </c>
    </row>
    <row r="1361" spans="1:8" hidden="1" x14ac:dyDescent="0.35">
      <c r="A1361" s="29" t="s">
        <v>23</v>
      </c>
      <c r="B1361" s="29" t="str">
        <f t="shared" si="21"/>
        <v>ILS-03</v>
      </c>
      <c r="C1361" s="29" t="s">
        <v>5839</v>
      </c>
      <c r="D1361" s="67" t="s">
        <v>5840</v>
      </c>
      <c r="E1361" s="96" t="s">
        <v>62</v>
      </c>
      <c r="F1361" s="29" t="s">
        <v>61</v>
      </c>
      <c r="G1361" s="29"/>
      <c r="H1361" s="103">
        <f>_xlfn.XLOOKUP(B1361,GM!$Q$5:$Q$756,GM!$J$5:$J$756)</f>
        <v>45506</v>
      </c>
    </row>
    <row r="1362" spans="1:8" hidden="1" x14ac:dyDescent="0.35">
      <c r="A1362" s="29" t="s">
        <v>23</v>
      </c>
      <c r="B1362" s="29" t="str">
        <f t="shared" si="21"/>
        <v>ILS-03</v>
      </c>
      <c r="C1362" s="29" t="s">
        <v>5841</v>
      </c>
      <c r="D1362" s="67" t="s">
        <v>5842</v>
      </c>
      <c r="E1362" s="96" t="s">
        <v>62</v>
      </c>
      <c r="F1362" s="29" t="s">
        <v>61</v>
      </c>
      <c r="G1362" s="29"/>
      <c r="H1362" s="103">
        <f>_xlfn.XLOOKUP(B1362,GM!$Q$5:$Q$756,GM!$J$5:$J$756)</f>
        <v>45506</v>
      </c>
    </row>
    <row r="1363" spans="1:8" hidden="1" x14ac:dyDescent="0.35">
      <c r="A1363" s="29" t="s">
        <v>23</v>
      </c>
      <c r="B1363" s="29" t="str">
        <f t="shared" si="21"/>
        <v>ILS-03</v>
      </c>
      <c r="C1363" s="29" t="s">
        <v>5843</v>
      </c>
      <c r="D1363" s="67" t="s">
        <v>5844</v>
      </c>
      <c r="E1363" s="96" t="s">
        <v>62</v>
      </c>
      <c r="F1363" s="29" t="s">
        <v>61</v>
      </c>
      <c r="G1363" s="29"/>
      <c r="H1363" s="103">
        <f>_xlfn.XLOOKUP(B1363,GM!$Q$5:$Q$756,GM!$J$5:$J$756)</f>
        <v>45506</v>
      </c>
    </row>
    <row r="1364" spans="1:8" hidden="1" x14ac:dyDescent="0.35">
      <c r="A1364" s="29" t="s">
        <v>23</v>
      </c>
      <c r="B1364" s="29" t="str">
        <f t="shared" si="21"/>
        <v>ILS-03</v>
      </c>
      <c r="C1364" s="29" t="s">
        <v>5845</v>
      </c>
      <c r="D1364" s="67" t="s">
        <v>5846</v>
      </c>
      <c r="E1364" s="96" t="s">
        <v>62</v>
      </c>
      <c r="F1364" s="29" t="s">
        <v>61</v>
      </c>
      <c r="G1364" s="29"/>
      <c r="H1364" s="103">
        <f>_xlfn.XLOOKUP(B1364,GM!$Q$5:$Q$756,GM!$J$5:$J$756)</f>
        <v>45506</v>
      </c>
    </row>
    <row r="1365" spans="1:8" hidden="1" x14ac:dyDescent="0.35">
      <c r="A1365" s="29" t="s">
        <v>23</v>
      </c>
      <c r="B1365" s="29" t="str">
        <f t="shared" si="21"/>
        <v>ILS-03</v>
      </c>
      <c r="C1365" s="29" t="s">
        <v>5847</v>
      </c>
      <c r="D1365" s="67" t="s">
        <v>5848</v>
      </c>
      <c r="E1365" s="96" t="s">
        <v>62</v>
      </c>
      <c r="F1365" s="29" t="s">
        <v>61</v>
      </c>
      <c r="G1365" s="29"/>
      <c r="H1365" s="103">
        <f>_xlfn.XLOOKUP(B1365,GM!$Q$5:$Q$756,GM!$J$5:$J$756)</f>
        <v>45506</v>
      </c>
    </row>
    <row r="1366" spans="1:8" hidden="1" x14ac:dyDescent="0.35">
      <c r="A1366" s="29" t="s">
        <v>23</v>
      </c>
      <c r="B1366" s="29" t="str">
        <f t="shared" si="21"/>
        <v>ILS-03</v>
      </c>
      <c r="C1366" s="29" t="s">
        <v>5849</v>
      </c>
      <c r="D1366" s="67" t="s">
        <v>5850</v>
      </c>
      <c r="E1366" s="96" t="s">
        <v>62</v>
      </c>
      <c r="F1366" s="29" t="s">
        <v>61</v>
      </c>
      <c r="G1366" s="29"/>
      <c r="H1366" s="103">
        <f>_xlfn.XLOOKUP(B1366,GM!$Q$5:$Q$756,GM!$J$5:$J$756)</f>
        <v>45506</v>
      </c>
    </row>
    <row r="1367" spans="1:8" hidden="1" x14ac:dyDescent="0.35">
      <c r="A1367" s="29" t="s">
        <v>23</v>
      </c>
      <c r="B1367" s="29" t="str">
        <f t="shared" si="21"/>
        <v>ILS-03</v>
      </c>
      <c r="C1367" s="29" t="s">
        <v>5851</v>
      </c>
      <c r="D1367" s="67" t="s">
        <v>5852</v>
      </c>
      <c r="E1367" s="96" t="s">
        <v>62</v>
      </c>
      <c r="F1367" s="29" t="s">
        <v>61</v>
      </c>
      <c r="G1367" s="29"/>
      <c r="H1367" s="103">
        <f>_xlfn.XLOOKUP(B1367,GM!$Q$5:$Q$756,GM!$J$5:$J$756)</f>
        <v>45506</v>
      </c>
    </row>
    <row r="1368" spans="1:8" hidden="1" x14ac:dyDescent="0.35">
      <c r="A1368" s="29" t="s">
        <v>23</v>
      </c>
      <c r="B1368" s="29" t="str">
        <f t="shared" si="21"/>
        <v>ILS-03</v>
      </c>
      <c r="C1368" s="29" t="s">
        <v>5853</v>
      </c>
      <c r="D1368" s="67" t="s">
        <v>5854</v>
      </c>
      <c r="E1368" s="96" t="s">
        <v>62</v>
      </c>
      <c r="F1368" s="29" t="s">
        <v>61</v>
      </c>
      <c r="G1368" s="29"/>
      <c r="H1368" s="103">
        <f>_xlfn.XLOOKUP(B1368,GM!$Q$5:$Q$756,GM!$J$5:$J$756)</f>
        <v>45506</v>
      </c>
    </row>
    <row r="1369" spans="1:8" hidden="1" x14ac:dyDescent="0.35">
      <c r="A1369" s="29" t="s">
        <v>23</v>
      </c>
      <c r="B1369" s="29" t="str">
        <f t="shared" si="21"/>
        <v>ILS-03</v>
      </c>
      <c r="C1369" s="29" t="s">
        <v>5855</v>
      </c>
      <c r="D1369" s="67" t="s">
        <v>5856</v>
      </c>
      <c r="E1369" s="96" t="s">
        <v>62</v>
      </c>
      <c r="F1369" s="29" t="s">
        <v>61</v>
      </c>
      <c r="G1369" s="29"/>
      <c r="H1369" s="103">
        <f>_xlfn.XLOOKUP(B1369,GM!$Q$5:$Q$756,GM!$J$5:$J$756)</f>
        <v>45506</v>
      </c>
    </row>
    <row r="1370" spans="1:8" hidden="1" x14ac:dyDescent="0.35">
      <c r="A1370" s="29" t="s">
        <v>23</v>
      </c>
      <c r="B1370" s="29" t="str">
        <f t="shared" si="21"/>
        <v>ILS-03</v>
      </c>
      <c r="C1370" s="29" t="s">
        <v>5857</v>
      </c>
      <c r="D1370" s="67" t="s">
        <v>5858</v>
      </c>
      <c r="E1370" s="96" t="s">
        <v>62</v>
      </c>
      <c r="F1370" s="29" t="s">
        <v>61</v>
      </c>
      <c r="G1370" s="29"/>
      <c r="H1370" s="103">
        <f>_xlfn.XLOOKUP(B1370,GM!$Q$5:$Q$756,GM!$J$5:$J$756)</f>
        <v>45506</v>
      </c>
    </row>
    <row r="1371" spans="1:8" hidden="1" x14ac:dyDescent="0.35">
      <c r="A1371" s="29" t="s">
        <v>23</v>
      </c>
      <c r="B1371" s="29" t="str">
        <f t="shared" si="21"/>
        <v>ILS-03</v>
      </c>
      <c r="C1371" s="29" t="s">
        <v>5859</v>
      </c>
      <c r="D1371" s="67" t="s">
        <v>5860</v>
      </c>
      <c r="E1371" s="96" t="s">
        <v>62</v>
      </c>
      <c r="F1371" s="29" t="s">
        <v>61</v>
      </c>
      <c r="G1371" s="29"/>
      <c r="H1371" s="103">
        <f>_xlfn.XLOOKUP(B1371,GM!$Q$5:$Q$756,GM!$J$5:$J$756)</f>
        <v>45506</v>
      </c>
    </row>
    <row r="1372" spans="1:8" hidden="1" x14ac:dyDescent="0.35">
      <c r="A1372" s="29" t="s">
        <v>23</v>
      </c>
      <c r="B1372" s="29" t="str">
        <f t="shared" si="21"/>
        <v>ILS-03</v>
      </c>
      <c r="C1372" s="29" t="s">
        <v>5861</v>
      </c>
      <c r="D1372" s="67" t="s">
        <v>5862</v>
      </c>
      <c r="E1372" s="96" t="s">
        <v>62</v>
      </c>
      <c r="F1372" s="29" t="s">
        <v>61</v>
      </c>
      <c r="G1372" s="29"/>
      <c r="H1372" s="103">
        <f>_xlfn.XLOOKUP(B1372,GM!$Q$5:$Q$756,GM!$J$5:$J$756)</f>
        <v>45506</v>
      </c>
    </row>
    <row r="1373" spans="1:8" hidden="1" x14ac:dyDescent="0.35">
      <c r="A1373" s="29" t="s">
        <v>23</v>
      </c>
      <c r="B1373" s="29" t="str">
        <f t="shared" si="21"/>
        <v>ILS-03</v>
      </c>
      <c r="C1373" s="29" t="s">
        <v>5863</v>
      </c>
      <c r="D1373" s="67" t="s">
        <v>5864</v>
      </c>
      <c r="E1373" s="96" t="s">
        <v>62</v>
      </c>
      <c r="F1373" s="29" t="s">
        <v>61</v>
      </c>
      <c r="G1373" s="29"/>
      <c r="H1373" s="103">
        <f>_xlfn.XLOOKUP(B1373,GM!$Q$5:$Q$756,GM!$J$5:$J$756)</f>
        <v>45506</v>
      </c>
    </row>
    <row r="1374" spans="1:8" hidden="1" x14ac:dyDescent="0.35">
      <c r="A1374" s="29" t="s">
        <v>23</v>
      </c>
      <c r="B1374" s="29" t="str">
        <f t="shared" si="21"/>
        <v>ILS-03</v>
      </c>
      <c r="C1374" s="29" t="s">
        <v>5865</v>
      </c>
      <c r="D1374" s="67" t="s">
        <v>5866</v>
      </c>
      <c r="E1374" s="96" t="s">
        <v>62</v>
      </c>
      <c r="F1374" s="29" t="s">
        <v>61</v>
      </c>
      <c r="G1374" s="29"/>
      <c r="H1374" s="103">
        <f>_xlfn.XLOOKUP(B1374,GM!$Q$5:$Q$756,GM!$J$5:$J$756)</f>
        <v>45506</v>
      </c>
    </row>
    <row r="1375" spans="1:8" hidden="1" x14ac:dyDescent="0.35">
      <c r="A1375" s="29" t="s">
        <v>23</v>
      </c>
      <c r="B1375" s="29" t="str">
        <f t="shared" si="21"/>
        <v>ILS-03</v>
      </c>
      <c r="C1375" s="29" t="s">
        <v>5867</v>
      </c>
      <c r="D1375" s="67" t="s">
        <v>5868</v>
      </c>
      <c r="E1375" s="96" t="s">
        <v>62</v>
      </c>
      <c r="F1375" s="29" t="s">
        <v>61</v>
      </c>
      <c r="G1375" s="29"/>
      <c r="H1375" s="103">
        <f>_xlfn.XLOOKUP(B1375,GM!$Q$5:$Q$756,GM!$J$5:$J$756)</f>
        <v>45506</v>
      </c>
    </row>
    <row r="1376" spans="1:8" hidden="1" x14ac:dyDescent="0.35">
      <c r="A1376" s="29" t="s">
        <v>23</v>
      </c>
      <c r="B1376" s="29" t="str">
        <f t="shared" si="21"/>
        <v>ILS-03</v>
      </c>
      <c r="C1376" s="29" t="s">
        <v>5869</v>
      </c>
      <c r="D1376" s="67" t="s">
        <v>5870</v>
      </c>
      <c r="E1376" s="96" t="s">
        <v>62</v>
      </c>
      <c r="F1376" s="29" t="s">
        <v>61</v>
      </c>
      <c r="G1376" s="29"/>
      <c r="H1376" s="103">
        <f>_xlfn.XLOOKUP(B1376,GM!$Q$5:$Q$756,GM!$J$5:$J$756)</f>
        <v>45506</v>
      </c>
    </row>
    <row r="1377" spans="1:8" hidden="1" x14ac:dyDescent="0.35">
      <c r="A1377" s="29" t="s">
        <v>23</v>
      </c>
      <c r="B1377" s="29" t="str">
        <f t="shared" si="21"/>
        <v>ILS-03</v>
      </c>
      <c r="C1377" s="29" t="s">
        <v>5871</v>
      </c>
      <c r="D1377" s="67" t="s">
        <v>5872</v>
      </c>
      <c r="E1377" s="96" t="s">
        <v>62</v>
      </c>
      <c r="F1377" s="29" t="s">
        <v>61</v>
      </c>
      <c r="G1377" s="29"/>
      <c r="H1377" s="103">
        <f>_xlfn.XLOOKUP(B1377,GM!$Q$5:$Q$756,GM!$J$5:$J$756)</f>
        <v>45506</v>
      </c>
    </row>
    <row r="1378" spans="1:8" hidden="1" x14ac:dyDescent="0.35">
      <c r="A1378" s="29" t="s">
        <v>23</v>
      </c>
      <c r="B1378" s="29" t="str">
        <f t="shared" si="21"/>
        <v>ILS-03</v>
      </c>
      <c r="C1378" s="29" t="s">
        <v>5873</v>
      </c>
      <c r="D1378" s="67" t="s">
        <v>5874</v>
      </c>
      <c r="E1378" s="96" t="s">
        <v>62</v>
      </c>
      <c r="F1378" s="29" t="s">
        <v>61</v>
      </c>
      <c r="G1378" s="29"/>
      <c r="H1378" s="103">
        <f>_xlfn.XLOOKUP(B1378,GM!$Q$5:$Q$756,GM!$J$5:$J$756)</f>
        <v>45506</v>
      </c>
    </row>
    <row r="1379" spans="1:8" hidden="1" x14ac:dyDescent="0.35">
      <c r="A1379" s="29" t="s">
        <v>23</v>
      </c>
      <c r="B1379" s="29" t="str">
        <f t="shared" si="21"/>
        <v>ILS-03</v>
      </c>
      <c r="C1379" s="29" t="s">
        <v>5875</v>
      </c>
      <c r="D1379" s="67" t="s">
        <v>5876</v>
      </c>
      <c r="E1379" s="96" t="s">
        <v>62</v>
      </c>
      <c r="F1379" s="29" t="s">
        <v>61</v>
      </c>
      <c r="G1379" s="29"/>
      <c r="H1379" s="103">
        <f>_xlfn.XLOOKUP(B1379,GM!$Q$5:$Q$756,GM!$J$5:$J$756)</f>
        <v>45506</v>
      </c>
    </row>
    <row r="1380" spans="1:8" hidden="1" x14ac:dyDescent="0.35">
      <c r="A1380" s="29" t="s">
        <v>23</v>
      </c>
      <c r="B1380" s="29" t="str">
        <f t="shared" si="21"/>
        <v>ILS-03</v>
      </c>
      <c r="C1380" s="29" t="s">
        <v>5877</v>
      </c>
      <c r="D1380" s="67" t="s">
        <v>5878</v>
      </c>
      <c r="E1380" s="96" t="s">
        <v>62</v>
      </c>
      <c r="F1380" s="29" t="s">
        <v>61</v>
      </c>
      <c r="G1380" s="29"/>
      <c r="H1380" s="103">
        <f>_xlfn.XLOOKUP(B1380,GM!$Q$5:$Q$756,GM!$J$5:$J$756)</f>
        <v>45506</v>
      </c>
    </row>
    <row r="1381" spans="1:8" hidden="1" x14ac:dyDescent="0.35">
      <c r="A1381" s="29" t="s">
        <v>23</v>
      </c>
      <c r="B1381" s="29" t="str">
        <f t="shared" si="21"/>
        <v>ILS-03</v>
      </c>
      <c r="C1381" s="29" t="s">
        <v>5879</v>
      </c>
      <c r="D1381" s="67" t="s">
        <v>5880</v>
      </c>
      <c r="E1381" s="96" t="s">
        <v>62</v>
      </c>
      <c r="F1381" s="29" t="s">
        <v>61</v>
      </c>
      <c r="G1381" s="29"/>
      <c r="H1381" s="103">
        <f>_xlfn.XLOOKUP(B1381,GM!$Q$5:$Q$756,GM!$J$5:$J$756)</f>
        <v>45506</v>
      </c>
    </row>
    <row r="1382" spans="1:8" hidden="1" x14ac:dyDescent="0.35">
      <c r="A1382" s="29" t="s">
        <v>23</v>
      </c>
      <c r="B1382" s="29" t="str">
        <f t="shared" si="21"/>
        <v>ILS-03</v>
      </c>
      <c r="C1382" s="29" t="s">
        <v>5881</v>
      </c>
      <c r="D1382" s="67" t="s">
        <v>5882</v>
      </c>
      <c r="E1382" s="96" t="s">
        <v>62</v>
      </c>
      <c r="F1382" s="29" t="s">
        <v>61</v>
      </c>
      <c r="G1382" s="29"/>
      <c r="H1382" s="103">
        <f>_xlfn.XLOOKUP(B1382,GM!$Q$5:$Q$756,GM!$J$5:$J$756)</f>
        <v>45506</v>
      </c>
    </row>
    <row r="1383" spans="1:8" hidden="1" x14ac:dyDescent="0.35">
      <c r="A1383" s="29" t="s">
        <v>23</v>
      </c>
      <c r="B1383" s="29" t="str">
        <f t="shared" si="21"/>
        <v>ILS-04</v>
      </c>
      <c r="C1383" s="29" t="s">
        <v>5883</v>
      </c>
      <c r="D1383" s="67" t="s">
        <v>5884</v>
      </c>
      <c r="E1383" s="96" t="s">
        <v>62</v>
      </c>
      <c r="F1383" s="29" t="s">
        <v>61</v>
      </c>
      <c r="G1383" s="29"/>
      <c r="H1383" s="103">
        <f>_xlfn.XLOOKUP(B1383,GM!$Q$5:$Q$756,GM!$J$5:$J$756)</f>
        <v>46104</v>
      </c>
    </row>
    <row r="1384" spans="1:8" hidden="1" x14ac:dyDescent="0.35">
      <c r="A1384" s="29" t="s">
        <v>23</v>
      </c>
      <c r="B1384" s="29" t="str">
        <f t="shared" si="21"/>
        <v>ILS-04</v>
      </c>
      <c r="C1384" s="29" t="s">
        <v>5885</v>
      </c>
      <c r="D1384" s="67" t="s">
        <v>5886</v>
      </c>
      <c r="E1384" s="96" t="s">
        <v>62</v>
      </c>
      <c r="F1384" s="29" t="s">
        <v>61</v>
      </c>
      <c r="G1384" s="29"/>
      <c r="H1384" s="103">
        <f>_xlfn.XLOOKUP(B1384,GM!$Q$5:$Q$756,GM!$J$5:$J$756)</f>
        <v>46104</v>
      </c>
    </row>
    <row r="1385" spans="1:8" hidden="1" x14ac:dyDescent="0.35">
      <c r="A1385" s="29" t="s">
        <v>23</v>
      </c>
      <c r="B1385" s="29" t="str">
        <f t="shared" si="21"/>
        <v>ILS-04</v>
      </c>
      <c r="C1385" s="29" t="s">
        <v>5887</v>
      </c>
      <c r="D1385" s="67" t="s">
        <v>5888</v>
      </c>
      <c r="E1385" s="96" t="s">
        <v>62</v>
      </c>
      <c r="F1385" s="29" t="s">
        <v>61</v>
      </c>
      <c r="G1385" s="29"/>
      <c r="H1385" s="103">
        <f>_xlfn.XLOOKUP(B1385,GM!$Q$5:$Q$756,GM!$J$5:$J$756)</f>
        <v>46104</v>
      </c>
    </row>
    <row r="1386" spans="1:8" hidden="1" x14ac:dyDescent="0.35">
      <c r="A1386" s="29" t="s">
        <v>23</v>
      </c>
      <c r="B1386" s="29" t="str">
        <f t="shared" si="21"/>
        <v>ILS-04</v>
      </c>
      <c r="C1386" s="29" t="s">
        <v>5889</v>
      </c>
      <c r="D1386" s="67" t="s">
        <v>5890</v>
      </c>
      <c r="E1386" s="96" t="s">
        <v>62</v>
      </c>
      <c r="F1386" s="29" t="s">
        <v>61</v>
      </c>
      <c r="G1386" s="29"/>
      <c r="H1386" s="103">
        <f>_xlfn.XLOOKUP(B1386,GM!$Q$5:$Q$756,GM!$J$5:$J$756)</f>
        <v>46104</v>
      </c>
    </row>
    <row r="1387" spans="1:8" hidden="1" x14ac:dyDescent="0.35">
      <c r="A1387" s="29" t="s">
        <v>23</v>
      </c>
      <c r="B1387" s="29" t="str">
        <f t="shared" si="21"/>
        <v>ILS-04</v>
      </c>
      <c r="C1387" s="29" t="s">
        <v>5891</v>
      </c>
      <c r="D1387" s="67" t="s">
        <v>5892</v>
      </c>
      <c r="E1387" s="96" t="s">
        <v>62</v>
      </c>
      <c r="F1387" s="29" t="s">
        <v>61</v>
      </c>
      <c r="G1387" s="29"/>
      <c r="H1387" s="103">
        <f>_xlfn.XLOOKUP(B1387,GM!$Q$5:$Q$756,GM!$J$5:$J$756)</f>
        <v>46104</v>
      </c>
    </row>
    <row r="1388" spans="1:8" hidden="1" x14ac:dyDescent="0.35">
      <c r="A1388" s="29" t="s">
        <v>23</v>
      </c>
      <c r="B1388" s="29" t="str">
        <f t="shared" si="21"/>
        <v>ILS-04</v>
      </c>
      <c r="C1388" s="29" t="s">
        <v>5893</v>
      </c>
      <c r="D1388" s="67" t="s">
        <v>5894</v>
      </c>
      <c r="E1388" s="96" t="s">
        <v>62</v>
      </c>
      <c r="F1388" s="29" t="s">
        <v>61</v>
      </c>
      <c r="G1388" s="29"/>
      <c r="H1388" s="103">
        <f>_xlfn.XLOOKUP(B1388,GM!$Q$5:$Q$756,GM!$J$5:$J$756)</f>
        <v>46104</v>
      </c>
    </row>
    <row r="1389" spans="1:8" hidden="1" x14ac:dyDescent="0.35">
      <c r="A1389" s="29" t="s">
        <v>23</v>
      </c>
      <c r="B1389" s="29" t="str">
        <f t="shared" si="21"/>
        <v>ILS-04</v>
      </c>
      <c r="C1389" s="29" t="s">
        <v>5895</v>
      </c>
      <c r="D1389" s="67" t="s">
        <v>5896</v>
      </c>
      <c r="E1389" s="96" t="s">
        <v>62</v>
      </c>
      <c r="F1389" s="29" t="s">
        <v>61</v>
      </c>
      <c r="G1389" s="29"/>
      <c r="H1389" s="103">
        <f>_xlfn.XLOOKUP(B1389,GM!$Q$5:$Q$756,GM!$J$5:$J$756)</f>
        <v>46104</v>
      </c>
    </row>
    <row r="1390" spans="1:8" hidden="1" x14ac:dyDescent="0.35">
      <c r="A1390" s="29" t="s">
        <v>23</v>
      </c>
      <c r="B1390" s="29" t="str">
        <f t="shared" si="21"/>
        <v>ILS-04</v>
      </c>
      <c r="C1390" s="29" t="s">
        <v>5897</v>
      </c>
      <c r="D1390" s="67" t="s">
        <v>5898</v>
      </c>
      <c r="E1390" s="96" t="s">
        <v>62</v>
      </c>
      <c r="F1390" s="29" t="s">
        <v>61</v>
      </c>
      <c r="G1390" s="29"/>
      <c r="H1390" s="103">
        <f>_xlfn.XLOOKUP(B1390,GM!$Q$5:$Q$756,GM!$J$5:$J$756)</f>
        <v>46104</v>
      </c>
    </row>
    <row r="1391" spans="1:8" hidden="1" x14ac:dyDescent="0.35">
      <c r="A1391" s="29" t="s">
        <v>23</v>
      </c>
      <c r="B1391" s="29" t="str">
        <f t="shared" si="21"/>
        <v>ILS-04</v>
      </c>
      <c r="C1391" s="29" t="s">
        <v>5899</v>
      </c>
      <c r="D1391" s="67" t="s">
        <v>5900</v>
      </c>
      <c r="E1391" s="96" t="s">
        <v>62</v>
      </c>
      <c r="F1391" s="29" t="s">
        <v>61</v>
      </c>
      <c r="G1391" s="29"/>
      <c r="H1391" s="103">
        <f>_xlfn.XLOOKUP(B1391,GM!$Q$5:$Q$756,GM!$J$5:$J$756)</f>
        <v>46104</v>
      </c>
    </row>
    <row r="1392" spans="1:8" hidden="1" x14ac:dyDescent="0.35">
      <c r="A1392" s="29" t="s">
        <v>23</v>
      </c>
      <c r="B1392" s="29" t="str">
        <f t="shared" si="21"/>
        <v>ILS-04</v>
      </c>
      <c r="C1392" s="29" t="s">
        <v>5901</v>
      </c>
      <c r="D1392" s="67" t="s">
        <v>5902</v>
      </c>
      <c r="E1392" s="96" t="s">
        <v>62</v>
      </c>
      <c r="F1392" s="29" t="s">
        <v>61</v>
      </c>
      <c r="G1392" s="29"/>
      <c r="H1392" s="103">
        <f>_xlfn.XLOOKUP(B1392,GM!$Q$5:$Q$756,GM!$J$5:$J$756)</f>
        <v>46104</v>
      </c>
    </row>
    <row r="1393" spans="1:8" hidden="1" x14ac:dyDescent="0.35">
      <c r="A1393" s="29" t="s">
        <v>23</v>
      </c>
      <c r="B1393" s="29" t="str">
        <f t="shared" si="21"/>
        <v>ILS-04</v>
      </c>
      <c r="C1393" s="29" t="s">
        <v>5903</v>
      </c>
      <c r="D1393" s="67" t="s">
        <v>5904</v>
      </c>
      <c r="E1393" s="96" t="s">
        <v>62</v>
      </c>
      <c r="F1393" s="29" t="s">
        <v>61</v>
      </c>
      <c r="G1393" s="29"/>
      <c r="H1393" s="103">
        <f>_xlfn.XLOOKUP(B1393,GM!$Q$5:$Q$756,GM!$J$5:$J$756)</f>
        <v>46104</v>
      </c>
    </row>
    <row r="1394" spans="1:8" hidden="1" x14ac:dyDescent="0.35">
      <c r="A1394" s="29" t="s">
        <v>23</v>
      </c>
      <c r="B1394" s="29" t="str">
        <f t="shared" si="21"/>
        <v>ILS-04</v>
      </c>
      <c r="C1394" s="29" t="s">
        <v>5905</v>
      </c>
      <c r="D1394" s="67" t="s">
        <v>5906</v>
      </c>
      <c r="E1394" s="96" t="s">
        <v>62</v>
      </c>
      <c r="F1394" s="29" t="s">
        <v>61</v>
      </c>
      <c r="G1394" s="29"/>
      <c r="H1394" s="103">
        <f>_xlfn.XLOOKUP(B1394,GM!$Q$5:$Q$756,GM!$J$5:$J$756)</f>
        <v>46104</v>
      </c>
    </row>
    <row r="1395" spans="1:8" hidden="1" x14ac:dyDescent="0.35">
      <c r="A1395" s="29" t="s">
        <v>23</v>
      </c>
      <c r="B1395" s="29" t="str">
        <f t="shared" si="21"/>
        <v>ILS-04</v>
      </c>
      <c r="C1395" s="29" t="s">
        <v>5907</v>
      </c>
      <c r="D1395" s="67" t="s">
        <v>5908</v>
      </c>
      <c r="E1395" s="96" t="s">
        <v>62</v>
      </c>
      <c r="F1395" s="29" t="s">
        <v>61</v>
      </c>
      <c r="G1395" s="29"/>
      <c r="H1395" s="103">
        <f>_xlfn.XLOOKUP(B1395,GM!$Q$5:$Q$756,GM!$J$5:$J$756)</f>
        <v>46104</v>
      </c>
    </row>
    <row r="1396" spans="1:8" hidden="1" x14ac:dyDescent="0.35">
      <c r="A1396" s="29" t="s">
        <v>23</v>
      </c>
      <c r="B1396" s="29" t="str">
        <f t="shared" si="21"/>
        <v>ILS-04</v>
      </c>
      <c r="C1396" s="29" t="s">
        <v>5909</v>
      </c>
      <c r="D1396" s="67" t="s">
        <v>5910</v>
      </c>
      <c r="E1396" s="96" t="s">
        <v>62</v>
      </c>
      <c r="F1396" s="29" t="s">
        <v>61</v>
      </c>
      <c r="G1396" s="29"/>
      <c r="H1396" s="103">
        <f>_xlfn.XLOOKUP(B1396,GM!$Q$5:$Q$756,GM!$J$5:$J$756)</f>
        <v>46104</v>
      </c>
    </row>
    <row r="1397" spans="1:8" hidden="1" x14ac:dyDescent="0.35">
      <c r="A1397" s="29" t="s">
        <v>23</v>
      </c>
      <c r="B1397" s="29" t="str">
        <f t="shared" si="21"/>
        <v>ILS-04</v>
      </c>
      <c r="C1397" s="29" t="s">
        <v>5911</v>
      </c>
      <c r="D1397" s="67" t="s">
        <v>5912</v>
      </c>
      <c r="E1397" s="96" t="s">
        <v>62</v>
      </c>
      <c r="F1397" s="29" t="s">
        <v>61</v>
      </c>
      <c r="G1397" s="29"/>
      <c r="H1397" s="103">
        <f>_xlfn.XLOOKUP(B1397,GM!$Q$5:$Q$756,GM!$J$5:$J$756)</f>
        <v>46104</v>
      </c>
    </row>
    <row r="1398" spans="1:8" hidden="1" x14ac:dyDescent="0.35">
      <c r="A1398" s="29" t="s">
        <v>23</v>
      </c>
      <c r="B1398" s="29" t="str">
        <f t="shared" si="21"/>
        <v>ILS-04</v>
      </c>
      <c r="C1398" s="29" t="s">
        <v>5913</v>
      </c>
      <c r="D1398" s="67" t="s">
        <v>5914</v>
      </c>
      <c r="E1398" s="96" t="s">
        <v>62</v>
      </c>
      <c r="F1398" s="29" t="s">
        <v>61</v>
      </c>
      <c r="G1398" s="29"/>
      <c r="H1398" s="103">
        <f>_xlfn.XLOOKUP(B1398,GM!$Q$5:$Q$756,GM!$J$5:$J$756)</f>
        <v>46104</v>
      </c>
    </row>
    <row r="1399" spans="1:8" hidden="1" x14ac:dyDescent="0.35">
      <c r="A1399" s="29" t="s">
        <v>23</v>
      </c>
      <c r="B1399" s="29" t="str">
        <f t="shared" si="21"/>
        <v>ILS-04</v>
      </c>
      <c r="C1399" s="29" t="s">
        <v>5915</v>
      </c>
      <c r="D1399" s="67" t="s">
        <v>5916</v>
      </c>
      <c r="E1399" s="96" t="s">
        <v>62</v>
      </c>
      <c r="F1399" s="29" t="s">
        <v>61</v>
      </c>
      <c r="G1399" s="29"/>
      <c r="H1399" s="103">
        <f>_xlfn.XLOOKUP(B1399,GM!$Q$5:$Q$756,GM!$J$5:$J$756)</f>
        <v>46104</v>
      </c>
    </row>
    <row r="1400" spans="1:8" hidden="1" x14ac:dyDescent="0.35">
      <c r="A1400" s="29" t="s">
        <v>23</v>
      </c>
      <c r="B1400" s="29" t="str">
        <f t="shared" si="21"/>
        <v>ILS-04</v>
      </c>
      <c r="C1400" s="29" t="s">
        <v>5917</v>
      </c>
      <c r="D1400" s="67" t="s">
        <v>5918</v>
      </c>
      <c r="E1400" s="96" t="s">
        <v>62</v>
      </c>
      <c r="F1400" s="29" t="s">
        <v>61</v>
      </c>
      <c r="G1400" s="29"/>
      <c r="H1400" s="103">
        <f>_xlfn.XLOOKUP(B1400,GM!$Q$5:$Q$756,GM!$J$5:$J$756)</f>
        <v>46104</v>
      </c>
    </row>
    <row r="1401" spans="1:8" hidden="1" x14ac:dyDescent="0.35">
      <c r="A1401" s="29" t="s">
        <v>23</v>
      </c>
      <c r="B1401" s="29" t="str">
        <f t="shared" si="21"/>
        <v>ILS-04</v>
      </c>
      <c r="C1401" s="29" t="s">
        <v>5919</v>
      </c>
      <c r="D1401" s="67" t="s">
        <v>5920</v>
      </c>
      <c r="E1401" s="96" t="s">
        <v>62</v>
      </c>
      <c r="F1401" s="29" t="s">
        <v>61</v>
      </c>
      <c r="G1401" s="29"/>
      <c r="H1401" s="103">
        <f>_xlfn.XLOOKUP(B1401,GM!$Q$5:$Q$756,GM!$J$5:$J$756)</f>
        <v>46104</v>
      </c>
    </row>
    <row r="1402" spans="1:8" hidden="1" x14ac:dyDescent="0.35">
      <c r="A1402" s="29" t="s">
        <v>23</v>
      </c>
      <c r="B1402" s="29" t="str">
        <f t="shared" si="21"/>
        <v>ILS-04</v>
      </c>
      <c r="C1402" s="29" t="s">
        <v>5921</v>
      </c>
      <c r="D1402" s="67" t="s">
        <v>5922</v>
      </c>
      <c r="E1402" s="96" t="s">
        <v>62</v>
      </c>
      <c r="F1402" s="29" t="s">
        <v>61</v>
      </c>
      <c r="G1402" s="29"/>
      <c r="H1402" s="103">
        <f>_xlfn.XLOOKUP(B1402,GM!$Q$5:$Q$756,GM!$J$5:$J$756)</f>
        <v>46104</v>
      </c>
    </row>
    <row r="1403" spans="1:8" hidden="1" x14ac:dyDescent="0.35">
      <c r="A1403" s="29" t="s">
        <v>23</v>
      </c>
      <c r="B1403" s="29" t="str">
        <f t="shared" si="21"/>
        <v>ILS-04</v>
      </c>
      <c r="C1403" s="29" t="s">
        <v>5923</v>
      </c>
      <c r="D1403" s="67" t="s">
        <v>5924</v>
      </c>
      <c r="E1403" s="96" t="s">
        <v>62</v>
      </c>
      <c r="F1403" s="29" t="s">
        <v>61</v>
      </c>
      <c r="G1403" s="29"/>
      <c r="H1403" s="103">
        <f>_xlfn.XLOOKUP(B1403,GM!$Q$5:$Q$756,GM!$J$5:$J$756)</f>
        <v>46104</v>
      </c>
    </row>
    <row r="1404" spans="1:8" hidden="1" x14ac:dyDescent="0.35">
      <c r="A1404" s="29" t="s">
        <v>23</v>
      </c>
      <c r="B1404" s="29" t="str">
        <f t="shared" si="21"/>
        <v>ILS-04</v>
      </c>
      <c r="C1404" s="29" t="s">
        <v>5925</v>
      </c>
      <c r="D1404" s="67" t="s">
        <v>5926</v>
      </c>
      <c r="E1404" s="96" t="s">
        <v>62</v>
      </c>
      <c r="F1404" s="29" t="s">
        <v>61</v>
      </c>
      <c r="G1404" s="29"/>
      <c r="H1404" s="103">
        <f>_xlfn.XLOOKUP(B1404,GM!$Q$5:$Q$756,GM!$J$5:$J$756)</f>
        <v>46104</v>
      </c>
    </row>
    <row r="1405" spans="1:8" hidden="1" x14ac:dyDescent="0.35">
      <c r="A1405" s="29" t="s">
        <v>23</v>
      </c>
      <c r="B1405" s="29" t="str">
        <f t="shared" si="21"/>
        <v>ILS-05</v>
      </c>
      <c r="C1405" s="29" t="s">
        <v>5927</v>
      </c>
      <c r="D1405" s="67" t="s">
        <v>5928</v>
      </c>
      <c r="E1405" s="96" t="s">
        <v>62</v>
      </c>
      <c r="F1405" s="29" t="s">
        <v>61</v>
      </c>
      <c r="G1405" s="29"/>
      <c r="H1405" s="103">
        <f>_xlfn.XLOOKUP(B1405,GM!$Q$5:$Q$756,GM!$J$5:$J$756)</f>
        <v>46104</v>
      </c>
    </row>
    <row r="1406" spans="1:8" hidden="1" x14ac:dyDescent="0.35">
      <c r="A1406" s="29" t="s">
        <v>23</v>
      </c>
      <c r="B1406" s="29" t="str">
        <f t="shared" si="21"/>
        <v>ILS-05</v>
      </c>
      <c r="C1406" s="29" t="s">
        <v>5929</v>
      </c>
      <c r="D1406" s="67" t="s">
        <v>5930</v>
      </c>
      <c r="E1406" s="96" t="s">
        <v>62</v>
      </c>
      <c r="F1406" s="29" t="s">
        <v>61</v>
      </c>
      <c r="G1406" s="29"/>
      <c r="H1406" s="103">
        <f>_xlfn.XLOOKUP(B1406,GM!$Q$5:$Q$756,GM!$J$5:$J$756)</f>
        <v>46104</v>
      </c>
    </row>
    <row r="1407" spans="1:8" hidden="1" x14ac:dyDescent="0.35">
      <c r="A1407" s="29" t="s">
        <v>23</v>
      </c>
      <c r="B1407" s="29" t="str">
        <f t="shared" si="21"/>
        <v>ILS-05</v>
      </c>
      <c r="C1407" s="29" t="s">
        <v>5931</v>
      </c>
      <c r="D1407" s="67" t="s">
        <v>5932</v>
      </c>
      <c r="E1407" s="96" t="s">
        <v>62</v>
      </c>
      <c r="F1407" s="29" t="s">
        <v>61</v>
      </c>
      <c r="G1407" s="29"/>
      <c r="H1407" s="103">
        <f>_xlfn.XLOOKUP(B1407,GM!$Q$5:$Q$756,GM!$J$5:$J$756)</f>
        <v>46104</v>
      </c>
    </row>
    <row r="1408" spans="1:8" hidden="1" x14ac:dyDescent="0.35">
      <c r="A1408" s="29" t="s">
        <v>23</v>
      </c>
      <c r="B1408" s="29" t="str">
        <f t="shared" si="21"/>
        <v>ILS-05</v>
      </c>
      <c r="C1408" s="29" t="s">
        <v>5933</v>
      </c>
      <c r="D1408" s="67" t="s">
        <v>5934</v>
      </c>
      <c r="E1408" s="96" t="s">
        <v>62</v>
      </c>
      <c r="F1408" s="29" t="s">
        <v>61</v>
      </c>
      <c r="G1408" s="29"/>
      <c r="H1408" s="103">
        <f>_xlfn.XLOOKUP(B1408,GM!$Q$5:$Q$756,GM!$J$5:$J$756)</f>
        <v>46104</v>
      </c>
    </row>
    <row r="1409" spans="1:8" hidden="1" x14ac:dyDescent="0.35">
      <c r="A1409" s="29" t="s">
        <v>23</v>
      </c>
      <c r="B1409" s="29" t="str">
        <f t="shared" si="21"/>
        <v>ILS-05</v>
      </c>
      <c r="C1409" s="29" t="s">
        <v>5935</v>
      </c>
      <c r="D1409" s="67" t="s">
        <v>5936</v>
      </c>
      <c r="E1409" s="96" t="s">
        <v>62</v>
      </c>
      <c r="F1409" s="29" t="s">
        <v>61</v>
      </c>
      <c r="G1409" s="29"/>
      <c r="H1409" s="103">
        <f>_xlfn.XLOOKUP(B1409,GM!$Q$5:$Q$756,GM!$J$5:$J$756)</f>
        <v>46104</v>
      </c>
    </row>
    <row r="1410" spans="1:8" hidden="1" x14ac:dyDescent="0.35">
      <c r="A1410" s="29" t="s">
        <v>23</v>
      </c>
      <c r="B1410" s="29" t="str">
        <f t="shared" si="21"/>
        <v>ILS-05</v>
      </c>
      <c r="C1410" s="29" t="s">
        <v>5937</v>
      </c>
      <c r="D1410" s="67" t="s">
        <v>5938</v>
      </c>
      <c r="E1410" s="96" t="s">
        <v>62</v>
      </c>
      <c r="F1410" s="29" t="s">
        <v>61</v>
      </c>
      <c r="G1410" s="29"/>
      <c r="H1410" s="103">
        <f>_xlfn.XLOOKUP(B1410,GM!$Q$5:$Q$756,GM!$J$5:$J$756)</f>
        <v>46104</v>
      </c>
    </row>
    <row r="1411" spans="1:8" hidden="1" x14ac:dyDescent="0.35">
      <c r="A1411" s="29" t="s">
        <v>23</v>
      </c>
      <c r="B1411" s="29" t="str">
        <f t="shared" si="21"/>
        <v>ILS-06</v>
      </c>
      <c r="C1411" s="29" t="s">
        <v>5939</v>
      </c>
      <c r="D1411" s="67" t="s">
        <v>5940</v>
      </c>
      <c r="E1411" s="96" t="s">
        <v>62</v>
      </c>
      <c r="F1411" s="29" t="s">
        <v>61</v>
      </c>
      <c r="G1411" s="29"/>
      <c r="H1411" s="103">
        <f>_xlfn.XLOOKUP(B1411,GM!$Q$5:$Q$756,GM!$J$5:$J$756)</f>
        <v>46104</v>
      </c>
    </row>
    <row r="1412" spans="1:8" hidden="1" x14ac:dyDescent="0.35">
      <c r="A1412" s="29" t="s">
        <v>23</v>
      </c>
      <c r="B1412" s="29" t="str">
        <f t="shared" si="21"/>
        <v>ILS-06</v>
      </c>
      <c r="C1412" s="29" t="s">
        <v>5941</v>
      </c>
      <c r="D1412" s="67" t="s">
        <v>5942</v>
      </c>
      <c r="E1412" s="96" t="s">
        <v>62</v>
      </c>
      <c r="F1412" s="29" t="s">
        <v>61</v>
      </c>
      <c r="G1412" s="29"/>
      <c r="H1412" s="103">
        <f>_xlfn.XLOOKUP(B1412,GM!$Q$5:$Q$756,GM!$J$5:$J$756)</f>
        <v>46104</v>
      </c>
    </row>
    <row r="1413" spans="1:8" hidden="1" x14ac:dyDescent="0.35">
      <c r="A1413" s="29" t="s">
        <v>23</v>
      </c>
      <c r="B1413" s="29" t="str">
        <f t="shared" ref="B1413:B1476" si="22">IF(OR(A1413="ARN",A1413="SDP"),MID(C1413,4,7),MID(C1413,4,6))</f>
        <v>ILS-06</v>
      </c>
      <c r="C1413" s="29" t="s">
        <v>5943</v>
      </c>
      <c r="D1413" s="67" t="s">
        <v>5944</v>
      </c>
      <c r="E1413" s="96" t="s">
        <v>62</v>
      </c>
      <c r="F1413" s="29" t="s">
        <v>61</v>
      </c>
      <c r="G1413" s="29"/>
      <c r="H1413" s="103">
        <f>_xlfn.XLOOKUP(B1413,GM!$Q$5:$Q$756,GM!$J$5:$J$756)</f>
        <v>46104</v>
      </c>
    </row>
    <row r="1414" spans="1:8" hidden="1" x14ac:dyDescent="0.35">
      <c r="A1414" s="29" t="s">
        <v>23</v>
      </c>
      <c r="B1414" s="29" t="str">
        <f t="shared" si="22"/>
        <v>ILS-06</v>
      </c>
      <c r="C1414" s="29" t="s">
        <v>5945</v>
      </c>
      <c r="D1414" s="67" t="s">
        <v>5946</v>
      </c>
      <c r="E1414" s="96" t="s">
        <v>62</v>
      </c>
      <c r="F1414" s="29" t="s">
        <v>61</v>
      </c>
      <c r="G1414" s="29"/>
      <c r="H1414" s="103">
        <f>_xlfn.XLOOKUP(B1414,GM!$Q$5:$Q$756,GM!$J$5:$J$756)</f>
        <v>46104</v>
      </c>
    </row>
    <row r="1415" spans="1:8" hidden="1" x14ac:dyDescent="0.35">
      <c r="A1415" s="29" t="s">
        <v>23</v>
      </c>
      <c r="B1415" s="29" t="str">
        <f t="shared" si="22"/>
        <v>ILS-06</v>
      </c>
      <c r="C1415" s="29" t="s">
        <v>5947</v>
      </c>
      <c r="D1415" s="67" t="s">
        <v>5948</v>
      </c>
      <c r="E1415" s="96" t="s">
        <v>62</v>
      </c>
      <c r="F1415" s="29" t="s">
        <v>61</v>
      </c>
      <c r="G1415" s="29"/>
      <c r="H1415" s="103">
        <f>_xlfn.XLOOKUP(B1415,GM!$Q$5:$Q$756,GM!$J$5:$J$756)</f>
        <v>46104</v>
      </c>
    </row>
    <row r="1416" spans="1:8" hidden="1" x14ac:dyDescent="0.35">
      <c r="A1416" s="29" t="s">
        <v>23</v>
      </c>
      <c r="B1416" s="29" t="str">
        <f t="shared" si="22"/>
        <v>ILS-06</v>
      </c>
      <c r="C1416" s="29" t="s">
        <v>5949</v>
      </c>
      <c r="D1416" s="67" t="s">
        <v>5950</v>
      </c>
      <c r="E1416" s="96" t="s">
        <v>62</v>
      </c>
      <c r="F1416" s="29" t="s">
        <v>61</v>
      </c>
      <c r="G1416" s="29"/>
      <c r="H1416" s="103">
        <f>_xlfn.XLOOKUP(B1416,GM!$Q$5:$Q$756,GM!$J$5:$J$756)</f>
        <v>46104</v>
      </c>
    </row>
    <row r="1417" spans="1:8" hidden="1" x14ac:dyDescent="0.35">
      <c r="A1417" s="29" t="s">
        <v>23</v>
      </c>
      <c r="B1417" s="29" t="str">
        <f t="shared" si="22"/>
        <v>ILS-06</v>
      </c>
      <c r="C1417" s="29" t="s">
        <v>5951</v>
      </c>
      <c r="D1417" s="67" t="s">
        <v>5952</v>
      </c>
      <c r="E1417" s="96" t="s">
        <v>62</v>
      </c>
      <c r="F1417" s="29" t="s">
        <v>61</v>
      </c>
      <c r="G1417" s="29"/>
      <c r="H1417" s="103">
        <f>_xlfn.XLOOKUP(B1417,GM!$Q$5:$Q$756,GM!$J$5:$J$756)</f>
        <v>46104</v>
      </c>
    </row>
    <row r="1418" spans="1:8" hidden="1" x14ac:dyDescent="0.35">
      <c r="A1418" s="29" t="s">
        <v>23</v>
      </c>
      <c r="B1418" s="29" t="str">
        <f t="shared" si="22"/>
        <v>ILS-06</v>
      </c>
      <c r="C1418" s="29" t="s">
        <v>5953</v>
      </c>
      <c r="D1418" s="67" t="s">
        <v>5954</v>
      </c>
      <c r="E1418" s="96" t="s">
        <v>62</v>
      </c>
      <c r="F1418" s="29" t="s">
        <v>61</v>
      </c>
      <c r="G1418" s="29"/>
      <c r="H1418" s="103">
        <f>_xlfn.XLOOKUP(B1418,GM!$Q$5:$Q$756,GM!$J$5:$J$756)</f>
        <v>46104</v>
      </c>
    </row>
    <row r="1419" spans="1:8" hidden="1" x14ac:dyDescent="0.35">
      <c r="A1419" s="29" t="s">
        <v>23</v>
      </c>
      <c r="B1419" s="29" t="str">
        <f t="shared" si="22"/>
        <v>ILS-06</v>
      </c>
      <c r="C1419" s="29" t="s">
        <v>5955</v>
      </c>
      <c r="D1419" s="67" t="s">
        <v>5956</v>
      </c>
      <c r="E1419" s="96" t="s">
        <v>62</v>
      </c>
      <c r="F1419" s="29" t="s">
        <v>61</v>
      </c>
      <c r="G1419" s="29"/>
      <c r="H1419" s="103">
        <f>_xlfn.XLOOKUP(B1419,GM!$Q$5:$Q$756,GM!$J$5:$J$756)</f>
        <v>46104</v>
      </c>
    </row>
    <row r="1420" spans="1:8" hidden="1" x14ac:dyDescent="0.35">
      <c r="A1420" s="29" t="s">
        <v>23</v>
      </c>
      <c r="B1420" s="29" t="str">
        <f t="shared" si="22"/>
        <v>ILS-06</v>
      </c>
      <c r="C1420" s="29" t="s">
        <v>5957</v>
      </c>
      <c r="D1420" s="67" t="s">
        <v>5958</v>
      </c>
      <c r="E1420" s="96" t="s">
        <v>62</v>
      </c>
      <c r="F1420" s="29" t="s">
        <v>61</v>
      </c>
      <c r="G1420" s="29"/>
      <c r="H1420" s="103">
        <f>_xlfn.XLOOKUP(B1420,GM!$Q$5:$Q$756,GM!$J$5:$J$756)</f>
        <v>46104</v>
      </c>
    </row>
    <row r="1421" spans="1:8" hidden="1" x14ac:dyDescent="0.35">
      <c r="A1421" s="29" t="s">
        <v>23</v>
      </c>
      <c r="B1421" s="29" t="str">
        <f t="shared" si="22"/>
        <v>ILS-06</v>
      </c>
      <c r="C1421" s="29" t="s">
        <v>5959</v>
      </c>
      <c r="D1421" s="67" t="s">
        <v>5960</v>
      </c>
      <c r="E1421" s="96" t="s">
        <v>62</v>
      </c>
      <c r="F1421" s="29" t="s">
        <v>61</v>
      </c>
      <c r="G1421" s="29"/>
      <c r="H1421" s="103">
        <f>_xlfn.XLOOKUP(B1421,GM!$Q$5:$Q$756,GM!$J$5:$J$756)</f>
        <v>46104</v>
      </c>
    </row>
    <row r="1422" spans="1:8" hidden="1" x14ac:dyDescent="0.35">
      <c r="A1422" s="29" t="s">
        <v>23</v>
      </c>
      <c r="B1422" s="29" t="str">
        <f t="shared" si="22"/>
        <v>ILS-06</v>
      </c>
      <c r="C1422" s="29" t="s">
        <v>5961</v>
      </c>
      <c r="D1422" s="67" t="s">
        <v>5962</v>
      </c>
      <c r="E1422" s="96" t="s">
        <v>62</v>
      </c>
      <c r="F1422" s="29" t="s">
        <v>61</v>
      </c>
      <c r="G1422" s="29"/>
      <c r="H1422" s="103">
        <f>_xlfn.XLOOKUP(B1422,GM!$Q$5:$Q$756,GM!$J$5:$J$756)</f>
        <v>46104</v>
      </c>
    </row>
    <row r="1423" spans="1:8" hidden="1" x14ac:dyDescent="0.35">
      <c r="A1423" s="29" t="s">
        <v>23</v>
      </c>
      <c r="B1423" s="29" t="str">
        <f t="shared" si="22"/>
        <v>ILS-06</v>
      </c>
      <c r="C1423" s="29" t="s">
        <v>5963</v>
      </c>
      <c r="D1423" s="67" t="s">
        <v>5964</v>
      </c>
      <c r="E1423" s="96" t="s">
        <v>62</v>
      </c>
      <c r="F1423" s="29" t="s">
        <v>61</v>
      </c>
      <c r="G1423" s="29"/>
      <c r="H1423" s="103">
        <f>_xlfn.XLOOKUP(B1423,GM!$Q$5:$Q$756,GM!$J$5:$J$756)</f>
        <v>46104</v>
      </c>
    </row>
    <row r="1424" spans="1:8" hidden="1" x14ac:dyDescent="0.35">
      <c r="A1424" s="29" t="s">
        <v>23</v>
      </c>
      <c r="B1424" s="29" t="str">
        <f t="shared" si="22"/>
        <v>ILS-06</v>
      </c>
      <c r="C1424" s="29" t="s">
        <v>5965</v>
      </c>
      <c r="D1424" s="67" t="s">
        <v>5966</v>
      </c>
      <c r="E1424" s="96" t="s">
        <v>62</v>
      </c>
      <c r="F1424" s="29" t="s">
        <v>61</v>
      </c>
      <c r="G1424" s="29"/>
      <c r="H1424" s="103">
        <f>_xlfn.XLOOKUP(B1424,GM!$Q$5:$Q$756,GM!$J$5:$J$756)</f>
        <v>46104</v>
      </c>
    </row>
    <row r="1425" spans="1:8" hidden="1" x14ac:dyDescent="0.35">
      <c r="A1425" s="29" t="s">
        <v>23</v>
      </c>
      <c r="B1425" s="29" t="str">
        <f t="shared" si="22"/>
        <v>ILS-06</v>
      </c>
      <c r="C1425" s="29" t="s">
        <v>5967</v>
      </c>
      <c r="D1425" s="67" t="s">
        <v>5968</v>
      </c>
      <c r="E1425" s="96" t="s">
        <v>62</v>
      </c>
      <c r="F1425" s="29" t="s">
        <v>61</v>
      </c>
      <c r="G1425" s="29"/>
      <c r="H1425" s="103">
        <f>_xlfn.XLOOKUP(B1425,GM!$Q$5:$Q$756,GM!$J$5:$J$756)</f>
        <v>46104</v>
      </c>
    </row>
    <row r="1426" spans="1:8" hidden="1" x14ac:dyDescent="0.35">
      <c r="A1426" s="29" t="s">
        <v>23</v>
      </c>
      <c r="B1426" s="29" t="str">
        <f t="shared" si="22"/>
        <v>ILS-06</v>
      </c>
      <c r="C1426" s="29" t="s">
        <v>5969</v>
      </c>
      <c r="D1426" s="67" t="s">
        <v>5970</v>
      </c>
      <c r="E1426" s="96" t="s">
        <v>62</v>
      </c>
      <c r="F1426" s="29" t="s">
        <v>61</v>
      </c>
      <c r="G1426" s="29"/>
      <c r="H1426" s="103">
        <f>_xlfn.XLOOKUP(B1426,GM!$Q$5:$Q$756,GM!$J$5:$J$756)</f>
        <v>46104</v>
      </c>
    </row>
    <row r="1427" spans="1:8" hidden="1" x14ac:dyDescent="0.35">
      <c r="A1427" s="29" t="s">
        <v>23</v>
      </c>
      <c r="B1427" s="29" t="str">
        <f t="shared" si="22"/>
        <v>ILS-06</v>
      </c>
      <c r="C1427" s="29" t="s">
        <v>5969</v>
      </c>
      <c r="D1427" s="67" t="s">
        <v>5971</v>
      </c>
      <c r="E1427" s="96" t="s">
        <v>62</v>
      </c>
      <c r="F1427" s="29" t="s">
        <v>61</v>
      </c>
      <c r="G1427" s="29"/>
      <c r="H1427" s="103">
        <f>_xlfn.XLOOKUP(B1427,GM!$Q$5:$Q$756,GM!$J$5:$J$756)</f>
        <v>46104</v>
      </c>
    </row>
    <row r="1428" spans="1:8" hidden="1" x14ac:dyDescent="0.35">
      <c r="A1428" s="29" t="s">
        <v>23</v>
      </c>
      <c r="B1428" s="29" t="str">
        <f t="shared" si="22"/>
        <v>ILS-06</v>
      </c>
      <c r="C1428" s="29" t="s">
        <v>5972</v>
      </c>
      <c r="D1428" s="67" t="s">
        <v>5973</v>
      </c>
      <c r="E1428" s="96" t="s">
        <v>62</v>
      </c>
      <c r="F1428" s="29" t="s">
        <v>61</v>
      </c>
      <c r="G1428" s="29"/>
      <c r="H1428" s="103">
        <f>_xlfn.XLOOKUP(B1428,GM!$Q$5:$Q$756,GM!$J$5:$J$756)</f>
        <v>46104</v>
      </c>
    </row>
    <row r="1429" spans="1:8" hidden="1" x14ac:dyDescent="0.35">
      <c r="A1429" s="29" t="s">
        <v>23</v>
      </c>
      <c r="B1429" s="29" t="str">
        <f t="shared" si="22"/>
        <v>ILS-07</v>
      </c>
      <c r="C1429" s="29" t="s">
        <v>5974</v>
      </c>
      <c r="D1429" s="67" t="s">
        <v>5975</v>
      </c>
      <c r="E1429" s="96" t="s">
        <v>62</v>
      </c>
      <c r="F1429" s="29" t="s">
        <v>61</v>
      </c>
      <c r="G1429" s="29"/>
      <c r="H1429" s="103">
        <f>_xlfn.XLOOKUP(B1429,GM!$Q$5:$Q$756,GM!$J$5:$J$756)</f>
        <v>45959</v>
      </c>
    </row>
    <row r="1430" spans="1:8" hidden="1" x14ac:dyDescent="0.35">
      <c r="A1430" s="29" t="s">
        <v>23</v>
      </c>
      <c r="B1430" s="29" t="str">
        <f t="shared" si="22"/>
        <v>ILS-07</v>
      </c>
      <c r="C1430" s="29" t="s">
        <v>5976</v>
      </c>
      <c r="D1430" s="67" t="s">
        <v>5977</v>
      </c>
      <c r="E1430" s="96" t="s">
        <v>62</v>
      </c>
      <c r="F1430" s="29" t="s">
        <v>61</v>
      </c>
      <c r="G1430" s="29"/>
      <c r="H1430" s="103">
        <f>_xlfn.XLOOKUP(B1430,GM!$Q$5:$Q$756,GM!$J$5:$J$756)</f>
        <v>45959</v>
      </c>
    </row>
    <row r="1431" spans="1:8" hidden="1" x14ac:dyDescent="0.35">
      <c r="A1431" s="29" t="s">
        <v>23</v>
      </c>
      <c r="B1431" s="29" t="str">
        <f t="shared" si="22"/>
        <v>ILS-07</v>
      </c>
      <c r="C1431" s="29" t="s">
        <v>5978</v>
      </c>
      <c r="D1431" s="67" t="s">
        <v>5979</v>
      </c>
      <c r="E1431" s="96" t="s">
        <v>62</v>
      </c>
      <c r="F1431" s="29" t="s">
        <v>61</v>
      </c>
      <c r="G1431" s="29"/>
      <c r="H1431" s="103">
        <f>_xlfn.XLOOKUP(B1431,GM!$Q$5:$Q$756,GM!$J$5:$J$756)</f>
        <v>45959</v>
      </c>
    </row>
    <row r="1432" spans="1:8" hidden="1" x14ac:dyDescent="0.35">
      <c r="A1432" s="29" t="s">
        <v>23</v>
      </c>
      <c r="B1432" s="29" t="str">
        <f t="shared" si="22"/>
        <v>ILS-07</v>
      </c>
      <c r="C1432" s="29" t="s">
        <v>5980</v>
      </c>
      <c r="D1432" s="67" t="s">
        <v>5981</v>
      </c>
      <c r="E1432" s="96" t="s">
        <v>62</v>
      </c>
      <c r="F1432" s="29" t="s">
        <v>61</v>
      </c>
      <c r="G1432" s="29"/>
      <c r="H1432" s="103">
        <f>_xlfn.XLOOKUP(B1432,GM!$Q$5:$Q$756,GM!$J$5:$J$756)</f>
        <v>45959</v>
      </c>
    </row>
    <row r="1433" spans="1:8" hidden="1" x14ac:dyDescent="0.35">
      <c r="A1433" s="29" t="s">
        <v>23</v>
      </c>
      <c r="B1433" s="29" t="str">
        <f t="shared" si="22"/>
        <v>ILS-07</v>
      </c>
      <c r="C1433" s="29" t="s">
        <v>5982</v>
      </c>
      <c r="D1433" s="67" t="s">
        <v>5983</v>
      </c>
      <c r="E1433" s="96" t="s">
        <v>62</v>
      </c>
      <c r="F1433" s="29" t="s">
        <v>61</v>
      </c>
      <c r="G1433" s="29"/>
      <c r="H1433" s="103">
        <f>_xlfn.XLOOKUP(B1433,GM!$Q$5:$Q$756,GM!$J$5:$J$756)</f>
        <v>45959</v>
      </c>
    </row>
    <row r="1434" spans="1:8" hidden="1" x14ac:dyDescent="0.35">
      <c r="A1434" s="29" t="s">
        <v>23</v>
      </c>
      <c r="B1434" s="29" t="str">
        <f t="shared" si="22"/>
        <v>ILS-09</v>
      </c>
      <c r="C1434" s="29" t="s">
        <v>5984</v>
      </c>
      <c r="D1434" s="67" t="s">
        <v>5985</v>
      </c>
      <c r="E1434" s="96" t="s">
        <v>62</v>
      </c>
      <c r="F1434" s="29" t="s">
        <v>61</v>
      </c>
      <c r="G1434" s="29"/>
      <c r="H1434" s="103">
        <f>_xlfn.XLOOKUP(B1434,GM!$Q$5:$Q$756,GM!$J$5:$J$756)</f>
        <v>45959</v>
      </c>
    </row>
    <row r="1435" spans="1:8" hidden="1" x14ac:dyDescent="0.35">
      <c r="A1435" s="29" t="s">
        <v>23</v>
      </c>
      <c r="B1435" s="29" t="str">
        <f t="shared" si="22"/>
        <v>ILS-09</v>
      </c>
      <c r="C1435" s="29" t="s">
        <v>5986</v>
      </c>
      <c r="D1435" s="67" t="s">
        <v>5987</v>
      </c>
      <c r="E1435" s="96" t="s">
        <v>62</v>
      </c>
      <c r="F1435" s="29" t="s">
        <v>61</v>
      </c>
      <c r="G1435" s="29"/>
      <c r="H1435" s="103">
        <f>_xlfn.XLOOKUP(B1435,GM!$Q$5:$Q$756,GM!$J$5:$J$756)</f>
        <v>45959</v>
      </c>
    </row>
    <row r="1436" spans="1:8" hidden="1" x14ac:dyDescent="0.35">
      <c r="A1436" s="29" t="s">
        <v>23</v>
      </c>
      <c r="B1436" s="29" t="str">
        <f t="shared" si="22"/>
        <v>ILS-09</v>
      </c>
      <c r="C1436" s="29" t="s">
        <v>5988</v>
      </c>
      <c r="D1436" s="67" t="s">
        <v>5989</v>
      </c>
      <c r="E1436" s="96" t="s">
        <v>62</v>
      </c>
      <c r="F1436" s="29" t="s">
        <v>61</v>
      </c>
      <c r="G1436" s="29"/>
      <c r="H1436" s="103">
        <f>_xlfn.XLOOKUP(B1436,GM!$Q$5:$Q$756,GM!$J$5:$J$756)</f>
        <v>45959</v>
      </c>
    </row>
    <row r="1437" spans="1:8" hidden="1" x14ac:dyDescent="0.35">
      <c r="A1437" s="29" t="s">
        <v>23</v>
      </c>
      <c r="B1437" s="29" t="str">
        <f t="shared" si="22"/>
        <v>ILS-09</v>
      </c>
      <c r="C1437" s="29" t="s">
        <v>5990</v>
      </c>
      <c r="D1437" s="67" t="s">
        <v>5991</v>
      </c>
      <c r="E1437" s="96" t="s">
        <v>62</v>
      </c>
      <c r="F1437" s="29" t="s">
        <v>61</v>
      </c>
      <c r="G1437" s="29"/>
      <c r="H1437" s="103">
        <f>_xlfn.XLOOKUP(B1437,GM!$Q$5:$Q$756,GM!$J$5:$J$756)</f>
        <v>45959</v>
      </c>
    </row>
    <row r="1438" spans="1:8" hidden="1" x14ac:dyDescent="0.35">
      <c r="A1438" s="29" t="s">
        <v>23</v>
      </c>
      <c r="B1438" s="29" t="str">
        <f t="shared" si="22"/>
        <v>ILS-09</v>
      </c>
      <c r="C1438" s="29" t="s">
        <v>5992</v>
      </c>
      <c r="D1438" s="67" t="s">
        <v>5993</v>
      </c>
      <c r="E1438" s="96" t="s">
        <v>62</v>
      </c>
      <c r="F1438" s="29" t="s">
        <v>61</v>
      </c>
      <c r="G1438" s="29"/>
      <c r="H1438" s="103">
        <f>_xlfn.XLOOKUP(B1438,GM!$Q$5:$Q$756,GM!$J$5:$J$756)</f>
        <v>45959</v>
      </c>
    </row>
    <row r="1439" spans="1:8" hidden="1" x14ac:dyDescent="0.35">
      <c r="A1439" s="29" t="s">
        <v>23</v>
      </c>
      <c r="B1439" s="29" t="str">
        <f t="shared" si="22"/>
        <v>ILS-09</v>
      </c>
      <c r="C1439" s="29" t="s">
        <v>5994</v>
      </c>
      <c r="D1439" s="67" t="s">
        <v>5995</v>
      </c>
      <c r="E1439" s="96" t="s">
        <v>62</v>
      </c>
      <c r="F1439" s="29" t="s">
        <v>61</v>
      </c>
      <c r="G1439" s="29"/>
      <c r="H1439" s="103">
        <f>_xlfn.XLOOKUP(B1439,GM!$Q$5:$Q$756,GM!$J$5:$J$756)</f>
        <v>45959</v>
      </c>
    </row>
    <row r="1440" spans="1:8" hidden="1" x14ac:dyDescent="0.35">
      <c r="A1440" s="29" t="s">
        <v>23</v>
      </c>
      <c r="B1440" s="29" t="str">
        <f t="shared" si="22"/>
        <v>ILS-09</v>
      </c>
      <c r="C1440" s="29" t="s">
        <v>5996</v>
      </c>
      <c r="D1440" s="67" t="s">
        <v>5997</v>
      </c>
      <c r="E1440" s="96" t="s">
        <v>62</v>
      </c>
      <c r="F1440" s="29" t="s">
        <v>61</v>
      </c>
      <c r="G1440" s="29"/>
      <c r="H1440" s="103">
        <f>_xlfn.XLOOKUP(B1440,GM!$Q$5:$Q$756,GM!$J$5:$J$756)</f>
        <v>45959</v>
      </c>
    </row>
    <row r="1441" spans="1:8" hidden="1" x14ac:dyDescent="0.35">
      <c r="A1441" s="29" t="s">
        <v>23</v>
      </c>
      <c r="B1441" s="29" t="str">
        <f t="shared" si="22"/>
        <v>ILS-09</v>
      </c>
      <c r="C1441" s="29" t="s">
        <v>5998</v>
      </c>
      <c r="D1441" s="67" t="s">
        <v>5999</v>
      </c>
      <c r="E1441" s="96" t="s">
        <v>62</v>
      </c>
      <c r="F1441" s="29" t="s">
        <v>61</v>
      </c>
      <c r="G1441" s="29"/>
      <c r="H1441" s="103">
        <f>_xlfn.XLOOKUP(B1441,GM!$Q$5:$Q$756,GM!$J$5:$J$756)</f>
        <v>45959</v>
      </c>
    </row>
    <row r="1442" spans="1:8" hidden="1" x14ac:dyDescent="0.35">
      <c r="A1442" s="29" t="s">
        <v>23</v>
      </c>
      <c r="B1442" s="29" t="str">
        <f t="shared" si="22"/>
        <v>ILS-09</v>
      </c>
      <c r="C1442" s="29" t="s">
        <v>6000</v>
      </c>
      <c r="D1442" s="67" t="s">
        <v>6001</v>
      </c>
      <c r="E1442" s="96" t="s">
        <v>62</v>
      </c>
      <c r="F1442" s="29" t="s">
        <v>61</v>
      </c>
      <c r="G1442" s="29"/>
      <c r="H1442" s="103">
        <f>_xlfn.XLOOKUP(B1442,GM!$Q$5:$Q$756,GM!$J$5:$J$756)</f>
        <v>45959</v>
      </c>
    </row>
    <row r="1443" spans="1:8" hidden="1" x14ac:dyDescent="0.35">
      <c r="A1443" s="29" t="s">
        <v>23</v>
      </c>
      <c r="B1443" s="29" t="str">
        <f t="shared" si="22"/>
        <v>ILS-10</v>
      </c>
      <c r="C1443" s="29" t="s">
        <v>6002</v>
      </c>
      <c r="D1443" s="67" t="s">
        <v>6003</v>
      </c>
      <c r="E1443" s="96" t="s">
        <v>62</v>
      </c>
      <c r="F1443" s="29" t="s">
        <v>61</v>
      </c>
      <c r="G1443" s="29"/>
      <c r="H1443" s="103">
        <f>_xlfn.XLOOKUP(B1443,GM!$Q$5:$Q$756,GM!$J$5:$J$756)</f>
        <v>45959</v>
      </c>
    </row>
    <row r="1444" spans="1:8" hidden="1" x14ac:dyDescent="0.35">
      <c r="A1444" s="29" t="s">
        <v>23</v>
      </c>
      <c r="B1444" s="29" t="str">
        <f t="shared" si="22"/>
        <v>ILS-10</v>
      </c>
      <c r="C1444" s="29" t="s">
        <v>6004</v>
      </c>
      <c r="D1444" s="67" t="s">
        <v>6005</v>
      </c>
      <c r="E1444" s="96" t="s">
        <v>62</v>
      </c>
      <c r="F1444" s="29" t="s">
        <v>61</v>
      </c>
      <c r="G1444" s="29"/>
      <c r="H1444" s="103">
        <f>_xlfn.XLOOKUP(B1444,GM!$Q$5:$Q$756,GM!$J$5:$J$756)</f>
        <v>45959</v>
      </c>
    </row>
    <row r="1445" spans="1:8" hidden="1" x14ac:dyDescent="0.35">
      <c r="A1445" s="29" t="s">
        <v>23</v>
      </c>
      <c r="B1445" s="29" t="str">
        <f t="shared" si="22"/>
        <v>ILS-10</v>
      </c>
      <c r="C1445" s="29" t="s">
        <v>6006</v>
      </c>
      <c r="D1445" s="67" t="s">
        <v>6007</v>
      </c>
      <c r="E1445" s="96" t="s">
        <v>62</v>
      </c>
      <c r="F1445" s="29" t="s">
        <v>61</v>
      </c>
      <c r="G1445" s="29"/>
      <c r="H1445" s="103">
        <f>_xlfn.XLOOKUP(B1445,GM!$Q$5:$Q$756,GM!$J$5:$J$756)</f>
        <v>45959</v>
      </c>
    </row>
    <row r="1446" spans="1:8" hidden="1" x14ac:dyDescent="0.35">
      <c r="A1446" s="29" t="s">
        <v>23</v>
      </c>
      <c r="B1446" s="29" t="str">
        <f t="shared" si="22"/>
        <v>ILS-10</v>
      </c>
      <c r="C1446" s="29" t="s">
        <v>6008</v>
      </c>
      <c r="D1446" s="67" t="s">
        <v>6009</v>
      </c>
      <c r="E1446" s="96" t="s">
        <v>62</v>
      </c>
      <c r="F1446" s="29" t="s">
        <v>61</v>
      </c>
      <c r="G1446" s="29"/>
      <c r="H1446" s="103">
        <f>_xlfn.XLOOKUP(B1446,GM!$Q$5:$Q$756,GM!$J$5:$J$756)</f>
        <v>45959</v>
      </c>
    </row>
    <row r="1447" spans="1:8" hidden="1" x14ac:dyDescent="0.35">
      <c r="A1447" s="29" t="s">
        <v>23</v>
      </c>
      <c r="B1447" s="29" t="str">
        <f t="shared" si="22"/>
        <v>ILS-10</v>
      </c>
      <c r="C1447" s="29" t="s">
        <v>6010</v>
      </c>
      <c r="D1447" s="67" t="s">
        <v>6011</v>
      </c>
      <c r="E1447" s="96" t="s">
        <v>62</v>
      </c>
      <c r="F1447" s="29" t="s">
        <v>61</v>
      </c>
      <c r="G1447" s="29"/>
      <c r="H1447" s="103">
        <f>_xlfn.XLOOKUP(B1447,GM!$Q$5:$Q$756,GM!$J$5:$J$756)</f>
        <v>45959</v>
      </c>
    </row>
    <row r="1448" spans="1:8" hidden="1" x14ac:dyDescent="0.35">
      <c r="A1448" s="29" t="s">
        <v>23</v>
      </c>
      <c r="B1448" s="29" t="str">
        <f t="shared" si="22"/>
        <v>ILS-10</v>
      </c>
      <c r="C1448" s="29" t="s">
        <v>6012</v>
      </c>
      <c r="D1448" s="67" t="s">
        <v>6013</v>
      </c>
      <c r="E1448" s="96" t="s">
        <v>62</v>
      </c>
      <c r="F1448" s="29" t="s">
        <v>61</v>
      </c>
      <c r="G1448" s="29"/>
      <c r="H1448" s="103">
        <f>_xlfn.XLOOKUP(B1448,GM!$Q$5:$Q$756,GM!$J$5:$J$756)</f>
        <v>45959</v>
      </c>
    </row>
    <row r="1449" spans="1:8" hidden="1" x14ac:dyDescent="0.35">
      <c r="A1449" s="29" t="s">
        <v>23</v>
      </c>
      <c r="B1449" s="29" t="str">
        <f t="shared" si="22"/>
        <v>ILS-10</v>
      </c>
      <c r="C1449" s="29" t="s">
        <v>6014</v>
      </c>
      <c r="D1449" s="67" t="s">
        <v>6015</v>
      </c>
      <c r="E1449" s="96" t="s">
        <v>62</v>
      </c>
      <c r="F1449" s="29" t="s">
        <v>61</v>
      </c>
      <c r="G1449" s="29"/>
      <c r="H1449" s="103">
        <f>_xlfn.XLOOKUP(B1449,GM!$Q$5:$Q$756,GM!$J$5:$J$756)</f>
        <v>45959</v>
      </c>
    </row>
    <row r="1450" spans="1:8" hidden="1" x14ac:dyDescent="0.35">
      <c r="A1450" s="29" t="s">
        <v>23</v>
      </c>
      <c r="B1450" s="29" t="str">
        <f t="shared" si="22"/>
        <v>ILS-10</v>
      </c>
      <c r="C1450" s="29" t="s">
        <v>6016</v>
      </c>
      <c r="D1450" s="67" t="s">
        <v>6017</v>
      </c>
      <c r="E1450" s="96" t="s">
        <v>62</v>
      </c>
      <c r="F1450" s="29" t="s">
        <v>61</v>
      </c>
      <c r="G1450" s="29"/>
      <c r="H1450" s="103">
        <f>_xlfn.XLOOKUP(B1450,GM!$Q$5:$Q$756,GM!$J$5:$J$756)</f>
        <v>45959</v>
      </c>
    </row>
    <row r="1451" spans="1:8" hidden="1" x14ac:dyDescent="0.35">
      <c r="A1451" s="29" t="s">
        <v>23</v>
      </c>
      <c r="B1451" s="29" t="str">
        <f t="shared" si="22"/>
        <v>ILS-11</v>
      </c>
      <c r="C1451" s="29" t="s">
        <v>6018</v>
      </c>
      <c r="D1451" s="67" t="s">
        <v>6019</v>
      </c>
      <c r="E1451" s="96" t="s">
        <v>62</v>
      </c>
      <c r="F1451" s="29" t="s">
        <v>61</v>
      </c>
      <c r="G1451" s="29"/>
      <c r="H1451" s="103">
        <f>_xlfn.XLOOKUP(B1451,GM!$Q$5:$Q$756,GM!$J$5:$J$756)</f>
        <v>46104</v>
      </c>
    </row>
    <row r="1452" spans="1:8" hidden="1" x14ac:dyDescent="0.35">
      <c r="A1452" s="29" t="s">
        <v>23</v>
      </c>
      <c r="B1452" s="29" t="str">
        <f t="shared" si="22"/>
        <v>ILS-11</v>
      </c>
      <c r="C1452" s="29" t="s">
        <v>6020</v>
      </c>
      <c r="D1452" s="67" t="s">
        <v>6021</v>
      </c>
      <c r="E1452" s="96" t="s">
        <v>62</v>
      </c>
      <c r="F1452" s="29" t="s">
        <v>61</v>
      </c>
      <c r="G1452" s="29"/>
      <c r="H1452" s="103">
        <f>_xlfn.XLOOKUP(B1452,GM!$Q$5:$Q$756,GM!$J$5:$J$756)</f>
        <v>46104</v>
      </c>
    </row>
    <row r="1453" spans="1:8" hidden="1" x14ac:dyDescent="0.35">
      <c r="A1453" s="29" t="s">
        <v>23</v>
      </c>
      <c r="B1453" s="29" t="str">
        <f t="shared" si="22"/>
        <v>ILS-11</v>
      </c>
      <c r="C1453" s="29" t="s">
        <v>6022</v>
      </c>
      <c r="D1453" s="67" t="s">
        <v>6023</v>
      </c>
      <c r="E1453" s="96" t="s">
        <v>62</v>
      </c>
      <c r="F1453" s="29" t="s">
        <v>61</v>
      </c>
      <c r="G1453" s="29"/>
      <c r="H1453" s="103">
        <f>_xlfn.XLOOKUP(B1453,GM!$Q$5:$Q$756,GM!$J$5:$J$756)</f>
        <v>46104</v>
      </c>
    </row>
    <row r="1454" spans="1:8" hidden="1" x14ac:dyDescent="0.35">
      <c r="A1454" s="29" t="s">
        <v>23</v>
      </c>
      <c r="B1454" s="29" t="str">
        <f t="shared" si="22"/>
        <v>ILS-11</v>
      </c>
      <c r="C1454" s="29" t="s">
        <v>6024</v>
      </c>
      <c r="D1454" s="67" t="s">
        <v>6025</v>
      </c>
      <c r="E1454" s="96" t="s">
        <v>62</v>
      </c>
      <c r="F1454" s="29" t="s">
        <v>61</v>
      </c>
      <c r="G1454" s="29"/>
      <c r="H1454" s="103">
        <f>_xlfn.XLOOKUP(B1454,GM!$Q$5:$Q$756,GM!$J$5:$J$756)</f>
        <v>46104</v>
      </c>
    </row>
    <row r="1455" spans="1:8" hidden="1" x14ac:dyDescent="0.35">
      <c r="A1455" s="29" t="s">
        <v>23</v>
      </c>
      <c r="B1455" s="29" t="str">
        <f t="shared" si="22"/>
        <v>ILS-12</v>
      </c>
      <c r="C1455" s="29" t="s">
        <v>6026</v>
      </c>
      <c r="D1455" s="67" t="s">
        <v>6027</v>
      </c>
      <c r="E1455" s="96" t="s">
        <v>62</v>
      </c>
      <c r="F1455" s="29" t="s">
        <v>61</v>
      </c>
      <c r="G1455" s="29"/>
      <c r="H1455" s="103">
        <f>_xlfn.XLOOKUP(B1455,GM!$Q$5:$Q$756,GM!$J$5:$J$756)</f>
        <v>46104</v>
      </c>
    </row>
    <row r="1456" spans="1:8" hidden="1" x14ac:dyDescent="0.35">
      <c r="A1456" s="29" t="s">
        <v>23</v>
      </c>
      <c r="B1456" s="29" t="str">
        <f t="shared" si="22"/>
        <v>ILS-13</v>
      </c>
      <c r="C1456" s="29" t="s">
        <v>6028</v>
      </c>
      <c r="D1456" s="67" t="s">
        <v>6029</v>
      </c>
      <c r="E1456" s="96" t="s">
        <v>62</v>
      </c>
      <c r="F1456" s="29" t="s">
        <v>61</v>
      </c>
      <c r="G1456" s="29"/>
      <c r="H1456" s="103">
        <f>_xlfn.XLOOKUP(B1456,GM!$Q$5:$Q$756,GM!$J$5:$J$756)</f>
        <v>46104</v>
      </c>
    </row>
    <row r="1457" spans="1:8" hidden="1" x14ac:dyDescent="0.35">
      <c r="A1457" s="29" t="s">
        <v>23</v>
      </c>
      <c r="B1457" s="29" t="str">
        <f t="shared" si="22"/>
        <v>ILS-13</v>
      </c>
      <c r="C1457" s="29" t="s">
        <v>6030</v>
      </c>
      <c r="D1457" s="67" t="s">
        <v>6031</v>
      </c>
      <c r="E1457" s="96" t="s">
        <v>62</v>
      </c>
      <c r="F1457" s="29" t="s">
        <v>61</v>
      </c>
      <c r="G1457" s="29"/>
      <c r="H1457" s="103">
        <f>_xlfn.XLOOKUP(B1457,GM!$Q$5:$Q$756,GM!$J$5:$J$756)</f>
        <v>46104</v>
      </c>
    </row>
    <row r="1458" spans="1:8" hidden="1" x14ac:dyDescent="0.35">
      <c r="A1458" s="29" t="s">
        <v>23</v>
      </c>
      <c r="B1458" s="29" t="str">
        <f t="shared" si="22"/>
        <v>ILS-13</v>
      </c>
      <c r="C1458" s="29" t="s">
        <v>6032</v>
      </c>
      <c r="D1458" s="67" t="s">
        <v>6033</v>
      </c>
      <c r="E1458" s="96" t="s">
        <v>62</v>
      </c>
      <c r="F1458" s="29" t="s">
        <v>61</v>
      </c>
      <c r="G1458" s="29"/>
      <c r="H1458" s="103">
        <f>_xlfn.XLOOKUP(B1458,GM!$Q$5:$Q$756,GM!$J$5:$J$756)</f>
        <v>46104</v>
      </c>
    </row>
    <row r="1459" spans="1:8" hidden="1" x14ac:dyDescent="0.35">
      <c r="A1459" s="29" t="s">
        <v>23</v>
      </c>
      <c r="B1459" s="29" t="str">
        <f t="shared" si="22"/>
        <v>ILS-13</v>
      </c>
      <c r="C1459" s="29" t="s">
        <v>6034</v>
      </c>
      <c r="D1459" s="67" t="s">
        <v>6035</v>
      </c>
      <c r="E1459" s="96" t="s">
        <v>62</v>
      </c>
      <c r="F1459" s="29" t="s">
        <v>61</v>
      </c>
      <c r="G1459" s="29"/>
      <c r="H1459" s="103">
        <f>_xlfn.XLOOKUP(B1459,GM!$Q$5:$Q$756,GM!$J$5:$J$756)</f>
        <v>46104</v>
      </c>
    </row>
    <row r="1460" spans="1:8" hidden="1" x14ac:dyDescent="0.35">
      <c r="A1460" s="29" t="s">
        <v>23</v>
      </c>
      <c r="B1460" s="29" t="str">
        <f t="shared" si="22"/>
        <v>ILS-13</v>
      </c>
      <c r="C1460" s="29" t="s">
        <v>6036</v>
      </c>
      <c r="D1460" s="67" t="s">
        <v>6037</v>
      </c>
      <c r="E1460" s="96" t="s">
        <v>62</v>
      </c>
      <c r="F1460" s="29" t="s">
        <v>61</v>
      </c>
      <c r="G1460" s="29"/>
      <c r="H1460" s="103">
        <f>_xlfn.XLOOKUP(B1460,GM!$Q$5:$Q$756,GM!$J$5:$J$756)</f>
        <v>46104</v>
      </c>
    </row>
    <row r="1461" spans="1:8" hidden="1" x14ac:dyDescent="0.35">
      <c r="A1461" s="29" t="s">
        <v>23</v>
      </c>
      <c r="B1461" s="29" t="str">
        <f t="shared" si="22"/>
        <v>ILS-13</v>
      </c>
      <c r="C1461" s="29" t="s">
        <v>6038</v>
      </c>
      <c r="D1461" s="67" t="s">
        <v>6039</v>
      </c>
      <c r="E1461" s="96" t="s">
        <v>62</v>
      </c>
      <c r="F1461" s="29" t="s">
        <v>61</v>
      </c>
      <c r="G1461" s="29"/>
      <c r="H1461" s="103">
        <f>_xlfn.XLOOKUP(B1461,GM!$Q$5:$Q$756,GM!$J$5:$J$756)</f>
        <v>46104</v>
      </c>
    </row>
    <row r="1462" spans="1:8" hidden="1" x14ac:dyDescent="0.35">
      <c r="A1462" s="29" t="s">
        <v>23</v>
      </c>
      <c r="B1462" s="29" t="str">
        <f t="shared" si="22"/>
        <v>ILS-14</v>
      </c>
      <c r="C1462" s="29" t="s">
        <v>6040</v>
      </c>
      <c r="D1462" s="67" t="s">
        <v>6041</v>
      </c>
      <c r="E1462" s="96" t="s">
        <v>62</v>
      </c>
      <c r="F1462" s="29" t="s">
        <v>61</v>
      </c>
      <c r="G1462" s="29"/>
      <c r="H1462" s="103">
        <f>_xlfn.XLOOKUP(B1462,GM!$Q$5:$Q$756,GM!$J$5:$J$756)</f>
        <v>45202</v>
      </c>
    </row>
    <row r="1463" spans="1:8" hidden="1" x14ac:dyDescent="0.35">
      <c r="A1463" s="29" t="s">
        <v>23</v>
      </c>
      <c r="B1463" s="29" t="str">
        <f t="shared" si="22"/>
        <v>ILS-15</v>
      </c>
      <c r="C1463" s="29" t="s">
        <v>6042</v>
      </c>
      <c r="D1463" s="67" t="s">
        <v>6043</v>
      </c>
      <c r="E1463" s="96" t="s">
        <v>62</v>
      </c>
      <c r="F1463" s="29" t="s">
        <v>61</v>
      </c>
      <c r="G1463" s="29"/>
      <c r="H1463" s="103">
        <f>_xlfn.XLOOKUP(B1463,GM!$Q$5:$Q$756,GM!$J$5:$J$756)</f>
        <v>46104</v>
      </c>
    </row>
    <row r="1464" spans="1:8" hidden="1" x14ac:dyDescent="0.35">
      <c r="A1464" s="29" t="s">
        <v>23</v>
      </c>
      <c r="B1464" s="29" t="str">
        <f t="shared" si="22"/>
        <v>ILS-15</v>
      </c>
      <c r="C1464" s="29" t="s">
        <v>6044</v>
      </c>
      <c r="D1464" s="67" t="s">
        <v>6045</v>
      </c>
      <c r="E1464" s="96" t="s">
        <v>62</v>
      </c>
      <c r="F1464" s="29" t="s">
        <v>61</v>
      </c>
      <c r="G1464" s="29"/>
      <c r="H1464" s="103">
        <f>_xlfn.XLOOKUP(B1464,GM!$Q$5:$Q$756,GM!$J$5:$J$756)</f>
        <v>46104</v>
      </c>
    </row>
    <row r="1465" spans="1:8" hidden="1" x14ac:dyDescent="0.35">
      <c r="A1465" s="29" t="s">
        <v>23</v>
      </c>
      <c r="B1465" s="29" t="str">
        <f t="shared" si="22"/>
        <v>ILS-15</v>
      </c>
      <c r="C1465" s="29" t="s">
        <v>6046</v>
      </c>
      <c r="D1465" s="67" t="s">
        <v>6047</v>
      </c>
      <c r="E1465" s="96" t="s">
        <v>62</v>
      </c>
      <c r="F1465" s="29" t="s">
        <v>61</v>
      </c>
      <c r="G1465" s="29"/>
      <c r="H1465" s="103">
        <f>_xlfn.XLOOKUP(B1465,GM!$Q$5:$Q$756,GM!$J$5:$J$756)</f>
        <v>46104</v>
      </c>
    </row>
    <row r="1466" spans="1:8" hidden="1" x14ac:dyDescent="0.35">
      <c r="A1466" s="29" t="s">
        <v>23</v>
      </c>
      <c r="B1466" s="29" t="str">
        <f t="shared" si="22"/>
        <v>ILS-15</v>
      </c>
      <c r="C1466" s="29" t="s">
        <v>6048</v>
      </c>
      <c r="D1466" s="67" t="s">
        <v>6049</v>
      </c>
      <c r="E1466" s="96" t="s">
        <v>62</v>
      </c>
      <c r="F1466" s="29" t="s">
        <v>61</v>
      </c>
      <c r="G1466" s="29"/>
      <c r="H1466" s="103">
        <f>_xlfn.XLOOKUP(B1466,GM!$Q$5:$Q$756,GM!$J$5:$J$756)</f>
        <v>46104</v>
      </c>
    </row>
    <row r="1467" spans="1:8" hidden="1" x14ac:dyDescent="0.35">
      <c r="A1467" s="29" t="s">
        <v>23</v>
      </c>
      <c r="B1467" s="29" t="str">
        <f t="shared" si="22"/>
        <v>ILS-15</v>
      </c>
      <c r="C1467" s="29" t="s">
        <v>6050</v>
      </c>
      <c r="D1467" s="67" t="s">
        <v>6051</v>
      </c>
      <c r="E1467" s="96" t="s">
        <v>62</v>
      </c>
      <c r="F1467" s="29" t="s">
        <v>61</v>
      </c>
      <c r="G1467" s="29"/>
      <c r="H1467" s="103">
        <f>_xlfn.XLOOKUP(B1467,GM!$Q$5:$Q$756,GM!$J$5:$J$756)</f>
        <v>46104</v>
      </c>
    </row>
    <row r="1468" spans="1:8" hidden="1" x14ac:dyDescent="0.35">
      <c r="A1468" s="29" t="s">
        <v>23</v>
      </c>
      <c r="B1468" s="29" t="str">
        <f t="shared" si="22"/>
        <v>ILS-15</v>
      </c>
      <c r="C1468" s="29" t="s">
        <v>6052</v>
      </c>
      <c r="D1468" s="67" t="s">
        <v>6053</v>
      </c>
      <c r="E1468" s="96" t="s">
        <v>62</v>
      </c>
      <c r="F1468" s="29" t="s">
        <v>61</v>
      </c>
      <c r="G1468" s="29"/>
      <c r="H1468" s="103">
        <f>_xlfn.XLOOKUP(B1468,GM!$Q$5:$Q$756,GM!$J$5:$J$756)</f>
        <v>46104</v>
      </c>
    </row>
    <row r="1469" spans="1:8" hidden="1" x14ac:dyDescent="0.35">
      <c r="A1469" s="29" t="s">
        <v>23</v>
      </c>
      <c r="B1469" s="29" t="str">
        <f t="shared" si="22"/>
        <v>ILS-15</v>
      </c>
      <c r="C1469" s="29" t="s">
        <v>6054</v>
      </c>
      <c r="D1469" s="67" t="s">
        <v>6055</v>
      </c>
      <c r="E1469" s="96" t="s">
        <v>62</v>
      </c>
      <c r="F1469" s="29" t="s">
        <v>61</v>
      </c>
      <c r="G1469" s="29"/>
      <c r="H1469" s="103">
        <f>_xlfn.XLOOKUP(B1469,GM!$Q$5:$Q$756,GM!$J$5:$J$756)</f>
        <v>46104</v>
      </c>
    </row>
    <row r="1470" spans="1:8" hidden="1" x14ac:dyDescent="0.35">
      <c r="A1470" s="29" t="s">
        <v>23</v>
      </c>
      <c r="B1470" s="29" t="str">
        <f t="shared" si="22"/>
        <v>ILS-15</v>
      </c>
      <c r="C1470" s="29" t="s">
        <v>6056</v>
      </c>
      <c r="D1470" s="67" t="s">
        <v>6057</v>
      </c>
      <c r="E1470" s="96" t="s">
        <v>62</v>
      </c>
      <c r="F1470" s="29" t="s">
        <v>61</v>
      </c>
      <c r="G1470" s="29"/>
      <c r="H1470" s="103">
        <f>_xlfn.XLOOKUP(B1470,GM!$Q$5:$Q$756,GM!$J$5:$J$756)</f>
        <v>46104</v>
      </c>
    </row>
    <row r="1471" spans="1:8" hidden="1" x14ac:dyDescent="0.35">
      <c r="A1471" s="29" t="s">
        <v>23</v>
      </c>
      <c r="B1471" s="29" t="str">
        <f t="shared" si="22"/>
        <v>ILS-15</v>
      </c>
      <c r="C1471" s="29" t="s">
        <v>6058</v>
      </c>
      <c r="D1471" s="67" t="s">
        <v>6059</v>
      </c>
      <c r="E1471" s="96" t="s">
        <v>62</v>
      </c>
      <c r="F1471" s="29" t="s">
        <v>61</v>
      </c>
      <c r="G1471" s="29"/>
      <c r="H1471" s="103">
        <f>_xlfn.XLOOKUP(B1471,GM!$Q$5:$Q$756,GM!$J$5:$J$756)</f>
        <v>46104</v>
      </c>
    </row>
    <row r="1472" spans="1:8" hidden="1" x14ac:dyDescent="0.35">
      <c r="A1472" s="29" t="s">
        <v>23</v>
      </c>
      <c r="B1472" s="29" t="str">
        <f t="shared" si="22"/>
        <v>ILS-15</v>
      </c>
      <c r="C1472" s="29" t="s">
        <v>6060</v>
      </c>
      <c r="D1472" s="67" t="s">
        <v>6061</v>
      </c>
      <c r="E1472" s="96" t="s">
        <v>62</v>
      </c>
      <c r="F1472" s="29" t="s">
        <v>61</v>
      </c>
      <c r="G1472" s="29"/>
      <c r="H1472" s="103">
        <f>_xlfn.XLOOKUP(B1472,GM!$Q$5:$Q$756,GM!$J$5:$J$756)</f>
        <v>46104</v>
      </c>
    </row>
    <row r="1473" spans="1:8" hidden="1" x14ac:dyDescent="0.35">
      <c r="A1473" s="29" t="s">
        <v>23</v>
      </c>
      <c r="B1473" s="29" t="str">
        <f t="shared" si="22"/>
        <v>ILS-15</v>
      </c>
      <c r="C1473" s="29" t="s">
        <v>6062</v>
      </c>
      <c r="D1473" s="67" t="s">
        <v>6063</v>
      </c>
      <c r="E1473" s="96" t="s">
        <v>62</v>
      </c>
      <c r="F1473" s="29" t="s">
        <v>61</v>
      </c>
      <c r="G1473" s="29"/>
      <c r="H1473" s="103">
        <f>_xlfn.XLOOKUP(B1473,GM!$Q$5:$Q$756,GM!$J$5:$J$756)</f>
        <v>46104</v>
      </c>
    </row>
    <row r="1474" spans="1:8" hidden="1" x14ac:dyDescent="0.35">
      <c r="A1474" s="29" t="s">
        <v>23</v>
      </c>
      <c r="B1474" s="29" t="str">
        <f t="shared" si="22"/>
        <v>ILS-15</v>
      </c>
      <c r="C1474" s="29" t="s">
        <v>6064</v>
      </c>
      <c r="D1474" s="67" t="s">
        <v>6065</v>
      </c>
      <c r="E1474" s="96" t="s">
        <v>62</v>
      </c>
      <c r="F1474" s="29" t="s">
        <v>61</v>
      </c>
      <c r="G1474" s="29"/>
      <c r="H1474" s="103">
        <f>_xlfn.XLOOKUP(B1474,GM!$Q$5:$Q$756,GM!$J$5:$J$756)</f>
        <v>46104</v>
      </c>
    </row>
    <row r="1475" spans="1:8" hidden="1" x14ac:dyDescent="0.35">
      <c r="A1475" s="29" t="s">
        <v>23</v>
      </c>
      <c r="B1475" s="29" t="str">
        <f t="shared" si="22"/>
        <v>ILS-15</v>
      </c>
      <c r="C1475" s="29" t="s">
        <v>6066</v>
      </c>
      <c r="D1475" s="67" t="s">
        <v>6067</v>
      </c>
      <c r="E1475" s="96" t="s">
        <v>62</v>
      </c>
      <c r="F1475" s="29" t="s">
        <v>61</v>
      </c>
      <c r="G1475" s="29"/>
      <c r="H1475" s="103">
        <f>_xlfn.XLOOKUP(B1475,GM!$Q$5:$Q$756,GM!$J$5:$J$756)</f>
        <v>46104</v>
      </c>
    </row>
    <row r="1476" spans="1:8" hidden="1" x14ac:dyDescent="0.35">
      <c r="A1476" s="29" t="s">
        <v>23</v>
      </c>
      <c r="B1476" s="29" t="str">
        <f t="shared" si="22"/>
        <v>ILS-15</v>
      </c>
      <c r="C1476" s="29" t="s">
        <v>6068</v>
      </c>
      <c r="D1476" s="67" t="s">
        <v>6069</v>
      </c>
      <c r="E1476" s="96" t="s">
        <v>62</v>
      </c>
      <c r="F1476" s="29" t="s">
        <v>61</v>
      </c>
      <c r="G1476" s="29"/>
      <c r="H1476" s="103">
        <f>_xlfn.XLOOKUP(B1476,GM!$Q$5:$Q$756,GM!$J$5:$J$756)</f>
        <v>46104</v>
      </c>
    </row>
    <row r="1477" spans="1:8" hidden="1" x14ac:dyDescent="0.35">
      <c r="A1477" s="29" t="s">
        <v>23</v>
      </c>
      <c r="B1477" s="29" t="str">
        <f t="shared" ref="B1477:B1540" si="23">IF(OR(A1477="ARN",A1477="SDP"),MID(C1477,4,7),MID(C1477,4,6))</f>
        <v>ILS-15</v>
      </c>
      <c r="C1477" s="29" t="s">
        <v>6070</v>
      </c>
      <c r="D1477" s="67" t="s">
        <v>6071</v>
      </c>
      <c r="E1477" s="96" t="s">
        <v>62</v>
      </c>
      <c r="F1477" s="29" t="s">
        <v>61</v>
      </c>
      <c r="G1477" s="29"/>
      <c r="H1477" s="103">
        <f>_xlfn.XLOOKUP(B1477,GM!$Q$5:$Q$756,GM!$J$5:$J$756)</f>
        <v>46104</v>
      </c>
    </row>
    <row r="1478" spans="1:8" hidden="1" x14ac:dyDescent="0.35">
      <c r="A1478" s="29" t="s">
        <v>23</v>
      </c>
      <c r="B1478" s="29" t="str">
        <f t="shared" si="23"/>
        <v>ILS-15</v>
      </c>
      <c r="C1478" s="29" t="s">
        <v>6072</v>
      </c>
      <c r="D1478" s="67" t="s">
        <v>6073</v>
      </c>
      <c r="E1478" s="96" t="s">
        <v>62</v>
      </c>
      <c r="F1478" s="29" t="s">
        <v>61</v>
      </c>
      <c r="G1478" s="29"/>
      <c r="H1478" s="103">
        <f>_xlfn.XLOOKUP(B1478,GM!$Q$5:$Q$756,GM!$J$5:$J$756)</f>
        <v>46104</v>
      </c>
    </row>
    <row r="1479" spans="1:8" hidden="1" x14ac:dyDescent="0.35">
      <c r="A1479" s="29" t="s">
        <v>23</v>
      </c>
      <c r="B1479" s="29" t="str">
        <f t="shared" si="23"/>
        <v>ILS-15</v>
      </c>
      <c r="C1479" s="29" t="s">
        <v>6074</v>
      </c>
      <c r="D1479" s="67" t="s">
        <v>6075</v>
      </c>
      <c r="E1479" s="96" t="s">
        <v>62</v>
      </c>
      <c r="F1479" s="29" t="s">
        <v>61</v>
      </c>
      <c r="G1479" s="29"/>
      <c r="H1479" s="103">
        <f>_xlfn.XLOOKUP(B1479,GM!$Q$5:$Q$756,GM!$J$5:$J$756)</f>
        <v>46104</v>
      </c>
    </row>
    <row r="1480" spans="1:8" hidden="1" x14ac:dyDescent="0.35">
      <c r="A1480" s="29" t="s">
        <v>23</v>
      </c>
      <c r="B1480" s="29" t="str">
        <f t="shared" si="23"/>
        <v>ILS-15</v>
      </c>
      <c r="C1480" s="29" t="s">
        <v>6076</v>
      </c>
      <c r="D1480" s="67" t="s">
        <v>6077</v>
      </c>
      <c r="E1480" s="96" t="s">
        <v>62</v>
      </c>
      <c r="F1480" s="29" t="s">
        <v>61</v>
      </c>
      <c r="G1480" s="29"/>
      <c r="H1480" s="103">
        <f>_xlfn.XLOOKUP(B1480,GM!$Q$5:$Q$756,GM!$J$5:$J$756)</f>
        <v>46104</v>
      </c>
    </row>
    <row r="1481" spans="1:8" hidden="1" x14ac:dyDescent="0.35">
      <c r="A1481" s="29" t="s">
        <v>23</v>
      </c>
      <c r="B1481" s="29" t="str">
        <f t="shared" si="23"/>
        <v>ILS-15</v>
      </c>
      <c r="C1481" s="29" t="s">
        <v>6078</v>
      </c>
      <c r="D1481" s="67" t="s">
        <v>6079</v>
      </c>
      <c r="E1481" s="96" t="s">
        <v>62</v>
      </c>
      <c r="F1481" s="29" t="s">
        <v>61</v>
      </c>
      <c r="G1481" s="29"/>
      <c r="H1481" s="103">
        <f>_xlfn.XLOOKUP(B1481,GM!$Q$5:$Q$756,GM!$J$5:$J$756)</f>
        <v>46104</v>
      </c>
    </row>
    <row r="1482" spans="1:8" hidden="1" x14ac:dyDescent="0.35">
      <c r="A1482" s="29" t="s">
        <v>23</v>
      </c>
      <c r="B1482" s="29" t="str">
        <f t="shared" si="23"/>
        <v>ILS-15</v>
      </c>
      <c r="C1482" s="29" t="s">
        <v>6080</v>
      </c>
      <c r="D1482" s="67" t="s">
        <v>6081</v>
      </c>
      <c r="E1482" s="96" t="s">
        <v>62</v>
      </c>
      <c r="F1482" s="29" t="s">
        <v>61</v>
      </c>
      <c r="G1482" s="29"/>
      <c r="H1482" s="103">
        <f>_xlfn.XLOOKUP(B1482,GM!$Q$5:$Q$756,GM!$J$5:$J$756)</f>
        <v>46104</v>
      </c>
    </row>
    <row r="1483" spans="1:8" hidden="1" x14ac:dyDescent="0.35">
      <c r="A1483" s="29" t="s">
        <v>23</v>
      </c>
      <c r="B1483" s="29" t="str">
        <f t="shared" si="23"/>
        <v>ILS-15</v>
      </c>
      <c r="C1483" s="29" t="s">
        <v>6082</v>
      </c>
      <c r="D1483" s="67" t="s">
        <v>6083</v>
      </c>
      <c r="E1483" s="96" t="s">
        <v>62</v>
      </c>
      <c r="F1483" s="29" t="s">
        <v>61</v>
      </c>
      <c r="G1483" s="29"/>
      <c r="H1483" s="103">
        <f>_xlfn.XLOOKUP(B1483,GM!$Q$5:$Q$756,GM!$J$5:$J$756)</f>
        <v>46104</v>
      </c>
    </row>
    <row r="1484" spans="1:8" hidden="1" x14ac:dyDescent="0.35">
      <c r="A1484" s="29" t="s">
        <v>23</v>
      </c>
      <c r="B1484" s="29" t="str">
        <f t="shared" si="23"/>
        <v>ILS-15</v>
      </c>
      <c r="C1484" s="29" t="s">
        <v>6084</v>
      </c>
      <c r="D1484" s="67" t="s">
        <v>6085</v>
      </c>
      <c r="E1484" s="96" t="s">
        <v>62</v>
      </c>
      <c r="F1484" s="29" t="s">
        <v>61</v>
      </c>
      <c r="G1484" s="29"/>
      <c r="H1484" s="103">
        <f>_xlfn.XLOOKUP(B1484,GM!$Q$5:$Q$756,GM!$J$5:$J$756)</f>
        <v>46104</v>
      </c>
    </row>
    <row r="1485" spans="1:8" hidden="1" x14ac:dyDescent="0.35">
      <c r="A1485" s="29" t="s">
        <v>23</v>
      </c>
      <c r="B1485" s="29" t="str">
        <f t="shared" si="23"/>
        <v>ILS-15</v>
      </c>
      <c r="C1485" s="29" t="s">
        <v>6086</v>
      </c>
      <c r="D1485" s="67" t="s">
        <v>6087</v>
      </c>
      <c r="E1485" s="96" t="s">
        <v>62</v>
      </c>
      <c r="F1485" s="29" t="s">
        <v>61</v>
      </c>
      <c r="G1485" s="29"/>
      <c r="H1485" s="103">
        <f>_xlfn.XLOOKUP(B1485,GM!$Q$5:$Q$756,GM!$J$5:$J$756)</f>
        <v>46104</v>
      </c>
    </row>
    <row r="1486" spans="1:8" hidden="1" x14ac:dyDescent="0.35">
      <c r="A1486" s="29" t="s">
        <v>23</v>
      </c>
      <c r="B1486" s="29" t="str">
        <f t="shared" si="23"/>
        <v>ILS-15</v>
      </c>
      <c r="C1486" s="29" t="s">
        <v>6088</v>
      </c>
      <c r="D1486" s="67" t="s">
        <v>6089</v>
      </c>
      <c r="E1486" s="96" t="s">
        <v>62</v>
      </c>
      <c r="F1486" s="29" t="s">
        <v>61</v>
      </c>
      <c r="G1486" s="29"/>
      <c r="H1486" s="103">
        <f>_xlfn.XLOOKUP(B1486,GM!$Q$5:$Q$756,GM!$J$5:$J$756)</f>
        <v>46104</v>
      </c>
    </row>
    <row r="1487" spans="1:8" hidden="1" x14ac:dyDescent="0.35">
      <c r="A1487" s="29" t="s">
        <v>23</v>
      </c>
      <c r="B1487" s="29" t="str">
        <f t="shared" si="23"/>
        <v>ILS-15</v>
      </c>
      <c r="C1487" s="29" t="s">
        <v>6090</v>
      </c>
      <c r="D1487" s="67" t="s">
        <v>6091</v>
      </c>
      <c r="E1487" s="96" t="s">
        <v>62</v>
      </c>
      <c r="F1487" s="29" t="s">
        <v>61</v>
      </c>
      <c r="G1487" s="29"/>
      <c r="H1487" s="103">
        <f>_xlfn.XLOOKUP(B1487,GM!$Q$5:$Q$756,GM!$J$5:$J$756)</f>
        <v>46104</v>
      </c>
    </row>
    <row r="1488" spans="1:8" hidden="1" x14ac:dyDescent="0.35">
      <c r="A1488" s="29" t="s">
        <v>23</v>
      </c>
      <c r="B1488" s="29" t="str">
        <f t="shared" si="23"/>
        <v>ILS-16</v>
      </c>
      <c r="C1488" s="29" t="s">
        <v>6092</v>
      </c>
      <c r="D1488" s="67" t="s">
        <v>6093</v>
      </c>
      <c r="E1488" s="96" t="s">
        <v>62</v>
      </c>
      <c r="F1488" s="29" t="s">
        <v>61</v>
      </c>
      <c r="G1488" s="29"/>
      <c r="H1488" s="103">
        <f>_xlfn.XLOOKUP(B1488,GM!$Q$5:$Q$756,GM!$J$5:$J$756)</f>
        <v>46104</v>
      </c>
    </row>
    <row r="1489" spans="1:8" hidden="1" x14ac:dyDescent="0.35">
      <c r="A1489" s="29" t="s">
        <v>23</v>
      </c>
      <c r="B1489" s="29" t="str">
        <f t="shared" si="23"/>
        <v>ILS-16</v>
      </c>
      <c r="C1489" s="29" t="s">
        <v>6094</v>
      </c>
      <c r="D1489" s="67" t="s">
        <v>6095</v>
      </c>
      <c r="E1489" s="96" t="s">
        <v>62</v>
      </c>
      <c r="F1489" s="29" t="s">
        <v>61</v>
      </c>
      <c r="G1489" s="29"/>
      <c r="H1489" s="103">
        <f>_xlfn.XLOOKUP(B1489,GM!$Q$5:$Q$756,GM!$J$5:$J$756)</f>
        <v>46104</v>
      </c>
    </row>
    <row r="1490" spans="1:8" hidden="1" x14ac:dyDescent="0.35">
      <c r="A1490" s="29" t="s">
        <v>23</v>
      </c>
      <c r="B1490" s="29" t="str">
        <f t="shared" si="23"/>
        <v>ILS-16</v>
      </c>
      <c r="C1490" s="29" t="s">
        <v>6096</v>
      </c>
      <c r="D1490" s="67" t="s">
        <v>6097</v>
      </c>
      <c r="E1490" s="96" t="s">
        <v>62</v>
      </c>
      <c r="F1490" s="29" t="s">
        <v>61</v>
      </c>
      <c r="G1490" s="29"/>
      <c r="H1490" s="103">
        <f>_xlfn.XLOOKUP(B1490,GM!$Q$5:$Q$756,GM!$J$5:$J$756)</f>
        <v>46104</v>
      </c>
    </row>
    <row r="1491" spans="1:8" hidden="1" x14ac:dyDescent="0.35">
      <c r="A1491" s="29" t="s">
        <v>23</v>
      </c>
      <c r="B1491" s="29" t="str">
        <f t="shared" si="23"/>
        <v>ILS-16</v>
      </c>
      <c r="C1491" s="29" t="s">
        <v>6098</v>
      </c>
      <c r="D1491" s="67" t="s">
        <v>6099</v>
      </c>
      <c r="E1491" s="96" t="s">
        <v>62</v>
      </c>
      <c r="F1491" s="29" t="s">
        <v>61</v>
      </c>
      <c r="G1491" s="29"/>
      <c r="H1491" s="103">
        <f>_xlfn.XLOOKUP(B1491,GM!$Q$5:$Q$756,GM!$J$5:$J$756)</f>
        <v>46104</v>
      </c>
    </row>
    <row r="1492" spans="1:8" hidden="1" x14ac:dyDescent="0.35">
      <c r="A1492" s="29" t="s">
        <v>23</v>
      </c>
      <c r="B1492" s="29" t="str">
        <f t="shared" si="23"/>
        <v>ILS-16</v>
      </c>
      <c r="C1492" s="29" t="s">
        <v>6100</v>
      </c>
      <c r="D1492" s="67" t="s">
        <v>6101</v>
      </c>
      <c r="E1492" s="96" t="s">
        <v>62</v>
      </c>
      <c r="F1492" s="29" t="s">
        <v>61</v>
      </c>
      <c r="G1492" s="29"/>
      <c r="H1492" s="103">
        <f>_xlfn.XLOOKUP(B1492,GM!$Q$5:$Q$756,GM!$J$5:$J$756)</f>
        <v>46104</v>
      </c>
    </row>
    <row r="1493" spans="1:8" hidden="1" x14ac:dyDescent="0.35">
      <c r="A1493" s="29" t="s">
        <v>23</v>
      </c>
      <c r="B1493" s="29" t="str">
        <f t="shared" si="23"/>
        <v>ILS-17</v>
      </c>
      <c r="C1493" s="29" t="s">
        <v>6102</v>
      </c>
      <c r="D1493" s="67" t="s">
        <v>6103</v>
      </c>
      <c r="E1493" s="96" t="s">
        <v>62</v>
      </c>
      <c r="F1493" s="29" t="s">
        <v>61</v>
      </c>
      <c r="G1493" s="29"/>
      <c r="H1493" s="103">
        <f>_xlfn.XLOOKUP(B1493,GM!$Q$5:$Q$756,GM!$J$5:$J$756)</f>
        <v>45202</v>
      </c>
    </row>
    <row r="1494" spans="1:8" hidden="1" x14ac:dyDescent="0.35">
      <c r="A1494" s="29" t="s">
        <v>23</v>
      </c>
      <c r="B1494" s="29" t="str">
        <f t="shared" si="23"/>
        <v>ILS-17</v>
      </c>
      <c r="C1494" s="29" t="s">
        <v>6104</v>
      </c>
      <c r="D1494" s="67" t="s">
        <v>6105</v>
      </c>
      <c r="E1494" s="96" t="s">
        <v>62</v>
      </c>
      <c r="F1494" s="29" t="s">
        <v>61</v>
      </c>
      <c r="G1494" s="29"/>
      <c r="H1494" s="103">
        <f>_xlfn.XLOOKUP(B1494,GM!$Q$5:$Q$756,GM!$J$5:$J$756)</f>
        <v>45202</v>
      </c>
    </row>
    <row r="1495" spans="1:8" hidden="1" x14ac:dyDescent="0.35">
      <c r="A1495" s="29" t="s">
        <v>23</v>
      </c>
      <c r="B1495" s="29" t="str">
        <f t="shared" si="23"/>
        <v>ILS-17</v>
      </c>
      <c r="C1495" s="29" t="s">
        <v>6106</v>
      </c>
      <c r="D1495" s="67" t="s">
        <v>6107</v>
      </c>
      <c r="E1495" s="96" t="s">
        <v>62</v>
      </c>
      <c r="F1495" s="29" t="s">
        <v>61</v>
      </c>
      <c r="G1495" s="29"/>
      <c r="H1495" s="103">
        <f>_xlfn.XLOOKUP(B1495,GM!$Q$5:$Q$756,GM!$J$5:$J$756)</f>
        <v>45202</v>
      </c>
    </row>
    <row r="1496" spans="1:8" hidden="1" x14ac:dyDescent="0.35">
      <c r="A1496" s="29" t="s">
        <v>23</v>
      </c>
      <c r="B1496" s="29" t="str">
        <f t="shared" si="23"/>
        <v>ILS-17</v>
      </c>
      <c r="C1496" s="29" t="s">
        <v>6108</v>
      </c>
      <c r="D1496" s="67" t="s">
        <v>6109</v>
      </c>
      <c r="E1496" s="96" t="s">
        <v>62</v>
      </c>
      <c r="F1496" s="29" t="s">
        <v>61</v>
      </c>
      <c r="G1496" s="29"/>
      <c r="H1496" s="103">
        <f>_xlfn.XLOOKUP(B1496,GM!$Q$5:$Q$756,GM!$J$5:$J$756)</f>
        <v>45202</v>
      </c>
    </row>
    <row r="1497" spans="1:8" hidden="1" x14ac:dyDescent="0.35">
      <c r="A1497" s="29" t="s">
        <v>23</v>
      </c>
      <c r="B1497" s="29" t="str">
        <f t="shared" si="23"/>
        <v>ILS-17</v>
      </c>
      <c r="C1497" s="29" t="s">
        <v>6110</v>
      </c>
      <c r="D1497" s="67" t="s">
        <v>6111</v>
      </c>
      <c r="E1497" s="96" t="s">
        <v>62</v>
      </c>
      <c r="F1497" s="29" t="s">
        <v>61</v>
      </c>
      <c r="G1497" s="29"/>
      <c r="H1497" s="103">
        <f>_xlfn.XLOOKUP(B1497,GM!$Q$5:$Q$756,GM!$J$5:$J$756)</f>
        <v>45202</v>
      </c>
    </row>
    <row r="1498" spans="1:8" hidden="1" x14ac:dyDescent="0.35">
      <c r="A1498" s="29" t="s">
        <v>23</v>
      </c>
      <c r="B1498" s="29" t="str">
        <f t="shared" si="23"/>
        <v>ILS-17</v>
      </c>
      <c r="C1498" s="29" t="s">
        <v>6112</v>
      </c>
      <c r="D1498" s="67" t="s">
        <v>6113</v>
      </c>
      <c r="E1498" s="96" t="s">
        <v>62</v>
      </c>
      <c r="F1498" s="29" t="s">
        <v>61</v>
      </c>
      <c r="G1498" s="29"/>
      <c r="H1498" s="103">
        <f>_xlfn.XLOOKUP(B1498,GM!$Q$5:$Q$756,GM!$J$5:$J$756)</f>
        <v>45202</v>
      </c>
    </row>
    <row r="1499" spans="1:8" hidden="1" x14ac:dyDescent="0.35">
      <c r="A1499" s="29" t="s">
        <v>23</v>
      </c>
      <c r="B1499" s="29" t="str">
        <f t="shared" si="23"/>
        <v>ILS-18</v>
      </c>
      <c r="C1499" s="29" t="s">
        <v>6114</v>
      </c>
      <c r="D1499" s="67" t="s">
        <v>6115</v>
      </c>
      <c r="E1499" s="96" t="s">
        <v>62</v>
      </c>
      <c r="F1499" s="29" t="s">
        <v>61</v>
      </c>
      <c r="G1499" s="29"/>
      <c r="H1499" s="103">
        <f>_xlfn.XLOOKUP(B1499,GM!$Q$5:$Q$756,GM!$J$5:$J$756)</f>
        <v>45645</v>
      </c>
    </row>
    <row r="1500" spans="1:8" hidden="1" x14ac:dyDescent="0.35">
      <c r="A1500" s="29" t="s">
        <v>23</v>
      </c>
      <c r="B1500" s="29" t="str">
        <f t="shared" si="23"/>
        <v>ILS-18</v>
      </c>
      <c r="C1500" s="29" t="s">
        <v>6116</v>
      </c>
      <c r="D1500" s="67" t="s">
        <v>6117</v>
      </c>
      <c r="E1500" s="96" t="s">
        <v>62</v>
      </c>
      <c r="F1500" s="29" t="s">
        <v>61</v>
      </c>
      <c r="G1500" s="29"/>
      <c r="H1500" s="103">
        <f>_xlfn.XLOOKUP(B1500,GM!$Q$5:$Q$756,GM!$J$5:$J$756)</f>
        <v>45645</v>
      </c>
    </row>
    <row r="1501" spans="1:8" hidden="1" x14ac:dyDescent="0.35">
      <c r="A1501" s="29" t="s">
        <v>23</v>
      </c>
      <c r="B1501" s="29" t="str">
        <f t="shared" si="23"/>
        <v>ILS-18</v>
      </c>
      <c r="C1501" s="29" t="s">
        <v>6118</v>
      </c>
      <c r="D1501" s="67" t="s">
        <v>6119</v>
      </c>
      <c r="E1501" s="96" t="s">
        <v>62</v>
      </c>
      <c r="F1501" s="29" t="s">
        <v>61</v>
      </c>
      <c r="G1501" s="29"/>
      <c r="H1501" s="103">
        <f>_xlfn.XLOOKUP(B1501,GM!$Q$5:$Q$756,GM!$J$5:$J$756)</f>
        <v>45645</v>
      </c>
    </row>
    <row r="1502" spans="1:8" hidden="1" x14ac:dyDescent="0.35">
      <c r="A1502" s="29" t="s">
        <v>23</v>
      </c>
      <c r="B1502" s="29" t="str">
        <f t="shared" si="23"/>
        <v>ILS-18</v>
      </c>
      <c r="C1502" s="29" t="s">
        <v>6120</v>
      </c>
      <c r="D1502" s="67" t="s">
        <v>6121</v>
      </c>
      <c r="E1502" s="96" t="s">
        <v>62</v>
      </c>
      <c r="F1502" s="29" t="s">
        <v>61</v>
      </c>
      <c r="G1502" s="29"/>
      <c r="H1502" s="103">
        <f>_xlfn.XLOOKUP(B1502,GM!$Q$5:$Q$756,GM!$J$5:$J$756)</f>
        <v>45645</v>
      </c>
    </row>
    <row r="1503" spans="1:8" hidden="1" x14ac:dyDescent="0.35">
      <c r="A1503" s="29" t="s">
        <v>23</v>
      </c>
      <c r="B1503" s="29" t="str">
        <f t="shared" si="23"/>
        <v>ILS-18</v>
      </c>
      <c r="C1503" s="29" t="s">
        <v>6122</v>
      </c>
      <c r="D1503" s="67" t="s">
        <v>6123</v>
      </c>
      <c r="E1503" s="96" t="s">
        <v>62</v>
      </c>
      <c r="F1503" s="29" t="s">
        <v>61</v>
      </c>
      <c r="G1503" s="29"/>
      <c r="H1503" s="103">
        <f>_xlfn.XLOOKUP(B1503,GM!$Q$5:$Q$756,GM!$J$5:$J$756)</f>
        <v>45645</v>
      </c>
    </row>
    <row r="1504" spans="1:8" hidden="1" x14ac:dyDescent="0.35">
      <c r="A1504" s="29" t="s">
        <v>23</v>
      </c>
      <c r="B1504" s="29" t="str">
        <f t="shared" si="23"/>
        <v>ILS-18</v>
      </c>
      <c r="C1504" s="29" t="s">
        <v>6124</v>
      </c>
      <c r="D1504" s="67" t="s">
        <v>6125</v>
      </c>
      <c r="E1504" s="96" t="s">
        <v>62</v>
      </c>
      <c r="F1504" s="29" t="s">
        <v>61</v>
      </c>
      <c r="G1504" s="29"/>
      <c r="H1504" s="103">
        <f>_xlfn.XLOOKUP(B1504,GM!$Q$5:$Q$756,GM!$J$5:$J$756)</f>
        <v>45645</v>
      </c>
    </row>
    <row r="1505" spans="1:8" hidden="1" x14ac:dyDescent="0.35">
      <c r="A1505" s="29" t="s">
        <v>23</v>
      </c>
      <c r="B1505" s="29" t="str">
        <f t="shared" si="23"/>
        <v>ILS-18</v>
      </c>
      <c r="C1505" s="29" t="s">
        <v>6126</v>
      </c>
      <c r="D1505" s="67" t="s">
        <v>6127</v>
      </c>
      <c r="E1505" s="96" t="s">
        <v>62</v>
      </c>
      <c r="F1505" s="29" t="s">
        <v>61</v>
      </c>
      <c r="G1505" s="29"/>
      <c r="H1505" s="103">
        <f>_xlfn.XLOOKUP(B1505,GM!$Q$5:$Q$756,GM!$J$5:$J$756)</f>
        <v>45645</v>
      </c>
    </row>
    <row r="1506" spans="1:8" hidden="1" x14ac:dyDescent="0.35">
      <c r="A1506" s="29" t="s">
        <v>23</v>
      </c>
      <c r="B1506" s="29" t="str">
        <f t="shared" si="23"/>
        <v>ILS-18</v>
      </c>
      <c r="C1506" s="29" t="s">
        <v>6128</v>
      </c>
      <c r="D1506" s="67" t="s">
        <v>6129</v>
      </c>
      <c r="E1506" s="96" t="s">
        <v>62</v>
      </c>
      <c r="F1506" s="29" t="s">
        <v>61</v>
      </c>
      <c r="G1506" s="29"/>
      <c r="H1506" s="103">
        <f>_xlfn.XLOOKUP(B1506,GM!$Q$5:$Q$756,GM!$J$5:$J$756)</f>
        <v>45645</v>
      </c>
    </row>
    <row r="1507" spans="1:8" hidden="1" x14ac:dyDescent="0.35">
      <c r="A1507" s="29" t="s">
        <v>23</v>
      </c>
      <c r="B1507" s="29" t="str">
        <f t="shared" si="23"/>
        <v>ILS-19</v>
      </c>
      <c r="C1507" s="29" t="s">
        <v>6130</v>
      </c>
      <c r="D1507" s="67" t="s">
        <v>6131</v>
      </c>
      <c r="E1507" s="96" t="s">
        <v>62</v>
      </c>
      <c r="F1507" s="29" t="s">
        <v>61</v>
      </c>
      <c r="G1507" s="29"/>
      <c r="H1507" s="103">
        <f>_xlfn.XLOOKUP(B1507,GM!$Q$5:$Q$756,GM!$J$5:$J$756)</f>
        <v>45959</v>
      </c>
    </row>
    <row r="1508" spans="1:8" hidden="1" x14ac:dyDescent="0.35">
      <c r="A1508" s="29" t="s">
        <v>23</v>
      </c>
      <c r="B1508" s="29" t="str">
        <f t="shared" si="23"/>
        <v>ILS-19</v>
      </c>
      <c r="C1508" s="29" t="s">
        <v>6132</v>
      </c>
      <c r="D1508" s="67" t="s">
        <v>6133</v>
      </c>
      <c r="E1508" s="96" t="s">
        <v>62</v>
      </c>
      <c r="F1508" s="29" t="s">
        <v>61</v>
      </c>
      <c r="G1508" s="29"/>
      <c r="H1508" s="103">
        <f>_xlfn.XLOOKUP(B1508,GM!$Q$5:$Q$756,GM!$J$5:$J$756)</f>
        <v>45959</v>
      </c>
    </row>
    <row r="1509" spans="1:8" hidden="1" x14ac:dyDescent="0.35">
      <c r="A1509" s="29" t="s">
        <v>23</v>
      </c>
      <c r="B1509" s="29" t="str">
        <f t="shared" si="23"/>
        <v>ILS-19</v>
      </c>
      <c r="C1509" s="29" t="s">
        <v>6134</v>
      </c>
      <c r="D1509" s="67" t="s">
        <v>6135</v>
      </c>
      <c r="E1509" s="96" t="s">
        <v>62</v>
      </c>
      <c r="F1509" s="29" t="s">
        <v>61</v>
      </c>
      <c r="G1509" s="29"/>
      <c r="H1509" s="103">
        <f>_xlfn.XLOOKUP(B1509,GM!$Q$5:$Q$756,GM!$J$5:$J$756)</f>
        <v>45959</v>
      </c>
    </row>
    <row r="1510" spans="1:8" hidden="1" x14ac:dyDescent="0.35">
      <c r="A1510" s="29" t="s">
        <v>23</v>
      </c>
      <c r="B1510" s="29" t="str">
        <f t="shared" si="23"/>
        <v>ILS-19</v>
      </c>
      <c r="C1510" s="29" t="s">
        <v>6136</v>
      </c>
      <c r="D1510" s="67" t="s">
        <v>6137</v>
      </c>
      <c r="E1510" s="96" t="s">
        <v>62</v>
      </c>
      <c r="F1510" s="29" t="s">
        <v>61</v>
      </c>
      <c r="G1510" s="29"/>
      <c r="H1510" s="103">
        <f>_xlfn.XLOOKUP(B1510,GM!$Q$5:$Q$756,GM!$J$5:$J$756)</f>
        <v>45959</v>
      </c>
    </row>
    <row r="1511" spans="1:8" hidden="1" x14ac:dyDescent="0.35">
      <c r="A1511" s="29" t="s">
        <v>23</v>
      </c>
      <c r="B1511" s="29" t="str">
        <f t="shared" si="23"/>
        <v>ILS-20</v>
      </c>
      <c r="C1511" s="29" t="s">
        <v>6138</v>
      </c>
      <c r="D1511" s="67" t="s">
        <v>6139</v>
      </c>
      <c r="E1511" s="96" t="s">
        <v>62</v>
      </c>
      <c r="F1511" s="29" t="s">
        <v>61</v>
      </c>
      <c r="G1511" s="29"/>
      <c r="H1511" s="103">
        <f>_xlfn.XLOOKUP(B1511,GM!$Q$5:$Q$756,GM!$J$5:$J$756)</f>
        <v>44889</v>
      </c>
    </row>
    <row r="1512" spans="1:8" hidden="1" x14ac:dyDescent="0.35">
      <c r="A1512" s="29" t="s">
        <v>23</v>
      </c>
      <c r="B1512" s="29" t="str">
        <f t="shared" si="23"/>
        <v>ILS-20</v>
      </c>
      <c r="C1512" s="29" t="s">
        <v>6140</v>
      </c>
      <c r="D1512" s="67" t="s">
        <v>6141</v>
      </c>
      <c r="E1512" s="96" t="s">
        <v>62</v>
      </c>
      <c r="F1512" s="29" t="s">
        <v>61</v>
      </c>
      <c r="G1512" s="29"/>
      <c r="H1512" s="103">
        <f>_xlfn.XLOOKUP(B1512,GM!$Q$5:$Q$756,GM!$J$5:$J$756)</f>
        <v>44889</v>
      </c>
    </row>
    <row r="1513" spans="1:8" hidden="1" x14ac:dyDescent="0.35">
      <c r="A1513" s="29" t="s">
        <v>23</v>
      </c>
      <c r="B1513" s="29" t="str">
        <f t="shared" si="23"/>
        <v>ILS-20</v>
      </c>
      <c r="C1513" s="29" t="s">
        <v>6142</v>
      </c>
      <c r="D1513" s="67" t="s">
        <v>6143</v>
      </c>
      <c r="E1513" s="96" t="s">
        <v>62</v>
      </c>
      <c r="F1513" s="29" t="s">
        <v>61</v>
      </c>
      <c r="G1513" s="29"/>
      <c r="H1513" s="103">
        <f>_xlfn.XLOOKUP(B1513,GM!$Q$5:$Q$756,GM!$J$5:$J$756)</f>
        <v>44889</v>
      </c>
    </row>
    <row r="1514" spans="1:8" hidden="1" x14ac:dyDescent="0.35">
      <c r="A1514" s="29" t="s">
        <v>23</v>
      </c>
      <c r="B1514" s="29" t="str">
        <f t="shared" si="23"/>
        <v>ILS-20</v>
      </c>
      <c r="C1514" s="29" t="s">
        <v>6144</v>
      </c>
      <c r="D1514" s="67" t="s">
        <v>6145</v>
      </c>
      <c r="E1514" s="96" t="s">
        <v>62</v>
      </c>
      <c r="F1514" s="29" t="s">
        <v>61</v>
      </c>
      <c r="G1514" s="29"/>
      <c r="H1514" s="103">
        <f>_xlfn.XLOOKUP(B1514,GM!$Q$5:$Q$756,GM!$J$5:$J$756)</f>
        <v>44889</v>
      </c>
    </row>
    <row r="1515" spans="1:8" hidden="1" x14ac:dyDescent="0.35">
      <c r="A1515" s="29" t="s">
        <v>23</v>
      </c>
      <c r="B1515" s="29" t="str">
        <f t="shared" si="23"/>
        <v>ILS-20</v>
      </c>
      <c r="C1515" s="29" t="s">
        <v>6146</v>
      </c>
      <c r="D1515" s="67" t="s">
        <v>6147</v>
      </c>
      <c r="E1515" s="96" t="s">
        <v>62</v>
      </c>
      <c r="F1515" s="29" t="s">
        <v>61</v>
      </c>
      <c r="G1515" s="29"/>
      <c r="H1515" s="103">
        <f>_xlfn.XLOOKUP(B1515,GM!$Q$5:$Q$756,GM!$J$5:$J$756)</f>
        <v>44889</v>
      </c>
    </row>
    <row r="1516" spans="1:8" hidden="1" x14ac:dyDescent="0.35">
      <c r="A1516" s="29" t="s">
        <v>23</v>
      </c>
      <c r="B1516" s="29" t="str">
        <f t="shared" si="23"/>
        <v>ILS-20</v>
      </c>
      <c r="C1516" s="29" t="s">
        <v>6148</v>
      </c>
      <c r="D1516" s="67" t="s">
        <v>6149</v>
      </c>
      <c r="E1516" s="96" t="s">
        <v>62</v>
      </c>
      <c r="F1516" s="29" t="s">
        <v>61</v>
      </c>
      <c r="G1516" s="29"/>
      <c r="H1516" s="103">
        <f>_xlfn.XLOOKUP(B1516,GM!$Q$5:$Q$756,GM!$J$5:$J$756)</f>
        <v>44889</v>
      </c>
    </row>
    <row r="1517" spans="1:8" hidden="1" x14ac:dyDescent="0.35">
      <c r="A1517" s="29" t="s">
        <v>23</v>
      </c>
      <c r="B1517" s="29" t="str">
        <f t="shared" si="23"/>
        <v>ILS-20</v>
      </c>
      <c r="C1517" s="29" t="s">
        <v>6150</v>
      </c>
      <c r="D1517" s="67" t="s">
        <v>6151</v>
      </c>
      <c r="E1517" s="96" t="s">
        <v>62</v>
      </c>
      <c r="F1517" s="29" t="s">
        <v>61</v>
      </c>
      <c r="G1517" s="29"/>
      <c r="H1517" s="103">
        <f>_xlfn.XLOOKUP(B1517,GM!$Q$5:$Q$756,GM!$J$5:$J$756)</f>
        <v>44889</v>
      </c>
    </row>
    <row r="1518" spans="1:8" hidden="1" x14ac:dyDescent="0.35">
      <c r="A1518" s="29" t="s">
        <v>23</v>
      </c>
      <c r="B1518" s="29" t="str">
        <f t="shared" si="23"/>
        <v>ILS-21</v>
      </c>
      <c r="C1518" s="29" t="s">
        <v>6152</v>
      </c>
      <c r="D1518" s="67" t="s">
        <v>6153</v>
      </c>
      <c r="E1518" s="96" t="s">
        <v>62</v>
      </c>
      <c r="F1518" s="29" t="s">
        <v>61</v>
      </c>
      <c r="G1518" s="29"/>
      <c r="H1518" s="103">
        <f>_xlfn.XLOOKUP(B1518,GM!$Q$5:$Q$756,GM!$J$5:$J$756)</f>
        <v>45645</v>
      </c>
    </row>
    <row r="1519" spans="1:8" hidden="1" x14ac:dyDescent="0.35">
      <c r="A1519" s="29" t="s">
        <v>23</v>
      </c>
      <c r="B1519" s="29" t="str">
        <f t="shared" si="23"/>
        <v>ILS-21</v>
      </c>
      <c r="C1519" s="29" t="s">
        <v>6154</v>
      </c>
      <c r="D1519" s="67" t="s">
        <v>6155</v>
      </c>
      <c r="E1519" s="96" t="s">
        <v>62</v>
      </c>
      <c r="F1519" s="29" t="s">
        <v>61</v>
      </c>
      <c r="G1519" s="29"/>
      <c r="H1519" s="103">
        <f>_xlfn.XLOOKUP(B1519,GM!$Q$5:$Q$756,GM!$J$5:$J$756)</f>
        <v>45645</v>
      </c>
    </row>
    <row r="1520" spans="1:8" hidden="1" x14ac:dyDescent="0.35">
      <c r="A1520" s="29" t="s">
        <v>23</v>
      </c>
      <c r="B1520" s="29" t="str">
        <f t="shared" si="23"/>
        <v>ILS-21</v>
      </c>
      <c r="C1520" s="29" t="s">
        <v>6156</v>
      </c>
      <c r="D1520" s="67" t="s">
        <v>6157</v>
      </c>
      <c r="E1520" s="96" t="s">
        <v>62</v>
      </c>
      <c r="F1520" s="29" t="s">
        <v>61</v>
      </c>
      <c r="G1520" s="29"/>
      <c r="H1520" s="103">
        <f>_xlfn.XLOOKUP(B1520,GM!$Q$5:$Q$756,GM!$J$5:$J$756)</f>
        <v>45645</v>
      </c>
    </row>
    <row r="1521" spans="1:8" hidden="1" x14ac:dyDescent="0.35">
      <c r="A1521" s="29" t="s">
        <v>23</v>
      </c>
      <c r="B1521" s="29" t="str">
        <f t="shared" si="23"/>
        <v>ILS-21</v>
      </c>
      <c r="C1521" s="29" t="s">
        <v>6158</v>
      </c>
      <c r="D1521" s="67" t="s">
        <v>6159</v>
      </c>
      <c r="E1521" s="96" t="s">
        <v>62</v>
      </c>
      <c r="F1521" s="29" t="s">
        <v>61</v>
      </c>
      <c r="G1521" s="29"/>
      <c r="H1521" s="103">
        <f>_xlfn.XLOOKUP(B1521,GM!$Q$5:$Q$756,GM!$J$5:$J$756)</f>
        <v>45645</v>
      </c>
    </row>
    <row r="1522" spans="1:8" hidden="1" x14ac:dyDescent="0.35">
      <c r="A1522" s="29" t="s">
        <v>23</v>
      </c>
      <c r="B1522" s="29" t="str">
        <f t="shared" si="23"/>
        <v>ILS-21</v>
      </c>
      <c r="C1522" s="29" t="s">
        <v>6160</v>
      </c>
      <c r="D1522" s="67" t="s">
        <v>6161</v>
      </c>
      <c r="E1522" s="96" t="s">
        <v>62</v>
      </c>
      <c r="F1522" s="29" t="s">
        <v>61</v>
      </c>
      <c r="G1522" s="29"/>
      <c r="H1522" s="103">
        <f>_xlfn.XLOOKUP(B1522,GM!$Q$5:$Q$756,GM!$J$5:$J$756)</f>
        <v>45645</v>
      </c>
    </row>
    <row r="1523" spans="1:8" hidden="1" x14ac:dyDescent="0.35">
      <c r="A1523" s="29" t="s">
        <v>23</v>
      </c>
      <c r="B1523" s="29" t="str">
        <f t="shared" si="23"/>
        <v>ILS-21</v>
      </c>
      <c r="C1523" s="29" t="s">
        <v>6162</v>
      </c>
      <c r="D1523" s="67" t="s">
        <v>6163</v>
      </c>
      <c r="E1523" s="96" t="s">
        <v>62</v>
      </c>
      <c r="F1523" s="29" t="s">
        <v>61</v>
      </c>
      <c r="G1523" s="29"/>
      <c r="H1523" s="103">
        <f>_xlfn.XLOOKUP(B1523,GM!$Q$5:$Q$756,GM!$J$5:$J$756)</f>
        <v>45645</v>
      </c>
    </row>
    <row r="1524" spans="1:8" hidden="1" x14ac:dyDescent="0.35">
      <c r="A1524" s="29" t="s">
        <v>23</v>
      </c>
      <c r="B1524" s="29" t="str">
        <f t="shared" si="23"/>
        <v>ILS-22</v>
      </c>
      <c r="C1524" s="29" t="s">
        <v>6164</v>
      </c>
      <c r="D1524" s="67" t="s">
        <v>6165</v>
      </c>
      <c r="E1524" s="96" t="s">
        <v>62</v>
      </c>
      <c r="F1524" s="29" t="s">
        <v>61</v>
      </c>
      <c r="G1524" s="29" t="s">
        <v>371</v>
      </c>
      <c r="H1524" s="103">
        <f>_xlfn.XLOOKUP(B1524,GM!$Q$5:$Q$756,GM!$J$5:$J$756)</f>
        <v>44739</v>
      </c>
    </row>
    <row r="1525" spans="1:8" hidden="1" x14ac:dyDescent="0.35">
      <c r="A1525" s="29" t="s">
        <v>23</v>
      </c>
      <c r="B1525" s="29" t="str">
        <f t="shared" si="23"/>
        <v>ILS-23</v>
      </c>
      <c r="C1525" s="29" t="s">
        <v>6166</v>
      </c>
      <c r="D1525" s="67" t="s">
        <v>6167</v>
      </c>
      <c r="E1525" s="96" t="s">
        <v>62</v>
      </c>
      <c r="F1525" s="29" t="s">
        <v>61</v>
      </c>
      <c r="G1525" s="29" t="s">
        <v>371</v>
      </c>
      <c r="H1525" s="103">
        <f>_xlfn.XLOOKUP(B1525,GM!$Q$5:$Q$756,GM!$J$5:$J$756)</f>
        <v>45202</v>
      </c>
    </row>
    <row r="1526" spans="1:8" hidden="1" x14ac:dyDescent="0.35">
      <c r="A1526" s="29" t="s">
        <v>23</v>
      </c>
      <c r="B1526" s="29" t="str">
        <f t="shared" si="23"/>
        <v>ILS-24</v>
      </c>
      <c r="C1526" s="29" t="s">
        <v>6168</v>
      </c>
      <c r="D1526" s="67" t="s">
        <v>6169</v>
      </c>
      <c r="E1526" s="96" t="s">
        <v>62</v>
      </c>
      <c r="F1526" s="29" t="s">
        <v>61</v>
      </c>
      <c r="G1526" s="29" t="s">
        <v>371</v>
      </c>
      <c r="H1526" s="103">
        <f>_xlfn.XLOOKUP(B1526,GM!$Q$5:$Q$756,GM!$J$5:$J$756)</f>
        <v>44739</v>
      </c>
    </row>
    <row r="1527" spans="1:8" hidden="1" x14ac:dyDescent="0.35">
      <c r="A1527" s="29" t="s">
        <v>23</v>
      </c>
      <c r="B1527" s="29" t="str">
        <f t="shared" si="23"/>
        <v>ILS-25</v>
      </c>
      <c r="C1527" s="29" t="s">
        <v>6170</v>
      </c>
      <c r="D1527" s="67" t="s">
        <v>6171</v>
      </c>
      <c r="E1527" s="96" t="s">
        <v>62</v>
      </c>
      <c r="F1527" s="29" t="s">
        <v>61</v>
      </c>
      <c r="G1527" s="29"/>
      <c r="H1527" s="103">
        <f>_xlfn.XLOOKUP(B1527,GM!$Q$5:$Q$756,GM!$J$5:$J$756)</f>
        <v>46009</v>
      </c>
    </row>
    <row r="1528" spans="1:8" hidden="1" x14ac:dyDescent="0.35">
      <c r="A1528" s="29" t="s">
        <v>23</v>
      </c>
      <c r="B1528" s="29" t="str">
        <f t="shared" si="23"/>
        <v>ILS-25</v>
      </c>
      <c r="C1528" s="29" t="s">
        <v>6172</v>
      </c>
      <c r="D1528" s="67" t="s">
        <v>6173</v>
      </c>
      <c r="E1528" s="96" t="s">
        <v>62</v>
      </c>
      <c r="F1528" s="29" t="s">
        <v>61</v>
      </c>
      <c r="G1528" s="29"/>
      <c r="H1528" s="103">
        <f>_xlfn.XLOOKUP(B1528,GM!$Q$5:$Q$756,GM!$J$5:$J$756)</f>
        <v>46009</v>
      </c>
    </row>
    <row r="1529" spans="1:8" hidden="1" x14ac:dyDescent="0.35">
      <c r="A1529" s="29" t="s">
        <v>23</v>
      </c>
      <c r="B1529" s="29" t="str">
        <f t="shared" si="23"/>
        <v>ILS-26</v>
      </c>
      <c r="C1529" s="29" t="s">
        <v>6174</v>
      </c>
      <c r="D1529" s="67" t="s">
        <v>6175</v>
      </c>
      <c r="E1529" s="96" t="s">
        <v>62</v>
      </c>
      <c r="F1529" s="29" t="s">
        <v>61</v>
      </c>
      <c r="G1529" s="29" t="s">
        <v>371</v>
      </c>
      <c r="H1529" s="103">
        <f>_xlfn.XLOOKUP(B1529,GM!$Q$5:$Q$756,GM!$J$5:$J$756)</f>
        <v>44739</v>
      </c>
    </row>
    <row r="1530" spans="1:8" hidden="1" x14ac:dyDescent="0.35">
      <c r="A1530" s="29" t="s">
        <v>23</v>
      </c>
      <c r="B1530" s="29" t="str">
        <f t="shared" si="23"/>
        <v>ILS-27</v>
      </c>
      <c r="C1530" s="29" t="s">
        <v>6176</v>
      </c>
      <c r="D1530" s="67" t="s">
        <v>6177</v>
      </c>
      <c r="E1530" s="96" t="s">
        <v>62</v>
      </c>
      <c r="F1530" s="29" t="s">
        <v>61</v>
      </c>
      <c r="G1530" s="29" t="s">
        <v>371</v>
      </c>
      <c r="H1530" s="103">
        <f>_xlfn.XLOOKUP(B1530,GM!$Q$5:$Q$756,GM!$J$5:$J$756)</f>
        <v>44739</v>
      </c>
    </row>
    <row r="1531" spans="1:8" hidden="1" x14ac:dyDescent="0.35">
      <c r="A1531" s="29" t="s">
        <v>23</v>
      </c>
      <c r="B1531" s="29" t="str">
        <f t="shared" si="23"/>
        <v>ILS-28</v>
      </c>
      <c r="C1531" s="29" t="s">
        <v>6178</v>
      </c>
      <c r="D1531" s="67" t="s">
        <v>6179</v>
      </c>
      <c r="E1531" s="96" t="s">
        <v>62</v>
      </c>
      <c r="F1531" s="29" t="s">
        <v>61</v>
      </c>
      <c r="G1531" s="29"/>
      <c r="H1531" s="103">
        <f>_xlfn.XLOOKUP(B1531,GM!$Q$5:$Q$756,GM!$J$5:$J$756)</f>
        <v>45202</v>
      </c>
    </row>
    <row r="1532" spans="1:8" hidden="1" x14ac:dyDescent="0.35">
      <c r="A1532" s="29" t="s">
        <v>23</v>
      </c>
      <c r="B1532" s="29" t="str">
        <f t="shared" si="23"/>
        <v>ILS-29</v>
      </c>
      <c r="C1532" s="29" t="s">
        <v>6180</v>
      </c>
      <c r="D1532" s="67" t="s">
        <v>6181</v>
      </c>
      <c r="E1532" s="96" t="s">
        <v>62</v>
      </c>
      <c r="F1532" s="29" t="s">
        <v>61</v>
      </c>
      <c r="G1532" s="29"/>
      <c r="H1532" s="103">
        <f>_xlfn.XLOOKUP(B1532,GM!$Q$5:$Q$756,GM!$J$5:$J$756)</f>
        <v>45202</v>
      </c>
    </row>
    <row r="1533" spans="1:8" hidden="1" x14ac:dyDescent="0.35">
      <c r="A1533" s="29" t="s">
        <v>23</v>
      </c>
      <c r="B1533" s="29" t="str">
        <f t="shared" si="23"/>
        <v>ILS-30</v>
      </c>
      <c r="C1533" s="29" t="s">
        <v>6182</v>
      </c>
      <c r="D1533" s="67" t="s">
        <v>6183</v>
      </c>
      <c r="E1533" s="96" t="s">
        <v>62</v>
      </c>
      <c r="F1533" s="29" t="s">
        <v>61</v>
      </c>
      <c r="G1533" s="29"/>
      <c r="H1533" s="103">
        <f>_xlfn.XLOOKUP(B1533,GM!$Q$5:$Q$756,GM!$J$5:$J$756)</f>
        <v>44838</v>
      </c>
    </row>
    <row r="1534" spans="1:8" hidden="1" x14ac:dyDescent="0.35">
      <c r="A1534" s="29" t="s">
        <v>23</v>
      </c>
      <c r="B1534" s="29" t="str">
        <f t="shared" si="23"/>
        <v>ILS-30</v>
      </c>
      <c r="C1534" s="29" t="s">
        <v>6184</v>
      </c>
      <c r="D1534" s="67" t="s">
        <v>6185</v>
      </c>
      <c r="E1534" s="96" t="s">
        <v>62</v>
      </c>
      <c r="F1534" s="29" t="s">
        <v>61</v>
      </c>
      <c r="G1534" s="29"/>
      <c r="H1534" s="103">
        <f>_xlfn.XLOOKUP(B1534,GM!$Q$5:$Q$756,GM!$J$5:$J$756)</f>
        <v>44838</v>
      </c>
    </row>
    <row r="1535" spans="1:8" hidden="1" x14ac:dyDescent="0.35">
      <c r="A1535" s="29" t="s">
        <v>23</v>
      </c>
      <c r="B1535" s="29" t="str">
        <f t="shared" si="23"/>
        <v>ILS-31</v>
      </c>
      <c r="C1535" s="29" t="s">
        <v>6186</v>
      </c>
      <c r="D1535" s="67" t="s">
        <v>6187</v>
      </c>
      <c r="E1535" s="96" t="s">
        <v>62</v>
      </c>
      <c r="F1535" s="29" t="s">
        <v>61</v>
      </c>
      <c r="G1535" s="29"/>
      <c r="H1535" s="103">
        <f>_xlfn.XLOOKUP(B1535,GM!$Q$5:$Q$756,GM!$J$5:$J$756)</f>
        <v>44838</v>
      </c>
    </row>
    <row r="1536" spans="1:8" hidden="1" x14ac:dyDescent="0.35">
      <c r="A1536" s="29" t="s">
        <v>23</v>
      </c>
      <c r="B1536" s="29" t="str">
        <f t="shared" si="23"/>
        <v>ILS-31</v>
      </c>
      <c r="C1536" s="29" t="s">
        <v>6188</v>
      </c>
      <c r="D1536" s="67" t="s">
        <v>6189</v>
      </c>
      <c r="E1536" s="96" t="s">
        <v>62</v>
      </c>
      <c r="F1536" s="29" t="s">
        <v>61</v>
      </c>
      <c r="G1536" s="29"/>
      <c r="H1536" s="103">
        <f>_xlfn.XLOOKUP(B1536,GM!$Q$5:$Q$756,GM!$J$5:$J$756)</f>
        <v>44838</v>
      </c>
    </row>
    <row r="1537" spans="1:8" hidden="1" x14ac:dyDescent="0.35">
      <c r="A1537" s="29" t="s">
        <v>23</v>
      </c>
      <c r="B1537" s="29" t="str">
        <f t="shared" si="23"/>
        <v>ILS-32</v>
      </c>
      <c r="C1537" s="29" t="s">
        <v>6190</v>
      </c>
      <c r="D1537" s="67" t="s">
        <v>6191</v>
      </c>
      <c r="E1537" s="96" t="s">
        <v>62</v>
      </c>
      <c r="F1537" s="29" t="s">
        <v>61</v>
      </c>
      <c r="G1537" s="29"/>
      <c r="H1537" s="103">
        <f>_xlfn.XLOOKUP(B1537,GM!$Q$5:$Q$756,GM!$J$5:$J$756)</f>
        <v>44838</v>
      </c>
    </row>
    <row r="1538" spans="1:8" hidden="1" x14ac:dyDescent="0.35">
      <c r="A1538" s="29" t="s">
        <v>23</v>
      </c>
      <c r="B1538" s="29" t="str">
        <f t="shared" si="23"/>
        <v>ILS-32</v>
      </c>
      <c r="C1538" s="29" t="s">
        <v>6192</v>
      </c>
      <c r="D1538" s="67" t="s">
        <v>6193</v>
      </c>
      <c r="E1538" s="96" t="s">
        <v>62</v>
      </c>
      <c r="F1538" s="29" t="s">
        <v>61</v>
      </c>
      <c r="G1538" s="29"/>
      <c r="H1538" s="103">
        <f>_xlfn.XLOOKUP(B1538,GM!$Q$5:$Q$756,GM!$J$5:$J$756)</f>
        <v>44838</v>
      </c>
    </row>
    <row r="1539" spans="1:8" hidden="1" x14ac:dyDescent="0.35">
      <c r="A1539" s="29" t="s">
        <v>23</v>
      </c>
      <c r="B1539" s="29" t="str">
        <f t="shared" si="23"/>
        <v>ILS-33</v>
      </c>
      <c r="C1539" s="29" t="s">
        <v>6194</v>
      </c>
      <c r="D1539" s="67" t="s">
        <v>6195</v>
      </c>
      <c r="E1539" s="96" t="s">
        <v>62</v>
      </c>
      <c r="F1539" s="29" t="s">
        <v>61</v>
      </c>
      <c r="G1539" s="29" t="s">
        <v>371</v>
      </c>
      <c r="H1539" s="103">
        <f>_xlfn.XLOOKUP(B1539,GM!$Q$5:$Q$756,GM!$J$5:$J$756)</f>
        <v>44739</v>
      </c>
    </row>
    <row r="1540" spans="1:8" hidden="1" x14ac:dyDescent="0.35">
      <c r="A1540" s="29" t="s">
        <v>23</v>
      </c>
      <c r="B1540" s="29" t="str">
        <f t="shared" si="23"/>
        <v>ILS-40</v>
      </c>
      <c r="C1540" s="29" t="s">
        <v>6196</v>
      </c>
      <c r="D1540" s="67" t="s">
        <v>6197</v>
      </c>
      <c r="E1540" s="96" t="s">
        <v>62</v>
      </c>
      <c r="F1540" s="29" t="s">
        <v>61</v>
      </c>
      <c r="G1540" s="29"/>
      <c r="H1540" s="103">
        <f>_xlfn.XLOOKUP(B1540,GM!$Q$5:$Q$756,GM!$J$5:$J$756)</f>
        <v>45202</v>
      </c>
    </row>
    <row r="1541" spans="1:8" hidden="1" x14ac:dyDescent="0.35">
      <c r="A1541" s="29" t="s">
        <v>23</v>
      </c>
      <c r="B1541" s="29" t="str">
        <f t="shared" ref="B1541:B1604" si="24">IF(OR(A1541="ARN",A1541="SDP"),MID(C1541,4,7),MID(C1541,4,6))</f>
        <v>ILS-40</v>
      </c>
      <c r="C1541" s="29" t="s">
        <v>6198</v>
      </c>
      <c r="D1541" s="67" t="s">
        <v>6199</v>
      </c>
      <c r="E1541" s="96" t="s">
        <v>62</v>
      </c>
      <c r="F1541" s="29" t="s">
        <v>61</v>
      </c>
      <c r="G1541" s="29"/>
      <c r="H1541" s="103">
        <f>_xlfn.XLOOKUP(B1541,GM!$Q$5:$Q$756,GM!$J$5:$J$756)</f>
        <v>45202</v>
      </c>
    </row>
    <row r="1542" spans="1:8" hidden="1" x14ac:dyDescent="0.35">
      <c r="A1542" s="29" t="s">
        <v>23</v>
      </c>
      <c r="B1542" s="29" t="str">
        <f t="shared" si="24"/>
        <v>ILS-41</v>
      </c>
      <c r="C1542" s="29" t="s">
        <v>6200</v>
      </c>
      <c r="D1542" s="67" t="s">
        <v>6201</v>
      </c>
      <c r="E1542" s="96" t="s">
        <v>62</v>
      </c>
      <c r="F1542" s="29" t="s">
        <v>61</v>
      </c>
      <c r="G1542" s="29"/>
      <c r="H1542" s="103">
        <f>_xlfn.XLOOKUP(B1542,GM!$Q$5:$Q$756,GM!$J$5:$J$756)</f>
        <v>45202</v>
      </c>
    </row>
    <row r="1543" spans="1:8" hidden="1" x14ac:dyDescent="0.35">
      <c r="A1543" s="29" t="s">
        <v>23</v>
      </c>
      <c r="B1543" s="29" t="str">
        <f t="shared" si="24"/>
        <v>ILS-41</v>
      </c>
      <c r="C1543" s="29" t="s">
        <v>6202</v>
      </c>
      <c r="D1543" s="67" t="s">
        <v>6203</v>
      </c>
      <c r="E1543" s="96" t="s">
        <v>62</v>
      </c>
      <c r="F1543" s="29" t="s">
        <v>61</v>
      </c>
      <c r="G1543" s="29"/>
      <c r="H1543" s="103">
        <f>_xlfn.XLOOKUP(B1543,GM!$Q$5:$Q$756,GM!$J$5:$J$756)</f>
        <v>45202</v>
      </c>
    </row>
    <row r="1544" spans="1:8" hidden="1" x14ac:dyDescent="0.35">
      <c r="A1544" s="29" t="s">
        <v>23</v>
      </c>
      <c r="B1544" s="29" t="str">
        <f t="shared" si="24"/>
        <v>ILS-41</v>
      </c>
      <c r="C1544" s="29" t="s">
        <v>6204</v>
      </c>
      <c r="D1544" s="67" t="s">
        <v>6205</v>
      </c>
      <c r="E1544" s="96" t="s">
        <v>62</v>
      </c>
      <c r="F1544" s="29" t="s">
        <v>61</v>
      </c>
      <c r="G1544" s="29"/>
      <c r="H1544" s="103">
        <f>_xlfn.XLOOKUP(B1544,GM!$Q$5:$Q$756,GM!$J$5:$J$756)</f>
        <v>45202</v>
      </c>
    </row>
    <row r="1545" spans="1:8" hidden="1" x14ac:dyDescent="0.35">
      <c r="A1545" s="29" t="s">
        <v>23</v>
      </c>
      <c r="B1545" s="29" t="str">
        <f t="shared" si="24"/>
        <v>ILS-51</v>
      </c>
      <c r="C1545" s="29" t="s">
        <v>6206</v>
      </c>
      <c r="D1545" s="67" t="s">
        <v>6207</v>
      </c>
      <c r="E1545" s="96" t="s">
        <v>62</v>
      </c>
      <c r="F1545" s="29" t="s">
        <v>61</v>
      </c>
      <c r="G1545" s="29"/>
      <c r="H1545" s="103">
        <f>_xlfn.XLOOKUP(B1545,GM!$Q$5:$Q$756,GM!$J$5:$J$756)</f>
        <v>45959</v>
      </c>
    </row>
    <row r="1546" spans="1:8" hidden="1" x14ac:dyDescent="0.35">
      <c r="A1546" s="29" t="s">
        <v>23</v>
      </c>
      <c r="B1546" s="29" t="str">
        <f t="shared" si="24"/>
        <v>ILS-51</v>
      </c>
      <c r="C1546" s="29" t="s">
        <v>6208</v>
      </c>
      <c r="D1546" s="67" t="s">
        <v>6209</v>
      </c>
      <c r="E1546" s="96" t="s">
        <v>62</v>
      </c>
      <c r="F1546" s="29" t="s">
        <v>61</v>
      </c>
      <c r="G1546" s="29"/>
      <c r="H1546" s="103">
        <f>_xlfn.XLOOKUP(B1546,GM!$Q$5:$Q$756,GM!$J$5:$J$756)</f>
        <v>45959</v>
      </c>
    </row>
    <row r="1547" spans="1:8" hidden="1" x14ac:dyDescent="0.35">
      <c r="A1547" s="29" t="s">
        <v>23</v>
      </c>
      <c r="B1547" s="29" t="str">
        <f t="shared" si="24"/>
        <v>ILS-51</v>
      </c>
      <c r="C1547" s="29" t="s">
        <v>6210</v>
      </c>
      <c r="D1547" s="67" t="s">
        <v>6211</v>
      </c>
      <c r="E1547" s="96" t="s">
        <v>62</v>
      </c>
      <c r="F1547" s="29" t="s">
        <v>61</v>
      </c>
      <c r="G1547" s="29"/>
      <c r="H1547" s="103">
        <f>_xlfn.XLOOKUP(B1547,GM!$Q$5:$Q$756,GM!$J$5:$J$756)</f>
        <v>45959</v>
      </c>
    </row>
    <row r="1548" spans="1:8" hidden="1" x14ac:dyDescent="0.35">
      <c r="A1548" s="29" t="s">
        <v>23</v>
      </c>
      <c r="B1548" s="29" t="str">
        <f t="shared" si="24"/>
        <v>ILS-51</v>
      </c>
      <c r="C1548" s="29" t="s">
        <v>6212</v>
      </c>
      <c r="D1548" s="67" t="s">
        <v>6213</v>
      </c>
      <c r="E1548" s="96" t="s">
        <v>62</v>
      </c>
      <c r="F1548" s="29" t="s">
        <v>61</v>
      </c>
      <c r="G1548" s="29"/>
      <c r="H1548" s="103">
        <f>_xlfn.XLOOKUP(B1548,GM!$Q$5:$Q$756,GM!$J$5:$J$756)</f>
        <v>45959</v>
      </c>
    </row>
    <row r="1549" spans="1:8" hidden="1" x14ac:dyDescent="0.35">
      <c r="A1549" s="29" t="s">
        <v>23</v>
      </c>
      <c r="B1549" s="29" t="str">
        <f t="shared" si="24"/>
        <v>ILS-51</v>
      </c>
      <c r="C1549" s="29" t="s">
        <v>6214</v>
      </c>
      <c r="D1549" s="67" t="s">
        <v>6215</v>
      </c>
      <c r="E1549" s="96" t="s">
        <v>62</v>
      </c>
      <c r="F1549" s="29" t="s">
        <v>61</v>
      </c>
      <c r="G1549" s="29"/>
      <c r="H1549" s="103">
        <f>_xlfn.XLOOKUP(B1549,GM!$Q$5:$Q$756,GM!$J$5:$J$756)</f>
        <v>45959</v>
      </c>
    </row>
    <row r="1550" spans="1:8" hidden="1" x14ac:dyDescent="0.35">
      <c r="A1550" s="29" t="s">
        <v>23</v>
      </c>
      <c r="B1550" s="29" t="str">
        <f t="shared" si="24"/>
        <v>ILS-51</v>
      </c>
      <c r="C1550" s="29" t="s">
        <v>6216</v>
      </c>
      <c r="D1550" s="67" t="s">
        <v>6217</v>
      </c>
      <c r="E1550" s="96" t="s">
        <v>62</v>
      </c>
      <c r="F1550" s="29" t="s">
        <v>61</v>
      </c>
      <c r="G1550" s="29"/>
      <c r="H1550" s="103">
        <f>_xlfn.XLOOKUP(B1550,GM!$Q$5:$Q$756,GM!$J$5:$J$756)</f>
        <v>45959</v>
      </c>
    </row>
    <row r="1551" spans="1:8" hidden="1" x14ac:dyDescent="0.35">
      <c r="A1551" s="29" t="s">
        <v>23</v>
      </c>
      <c r="B1551" s="29" t="str">
        <f t="shared" si="24"/>
        <v>ILS-51</v>
      </c>
      <c r="C1551" s="29" t="s">
        <v>6218</v>
      </c>
      <c r="D1551" s="67" t="s">
        <v>6219</v>
      </c>
      <c r="E1551" s="96" t="s">
        <v>62</v>
      </c>
      <c r="F1551" s="29" t="s">
        <v>61</v>
      </c>
      <c r="G1551" s="29"/>
      <c r="H1551" s="103">
        <f>_xlfn.XLOOKUP(B1551,GM!$Q$5:$Q$756,GM!$J$5:$J$756)</f>
        <v>45959</v>
      </c>
    </row>
    <row r="1552" spans="1:8" hidden="1" x14ac:dyDescent="0.35">
      <c r="A1552" s="29" t="s">
        <v>23</v>
      </c>
      <c r="B1552" s="29" t="str">
        <f t="shared" si="24"/>
        <v>ILS-51</v>
      </c>
      <c r="C1552" s="29" t="s">
        <v>6220</v>
      </c>
      <c r="D1552" s="67" t="s">
        <v>6221</v>
      </c>
      <c r="E1552" s="96" t="s">
        <v>62</v>
      </c>
      <c r="F1552" s="29" t="s">
        <v>61</v>
      </c>
      <c r="G1552" s="29"/>
      <c r="H1552" s="103">
        <f>_xlfn.XLOOKUP(B1552,GM!$Q$5:$Q$756,GM!$J$5:$J$756)</f>
        <v>45959</v>
      </c>
    </row>
    <row r="1553" spans="1:8" hidden="1" x14ac:dyDescent="0.35">
      <c r="A1553" s="29" t="s">
        <v>23</v>
      </c>
      <c r="B1553" s="29" t="str">
        <f t="shared" si="24"/>
        <v>ILS-51</v>
      </c>
      <c r="C1553" s="29" t="s">
        <v>6222</v>
      </c>
      <c r="D1553" s="67" t="s">
        <v>6223</v>
      </c>
      <c r="E1553" s="96" t="s">
        <v>62</v>
      </c>
      <c r="F1553" s="29" t="s">
        <v>61</v>
      </c>
      <c r="G1553" s="29"/>
      <c r="H1553" s="103">
        <f>_xlfn.XLOOKUP(B1553,GM!$Q$5:$Q$756,GM!$J$5:$J$756)</f>
        <v>45959</v>
      </c>
    </row>
    <row r="1554" spans="1:8" hidden="1" x14ac:dyDescent="0.35">
      <c r="A1554" s="29" t="s">
        <v>23</v>
      </c>
      <c r="B1554" s="29" t="str">
        <f t="shared" si="24"/>
        <v>ILS-51</v>
      </c>
      <c r="C1554" s="29" t="s">
        <v>6224</v>
      </c>
      <c r="D1554" s="67" t="s">
        <v>6225</v>
      </c>
      <c r="E1554" s="96" t="s">
        <v>62</v>
      </c>
      <c r="F1554" s="29" t="s">
        <v>61</v>
      </c>
      <c r="G1554" s="29"/>
      <c r="H1554" s="103">
        <f>_xlfn.XLOOKUP(B1554,GM!$Q$5:$Q$756,GM!$J$5:$J$756)</f>
        <v>45959</v>
      </c>
    </row>
    <row r="1555" spans="1:8" hidden="1" x14ac:dyDescent="0.35">
      <c r="A1555" s="29" t="s">
        <v>23</v>
      </c>
      <c r="B1555" s="29" t="str">
        <f t="shared" si="24"/>
        <v>ILS-51</v>
      </c>
      <c r="C1555" s="29" t="s">
        <v>6226</v>
      </c>
      <c r="D1555" s="67" t="s">
        <v>6227</v>
      </c>
      <c r="E1555" s="96" t="s">
        <v>62</v>
      </c>
      <c r="F1555" s="29" t="s">
        <v>61</v>
      </c>
      <c r="G1555" s="29"/>
      <c r="H1555" s="103">
        <f>_xlfn.XLOOKUP(B1555,GM!$Q$5:$Q$756,GM!$J$5:$J$756)</f>
        <v>45959</v>
      </c>
    </row>
    <row r="1556" spans="1:8" hidden="1" x14ac:dyDescent="0.35">
      <c r="A1556" s="29" t="s">
        <v>23</v>
      </c>
      <c r="B1556" s="29" t="str">
        <f t="shared" si="24"/>
        <v>ILS-51</v>
      </c>
      <c r="C1556" s="29" t="s">
        <v>6228</v>
      </c>
      <c r="D1556" s="67" t="s">
        <v>6229</v>
      </c>
      <c r="E1556" s="96" t="s">
        <v>62</v>
      </c>
      <c r="F1556" s="29" t="s">
        <v>61</v>
      </c>
      <c r="G1556" s="29"/>
      <c r="H1556" s="103">
        <f>_xlfn.XLOOKUP(B1556,GM!$Q$5:$Q$756,GM!$J$5:$J$756)</f>
        <v>45959</v>
      </c>
    </row>
    <row r="1557" spans="1:8" hidden="1" x14ac:dyDescent="0.35">
      <c r="A1557" s="29" t="s">
        <v>23</v>
      </c>
      <c r="B1557" s="29" t="str">
        <f t="shared" si="24"/>
        <v>ILS-51</v>
      </c>
      <c r="C1557" s="29" t="s">
        <v>6230</v>
      </c>
      <c r="D1557" s="67" t="s">
        <v>6231</v>
      </c>
      <c r="E1557" s="96" t="s">
        <v>62</v>
      </c>
      <c r="F1557" s="29" t="s">
        <v>61</v>
      </c>
      <c r="G1557" s="29"/>
      <c r="H1557" s="103">
        <f>_xlfn.XLOOKUP(B1557,GM!$Q$5:$Q$756,GM!$J$5:$J$756)</f>
        <v>45959</v>
      </c>
    </row>
    <row r="1558" spans="1:8" hidden="1" x14ac:dyDescent="0.35">
      <c r="A1558" s="29" t="s">
        <v>23</v>
      </c>
      <c r="B1558" s="29" t="str">
        <f t="shared" si="24"/>
        <v>ILS-56</v>
      </c>
      <c r="C1558" s="29" t="s">
        <v>6232</v>
      </c>
      <c r="D1558" s="67" t="s">
        <v>6233</v>
      </c>
      <c r="E1558" s="96" t="s">
        <v>62</v>
      </c>
      <c r="F1558" s="29" t="s">
        <v>61</v>
      </c>
      <c r="G1558" s="29"/>
      <c r="H1558" s="103">
        <f>_xlfn.XLOOKUP(B1558,GM!$Q$5:$Q$756,GM!$J$5:$J$756)</f>
        <v>46104</v>
      </c>
    </row>
    <row r="1559" spans="1:8" hidden="1" x14ac:dyDescent="0.35">
      <c r="A1559" s="29" t="s">
        <v>23</v>
      </c>
      <c r="B1559" s="29" t="str">
        <f t="shared" si="24"/>
        <v>ILS-56</v>
      </c>
      <c r="C1559" s="29" t="s">
        <v>6234</v>
      </c>
      <c r="D1559" s="67" t="s">
        <v>6235</v>
      </c>
      <c r="E1559" s="96" t="s">
        <v>62</v>
      </c>
      <c r="F1559" s="29" t="s">
        <v>61</v>
      </c>
      <c r="G1559" s="29"/>
      <c r="H1559" s="103">
        <f>_xlfn.XLOOKUP(B1559,GM!$Q$5:$Q$756,GM!$J$5:$J$756)</f>
        <v>46104</v>
      </c>
    </row>
    <row r="1560" spans="1:8" hidden="1" x14ac:dyDescent="0.35">
      <c r="A1560" s="29" t="s">
        <v>23</v>
      </c>
      <c r="B1560" s="29" t="str">
        <f t="shared" si="24"/>
        <v>ILS-56</v>
      </c>
      <c r="C1560" s="29" t="s">
        <v>6236</v>
      </c>
      <c r="D1560" s="67" t="s">
        <v>6237</v>
      </c>
      <c r="E1560" s="96" t="s">
        <v>62</v>
      </c>
      <c r="F1560" s="29" t="s">
        <v>61</v>
      </c>
      <c r="G1560" s="29"/>
      <c r="H1560" s="103">
        <f>_xlfn.XLOOKUP(B1560,GM!$Q$5:$Q$756,GM!$J$5:$J$756)</f>
        <v>46104</v>
      </c>
    </row>
    <row r="1561" spans="1:8" hidden="1" x14ac:dyDescent="0.35">
      <c r="A1561" s="29" t="s">
        <v>23</v>
      </c>
      <c r="B1561" s="29" t="str">
        <f t="shared" si="24"/>
        <v>ILS-56</v>
      </c>
      <c r="C1561" s="29" t="s">
        <v>6238</v>
      </c>
      <c r="D1561" s="67" t="s">
        <v>6239</v>
      </c>
      <c r="E1561" s="96" t="s">
        <v>62</v>
      </c>
      <c r="F1561" s="29" t="s">
        <v>61</v>
      </c>
      <c r="G1561" s="29"/>
      <c r="H1561" s="103">
        <f>_xlfn.XLOOKUP(B1561,GM!$Q$5:$Q$756,GM!$J$5:$J$756)</f>
        <v>46104</v>
      </c>
    </row>
    <row r="1562" spans="1:8" hidden="1" x14ac:dyDescent="0.35">
      <c r="A1562" s="29" t="s">
        <v>23</v>
      </c>
      <c r="B1562" s="29" t="str">
        <f t="shared" si="24"/>
        <v>ILS-58</v>
      </c>
      <c r="C1562" s="29" t="s">
        <v>6240</v>
      </c>
      <c r="D1562" s="67" t="s">
        <v>6241</v>
      </c>
      <c r="E1562" s="96" t="s">
        <v>62</v>
      </c>
      <c r="F1562" s="29" t="s">
        <v>61</v>
      </c>
      <c r="G1562" s="29" t="s">
        <v>371</v>
      </c>
      <c r="H1562" s="103">
        <f>_xlfn.XLOOKUP(B1562,GM!$Q$5:$Q$756,GM!$J$5:$J$756)</f>
        <v>44739</v>
      </c>
    </row>
    <row r="1563" spans="1:8" hidden="1" x14ac:dyDescent="0.35">
      <c r="A1563" s="29" t="s">
        <v>23</v>
      </c>
      <c r="B1563" s="29" t="str">
        <f t="shared" si="24"/>
        <v>ILS-59</v>
      </c>
      <c r="C1563" s="29" t="s">
        <v>6242</v>
      </c>
      <c r="D1563" s="67" t="s">
        <v>6243</v>
      </c>
      <c r="E1563" s="96" t="s">
        <v>62</v>
      </c>
      <c r="F1563" s="29" t="s">
        <v>61</v>
      </c>
      <c r="G1563" s="29"/>
      <c r="H1563" s="103">
        <f>_xlfn.XLOOKUP(B1563,GM!$Q$5:$Q$756,GM!$J$5:$J$756)</f>
        <v>45462</v>
      </c>
    </row>
    <row r="1564" spans="1:8" hidden="1" x14ac:dyDescent="0.35">
      <c r="A1564" s="29" t="s">
        <v>23</v>
      </c>
      <c r="B1564" s="29" t="str">
        <f t="shared" si="24"/>
        <v>ILS-59</v>
      </c>
      <c r="C1564" s="29" t="s">
        <v>6244</v>
      </c>
      <c r="D1564" s="67" t="s">
        <v>6245</v>
      </c>
      <c r="E1564" s="96" t="s">
        <v>62</v>
      </c>
      <c r="F1564" s="29" t="s">
        <v>61</v>
      </c>
      <c r="G1564" s="29"/>
      <c r="H1564" s="103">
        <f>_xlfn.XLOOKUP(B1564,GM!$Q$5:$Q$756,GM!$J$5:$J$756)</f>
        <v>45462</v>
      </c>
    </row>
    <row r="1565" spans="1:8" hidden="1" x14ac:dyDescent="0.35">
      <c r="A1565" s="29" t="s">
        <v>23</v>
      </c>
      <c r="B1565" s="29" t="str">
        <f t="shared" si="24"/>
        <v>ILS-60</v>
      </c>
      <c r="C1565" s="29" t="s">
        <v>6246</v>
      </c>
      <c r="D1565" s="67" t="s">
        <v>6247</v>
      </c>
      <c r="E1565" s="96" t="s">
        <v>62</v>
      </c>
      <c r="F1565" s="29" t="s">
        <v>61</v>
      </c>
      <c r="G1565" s="29" t="s">
        <v>371</v>
      </c>
      <c r="H1565" s="103">
        <f>_xlfn.XLOOKUP(B1565,GM!$Q$5:$Q$756,GM!$J$5:$J$756)</f>
        <v>44819</v>
      </c>
    </row>
    <row r="1566" spans="1:8" hidden="1" x14ac:dyDescent="0.35">
      <c r="A1566" s="29" t="s">
        <v>23</v>
      </c>
      <c r="B1566" s="29" t="str">
        <f t="shared" si="24"/>
        <v>ILS-61</v>
      </c>
      <c r="C1566" s="29" t="s">
        <v>6248</v>
      </c>
      <c r="D1566" s="67" t="s">
        <v>6249</v>
      </c>
      <c r="E1566" s="96" t="s">
        <v>62</v>
      </c>
      <c r="F1566" s="29" t="s">
        <v>61</v>
      </c>
      <c r="G1566" s="29"/>
      <c r="H1566" s="103">
        <f>_xlfn.XLOOKUP(B1566,GM!$Q$5:$Q$756,GM!$J$5:$J$756)</f>
        <v>44926</v>
      </c>
    </row>
    <row r="1567" spans="1:8" hidden="1" x14ac:dyDescent="0.35">
      <c r="A1567" s="29" t="s">
        <v>23</v>
      </c>
      <c r="B1567" s="29" t="str">
        <f t="shared" si="24"/>
        <v>ILS-62</v>
      </c>
      <c r="C1567" s="29" t="s">
        <v>6250</v>
      </c>
      <c r="D1567" s="67" t="s">
        <v>6251</v>
      </c>
      <c r="E1567" s="96" t="s">
        <v>62</v>
      </c>
      <c r="F1567" s="29" t="s">
        <v>61</v>
      </c>
      <c r="G1567" s="29"/>
      <c r="H1567" s="103">
        <f>_xlfn.XLOOKUP(B1567,GM!$Q$5:$Q$756,GM!$J$5:$J$756)</f>
        <v>44926</v>
      </c>
    </row>
    <row r="1568" spans="1:8" hidden="1" x14ac:dyDescent="0.35">
      <c r="A1568" s="29" t="s">
        <v>23</v>
      </c>
      <c r="B1568" s="29" t="str">
        <f t="shared" si="24"/>
        <v>ILS-63</v>
      </c>
      <c r="C1568" s="29" t="s">
        <v>6252</v>
      </c>
      <c r="D1568" s="67" t="s">
        <v>6253</v>
      </c>
      <c r="E1568" s="96" t="s">
        <v>62</v>
      </c>
      <c r="F1568" s="29" t="s">
        <v>61</v>
      </c>
      <c r="G1568" s="29"/>
      <c r="H1568" s="103">
        <f>_xlfn.XLOOKUP(B1568,GM!$Q$5:$Q$756,GM!$J$5:$J$756)</f>
        <v>44838</v>
      </c>
    </row>
    <row r="1569" spans="1:8" hidden="1" x14ac:dyDescent="0.35">
      <c r="A1569" s="29" t="s">
        <v>23</v>
      </c>
      <c r="B1569" s="29" t="str">
        <f t="shared" si="24"/>
        <v>ILS-63</v>
      </c>
      <c r="C1569" s="29" t="s">
        <v>6254</v>
      </c>
      <c r="D1569" s="67" t="s">
        <v>6255</v>
      </c>
      <c r="E1569" s="96" t="s">
        <v>62</v>
      </c>
      <c r="F1569" s="29" t="s">
        <v>61</v>
      </c>
      <c r="G1569" s="29"/>
      <c r="H1569" s="103">
        <f>_xlfn.XLOOKUP(B1569,GM!$Q$5:$Q$756,GM!$J$5:$J$756)</f>
        <v>44838</v>
      </c>
    </row>
    <row r="1570" spans="1:8" hidden="1" x14ac:dyDescent="0.35">
      <c r="A1570" s="29" t="s">
        <v>23</v>
      </c>
      <c r="B1570" s="29" t="str">
        <f t="shared" si="24"/>
        <v>ILS-65</v>
      </c>
      <c r="C1570" s="29" t="s">
        <v>6256</v>
      </c>
      <c r="D1570" s="67" t="s">
        <v>6257</v>
      </c>
      <c r="E1570" s="96" t="s">
        <v>62</v>
      </c>
      <c r="F1570" s="29" t="s">
        <v>61</v>
      </c>
      <c r="G1570" s="29"/>
      <c r="H1570" s="103">
        <f>_xlfn.XLOOKUP(B1570,GM!$Q$5:$Q$756,GM!$J$5:$J$756)</f>
        <v>45202</v>
      </c>
    </row>
    <row r="1571" spans="1:8" hidden="1" x14ac:dyDescent="0.35">
      <c r="A1571" s="29" t="s">
        <v>23</v>
      </c>
      <c r="B1571" s="29" t="str">
        <f t="shared" si="24"/>
        <v>ILS-67</v>
      </c>
      <c r="C1571" s="29" t="s">
        <v>6258</v>
      </c>
      <c r="D1571" s="67" t="s">
        <v>6259</v>
      </c>
      <c r="E1571" s="96" t="s">
        <v>62</v>
      </c>
      <c r="F1571" s="29" t="s">
        <v>61</v>
      </c>
      <c r="G1571" s="29"/>
      <c r="H1571" s="103">
        <f>_xlfn.XLOOKUP(B1571,GM!$Q$5:$Q$756,GM!$J$5:$J$756)</f>
        <v>45202</v>
      </c>
    </row>
    <row r="1572" spans="1:8" hidden="1" x14ac:dyDescent="0.35">
      <c r="A1572" s="29" t="s">
        <v>23</v>
      </c>
      <c r="B1572" s="29" t="str">
        <f t="shared" si="24"/>
        <v>ILS-68</v>
      </c>
      <c r="C1572" s="29" t="s">
        <v>6260</v>
      </c>
      <c r="D1572" s="67" t="s">
        <v>6261</v>
      </c>
      <c r="E1572" s="96" t="s">
        <v>62</v>
      </c>
      <c r="F1572" s="29" t="s">
        <v>61</v>
      </c>
      <c r="G1572" s="29"/>
      <c r="H1572" s="103">
        <f>_xlfn.XLOOKUP(B1572,GM!$Q$5:$Q$756,GM!$J$5:$J$756)</f>
        <v>45202</v>
      </c>
    </row>
    <row r="1573" spans="1:8" x14ac:dyDescent="0.35">
      <c r="A1573" s="29" t="s">
        <v>24</v>
      </c>
      <c r="B1573" s="29" t="str">
        <f t="shared" si="24"/>
        <v>JUP-68</v>
      </c>
      <c r="C1573" s="29" t="s">
        <v>6262</v>
      </c>
      <c r="D1573" s="67" t="s">
        <v>6263</v>
      </c>
      <c r="E1573" s="96" t="s">
        <v>62</v>
      </c>
      <c r="F1573" s="29" t="s">
        <v>61</v>
      </c>
      <c r="G1573" s="29"/>
      <c r="H1573" s="103">
        <f>_xlfn.XLOOKUP(B1573,GM!$Q$5:$Q$756,GM!$J$5:$J$756)</f>
        <v>45202</v>
      </c>
    </row>
    <row r="1574" spans="1:8" x14ac:dyDescent="0.35">
      <c r="A1574" s="29" t="s">
        <v>24</v>
      </c>
      <c r="B1574" s="29" t="str">
        <f t="shared" si="24"/>
        <v>JUP-67</v>
      </c>
      <c r="C1574" s="29" t="s">
        <v>6264</v>
      </c>
      <c r="D1574" s="67" t="s">
        <v>6265</v>
      </c>
      <c r="E1574" s="96" t="s">
        <v>62</v>
      </c>
      <c r="F1574" s="29" t="s">
        <v>61</v>
      </c>
      <c r="G1574" s="29"/>
      <c r="H1574" s="103">
        <f>_xlfn.XLOOKUP(B1574,GM!$Q$5:$Q$756,GM!$J$5:$J$756)</f>
        <v>45202</v>
      </c>
    </row>
    <row r="1575" spans="1:8" x14ac:dyDescent="0.35">
      <c r="A1575" s="29" t="s">
        <v>24</v>
      </c>
      <c r="B1575" s="29" t="str">
        <f t="shared" si="24"/>
        <v>JUP-66</v>
      </c>
      <c r="C1575" s="29" t="s">
        <v>6266</v>
      </c>
      <c r="D1575" s="67" t="s">
        <v>6267</v>
      </c>
      <c r="E1575" s="96" t="s">
        <v>62</v>
      </c>
      <c r="F1575" s="29" t="s">
        <v>61</v>
      </c>
      <c r="G1575" s="29"/>
      <c r="H1575" s="103">
        <f>_xlfn.XLOOKUP(B1575,GM!$Q$5:$Q$756,GM!$J$5:$J$756)</f>
        <v>45202</v>
      </c>
    </row>
    <row r="1576" spans="1:8" x14ac:dyDescent="0.35">
      <c r="A1576" s="29" t="s">
        <v>24</v>
      </c>
      <c r="B1576" s="29" t="str">
        <f t="shared" si="24"/>
        <v>JUP-65</v>
      </c>
      <c r="C1576" s="29" t="s">
        <v>6268</v>
      </c>
      <c r="D1576" s="67" t="s">
        <v>6269</v>
      </c>
      <c r="E1576" s="96" t="s">
        <v>62</v>
      </c>
      <c r="F1576" s="29" t="s">
        <v>61</v>
      </c>
      <c r="G1576" s="29"/>
      <c r="H1576" s="103">
        <f>_xlfn.XLOOKUP(B1576,GM!$Q$5:$Q$756,GM!$J$5:$J$756)</f>
        <v>45202</v>
      </c>
    </row>
    <row r="1577" spans="1:8" x14ac:dyDescent="0.35">
      <c r="A1577" s="29" t="s">
        <v>24</v>
      </c>
      <c r="B1577" s="29" t="str">
        <f t="shared" si="24"/>
        <v>JUP-64</v>
      </c>
      <c r="C1577" s="29" t="s">
        <v>6270</v>
      </c>
      <c r="D1577" s="67" t="s">
        <v>6271</v>
      </c>
      <c r="E1577" s="96" t="s">
        <v>62</v>
      </c>
      <c r="F1577" s="29" t="s">
        <v>61</v>
      </c>
      <c r="G1577" s="29"/>
      <c r="H1577" s="103">
        <f>_xlfn.XLOOKUP(B1577,GM!$Q$5:$Q$756,GM!$J$5:$J$756)</f>
        <v>45202</v>
      </c>
    </row>
    <row r="1578" spans="1:8" x14ac:dyDescent="0.35">
      <c r="A1578" s="29" t="s">
        <v>24</v>
      </c>
      <c r="B1578" s="29" t="str">
        <f t="shared" si="24"/>
        <v>JUP-62</v>
      </c>
      <c r="C1578" s="29" t="s">
        <v>6272</v>
      </c>
      <c r="D1578" s="67" t="s">
        <v>6273</v>
      </c>
      <c r="E1578" s="96" t="s">
        <v>62</v>
      </c>
      <c r="F1578" s="29" t="s">
        <v>61</v>
      </c>
      <c r="G1578" s="29"/>
      <c r="H1578" s="103">
        <f>_xlfn.XLOOKUP(B1578,GM!$Q$5:$Q$756,GM!$J$5:$J$756)</f>
        <v>44914</v>
      </c>
    </row>
    <row r="1579" spans="1:8" x14ac:dyDescent="0.35">
      <c r="A1579" s="29" t="s">
        <v>24</v>
      </c>
      <c r="B1579" s="29" t="str">
        <f t="shared" si="24"/>
        <v>JUP-61</v>
      </c>
      <c r="C1579" s="29" t="s">
        <v>6274</v>
      </c>
      <c r="D1579" s="67" t="s">
        <v>6275</v>
      </c>
      <c r="E1579" s="96" t="s">
        <v>62</v>
      </c>
      <c r="F1579" s="29" t="s">
        <v>61</v>
      </c>
      <c r="G1579" s="29"/>
      <c r="H1579" s="103">
        <f>_xlfn.XLOOKUP(B1579,GM!$Q$5:$Q$756,GM!$J$5:$J$756)</f>
        <v>44926</v>
      </c>
    </row>
    <row r="1580" spans="1:8" x14ac:dyDescent="0.35">
      <c r="A1580" s="29" t="s">
        <v>24</v>
      </c>
      <c r="B1580" s="29" t="str">
        <f t="shared" si="24"/>
        <v>JUP-60</v>
      </c>
      <c r="C1580" s="29" t="s">
        <v>6276</v>
      </c>
      <c r="D1580" s="67" t="s">
        <v>6277</v>
      </c>
      <c r="E1580" s="96" t="s">
        <v>62</v>
      </c>
      <c r="F1580" s="29" t="s">
        <v>61</v>
      </c>
      <c r="G1580" s="29" t="s">
        <v>371</v>
      </c>
      <c r="H1580" s="103">
        <f>_xlfn.XLOOKUP(B1580,GM!$Q$5:$Q$756,GM!$J$5:$J$756)</f>
        <v>44819</v>
      </c>
    </row>
    <row r="1581" spans="1:8" x14ac:dyDescent="0.35">
      <c r="A1581" s="29" t="s">
        <v>24</v>
      </c>
      <c r="B1581" s="29" t="str">
        <f t="shared" si="24"/>
        <v>JUP-59</v>
      </c>
      <c r="C1581" s="29" t="s">
        <v>6278</v>
      </c>
      <c r="D1581" s="67" t="s">
        <v>6279</v>
      </c>
      <c r="E1581" s="96" t="s">
        <v>62</v>
      </c>
      <c r="F1581" s="29" t="s">
        <v>61</v>
      </c>
      <c r="G1581" s="29"/>
      <c r="H1581" s="103">
        <f>_xlfn.XLOOKUP(B1581,GM!$Q$5:$Q$756,GM!$J$5:$J$756)</f>
        <v>45462</v>
      </c>
    </row>
    <row r="1582" spans="1:8" x14ac:dyDescent="0.35">
      <c r="A1582" s="29" t="s">
        <v>24</v>
      </c>
      <c r="B1582" s="29" t="str">
        <f t="shared" si="24"/>
        <v>JUP-59</v>
      </c>
      <c r="C1582" s="29" t="s">
        <v>6280</v>
      </c>
      <c r="D1582" s="67" t="s">
        <v>6281</v>
      </c>
      <c r="E1582" s="96" t="s">
        <v>62</v>
      </c>
      <c r="F1582" s="29" t="s">
        <v>61</v>
      </c>
      <c r="G1582" s="29"/>
      <c r="H1582" s="103">
        <f>_xlfn.XLOOKUP(B1582,GM!$Q$5:$Q$756,GM!$J$5:$J$756)</f>
        <v>45462</v>
      </c>
    </row>
    <row r="1583" spans="1:8" x14ac:dyDescent="0.35">
      <c r="A1583" s="29" t="s">
        <v>24</v>
      </c>
      <c r="B1583" s="29" t="str">
        <f t="shared" si="24"/>
        <v>JUP-58</v>
      </c>
      <c r="C1583" s="29" t="s">
        <v>6282</v>
      </c>
      <c r="D1583" s="67" t="s">
        <v>6283</v>
      </c>
      <c r="E1583" s="96" t="s">
        <v>62</v>
      </c>
      <c r="F1583" s="29" t="s">
        <v>61</v>
      </c>
      <c r="G1583" s="29" t="s">
        <v>371</v>
      </c>
      <c r="H1583" s="103">
        <f>_xlfn.XLOOKUP(B1583,GM!$Q$5:$Q$756,GM!$J$5:$J$756)</f>
        <v>44739</v>
      </c>
    </row>
    <row r="1584" spans="1:8" x14ac:dyDescent="0.35">
      <c r="A1584" s="29" t="s">
        <v>24</v>
      </c>
      <c r="B1584" s="29" t="str">
        <f t="shared" si="24"/>
        <v>JUP-56</v>
      </c>
      <c r="C1584" s="29" t="s">
        <v>6284</v>
      </c>
      <c r="D1584" s="67" t="s">
        <v>6285</v>
      </c>
      <c r="E1584" s="96" t="s">
        <v>62</v>
      </c>
      <c r="F1584" s="29" t="s">
        <v>61</v>
      </c>
      <c r="G1584" s="29"/>
      <c r="H1584" s="103">
        <f>_xlfn.XLOOKUP(B1584,GM!$Q$5:$Q$756,GM!$J$5:$J$756)</f>
        <v>46104</v>
      </c>
    </row>
    <row r="1585" spans="1:8" x14ac:dyDescent="0.35">
      <c r="A1585" s="29" t="s">
        <v>24</v>
      </c>
      <c r="B1585" s="29" t="str">
        <f t="shared" si="24"/>
        <v>JUP-56</v>
      </c>
      <c r="C1585" s="29" t="s">
        <v>6286</v>
      </c>
      <c r="D1585" s="67" t="s">
        <v>6287</v>
      </c>
      <c r="E1585" s="96" t="s">
        <v>62</v>
      </c>
      <c r="F1585" s="29" t="s">
        <v>61</v>
      </c>
      <c r="G1585" s="29"/>
      <c r="H1585" s="103">
        <f>_xlfn.XLOOKUP(B1585,GM!$Q$5:$Q$756,GM!$J$5:$J$756)</f>
        <v>46104</v>
      </c>
    </row>
    <row r="1586" spans="1:8" x14ac:dyDescent="0.35">
      <c r="A1586" s="29" t="s">
        <v>24</v>
      </c>
      <c r="B1586" s="29" t="str">
        <f t="shared" si="24"/>
        <v>JUP-56</v>
      </c>
      <c r="C1586" s="29" t="s">
        <v>6288</v>
      </c>
      <c r="D1586" s="67" t="s">
        <v>6289</v>
      </c>
      <c r="E1586" s="96" t="s">
        <v>62</v>
      </c>
      <c r="F1586" s="29" t="s">
        <v>61</v>
      </c>
      <c r="G1586" s="29"/>
      <c r="H1586" s="103">
        <f>_xlfn.XLOOKUP(B1586,GM!$Q$5:$Q$756,GM!$J$5:$J$756)</f>
        <v>46104</v>
      </c>
    </row>
    <row r="1587" spans="1:8" x14ac:dyDescent="0.35">
      <c r="A1587" s="29" t="s">
        <v>24</v>
      </c>
      <c r="B1587" s="29" t="str">
        <f t="shared" si="24"/>
        <v>JUP-56</v>
      </c>
      <c r="C1587" s="29" t="s">
        <v>6290</v>
      </c>
      <c r="D1587" s="67" t="s">
        <v>6291</v>
      </c>
      <c r="E1587" s="96" t="s">
        <v>62</v>
      </c>
      <c r="F1587" s="29" t="s">
        <v>61</v>
      </c>
      <c r="G1587" s="29"/>
      <c r="H1587" s="103">
        <f>_xlfn.XLOOKUP(B1587,GM!$Q$5:$Q$756,GM!$J$5:$J$756)</f>
        <v>46104</v>
      </c>
    </row>
    <row r="1588" spans="1:8" x14ac:dyDescent="0.35">
      <c r="A1588" s="29" t="s">
        <v>24</v>
      </c>
      <c r="B1588" s="29" t="str">
        <f t="shared" si="24"/>
        <v>JUP-51</v>
      </c>
      <c r="C1588" s="29" t="s">
        <v>6292</v>
      </c>
      <c r="D1588" s="67" t="s">
        <v>6293</v>
      </c>
      <c r="E1588" s="96" t="s">
        <v>62</v>
      </c>
      <c r="F1588" s="29" t="s">
        <v>61</v>
      </c>
      <c r="G1588" s="29"/>
      <c r="H1588" s="103">
        <f>_xlfn.XLOOKUP(B1588,GM!$Q$5:$Q$756,GM!$J$5:$J$756)</f>
        <v>45959</v>
      </c>
    </row>
    <row r="1589" spans="1:8" x14ac:dyDescent="0.35">
      <c r="A1589" s="29" t="s">
        <v>24</v>
      </c>
      <c r="B1589" s="29" t="str">
        <f t="shared" si="24"/>
        <v>JUP-51</v>
      </c>
      <c r="C1589" s="29" t="s">
        <v>6294</v>
      </c>
      <c r="D1589" s="67" t="s">
        <v>6295</v>
      </c>
      <c r="E1589" s="96" t="s">
        <v>62</v>
      </c>
      <c r="F1589" s="29" t="s">
        <v>61</v>
      </c>
      <c r="G1589" s="29"/>
      <c r="H1589" s="103">
        <f>_xlfn.XLOOKUP(B1589,GM!$Q$5:$Q$756,GM!$J$5:$J$756)</f>
        <v>45959</v>
      </c>
    </row>
    <row r="1590" spans="1:8" x14ac:dyDescent="0.35">
      <c r="A1590" s="29" t="s">
        <v>24</v>
      </c>
      <c r="B1590" s="29" t="str">
        <f t="shared" si="24"/>
        <v>JUP-51</v>
      </c>
      <c r="C1590" s="29" t="s">
        <v>6296</v>
      </c>
      <c r="D1590" s="67" t="s">
        <v>6297</v>
      </c>
      <c r="E1590" s="96" t="s">
        <v>62</v>
      </c>
      <c r="F1590" s="29" t="s">
        <v>61</v>
      </c>
      <c r="G1590" s="29"/>
      <c r="H1590" s="103">
        <f>_xlfn.XLOOKUP(B1590,GM!$Q$5:$Q$756,GM!$J$5:$J$756)</f>
        <v>45959</v>
      </c>
    </row>
    <row r="1591" spans="1:8" x14ac:dyDescent="0.35">
      <c r="A1591" s="29" t="s">
        <v>24</v>
      </c>
      <c r="B1591" s="29" t="str">
        <f t="shared" si="24"/>
        <v>JUP-51</v>
      </c>
      <c r="C1591" s="29" t="s">
        <v>6298</v>
      </c>
      <c r="D1591" s="67" t="s">
        <v>6299</v>
      </c>
      <c r="E1591" s="96" t="s">
        <v>62</v>
      </c>
      <c r="F1591" s="29" t="s">
        <v>61</v>
      </c>
      <c r="G1591" s="29"/>
      <c r="H1591" s="103">
        <f>_xlfn.XLOOKUP(B1591,GM!$Q$5:$Q$756,GM!$J$5:$J$756)</f>
        <v>45959</v>
      </c>
    </row>
    <row r="1592" spans="1:8" x14ac:dyDescent="0.35">
      <c r="A1592" s="29" t="s">
        <v>24</v>
      </c>
      <c r="B1592" s="29" t="str">
        <f t="shared" si="24"/>
        <v>JUP-51</v>
      </c>
      <c r="C1592" s="29" t="s">
        <v>6300</v>
      </c>
      <c r="D1592" s="67" t="s">
        <v>6301</v>
      </c>
      <c r="E1592" s="96" t="s">
        <v>62</v>
      </c>
      <c r="F1592" s="29" t="s">
        <v>61</v>
      </c>
      <c r="G1592" s="29"/>
      <c r="H1592" s="103">
        <f>_xlfn.XLOOKUP(B1592,GM!$Q$5:$Q$756,GM!$J$5:$J$756)</f>
        <v>45959</v>
      </c>
    </row>
    <row r="1593" spans="1:8" x14ac:dyDescent="0.35">
      <c r="A1593" s="29" t="s">
        <v>24</v>
      </c>
      <c r="B1593" s="29" t="str">
        <f t="shared" si="24"/>
        <v>JUP-51</v>
      </c>
      <c r="C1593" s="29" t="s">
        <v>6302</v>
      </c>
      <c r="D1593" s="67" t="s">
        <v>6303</v>
      </c>
      <c r="E1593" s="96" t="s">
        <v>62</v>
      </c>
      <c r="F1593" s="29" t="s">
        <v>61</v>
      </c>
      <c r="G1593" s="29"/>
      <c r="H1593" s="103">
        <f>_xlfn.XLOOKUP(B1593,GM!$Q$5:$Q$756,GM!$J$5:$J$756)</f>
        <v>45959</v>
      </c>
    </row>
    <row r="1594" spans="1:8" x14ac:dyDescent="0.35">
      <c r="A1594" s="29" t="s">
        <v>24</v>
      </c>
      <c r="B1594" s="29" t="str">
        <f t="shared" si="24"/>
        <v>JUP-51</v>
      </c>
      <c r="C1594" s="29" t="s">
        <v>6304</v>
      </c>
      <c r="D1594" s="67" t="s">
        <v>6305</v>
      </c>
      <c r="E1594" s="96" t="s">
        <v>62</v>
      </c>
      <c r="F1594" s="29" t="s">
        <v>61</v>
      </c>
      <c r="G1594" s="29"/>
      <c r="H1594" s="103">
        <f>_xlfn.XLOOKUP(B1594,GM!$Q$5:$Q$756,GM!$J$5:$J$756)</f>
        <v>45959</v>
      </c>
    </row>
    <row r="1595" spans="1:8" x14ac:dyDescent="0.35">
      <c r="A1595" s="29" t="s">
        <v>24</v>
      </c>
      <c r="B1595" s="29" t="str">
        <f t="shared" si="24"/>
        <v>JUP-51</v>
      </c>
      <c r="C1595" s="29" t="s">
        <v>6306</v>
      </c>
      <c r="D1595" s="67" t="s">
        <v>6307</v>
      </c>
      <c r="E1595" s="96" t="s">
        <v>62</v>
      </c>
      <c r="F1595" s="29" t="s">
        <v>61</v>
      </c>
      <c r="G1595" s="29"/>
      <c r="H1595" s="103">
        <f>_xlfn.XLOOKUP(B1595,GM!$Q$5:$Q$756,GM!$J$5:$J$756)</f>
        <v>45959</v>
      </c>
    </row>
    <row r="1596" spans="1:8" x14ac:dyDescent="0.35">
      <c r="A1596" s="29" t="s">
        <v>24</v>
      </c>
      <c r="B1596" s="29" t="str">
        <f t="shared" si="24"/>
        <v>JUP-51</v>
      </c>
      <c r="C1596" s="29" t="s">
        <v>6308</v>
      </c>
      <c r="D1596" s="67" t="s">
        <v>6309</v>
      </c>
      <c r="E1596" s="96" t="s">
        <v>62</v>
      </c>
      <c r="F1596" s="29" t="s">
        <v>61</v>
      </c>
      <c r="G1596" s="29"/>
      <c r="H1596" s="103">
        <f>_xlfn.XLOOKUP(B1596,GM!$Q$5:$Q$756,GM!$J$5:$J$756)</f>
        <v>45959</v>
      </c>
    </row>
    <row r="1597" spans="1:8" x14ac:dyDescent="0.35">
      <c r="A1597" s="29" t="s">
        <v>24</v>
      </c>
      <c r="B1597" s="29" t="str">
        <f t="shared" si="24"/>
        <v>JUP-51</v>
      </c>
      <c r="C1597" s="29" t="s">
        <v>6310</v>
      </c>
      <c r="D1597" s="67" t="s">
        <v>6311</v>
      </c>
      <c r="E1597" s="96" t="s">
        <v>62</v>
      </c>
      <c r="F1597" s="29" t="s">
        <v>61</v>
      </c>
      <c r="G1597" s="29"/>
      <c r="H1597" s="103">
        <f>_xlfn.XLOOKUP(B1597,GM!$Q$5:$Q$756,GM!$J$5:$J$756)</f>
        <v>45959</v>
      </c>
    </row>
    <row r="1598" spans="1:8" x14ac:dyDescent="0.35">
      <c r="A1598" s="29" t="s">
        <v>24</v>
      </c>
      <c r="B1598" s="29" t="str">
        <f t="shared" si="24"/>
        <v>JUP-51</v>
      </c>
      <c r="C1598" s="29" t="s">
        <v>6312</v>
      </c>
      <c r="D1598" s="67" t="s">
        <v>6313</v>
      </c>
      <c r="E1598" s="96" t="s">
        <v>62</v>
      </c>
      <c r="F1598" s="29" t="s">
        <v>61</v>
      </c>
      <c r="G1598" s="29"/>
      <c r="H1598" s="103">
        <f>_xlfn.XLOOKUP(B1598,GM!$Q$5:$Q$756,GM!$J$5:$J$756)</f>
        <v>45959</v>
      </c>
    </row>
    <row r="1599" spans="1:8" x14ac:dyDescent="0.35">
      <c r="A1599" s="29" t="s">
        <v>24</v>
      </c>
      <c r="B1599" s="29" t="str">
        <f t="shared" si="24"/>
        <v>JUP-51</v>
      </c>
      <c r="C1599" s="29" t="s">
        <v>6314</v>
      </c>
      <c r="D1599" s="67" t="s">
        <v>6315</v>
      </c>
      <c r="E1599" s="96" t="s">
        <v>62</v>
      </c>
      <c r="F1599" s="29" t="s">
        <v>61</v>
      </c>
      <c r="G1599" s="29"/>
      <c r="H1599" s="103">
        <f>_xlfn.XLOOKUP(B1599,GM!$Q$5:$Q$756,GM!$J$5:$J$756)</f>
        <v>45959</v>
      </c>
    </row>
    <row r="1600" spans="1:8" x14ac:dyDescent="0.35">
      <c r="A1600" s="29" t="s">
        <v>24</v>
      </c>
      <c r="B1600" s="29" t="str">
        <f t="shared" si="24"/>
        <v>JUP-51</v>
      </c>
      <c r="C1600" s="29" t="s">
        <v>6316</v>
      </c>
      <c r="D1600" s="67" t="s">
        <v>6317</v>
      </c>
      <c r="E1600" s="96" t="s">
        <v>62</v>
      </c>
      <c r="F1600" s="29" t="s">
        <v>61</v>
      </c>
      <c r="G1600" s="29"/>
      <c r="H1600" s="103">
        <f>_xlfn.XLOOKUP(B1600,GM!$Q$5:$Q$756,GM!$J$5:$J$756)</f>
        <v>45959</v>
      </c>
    </row>
    <row r="1601" spans="1:8" x14ac:dyDescent="0.35">
      <c r="A1601" s="29" t="s">
        <v>24</v>
      </c>
      <c r="B1601" s="29" t="str">
        <f t="shared" si="24"/>
        <v>JUP-41</v>
      </c>
      <c r="C1601" s="29" t="s">
        <v>6318</v>
      </c>
      <c r="D1601" s="67" t="s">
        <v>6319</v>
      </c>
      <c r="E1601" s="96" t="s">
        <v>62</v>
      </c>
      <c r="F1601" s="29" t="s">
        <v>61</v>
      </c>
      <c r="G1601" s="29"/>
      <c r="H1601" s="103">
        <f>_xlfn.XLOOKUP(B1601,GM!$Q$5:$Q$756,GM!$J$5:$J$756)</f>
        <v>45202</v>
      </c>
    </row>
    <row r="1602" spans="1:8" x14ac:dyDescent="0.35">
      <c r="A1602" s="29" t="s">
        <v>24</v>
      </c>
      <c r="B1602" s="29" t="str">
        <f t="shared" si="24"/>
        <v>JUP-41</v>
      </c>
      <c r="C1602" s="29" t="s">
        <v>6320</v>
      </c>
      <c r="D1602" s="67" t="s">
        <v>6321</v>
      </c>
      <c r="E1602" s="96" t="s">
        <v>62</v>
      </c>
      <c r="F1602" s="29" t="s">
        <v>61</v>
      </c>
      <c r="G1602" s="29"/>
      <c r="H1602" s="103">
        <f>_xlfn.XLOOKUP(B1602,GM!$Q$5:$Q$756,GM!$J$5:$J$756)</f>
        <v>45202</v>
      </c>
    </row>
    <row r="1603" spans="1:8" x14ac:dyDescent="0.35">
      <c r="A1603" s="29" t="s">
        <v>24</v>
      </c>
      <c r="B1603" s="29" t="str">
        <f t="shared" si="24"/>
        <v>JUP-41</v>
      </c>
      <c r="C1603" s="29" t="s">
        <v>6322</v>
      </c>
      <c r="D1603" s="67" t="s">
        <v>6323</v>
      </c>
      <c r="E1603" s="96" t="s">
        <v>62</v>
      </c>
      <c r="F1603" s="29" t="s">
        <v>61</v>
      </c>
      <c r="G1603" s="29"/>
      <c r="H1603" s="103">
        <f>_xlfn.XLOOKUP(B1603,GM!$Q$5:$Q$756,GM!$J$5:$J$756)</f>
        <v>45202</v>
      </c>
    </row>
    <row r="1604" spans="1:8" x14ac:dyDescent="0.35">
      <c r="A1604" s="29" t="s">
        <v>24</v>
      </c>
      <c r="B1604" s="29" t="str">
        <f t="shared" si="24"/>
        <v>JUP-40</v>
      </c>
      <c r="C1604" s="29" t="s">
        <v>6324</v>
      </c>
      <c r="D1604" s="67" t="s">
        <v>6325</v>
      </c>
      <c r="E1604" s="96" t="s">
        <v>62</v>
      </c>
      <c r="F1604" s="29" t="s">
        <v>61</v>
      </c>
      <c r="G1604" s="29"/>
      <c r="H1604" s="103">
        <f>_xlfn.XLOOKUP(B1604,GM!$Q$5:$Q$756,GM!$J$5:$J$756)</f>
        <v>45202</v>
      </c>
    </row>
    <row r="1605" spans="1:8" x14ac:dyDescent="0.35">
      <c r="A1605" s="29" t="s">
        <v>24</v>
      </c>
      <c r="B1605" s="29" t="str">
        <f t="shared" ref="B1605:B1668" si="25">IF(OR(A1605="ARN",A1605="SDP"),MID(C1605,4,7),MID(C1605,4,6))</f>
        <v>JUP-40</v>
      </c>
      <c r="C1605" s="29" t="s">
        <v>6326</v>
      </c>
      <c r="D1605" s="67" t="s">
        <v>6327</v>
      </c>
      <c r="E1605" s="96" t="s">
        <v>62</v>
      </c>
      <c r="F1605" s="29" t="s">
        <v>61</v>
      </c>
      <c r="G1605" s="29"/>
      <c r="H1605" s="103">
        <f>_xlfn.XLOOKUP(B1605,GM!$Q$5:$Q$756,GM!$J$5:$J$756)</f>
        <v>45202</v>
      </c>
    </row>
    <row r="1606" spans="1:8" x14ac:dyDescent="0.35">
      <c r="A1606" s="29" t="s">
        <v>24</v>
      </c>
      <c r="B1606" s="29" t="str">
        <f t="shared" si="25"/>
        <v>JUP-33</v>
      </c>
      <c r="C1606" s="29" t="s">
        <v>6328</v>
      </c>
      <c r="D1606" s="67" t="s">
        <v>6329</v>
      </c>
      <c r="E1606" s="96" t="s">
        <v>62</v>
      </c>
      <c r="F1606" s="29" t="s">
        <v>61</v>
      </c>
      <c r="G1606" s="29" t="s">
        <v>371</v>
      </c>
      <c r="H1606" s="103">
        <f>_xlfn.XLOOKUP(B1606,GM!$Q$5:$Q$756,GM!$J$5:$J$756)</f>
        <v>44739</v>
      </c>
    </row>
    <row r="1607" spans="1:8" x14ac:dyDescent="0.35">
      <c r="A1607" s="29" t="s">
        <v>24</v>
      </c>
      <c r="B1607" s="29" t="str">
        <f t="shared" si="25"/>
        <v>JUP-30</v>
      </c>
      <c r="C1607" s="29" t="s">
        <v>6330</v>
      </c>
      <c r="D1607" s="67" t="s">
        <v>6331</v>
      </c>
      <c r="E1607" s="96" t="s">
        <v>62</v>
      </c>
      <c r="F1607" s="29" t="s">
        <v>61</v>
      </c>
      <c r="G1607" s="29"/>
      <c r="H1607" s="103">
        <f>_xlfn.XLOOKUP(B1607,GM!$Q$5:$Q$756,GM!$J$5:$J$756)</f>
        <v>44838</v>
      </c>
    </row>
    <row r="1608" spans="1:8" x14ac:dyDescent="0.35">
      <c r="A1608" s="29" t="s">
        <v>24</v>
      </c>
      <c r="B1608" s="29" t="str">
        <f t="shared" si="25"/>
        <v>JUP-30</v>
      </c>
      <c r="C1608" s="29" t="s">
        <v>6332</v>
      </c>
      <c r="D1608" s="67" t="s">
        <v>6333</v>
      </c>
      <c r="E1608" s="96" t="s">
        <v>62</v>
      </c>
      <c r="F1608" s="29" t="s">
        <v>61</v>
      </c>
      <c r="G1608" s="29"/>
      <c r="H1608" s="103">
        <f>_xlfn.XLOOKUP(B1608,GM!$Q$5:$Q$756,GM!$J$5:$J$756)</f>
        <v>44838</v>
      </c>
    </row>
    <row r="1609" spans="1:8" x14ac:dyDescent="0.35">
      <c r="A1609" s="29" t="s">
        <v>24</v>
      </c>
      <c r="B1609" s="29" t="str">
        <f t="shared" si="25"/>
        <v>JUP-29</v>
      </c>
      <c r="C1609" s="29" t="s">
        <v>6334</v>
      </c>
      <c r="D1609" s="67" t="s">
        <v>6335</v>
      </c>
      <c r="E1609" s="96" t="s">
        <v>62</v>
      </c>
      <c r="F1609" s="29" t="s">
        <v>61</v>
      </c>
      <c r="G1609" s="29"/>
      <c r="H1609" s="103">
        <f>_xlfn.XLOOKUP(B1609,GM!$Q$5:$Q$756,GM!$J$5:$J$756)</f>
        <v>45202</v>
      </c>
    </row>
    <row r="1610" spans="1:8" x14ac:dyDescent="0.35">
      <c r="A1610" s="29" t="s">
        <v>24</v>
      </c>
      <c r="B1610" s="29" t="str">
        <f t="shared" si="25"/>
        <v>JUP-28</v>
      </c>
      <c r="C1610" s="29" t="s">
        <v>6336</v>
      </c>
      <c r="D1610" s="67" t="s">
        <v>6337</v>
      </c>
      <c r="E1610" s="96" t="s">
        <v>62</v>
      </c>
      <c r="F1610" s="29" t="s">
        <v>61</v>
      </c>
      <c r="G1610" s="29"/>
      <c r="H1610" s="103">
        <f>_xlfn.XLOOKUP(B1610,GM!$Q$5:$Q$756,GM!$J$5:$J$756)</f>
        <v>45202</v>
      </c>
    </row>
    <row r="1611" spans="1:8" x14ac:dyDescent="0.35">
      <c r="A1611" s="29" t="s">
        <v>24</v>
      </c>
      <c r="B1611" s="29" t="str">
        <f t="shared" si="25"/>
        <v>JUP-27</v>
      </c>
      <c r="C1611" s="29" t="s">
        <v>6338</v>
      </c>
      <c r="D1611" s="67" t="s">
        <v>6339</v>
      </c>
      <c r="E1611" s="96" t="s">
        <v>62</v>
      </c>
      <c r="F1611" s="29" t="s">
        <v>61</v>
      </c>
      <c r="G1611" s="29" t="s">
        <v>371</v>
      </c>
      <c r="H1611" s="103">
        <f>_xlfn.XLOOKUP(B1611,GM!$Q$5:$Q$756,GM!$J$5:$J$756)</f>
        <v>44739</v>
      </c>
    </row>
    <row r="1612" spans="1:8" x14ac:dyDescent="0.35">
      <c r="A1612" s="29" t="s">
        <v>24</v>
      </c>
      <c r="B1612" s="29" t="str">
        <f t="shared" si="25"/>
        <v>JUP-26</v>
      </c>
      <c r="C1612" s="29" t="s">
        <v>6340</v>
      </c>
      <c r="D1612" s="67" t="s">
        <v>6341</v>
      </c>
      <c r="E1612" s="96" t="s">
        <v>62</v>
      </c>
      <c r="F1612" s="29" t="s">
        <v>61</v>
      </c>
      <c r="G1612" s="29" t="s">
        <v>371</v>
      </c>
      <c r="H1612" s="103">
        <f>_xlfn.XLOOKUP(B1612,GM!$Q$5:$Q$756,GM!$J$5:$J$756)</f>
        <v>44739</v>
      </c>
    </row>
    <row r="1613" spans="1:8" x14ac:dyDescent="0.35">
      <c r="A1613" s="29" t="s">
        <v>24</v>
      </c>
      <c r="B1613" s="29" t="str">
        <f t="shared" si="25"/>
        <v>JUP-25</v>
      </c>
      <c r="C1613" s="29" t="s">
        <v>6342</v>
      </c>
      <c r="D1613" s="67" t="s">
        <v>6343</v>
      </c>
      <c r="E1613" s="96" t="s">
        <v>62</v>
      </c>
      <c r="F1613" s="29" t="s">
        <v>61</v>
      </c>
      <c r="G1613" s="29"/>
      <c r="H1613" s="103">
        <f>_xlfn.XLOOKUP(B1613,GM!$Q$5:$Q$756,GM!$J$5:$J$756)</f>
        <v>46009</v>
      </c>
    </row>
    <row r="1614" spans="1:8" x14ac:dyDescent="0.35">
      <c r="A1614" s="29" t="s">
        <v>24</v>
      </c>
      <c r="B1614" s="29" t="str">
        <f t="shared" si="25"/>
        <v>JUP-25</v>
      </c>
      <c r="C1614" s="29" t="s">
        <v>6344</v>
      </c>
      <c r="D1614" s="67" t="s">
        <v>6345</v>
      </c>
      <c r="E1614" s="96" t="s">
        <v>62</v>
      </c>
      <c r="F1614" s="29" t="s">
        <v>61</v>
      </c>
      <c r="G1614" s="29"/>
      <c r="H1614" s="103">
        <f>_xlfn.XLOOKUP(B1614,GM!$Q$5:$Q$756,GM!$J$5:$J$756)</f>
        <v>46009</v>
      </c>
    </row>
    <row r="1615" spans="1:8" x14ac:dyDescent="0.35">
      <c r="A1615" s="29" t="s">
        <v>24</v>
      </c>
      <c r="B1615" s="29" t="str">
        <f t="shared" si="25"/>
        <v>JUP-24</v>
      </c>
      <c r="C1615" s="29" t="s">
        <v>6346</v>
      </c>
      <c r="D1615" s="67" t="s">
        <v>6347</v>
      </c>
      <c r="E1615" s="96" t="s">
        <v>62</v>
      </c>
      <c r="F1615" s="29" t="s">
        <v>61</v>
      </c>
      <c r="G1615" s="29" t="s">
        <v>371</v>
      </c>
      <c r="H1615" s="103">
        <f>_xlfn.XLOOKUP(B1615,GM!$Q$5:$Q$756,GM!$J$5:$J$756)</f>
        <v>44739</v>
      </c>
    </row>
    <row r="1616" spans="1:8" x14ac:dyDescent="0.35">
      <c r="A1616" s="29" t="s">
        <v>24</v>
      </c>
      <c r="B1616" s="29" t="str">
        <f t="shared" si="25"/>
        <v>JUP-23</v>
      </c>
      <c r="C1616" s="29" t="s">
        <v>6348</v>
      </c>
      <c r="D1616" s="67" t="s">
        <v>6349</v>
      </c>
      <c r="E1616" s="96" t="s">
        <v>62</v>
      </c>
      <c r="F1616" s="29" t="s">
        <v>61</v>
      </c>
      <c r="G1616" s="29" t="s">
        <v>371</v>
      </c>
      <c r="H1616" s="103">
        <f>_xlfn.XLOOKUP(B1616,GM!$Q$5:$Q$756,GM!$J$5:$J$756)</f>
        <v>44739</v>
      </c>
    </row>
    <row r="1617" spans="1:8" x14ac:dyDescent="0.35">
      <c r="A1617" s="29" t="s">
        <v>24</v>
      </c>
      <c r="B1617" s="29" t="str">
        <f t="shared" si="25"/>
        <v>JUP-22</v>
      </c>
      <c r="C1617" s="29" t="s">
        <v>6350</v>
      </c>
      <c r="D1617" s="67" t="s">
        <v>6351</v>
      </c>
      <c r="E1617" s="96" t="s">
        <v>62</v>
      </c>
      <c r="F1617" s="29" t="s">
        <v>61</v>
      </c>
      <c r="G1617" s="29" t="s">
        <v>371</v>
      </c>
      <c r="H1617" s="103">
        <f>_xlfn.XLOOKUP(B1617,GM!$Q$5:$Q$756,GM!$J$5:$J$756)</f>
        <v>44739</v>
      </c>
    </row>
    <row r="1618" spans="1:8" x14ac:dyDescent="0.35">
      <c r="A1618" s="29" t="s">
        <v>24</v>
      </c>
      <c r="B1618" s="29" t="str">
        <f t="shared" si="25"/>
        <v>JUP-21</v>
      </c>
      <c r="C1618" s="29" t="s">
        <v>6352</v>
      </c>
      <c r="D1618" s="67" t="s">
        <v>6353</v>
      </c>
      <c r="E1618" s="96" t="s">
        <v>62</v>
      </c>
      <c r="F1618" s="29" t="s">
        <v>61</v>
      </c>
      <c r="G1618" s="29"/>
      <c r="H1618" s="103">
        <f>_xlfn.XLOOKUP(B1618,GM!$Q$5:$Q$756,GM!$J$5:$J$756)</f>
        <v>45645</v>
      </c>
    </row>
    <row r="1619" spans="1:8" x14ac:dyDescent="0.35">
      <c r="A1619" s="29" t="s">
        <v>24</v>
      </c>
      <c r="B1619" s="29" t="str">
        <f t="shared" si="25"/>
        <v>JUP-21</v>
      </c>
      <c r="C1619" s="29" t="s">
        <v>6354</v>
      </c>
      <c r="D1619" s="67" t="s">
        <v>6355</v>
      </c>
      <c r="E1619" s="96" t="s">
        <v>62</v>
      </c>
      <c r="F1619" s="29" t="s">
        <v>61</v>
      </c>
      <c r="G1619" s="29"/>
      <c r="H1619" s="103">
        <f>_xlfn.XLOOKUP(B1619,GM!$Q$5:$Q$756,GM!$J$5:$J$756)</f>
        <v>45645</v>
      </c>
    </row>
    <row r="1620" spans="1:8" x14ac:dyDescent="0.35">
      <c r="A1620" s="29" t="s">
        <v>24</v>
      </c>
      <c r="B1620" s="29" t="str">
        <f t="shared" si="25"/>
        <v>JUP-21</v>
      </c>
      <c r="C1620" s="29" t="s">
        <v>6356</v>
      </c>
      <c r="D1620" s="67" t="s">
        <v>6357</v>
      </c>
      <c r="E1620" s="96" t="s">
        <v>62</v>
      </c>
      <c r="F1620" s="29" t="s">
        <v>61</v>
      </c>
      <c r="G1620" s="29"/>
      <c r="H1620" s="103">
        <f>_xlfn.XLOOKUP(B1620,GM!$Q$5:$Q$756,GM!$J$5:$J$756)</f>
        <v>45645</v>
      </c>
    </row>
    <row r="1621" spans="1:8" x14ac:dyDescent="0.35">
      <c r="A1621" s="29" t="s">
        <v>24</v>
      </c>
      <c r="B1621" s="29" t="str">
        <f t="shared" si="25"/>
        <v>JUP-21</v>
      </c>
      <c r="C1621" s="29" t="s">
        <v>6358</v>
      </c>
      <c r="D1621" s="67" t="s">
        <v>6359</v>
      </c>
      <c r="E1621" s="96" t="s">
        <v>62</v>
      </c>
      <c r="F1621" s="29" t="s">
        <v>61</v>
      </c>
      <c r="G1621" s="29"/>
      <c r="H1621" s="103">
        <f>_xlfn.XLOOKUP(B1621,GM!$Q$5:$Q$756,GM!$J$5:$J$756)</f>
        <v>45645</v>
      </c>
    </row>
    <row r="1622" spans="1:8" x14ac:dyDescent="0.35">
      <c r="A1622" s="29" t="s">
        <v>24</v>
      </c>
      <c r="B1622" s="29" t="str">
        <f t="shared" si="25"/>
        <v>JUP-21</v>
      </c>
      <c r="C1622" s="29" t="s">
        <v>6360</v>
      </c>
      <c r="D1622" s="67" t="s">
        <v>6361</v>
      </c>
      <c r="E1622" s="96" t="s">
        <v>62</v>
      </c>
      <c r="F1622" s="29" t="s">
        <v>61</v>
      </c>
      <c r="G1622" s="29"/>
      <c r="H1622" s="103">
        <f>_xlfn.XLOOKUP(B1622,GM!$Q$5:$Q$756,GM!$J$5:$J$756)</f>
        <v>45645</v>
      </c>
    </row>
    <row r="1623" spans="1:8" x14ac:dyDescent="0.35">
      <c r="A1623" s="29" t="s">
        <v>24</v>
      </c>
      <c r="B1623" s="29" t="str">
        <f t="shared" si="25"/>
        <v>JUP-21</v>
      </c>
      <c r="C1623" s="29" t="s">
        <v>6362</v>
      </c>
      <c r="D1623" s="67" t="s">
        <v>6363</v>
      </c>
      <c r="E1623" s="96" t="s">
        <v>62</v>
      </c>
      <c r="F1623" s="29" t="s">
        <v>61</v>
      </c>
      <c r="G1623" s="29"/>
      <c r="H1623" s="103">
        <f>_xlfn.XLOOKUP(B1623,GM!$Q$5:$Q$756,GM!$J$5:$J$756)</f>
        <v>45645</v>
      </c>
    </row>
    <row r="1624" spans="1:8" x14ac:dyDescent="0.35">
      <c r="A1624" s="29" t="s">
        <v>24</v>
      </c>
      <c r="B1624" s="29" t="str">
        <f t="shared" si="25"/>
        <v>JUP-20</v>
      </c>
      <c r="C1624" s="29" t="s">
        <v>6364</v>
      </c>
      <c r="D1624" s="67" t="s">
        <v>6365</v>
      </c>
      <c r="E1624" s="96" t="s">
        <v>62</v>
      </c>
      <c r="F1624" s="29" t="s">
        <v>61</v>
      </c>
      <c r="G1624" s="29"/>
      <c r="H1624" s="103">
        <f>_xlfn.XLOOKUP(B1624,GM!$Q$5:$Q$756,GM!$J$5:$J$756)</f>
        <v>44889</v>
      </c>
    </row>
    <row r="1625" spans="1:8" x14ac:dyDescent="0.35">
      <c r="A1625" s="29" t="s">
        <v>24</v>
      </c>
      <c r="B1625" s="29" t="str">
        <f t="shared" si="25"/>
        <v>JUP-20</v>
      </c>
      <c r="C1625" s="29" t="s">
        <v>6366</v>
      </c>
      <c r="D1625" s="67" t="s">
        <v>6367</v>
      </c>
      <c r="E1625" s="96" t="s">
        <v>62</v>
      </c>
      <c r="F1625" s="29" t="s">
        <v>61</v>
      </c>
      <c r="G1625" s="29"/>
      <c r="H1625" s="103">
        <f>_xlfn.XLOOKUP(B1625,GM!$Q$5:$Q$756,GM!$J$5:$J$756)</f>
        <v>44889</v>
      </c>
    </row>
    <row r="1626" spans="1:8" x14ac:dyDescent="0.35">
      <c r="A1626" s="29" t="s">
        <v>24</v>
      </c>
      <c r="B1626" s="29" t="str">
        <f t="shared" si="25"/>
        <v>JUP-20</v>
      </c>
      <c r="C1626" s="29" t="s">
        <v>6368</v>
      </c>
      <c r="D1626" s="67" t="s">
        <v>6369</v>
      </c>
      <c r="E1626" s="96" t="s">
        <v>62</v>
      </c>
      <c r="F1626" s="29" t="s">
        <v>61</v>
      </c>
      <c r="G1626" s="29"/>
      <c r="H1626" s="103">
        <f>_xlfn.XLOOKUP(B1626,GM!$Q$5:$Q$756,GM!$J$5:$J$756)</f>
        <v>44889</v>
      </c>
    </row>
    <row r="1627" spans="1:8" x14ac:dyDescent="0.35">
      <c r="A1627" s="29" t="s">
        <v>24</v>
      </c>
      <c r="B1627" s="29" t="str">
        <f t="shared" si="25"/>
        <v>JUP-20</v>
      </c>
      <c r="C1627" s="29" t="s">
        <v>6370</v>
      </c>
      <c r="D1627" s="67" t="s">
        <v>6371</v>
      </c>
      <c r="E1627" s="96" t="s">
        <v>62</v>
      </c>
      <c r="F1627" s="29" t="s">
        <v>61</v>
      </c>
      <c r="G1627" s="29"/>
      <c r="H1627" s="103">
        <f>_xlfn.XLOOKUP(B1627,GM!$Q$5:$Q$756,GM!$J$5:$J$756)</f>
        <v>44889</v>
      </c>
    </row>
    <row r="1628" spans="1:8" x14ac:dyDescent="0.35">
      <c r="A1628" s="29" t="s">
        <v>24</v>
      </c>
      <c r="B1628" s="29" t="str">
        <f t="shared" si="25"/>
        <v>JUP-20</v>
      </c>
      <c r="C1628" s="29" t="s">
        <v>6372</v>
      </c>
      <c r="D1628" s="67" t="s">
        <v>6373</v>
      </c>
      <c r="E1628" s="96" t="s">
        <v>62</v>
      </c>
      <c r="F1628" s="29" t="s">
        <v>61</v>
      </c>
      <c r="G1628" s="29"/>
      <c r="H1628" s="103">
        <f>_xlfn.XLOOKUP(B1628,GM!$Q$5:$Q$756,GM!$J$5:$J$756)</f>
        <v>44889</v>
      </c>
    </row>
    <row r="1629" spans="1:8" x14ac:dyDescent="0.35">
      <c r="A1629" s="29" t="s">
        <v>24</v>
      </c>
      <c r="B1629" s="29" t="str">
        <f t="shared" si="25"/>
        <v>JUP-20</v>
      </c>
      <c r="C1629" s="29" t="s">
        <v>6374</v>
      </c>
      <c r="D1629" s="67" t="s">
        <v>6375</v>
      </c>
      <c r="E1629" s="96" t="s">
        <v>62</v>
      </c>
      <c r="F1629" s="29" t="s">
        <v>61</v>
      </c>
      <c r="G1629" s="29"/>
      <c r="H1629" s="103">
        <f>_xlfn.XLOOKUP(B1629,GM!$Q$5:$Q$756,GM!$J$5:$J$756)</f>
        <v>44889</v>
      </c>
    </row>
    <row r="1630" spans="1:8" x14ac:dyDescent="0.35">
      <c r="A1630" s="29" t="s">
        <v>24</v>
      </c>
      <c r="B1630" s="29" t="str">
        <f t="shared" si="25"/>
        <v>JUP-20</v>
      </c>
      <c r="C1630" s="29" t="s">
        <v>6376</v>
      </c>
      <c r="D1630" s="67" t="s">
        <v>6377</v>
      </c>
      <c r="E1630" s="96" t="s">
        <v>62</v>
      </c>
      <c r="F1630" s="29" t="s">
        <v>61</v>
      </c>
      <c r="G1630" s="29"/>
      <c r="H1630" s="103">
        <f>_xlfn.XLOOKUP(B1630,GM!$Q$5:$Q$756,GM!$J$5:$J$756)</f>
        <v>44889</v>
      </c>
    </row>
    <row r="1631" spans="1:8" x14ac:dyDescent="0.35">
      <c r="A1631" s="29" t="s">
        <v>24</v>
      </c>
      <c r="B1631" s="29" t="str">
        <f t="shared" si="25"/>
        <v>JUP-19</v>
      </c>
      <c r="C1631" s="29" t="s">
        <v>6378</v>
      </c>
      <c r="D1631" s="67" t="s">
        <v>6379</v>
      </c>
      <c r="E1631" s="96" t="s">
        <v>62</v>
      </c>
      <c r="F1631" s="29" t="s">
        <v>61</v>
      </c>
      <c r="G1631" s="29"/>
      <c r="H1631" s="103">
        <f>_xlfn.XLOOKUP(B1631,GM!$Q$5:$Q$756,GM!$J$5:$J$756)</f>
        <v>45959</v>
      </c>
    </row>
    <row r="1632" spans="1:8" x14ac:dyDescent="0.35">
      <c r="A1632" s="29" t="s">
        <v>24</v>
      </c>
      <c r="B1632" s="29" t="str">
        <f t="shared" si="25"/>
        <v>JUP-19</v>
      </c>
      <c r="C1632" s="29" t="s">
        <v>6380</v>
      </c>
      <c r="D1632" s="67" t="s">
        <v>6381</v>
      </c>
      <c r="E1632" s="96" t="s">
        <v>62</v>
      </c>
      <c r="F1632" s="29" t="s">
        <v>61</v>
      </c>
      <c r="G1632" s="29"/>
      <c r="H1632" s="103">
        <f>_xlfn.XLOOKUP(B1632,GM!$Q$5:$Q$756,GM!$J$5:$J$756)</f>
        <v>45959</v>
      </c>
    </row>
    <row r="1633" spans="1:8" x14ac:dyDescent="0.35">
      <c r="A1633" s="29" t="s">
        <v>24</v>
      </c>
      <c r="B1633" s="29" t="str">
        <f t="shared" si="25"/>
        <v>JUP-19</v>
      </c>
      <c r="C1633" s="29" t="s">
        <v>6382</v>
      </c>
      <c r="D1633" s="67" t="s">
        <v>6383</v>
      </c>
      <c r="E1633" s="96" t="s">
        <v>62</v>
      </c>
      <c r="F1633" s="29" t="s">
        <v>61</v>
      </c>
      <c r="G1633" s="29"/>
      <c r="H1633" s="103">
        <f>_xlfn.XLOOKUP(B1633,GM!$Q$5:$Q$756,GM!$J$5:$J$756)</f>
        <v>45959</v>
      </c>
    </row>
    <row r="1634" spans="1:8" x14ac:dyDescent="0.35">
      <c r="A1634" s="29" t="s">
        <v>24</v>
      </c>
      <c r="B1634" s="29" t="str">
        <f t="shared" si="25"/>
        <v>JUP-19</v>
      </c>
      <c r="C1634" s="29" t="s">
        <v>6384</v>
      </c>
      <c r="D1634" s="67" t="s">
        <v>6385</v>
      </c>
      <c r="E1634" s="96" t="s">
        <v>62</v>
      </c>
      <c r="F1634" s="29" t="s">
        <v>61</v>
      </c>
      <c r="G1634" s="29"/>
      <c r="H1634" s="103">
        <f>_xlfn.XLOOKUP(B1634,GM!$Q$5:$Q$756,GM!$J$5:$J$756)</f>
        <v>45959</v>
      </c>
    </row>
    <row r="1635" spans="1:8" x14ac:dyDescent="0.35">
      <c r="A1635" s="29" t="s">
        <v>24</v>
      </c>
      <c r="B1635" s="29" t="str">
        <f t="shared" si="25"/>
        <v>JUP-18</v>
      </c>
      <c r="C1635" s="29" t="s">
        <v>6386</v>
      </c>
      <c r="D1635" s="67" t="s">
        <v>6387</v>
      </c>
      <c r="E1635" s="96" t="s">
        <v>62</v>
      </c>
      <c r="F1635" s="29" t="s">
        <v>61</v>
      </c>
      <c r="G1635" s="29"/>
      <c r="H1635" s="103">
        <f>_xlfn.XLOOKUP(B1635,GM!$Q$5:$Q$756,GM!$J$5:$J$756)</f>
        <v>45645</v>
      </c>
    </row>
    <row r="1636" spans="1:8" x14ac:dyDescent="0.35">
      <c r="A1636" s="29" t="s">
        <v>24</v>
      </c>
      <c r="B1636" s="29" t="str">
        <f t="shared" si="25"/>
        <v>JUP-18</v>
      </c>
      <c r="C1636" s="29" t="s">
        <v>6388</v>
      </c>
      <c r="D1636" s="67" t="s">
        <v>6389</v>
      </c>
      <c r="E1636" s="96" t="s">
        <v>62</v>
      </c>
      <c r="F1636" s="29" t="s">
        <v>61</v>
      </c>
      <c r="G1636" s="29"/>
      <c r="H1636" s="103">
        <f>_xlfn.XLOOKUP(B1636,GM!$Q$5:$Q$756,GM!$J$5:$J$756)</f>
        <v>45645</v>
      </c>
    </row>
    <row r="1637" spans="1:8" x14ac:dyDescent="0.35">
      <c r="A1637" s="29" t="s">
        <v>24</v>
      </c>
      <c r="B1637" s="29" t="str">
        <f t="shared" si="25"/>
        <v>JUP-18</v>
      </c>
      <c r="C1637" s="29" t="s">
        <v>6390</v>
      </c>
      <c r="D1637" s="67" t="s">
        <v>6391</v>
      </c>
      <c r="E1637" s="96" t="s">
        <v>62</v>
      </c>
      <c r="F1637" s="29" t="s">
        <v>61</v>
      </c>
      <c r="G1637" s="29"/>
      <c r="H1637" s="103">
        <f>_xlfn.XLOOKUP(B1637,GM!$Q$5:$Q$756,GM!$J$5:$J$756)</f>
        <v>45645</v>
      </c>
    </row>
    <row r="1638" spans="1:8" x14ac:dyDescent="0.35">
      <c r="A1638" s="29" t="s">
        <v>24</v>
      </c>
      <c r="B1638" s="29" t="str">
        <f t="shared" si="25"/>
        <v>JUP-18</v>
      </c>
      <c r="C1638" s="29" t="s">
        <v>6392</v>
      </c>
      <c r="D1638" s="67" t="s">
        <v>6393</v>
      </c>
      <c r="E1638" s="96" t="s">
        <v>62</v>
      </c>
      <c r="F1638" s="29" t="s">
        <v>61</v>
      </c>
      <c r="G1638" s="29"/>
      <c r="H1638" s="103">
        <f>_xlfn.XLOOKUP(B1638,GM!$Q$5:$Q$756,GM!$J$5:$J$756)</f>
        <v>45645</v>
      </c>
    </row>
    <row r="1639" spans="1:8" x14ac:dyDescent="0.35">
      <c r="A1639" s="29" t="s">
        <v>24</v>
      </c>
      <c r="B1639" s="29" t="str">
        <f t="shared" si="25"/>
        <v>JUP-18</v>
      </c>
      <c r="C1639" s="29" t="s">
        <v>6394</v>
      </c>
      <c r="D1639" s="67" t="s">
        <v>6395</v>
      </c>
      <c r="E1639" s="96" t="s">
        <v>62</v>
      </c>
      <c r="F1639" s="29" t="s">
        <v>61</v>
      </c>
      <c r="G1639" s="29"/>
      <c r="H1639" s="103">
        <f>_xlfn.XLOOKUP(B1639,GM!$Q$5:$Q$756,GM!$J$5:$J$756)</f>
        <v>45645</v>
      </c>
    </row>
    <row r="1640" spans="1:8" x14ac:dyDescent="0.35">
      <c r="A1640" s="29" t="s">
        <v>24</v>
      </c>
      <c r="B1640" s="29" t="str">
        <f t="shared" si="25"/>
        <v>JUP-18</v>
      </c>
      <c r="C1640" s="29" t="s">
        <v>6396</v>
      </c>
      <c r="D1640" s="67" t="s">
        <v>6397</v>
      </c>
      <c r="E1640" s="96" t="s">
        <v>62</v>
      </c>
      <c r="F1640" s="29" t="s">
        <v>61</v>
      </c>
      <c r="G1640" s="29"/>
      <c r="H1640" s="103">
        <f>_xlfn.XLOOKUP(B1640,GM!$Q$5:$Q$756,GM!$J$5:$J$756)</f>
        <v>45645</v>
      </c>
    </row>
    <row r="1641" spans="1:8" x14ac:dyDescent="0.35">
      <c r="A1641" s="29" t="s">
        <v>24</v>
      </c>
      <c r="B1641" s="29" t="str">
        <f t="shared" si="25"/>
        <v>JUP-18</v>
      </c>
      <c r="C1641" s="29" t="s">
        <v>6398</v>
      </c>
      <c r="D1641" s="67" t="s">
        <v>6399</v>
      </c>
      <c r="E1641" s="96" t="s">
        <v>62</v>
      </c>
      <c r="F1641" s="29" t="s">
        <v>61</v>
      </c>
      <c r="G1641" s="29"/>
      <c r="H1641" s="103">
        <f>_xlfn.XLOOKUP(B1641,GM!$Q$5:$Q$756,GM!$J$5:$J$756)</f>
        <v>45645</v>
      </c>
    </row>
    <row r="1642" spans="1:8" x14ac:dyDescent="0.35">
      <c r="A1642" s="29" t="s">
        <v>24</v>
      </c>
      <c r="B1642" s="29" t="str">
        <f t="shared" si="25"/>
        <v>JUP-18</v>
      </c>
      <c r="C1642" s="29" t="s">
        <v>6400</v>
      </c>
      <c r="D1642" s="67" t="s">
        <v>6401</v>
      </c>
      <c r="E1642" s="96" t="s">
        <v>62</v>
      </c>
      <c r="F1642" s="29" t="s">
        <v>61</v>
      </c>
      <c r="G1642" s="29"/>
      <c r="H1642" s="103">
        <f>_xlfn.XLOOKUP(B1642,GM!$Q$5:$Q$756,GM!$J$5:$J$756)</f>
        <v>45645</v>
      </c>
    </row>
    <row r="1643" spans="1:8" x14ac:dyDescent="0.35">
      <c r="A1643" s="29" t="s">
        <v>24</v>
      </c>
      <c r="B1643" s="29" t="str">
        <f t="shared" si="25"/>
        <v>JUP-17</v>
      </c>
      <c r="C1643" s="29" t="s">
        <v>6402</v>
      </c>
      <c r="D1643" s="67" t="s">
        <v>6403</v>
      </c>
      <c r="E1643" s="96" t="s">
        <v>62</v>
      </c>
      <c r="F1643" s="29" t="s">
        <v>61</v>
      </c>
      <c r="G1643" s="29"/>
      <c r="H1643" s="103">
        <f>_xlfn.XLOOKUP(B1643,GM!$Q$5:$Q$756,GM!$J$5:$J$756)</f>
        <v>45202</v>
      </c>
    </row>
    <row r="1644" spans="1:8" x14ac:dyDescent="0.35">
      <c r="A1644" s="29" t="s">
        <v>24</v>
      </c>
      <c r="B1644" s="29" t="str">
        <f t="shared" si="25"/>
        <v>JUP-17</v>
      </c>
      <c r="C1644" s="29" t="s">
        <v>6404</v>
      </c>
      <c r="D1644" s="67" t="s">
        <v>6405</v>
      </c>
      <c r="E1644" s="96" t="s">
        <v>62</v>
      </c>
      <c r="F1644" s="29" t="s">
        <v>61</v>
      </c>
      <c r="G1644" s="29"/>
      <c r="H1644" s="103">
        <f>_xlfn.XLOOKUP(B1644,GM!$Q$5:$Q$756,GM!$J$5:$J$756)</f>
        <v>45202</v>
      </c>
    </row>
    <row r="1645" spans="1:8" x14ac:dyDescent="0.35">
      <c r="A1645" s="29" t="s">
        <v>24</v>
      </c>
      <c r="B1645" s="29" t="str">
        <f t="shared" si="25"/>
        <v>JUP-17</v>
      </c>
      <c r="C1645" s="29" t="s">
        <v>6406</v>
      </c>
      <c r="D1645" s="67" t="s">
        <v>6407</v>
      </c>
      <c r="E1645" s="96" t="s">
        <v>62</v>
      </c>
      <c r="F1645" s="29" t="s">
        <v>61</v>
      </c>
      <c r="G1645" s="29"/>
      <c r="H1645" s="103">
        <f>_xlfn.XLOOKUP(B1645,GM!$Q$5:$Q$756,GM!$J$5:$J$756)</f>
        <v>45202</v>
      </c>
    </row>
    <row r="1646" spans="1:8" x14ac:dyDescent="0.35">
      <c r="A1646" s="29" t="s">
        <v>24</v>
      </c>
      <c r="B1646" s="29" t="str">
        <f t="shared" si="25"/>
        <v>JUP-17</v>
      </c>
      <c r="C1646" s="29" t="s">
        <v>6408</v>
      </c>
      <c r="D1646" s="67" t="s">
        <v>6409</v>
      </c>
      <c r="E1646" s="96" t="s">
        <v>62</v>
      </c>
      <c r="F1646" s="29" t="s">
        <v>61</v>
      </c>
      <c r="G1646" s="29"/>
      <c r="H1646" s="103">
        <f>_xlfn.XLOOKUP(B1646,GM!$Q$5:$Q$756,GM!$J$5:$J$756)</f>
        <v>45202</v>
      </c>
    </row>
    <row r="1647" spans="1:8" x14ac:dyDescent="0.35">
      <c r="A1647" s="29" t="s">
        <v>24</v>
      </c>
      <c r="B1647" s="29" t="str">
        <f t="shared" si="25"/>
        <v>JUP-17</v>
      </c>
      <c r="C1647" s="29" t="s">
        <v>6410</v>
      </c>
      <c r="D1647" s="67" t="s">
        <v>6411</v>
      </c>
      <c r="E1647" s="96" t="s">
        <v>62</v>
      </c>
      <c r="F1647" s="29" t="s">
        <v>61</v>
      </c>
      <c r="G1647" s="29"/>
      <c r="H1647" s="103">
        <f>_xlfn.XLOOKUP(B1647,GM!$Q$5:$Q$756,GM!$J$5:$J$756)</f>
        <v>45202</v>
      </c>
    </row>
    <row r="1648" spans="1:8" x14ac:dyDescent="0.35">
      <c r="A1648" s="29" t="s">
        <v>24</v>
      </c>
      <c r="B1648" s="29" t="str">
        <f t="shared" si="25"/>
        <v>JUP-17</v>
      </c>
      <c r="C1648" s="29" t="s">
        <v>6412</v>
      </c>
      <c r="D1648" s="67" t="s">
        <v>6413</v>
      </c>
      <c r="E1648" s="96" t="s">
        <v>62</v>
      </c>
      <c r="F1648" s="29" t="s">
        <v>61</v>
      </c>
      <c r="G1648" s="29"/>
      <c r="H1648" s="103">
        <f>_xlfn.XLOOKUP(B1648,GM!$Q$5:$Q$756,GM!$J$5:$J$756)</f>
        <v>45202</v>
      </c>
    </row>
    <row r="1649" spans="1:8" x14ac:dyDescent="0.35">
      <c r="A1649" s="29" t="s">
        <v>24</v>
      </c>
      <c r="B1649" s="29" t="str">
        <f t="shared" si="25"/>
        <v>JUP-16</v>
      </c>
      <c r="C1649" s="29" t="s">
        <v>6414</v>
      </c>
      <c r="D1649" s="67" t="s">
        <v>6415</v>
      </c>
      <c r="E1649" s="96" t="s">
        <v>62</v>
      </c>
      <c r="F1649" s="29" t="s">
        <v>61</v>
      </c>
      <c r="G1649" s="29"/>
      <c r="H1649" s="103">
        <f>_xlfn.XLOOKUP(B1649,GM!$Q$5:$Q$756,GM!$J$5:$J$756)</f>
        <v>46104</v>
      </c>
    </row>
    <row r="1650" spans="1:8" x14ac:dyDescent="0.35">
      <c r="A1650" s="29" t="s">
        <v>24</v>
      </c>
      <c r="B1650" s="29" t="str">
        <f t="shared" si="25"/>
        <v>JUP-16</v>
      </c>
      <c r="C1650" s="29" t="s">
        <v>6416</v>
      </c>
      <c r="D1650" s="67" t="s">
        <v>6417</v>
      </c>
      <c r="E1650" s="96" t="s">
        <v>62</v>
      </c>
      <c r="F1650" s="29" t="s">
        <v>61</v>
      </c>
      <c r="G1650" s="29"/>
      <c r="H1650" s="103">
        <f>_xlfn.XLOOKUP(B1650,GM!$Q$5:$Q$756,GM!$J$5:$J$756)</f>
        <v>46104</v>
      </c>
    </row>
    <row r="1651" spans="1:8" x14ac:dyDescent="0.35">
      <c r="A1651" s="29" t="s">
        <v>24</v>
      </c>
      <c r="B1651" s="29" t="str">
        <f t="shared" si="25"/>
        <v>JUP-16</v>
      </c>
      <c r="C1651" s="29" t="s">
        <v>6418</v>
      </c>
      <c r="D1651" s="67" t="s">
        <v>6419</v>
      </c>
      <c r="E1651" s="96" t="s">
        <v>62</v>
      </c>
      <c r="F1651" s="29" t="s">
        <v>61</v>
      </c>
      <c r="G1651" s="29"/>
      <c r="H1651" s="103">
        <f>_xlfn.XLOOKUP(B1651,GM!$Q$5:$Q$756,GM!$J$5:$J$756)</f>
        <v>46104</v>
      </c>
    </row>
    <row r="1652" spans="1:8" x14ac:dyDescent="0.35">
      <c r="A1652" s="29" t="s">
        <v>24</v>
      </c>
      <c r="B1652" s="29" t="str">
        <f t="shared" si="25"/>
        <v>JUP-16</v>
      </c>
      <c r="C1652" s="29" t="s">
        <v>6420</v>
      </c>
      <c r="D1652" s="67" t="s">
        <v>6421</v>
      </c>
      <c r="E1652" s="96" t="s">
        <v>62</v>
      </c>
      <c r="F1652" s="29" t="s">
        <v>61</v>
      </c>
      <c r="G1652" s="29"/>
      <c r="H1652" s="103">
        <f>_xlfn.XLOOKUP(B1652,GM!$Q$5:$Q$756,GM!$J$5:$J$756)</f>
        <v>46104</v>
      </c>
    </row>
    <row r="1653" spans="1:8" x14ac:dyDescent="0.35">
      <c r="A1653" s="29" t="s">
        <v>24</v>
      </c>
      <c r="B1653" s="29" t="str">
        <f t="shared" si="25"/>
        <v>JUP-16</v>
      </c>
      <c r="C1653" s="29" t="s">
        <v>6422</v>
      </c>
      <c r="D1653" s="67" t="s">
        <v>6423</v>
      </c>
      <c r="E1653" s="96" t="s">
        <v>62</v>
      </c>
      <c r="F1653" s="29" t="s">
        <v>61</v>
      </c>
      <c r="G1653" s="29"/>
      <c r="H1653" s="103">
        <f>_xlfn.XLOOKUP(B1653,GM!$Q$5:$Q$756,GM!$J$5:$J$756)</f>
        <v>46104</v>
      </c>
    </row>
    <row r="1654" spans="1:8" x14ac:dyDescent="0.35">
      <c r="A1654" s="29" t="s">
        <v>24</v>
      </c>
      <c r="B1654" s="29" t="str">
        <f t="shared" si="25"/>
        <v>JUP-15</v>
      </c>
      <c r="C1654" s="29" t="s">
        <v>6424</v>
      </c>
      <c r="D1654" s="67" t="s">
        <v>6425</v>
      </c>
      <c r="E1654" s="96" t="s">
        <v>62</v>
      </c>
      <c r="F1654" s="29" t="s">
        <v>61</v>
      </c>
      <c r="G1654" s="29"/>
      <c r="H1654" s="103">
        <f>_xlfn.XLOOKUP(B1654,GM!$Q$5:$Q$756,GM!$J$5:$J$756)</f>
        <v>46104</v>
      </c>
    </row>
    <row r="1655" spans="1:8" x14ac:dyDescent="0.35">
      <c r="A1655" s="29" t="s">
        <v>24</v>
      </c>
      <c r="B1655" s="29" t="str">
        <f t="shared" si="25"/>
        <v>JUP-15</v>
      </c>
      <c r="C1655" s="29" t="s">
        <v>6426</v>
      </c>
      <c r="D1655" s="67" t="s">
        <v>6427</v>
      </c>
      <c r="E1655" s="96" t="s">
        <v>62</v>
      </c>
      <c r="F1655" s="29" t="s">
        <v>61</v>
      </c>
      <c r="G1655" s="29"/>
      <c r="H1655" s="103">
        <f>_xlfn.XLOOKUP(B1655,GM!$Q$5:$Q$756,GM!$J$5:$J$756)</f>
        <v>46104</v>
      </c>
    </row>
    <row r="1656" spans="1:8" x14ac:dyDescent="0.35">
      <c r="A1656" s="29" t="s">
        <v>24</v>
      </c>
      <c r="B1656" s="29" t="str">
        <f t="shared" si="25"/>
        <v>JUP-15</v>
      </c>
      <c r="C1656" s="29" t="s">
        <v>6428</v>
      </c>
      <c r="D1656" s="67" t="s">
        <v>6429</v>
      </c>
      <c r="E1656" s="96" t="s">
        <v>62</v>
      </c>
      <c r="F1656" s="29" t="s">
        <v>61</v>
      </c>
      <c r="G1656" s="29"/>
      <c r="H1656" s="103">
        <f>_xlfn.XLOOKUP(B1656,GM!$Q$5:$Q$756,GM!$J$5:$J$756)</f>
        <v>46104</v>
      </c>
    </row>
    <row r="1657" spans="1:8" x14ac:dyDescent="0.35">
      <c r="A1657" s="29" t="s">
        <v>24</v>
      </c>
      <c r="B1657" s="29" t="str">
        <f t="shared" si="25"/>
        <v>JUP-15</v>
      </c>
      <c r="C1657" s="29" t="s">
        <v>6430</v>
      </c>
      <c r="D1657" s="67" t="s">
        <v>6431</v>
      </c>
      <c r="E1657" s="96" t="s">
        <v>62</v>
      </c>
      <c r="F1657" s="29" t="s">
        <v>61</v>
      </c>
      <c r="G1657" s="29"/>
      <c r="H1657" s="103">
        <f>_xlfn.XLOOKUP(B1657,GM!$Q$5:$Q$756,GM!$J$5:$J$756)</f>
        <v>46104</v>
      </c>
    </row>
    <row r="1658" spans="1:8" x14ac:dyDescent="0.35">
      <c r="A1658" s="29" t="s">
        <v>24</v>
      </c>
      <c r="B1658" s="29" t="str">
        <f t="shared" si="25"/>
        <v>JUP-15</v>
      </c>
      <c r="C1658" s="29" t="s">
        <v>6432</v>
      </c>
      <c r="D1658" s="67" t="s">
        <v>6433</v>
      </c>
      <c r="E1658" s="96" t="s">
        <v>62</v>
      </c>
      <c r="F1658" s="29" t="s">
        <v>61</v>
      </c>
      <c r="G1658" s="29"/>
      <c r="H1658" s="103">
        <f>_xlfn.XLOOKUP(B1658,GM!$Q$5:$Q$756,GM!$J$5:$J$756)</f>
        <v>46104</v>
      </c>
    </row>
    <row r="1659" spans="1:8" x14ac:dyDescent="0.35">
      <c r="A1659" s="29" t="s">
        <v>24</v>
      </c>
      <c r="B1659" s="29" t="str">
        <f t="shared" si="25"/>
        <v>JUP-15</v>
      </c>
      <c r="C1659" s="29" t="s">
        <v>6434</v>
      </c>
      <c r="D1659" s="67" t="s">
        <v>6435</v>
      </c>
      <c r="E1659" s="96" t="s">
        <v>62</v>
      </c>
      <c r="F1659" s="29" t="s">
        <v>61</v>
      </c>
      <c r="G1659" s="29"/>
      <c r="H1659" s="103">
        <f>_xlfn.XLOOKUP(B1659,GM!$Q$5:$Q$756,GM!$J$5:$J$756)</f>
        <v>46104</v>
      </c>
    </row>
    <row r="1660" spans="1:8" x14ac:dyDescent="0.35">
      <c r="A1660" s="29" t="s">
        <v>24</v>
      </c>
      <c r="B1660" s="29" t="str">
        <f t="shared" si="25"/>
        <v>JUP-15</v>
      </c>
      <c r="C1660" s="29" t="s">
        <v>6436</v>
      </c>
      <c r="D1660" s="67" t="s">
        <v>6437</v>
      </c>
      <c r="E1660" s="96" t="s">
        <v>62</v>
      </c>
      <c r="F1660" s="29" t="s">
        <v>61</v>
      </c>
      <c r="G1660" s="29"/>
      <c r="H1660" s="103">
        <f>_xlfn.XLOOKUP(B1660,GM!$Q$5:$Q$756,GM!$J$5:$J$756)</f>
        <v>46104</v>
      </c>
    </row>
    <row r="1661" spans="1:8" x14ac:dyDescent="0.35">
      <c r="A1661" s="29" t="s">
        <v>24</v>
      </c>
      <c r="B1661" s="29" t="str">
        <f t="shared" si="25"/>
        <v>JUP-15</v>
      </c>
      <c r="C1661" s="29" t="s">
        <v>6438</v>
      </c>
      <c r="D1661" s="67" t="s">
        <v>6439</v>
      </c>
      <c r="E1661" s="96" t="s">
        <v>62</v>
      </c>
      <c r="F1661" s="29" t="s">
        <v>61</v>
      </c>
      <c r="G1661" s="29"/>
      <c r="H1661" s="103">
        <f>_xlfn.XLOOKUP(B1661,GM!$Q$5:$Q$756,GM!$J$5:$J$756)</f>
        <v>46104</v>
      </c>
    </row>
    <row r="1662" spans="1:8" x14ac:dyDescent="0.35">
      <c r="A1662" s="29" t="s">
        <v>24</v>
      </c>
      <c r="B1662" s="29" t="str">
        <f t="shared" si="25"/>
        <v>JUP-15</v>
      </c>
      <c r="C1662" s="29" t="s">
        <v>6440</v>
      </c>
      <c r="D1662" s="67" t="s">
        <v>6441</v>
      </c>
      <c r="E1662" s="96" t="s">
        <v>62</v>
      </c>
      <c r="F1662" s="29" t="s">
        <v>61</v>
      </c>
      <c r="G1662" s="29"/>
      <c r="H1662" s="103">
        <f>_xlfn.XLOOKUP(B1662,GM!$Q$5:$Q$756,GM!$J$5:$J$756)</f>
        <v>46104</v>
      </c>
    </row>
    <row r="1663" spans="1:8" x14ac:dyDescent="0.35">
      <c r="A1663" s="29" t="s">
        <v>24</v>
      </c>
      <c r="B1663" s="29" t="str">
        <f t="shared" si="25"/>
        <v>JUP-15</v>
      </c>
      <c r="C1663" s="29" t="s">
        <v>6442</v>
      </c>
      <c r="D1663" s="67" t="s">
        <v>6443</v>
      </c>
      <c r="E1663" s="96" t="s">
        <v>62</v>
      </c>
      <c r="F1663" s="29" t="s">
        <v>61</v>
      </c>
      <c r="G1663" s="29"/>
      <c r="H1663" s="103">
        <f>_xlfn.XLOOKUP(B1663,GM!$Q$5:$Q$756,GM!$J$5:$J$756)</f>
        <v>46104</v>
      </c>
    </row>
    <row r="1664" spans="1:8" x14ac:dyDescent="0.35">
      <c r="A1664" s="29" t="s">
        <v>24</v>
      </c>
      <c r="B1664" s="29" t="str">
        <f t="shared" si="25"/>
        <v>JUP-15</v>
      </c>
      <c r="C1664" s="29" t="s">
        <v>6444</v>
      </c>
      <c r="D1664" s="67" t="s">
        <v>6445</v>
      </c>
      <c r="E1664" s="96" t="s">
        <v>62</v>
      </c>
      <c r="F1664" s="29" t="s">
        <v>61</v>
      </c>
      <c r="G1664" s="29"/>
      <c r="H1664" s="103">
        <f>_xlfn.XLOOKUP(B1664,GM!$Q$5:$Q$756,GM!$J$5:$J$756)</f>
        <v>46104</v>
      </c>
    </row>
    <row r="1665" spans="1:8" x14ac:dyDescent="0.35">
      <c r="A1665" s="29" t="s">
        <v>24</v>
      </c>
      <c r="B1665" s="29" t="str">
        <f t="shared" si="25"/>
        <v>JUP-15</v>
      </c>
      <c r="C1665" s="29" t="s">
        <v>6446</v>
      </c>
      <c r="D1665" s="67" t="s">
        <v>6447</v>
      </c>
      <c r="E1665" s="96" t="s">
        <v>62</v>
      </c>
      <c r="F1665" s="29" t="s">
        <v>61</v>
      </c>
      <c r="G1665" s="29"/>
      <c r="H1665" s="103">
        <f>_xlfn.XLOOKUP(B1665,GM!$Q$5:$Q$756,GM!$J$5:$J$756)</f>
        <v>46104</v>
      </c>
    </row>
    <row r="1666" spans="1:8" x14ac:dyDescent="0.35">
      <c r="A1666" s="29" t="s">
        <v>24</v>
      </c>
      <c r="B1666" s="29" t="str">
        <f t="shared" si="25"/>
        <v>JUP-15</v>
      </c>
      <c r="C1666" s="29" t="s">
        <v>6448</v>
      </c>
      <c r="D1666" s="67" t="s">
        <v>6449</v>
      </c>
      <c r="E1666" s="96" t="s">
        <v>62</v>
      </c>
      <c r="F1666" s="29" t="s">
        <v>61</v>
      </c>
      <c r="G1666" s="29"/>
      <c r="H1666" s="103">
        <f>_xlfn.XLOOKUP(B1666,GM!$Q$5:$Q$756,GM!$J$5:$J$756)</f>
        <v>46104</v>
      </c>
    </row>
    <row r="1667" spans="1:8" x14ac:dyDescent="0.35">
      <c r="A1667" s="29" t="s">
        <v>24</v>
      </c>
      <c r="B1667" s="29" t="str">
        <f t="shared" si="25"/>
        <v>JUP-15</v>
      </c>
      <c r="C1667" s="29" t="s">
        <v>6450</v>
      </c>
      <c r="D1667" s="67" t="s">
        <v>6451</v>
      </c>
      <c r="E1667" s="96" t="s">
        <v>62</v>
      </c>
      <c r="F1667" s="29" t="s">
        <v>61</v>
      </c>
      <c r="G1667" s="29"/>
      <c r="H1667" s="103">
        <f>_xlfn.XLOOKUP(B1667,GM!$Q$5:$Q$756,GM!$J$5:$J$756)</f>
        <v>46104</v>
      </c>
    </row>
    <row r="1668" spans="1:8" x14ac:dyDescent="0.35">
      <c r="A1668" s="29" t="s">
        <v>24</v>
      </c>
      <c r="B1668" s="29" t="str">
        <f t="shared" si="25"/>
        <v>JUP-15</v>
      </c>
      <c r="C1668" s="29" t="s">
        <v>6452</v>
      </c>
      <c r="D1668" s="67" t="s">
        <v>6453</v>
      </c>
      <c r="E1668" s="96" t="s">
        <v>62</v>
      </c>
      <c r="F1668" s="29" t="s">
        <v>61</v>
      </c>
      <c r="G1668" s="29"/>
      <c r="H1668" s="103">
        <f>_xlfn.XLOOKUP(B1668,GM!$Q$5:$Q$756,GM!$J$5:$J$756)</f>
        <v>46104</v>
      </c>
    </row>
    <row r="1669" spans="1:8" x14ac:dyDescent="0.35">
      <c r="A1669" s="29" t="s">
        <v>24</v>
      </c>
      <c r="B1669" s="29" t="str">
        <f t="shared" ref="B1669:B1732" si="26">IF(OR(A1669="ARN",A1669="SDP"),MID(C1669,4,7),MID(C1669,4,6))</f>
        <v>JUP-15</v>
      </c>
      <c r="C1669" s="29" t="s">
        <v>6454</v>
      </c>
      <c r="D1669" s="67" t="s">
        <v>6455</v>
      </c>
      <c r="E1669" s="96" t="s">
        <v>62</v>
      </c>
      <c r="F1669" s="29" t="s">
        <v>61</v>
      </c>
      <c r="G1669" s="29"/>
      <c r="H1669" s="103">
        <f>_xlfn.XLOOKUP(B1669,GM!$Q$5:$Q$756,GM!$J$5:$J$756)</f>
        <v>46104</v>
      </c>
    </row>
    <row r="1670" spans="1:8" x14ac:dyDescent="0.35">
      <c r="A1670" s="29" t="s">
        <v>24</v>
      </c>
      <c r="B1670" s="29" t="str">
        <f t="shared" si="26"/>
        <v>JUP-15</v>
      </c>
      <c r="C1670" s="29" t="s">
        <v>6456</v>
      </c>
      <c r="D1670" s="67" t="s">
        <v>6457</v>
      </c>
      <c r="E1670" s="96" t="s">
        <v>62</v>
      </c>
      <c r="F1670" s="29" t="s">
        <v>61</v>
      </c>
      <c r="G1670" s="29"/>
      <c r="H1670" s="103">
        <f>_xlfn.XLOOKUP(B1670,GM!$Q$5:$Q$756,GM!$J$5:$J$756)</f>
        <v>46104</v>
      </c>
    </row>
    <row r="1671" spans="1:8" x14ac:dyDescent="0.35">
      <c r="A1671" s="29" t="s">
        <v>24</v>
      </c>
      <c r="B1671" s="29" t="str">
        <f t="shared" si="26"/>
        <v>JUP-15</v>
      </c>
      <c r="C1671" s="29" t="s">
        <v>6458</v>
      </c>
      <c r="D1671" s="67" t="s">
        <v>6459</v>
      </c>
      <c r="E1671" s="96" t="s">
        <v>62</v>
      </c>
      <c r="F1671" s="29" t="s">
        <v>61</v>
      </c>
      <c r="G1671" s="29"/>
      <c r="H1671" s="103">
        <f>_xlfn.XLOOKUP(B1671,GM!$Q$5:$Q$756,GM!$J$5:$J$756)</f>
        <v>46104</v>
      </c>
    </row>
    <row r="1672" spans="1:8" x14ac:dyDescent="0.35">
      <c r="A1672" s="29" t="s">
        <v>24</v>
      </c>
      <c r="B1672" s="29" t="str">
        <f t="shared" si="26"/>
        <v>JUP-15</v>
      </c>
      <c r="C1672" s="29" t="s">
        <v>6460</v>
      </c>
      <c r="D1672" s="67" t="s">
        <v>6461</v>
      </c>
      <c r="E1672" s="96" t="s">
        <v>62</v>
      </c>
      <c r="F1672" s="29" t="s">
        <v>61</v>
      </c>
      <c r="G1672" s="29"/>
      <c r="H1672" s="103">
        <f>_xlfn.XLOOKUP(B1672,GM!$Q$5:$Q$756,GM!$J$5:$J$756)</f>
        <v>46104</v>
      </c>
    </row>
    <row r="1673" spans="1:8" x14ac:dyDescent="0.35">
      <c r="A1673" s="29" t="s">
        <v>24</v>
      </c>
      <c r="B1673" s="29" t="str">
        <f t="shared" si="26"/>
        <v>JUP-15</v>
      </c>
      <c r="C1673" s="29" t="s">
        <v>6462</v>
      </c>
      <c r="D1673" s="67" t="s">
        <v>6463</v>
      </c>
      <c r="E1673" s="96" t="s">
        <v>62</v>
      </c>
      <c r="F1673" s="29" t="s">
        <v>61</v>
      </c>
      <c r="G1673" s="29"/>
      <c r="H1673" s="103">
        <f>_xlfn.XLOOKUP(B1673,GM!$Q$5:$Q$756,GM!$J$5:$J$756)</f>
        <v>46104</v>
      </c>
    </row>
    <row r="1674" spans="1:8" x14ac:dyDescent="0.35">
      <c r="A1674" s="29" t="s">
        <v>24</v>
      </c>
      <c r="B1674" s="29" t="str">
        <f t="shared" si="26"/>
        <v>JUP-15</v>
      </c>
      <c r="C1674" s="29" t="s">
        <v>6464</v>
      </c>
      <c r="D1674" s="67" t="s">
        <v>6465</v>
      </c>
      <c r="E1674" s="96" t="s">
        <v>62</v>
      </c>
      <c r="F1674" s="29" t="s">
        <v>61</v>
      </c>
      <c r="G1674" s="29"/>
      <c r="H1674" s="103">
        <f>_xlfn.XLOOKUP(B1674,GM!$Q$5:$Q$756,GM!$J$5:$J$756)</f>
        <v>46104</v>
      </c>
    </row>
    <row r="1675" spans="1:8" x14ac:dyDescent="0.35">
      <c r="A1675" s="29" t="s">
        <v>24</v>
      </c>
      <c r="B1675" s="29" t="str">
        <f t="shared" si="26"/>
        <v>JUP-15</v>
      </c>
      <c r="C1675" s="29" t="s">
        <v>6466</v>
      </c>
      <c r="D1675" s="67" t="s">
        <v>6467</v>
      </c>
      <c r="E1675" s="96" t="s">
        <v>62</v>
      </c>
      <c r="F1675" s="29" t="s">
        <v>61</v>
      </c>
      <c r="G1675" s="29"/>
      <c r="H1675" s="103">
        <f>_xlfn.XLOOKUP(B1675,GM!$Q$5:$Q$756,GM!$J$5:$J$756)</f>
        <v>46104</v>
      </c>
    </row>
    <row r="1676" spans="1:8" x14ac:dyDescent="0.35">
      <c r="A1676" s="29" t="s">
        <v>24</v>
      </c>
      <c r="B1676" s="29" t="str">
        <f t="shared" si="26"/>
        <v>JUP-15</v>
      </c>
      <c r="C1676" s="29" t="s">
        <v>6468</v>
      </c>
      <c r="D1676" s="67" t="s">
        <v>6469</v>
      </c>
      <c r="E1676" s="96" t="s">
        <v>62</v>
      </c>
      <c r="F1676" s="29" t="s">
        <v>61</v>
      </c>
      <c r="G1676" s="29"/>
      <c r="H1676" s="103">
        <f>_xlfn.XLOOKUP(B1676,GM!$Q$5:$Q$756,GM!$J$5:$J$756)</f>
        <v>46104</v>
      </c>
    </row>
    <row r="1677" spans="1:8" x14ac:dyDescent="0.35">
      <c r="A1677" s="29" t="s">
        <v>24</v>
      </c>
      <c r="B1677" s="29" t="str">
        <f t="shared" si="26"/>
        <v>JUP-15</v>
      </c>
      <c r="C1677" s="29" t="s">
        <v>6470</v>
      </c>
      <c r="D1677" s="67" t="s">
        <v>6471</v>
      </c>
      <c r="E1677" s="96" t="s">
        <v>62</v>
      </c>
      <c r="F1677" s="29" t="s">
        <v>61</v>
      </c>
      <c r="G1677" s="29"/>
      <c r="H1677" s="103">
        <f>_xlfn.XLOOKUP(B1677,GM!$Q$5:$Q$756,GM!$J$5:$J$756)</f>
        <v>46104</v>
      </c>
    </row>
    <row r="1678" spans="1:8" x14ac:dyDescent="0.35">
      <c r="A1678" s="29" t="s">
        <v>24</v>
      </c>
      <c r="B1678" s="29" t="str">
        <f t="shared" si="26"/>
        <v>JUP-15</v>
      </c>
      <c r="C1678" s="29" t="s">
        <v>6472</v>
      </c>
      <c r="D1678" s="67" t="s">
        <v>6473</v>
      </c>
      <c r="E1678" s="96" t="s">
        <v>62</v>
      </c>
      <c r="F1678" s="29" t="s">
        <v>61</v>
      </c>
      <c r="G1678" s="29"/>
      <c r="H1678" s="103">
        <f>_xlfn.XLOOKUP(B1678,GM!$Q$5:$Q$756,GM!$J$5:$J$756)</f>
        <v>46104</v>
      </c>
    </row>
    <row r="1679" spans="1:8" x14ac:dyDescent="0.35">
      <c r="A1679" s="29" t="s">
        <v>24</v>
      </c>
      <c r="B1679" s="29" t="str">
        <f t="shared" si="26"/>
        <v>JUP-14</v>
      </c>
      <c r="C1679" s="29" t="s">
        <v>6474</v>
      </c>
      <c r="D1679" s="67" t="s">
        <v>6475</v>
      </c>
      <c r="E1679" s="96" t="s">
        <v>62</v>
      </c>
      <c r="F1679" s="29" t="s">
        <v>61</v>
      </c>
      <c r="G1679" s="29"/>
      <c r="H1679" s="103">
        <f>_xlfn.XLOOKUP(B1679,GM!$Q$5:$Q$756,GM!$J$5:$J$756)</f>
        <v>45202</v>
      </c>
    </row>
    <row r="1680" spans="1:8" x14ac:dyDescent="0.35">
      <c r="A1680" s="29" t="s">
        <v>24</v>
      </c>
      <c r="B1680" s="29" t="str">
        <f t="shared" si="26"/>
        <v>JUP-13</v>
      </c>
      <c r="C1680" s="29" t="s">
        <v>6476</v>
      </c>
      <c r="D1680" s="67" t="s">
        <v>6477</v>
      </c>
      <c r="E1680" s="96" t="s">
        <v>62</v>
      </c>
      <c r="F1680" s="29" t="s">
        <v>61</v>
      </c>
      <c r="G1680" s="29"/>
      <c r="H1680" s="103">
        <f>_xlfn.XLOOKUP(B1680,GM!$Q$5:$Q$756,GM!$J$5:$J$756)</f>
        <v>46104</v>
      </c>
    </row>
    <row r="1681" spans="1:8" x14ac:dyDescent="0.35">
      <c r="A1681" s="29" t="s">
        <v>24</v>
      </c>
      <c r="B1681" s="29" t="str">
        <f t="shared" si="26"/>
        <v>JUP-13</v>
      </c>
      <c r="C1681" s="29" t="s">
        <v>6478</v>
      </c>
      <c r="D1681" s="67" t="s">
        <v>6479</v>
      </c>
      <c r="E1681" s="96" t="s">
        <v>62</v>
      </c>
      <c r="F1681" s="29" t="s">
        <v>61</v>
      </c>
      <c r="G1681" s="29"/>
      <c r="H1681" s="103">
        <f>_xlfn.XLOOKUP(B1681,GM!$Q$5:$Q$756,GM!$J$5:$J$756)</f>
        <v>46104</v>
      </c>
    </row>
    <row r="1682" spans="1:8" x14ac:dyDescent="0.35">
      <c r="A1682" s="29" t="s">
        <v>24</v>
      </c>
      <c r="B1682" s="29" t="str">
        <f t="shared" si="26"/>
        <v>JUP-13</v>
      </c>
      <c r="C1682" s="29" t="s">
        <v>6480</v>
      </c>
      <c r="D1682" s="67" t="s">
        <v>6481</v>
      </c>
      <c r="E1682" s="96" t="s">
        <v>62</v>
      </c>
      <c r="F1682" s="29" t="s">
        <v>61</v>
      </c>
      <c r="G1682" s="29"/>
      <c r="H1682" s="103">
        <f>_xlfn.XLOOKUP(B1682,GM!$Q$5:$Q$756,GM!$J$5:$J$756)</f>
        <v>46104</v>
      </c>
    </row>
    <row r="1683" spans="1:8" x14ac:dyDescent="0.35">
      <c r="A1683" s="29" t="s">
        <v>24</v>
      </c>
      <c r="B1683" s="29" t="str">
        <f t="shared" si="26"/>
        <v>JUP-13</v>
      </c>
      <c r="C1683" s="29" t="s">
        <v>6482</v>
      </c>
      <c r="D1683" s="67" t="s">
        <v>6483</v>
      </c>
      <c r="E1683" s="96" t="s">
        <v>62</v>
      </c>
      <c r="F1683" s="29" t="s">
        <v>61</v>
      </c>
      <c r="G1683" s="29"/>
      <c r="H1683" s="103">
        <f>_xlfn.XLOOKUP(B1683,GM!$Q$5:$Q$756,GM!$J$5:$J$756)</f>
        <v>46104</v>
      </c>
    </row>
    <row r="1684" spans="1:8" x14ac:dyDescent="0.35">
      <c r="A1684" s="29" t="s">
        <v>24</v>
      </c>
      <c r="B1684" s="29" t="str">
        <f t="shared" si="26"/>
        <v>JUP-13</v>
      </c>
      <c r="C1684" s="29" t="s">
        <v>6484</v>
      </c>
      <c r="D1684" s="67" t="s">
        <v>6485</v>
      </c>
      <c r="E1684" s="96" t="s">
        <v>62</v>
      </c>
      <c r="F1684" s="29" t="s">
        <v>61</v>
      </c>
      <c r="G1684" s="29"/>
      <c r="H1684" s="103">
        <f>_xlfn.XLOOKUP(B1684,GM!$Q$5:$Q$756,GM!$J$5:$J$756)</f>
        <v>46104</v>
      </c>
    </row>
    <row r="1685" spans="1:8" x14ac:dyDescent="0.35">
      <c r="A1685" s="29" t="s">
        <v>24</v>
      </c>
      <c r="B1685" s="29" t="str">
        <f t="shared" si="26"/>
        <v>JUP-13</v>
      </c>
      <c r="C1685" s="29" t="s">
        <v>6486</v>
      </c>
      <c r="D1685" s="67" t="s">
        <v>6487</v>
      </c>
      <c r="E1685" s="96" t="s">
        <v>62</v>
      </c>
      <c r="F1685" s="29" t="s">
        <v>61</v>
      </c>
      <c r="G1685" s="29"/>
      <c r="H1685" s="103">
        <f>_xlfn.XLOOKUP(B1685,GM!$Q$5:$Q$756,GM!$J$5:$J$756)</f>
        <v>46104</v>
      </c>
    </row>
    <row r="1686" spans="1:8" x14ac:dyDescent="0.35">
      <c r="A1686" s="29" t="s">
        <v>24</v>
      </c>
      <c r="B1686" s="29" t="str">
        <f t="shared" si="26"/>
        <v>JUP-12</v>
      </c>
      <c r="C1686" s="29" t="s">
        <v>6488</v>
      </c>
      <c r="D1686" s="67" t="s">
        <v>6489</v>
      </c>
      <c r="E1686" s="96" t="s">
        <v>62</v>
      </c>
      <c r="F1686" s="29" t="s">
        <v>61</v>
      </c>
      <c r="G1686" s="29"/>
      <c r="H1686" s="103">
        <f>_xlfn.XLOOKUP(B1686,GM!$Q$5:$Q$756,GM!$J$5:$J$756)</f>
        <v>46104</v>
      </c>
    </row>
    <row r="1687" spans="1:8" x14ac:dyDescent="0.35">
      <c r="A1687" s="29" t="s">
        <v>24</v>
      </c>
      <c r="B1687" s="29" t="str">
        <f t="shared" si="26"/>
        <v>JUP-11</v>
      </c>
      <c r="C1687" s="29" t="s">
        <v>6490</v>
      </c>
      <c r="D1687" s="67" t="s">
        <v>6491</v>
      </c>
      <c r="E1687" s="96" t="s">
        <v>62</v>
      </c>
      <c r="F1687" s="29" t="s">
        <v>61</v>
      </c>
      <c r="G1687" s="29"/>
      <c r="H1687" s="103">
        <f>_xlfn.XLOOKUP(B1687,GM!$Q$5:$Q$756,GM!$J$5:$J$756)</f>
        <v>46104</v>
      </c>
    </row>
    <row r="1688" spans="1:8" x14ac:dyDescent="0.35">
      <c r="A1688" s="29" t="s">
        <v>24</v>
      </c>
      <c r="B1688" s="29" t="str">
        <f t="shared" si="26"/>
        <v>JUP-11</v>
      </c>
      <c r="C1688" s="29" t="s">
        <v>6492</v>
      </c>
      <c r="D1688" s="67" t="s">
        <v>6493</v>
      </c>
      <c r="E1688" s="96" t="s">
        <v>62</v>
      </c>
      <c r="F1688" s="29" t="s">
        <v>61</v>
      </c>
      <c r="G1688" s="29"/>
      <c r="H1688" s="103">
        <f>_xlfn.XLOOKUP(B1688,GM!$Q$5:$Q$756,GM!$J$5:$J$756)</f>
        <v>46104</v>
      </c>
    </row>
    <row r="1689" spans="1:8" x14ac:dyDescent="0.35">
      <c r="A1689" s="29" t="s">
        <v>24</v>
      </c>
      <c r="B1689" s="29" t="str">
        <f t="shared" si="26"/>
        <v>JUP-11</v>
      </c>
      <c r="C1689" s="29" t="s">
        <v>6494</v>
      </c>
      <c r="D1689" s="67" t="s">
        <v>6495</v>
      </c>
      <c r="E1689" s="96" t="s">
        <v>62</v>
      </c>
      <c r="F1689" s="29" t="s">
        <v>61</v>
      </c>
      <c r="G1689" s="29"/>
      <c r="H1689" s="103">
        <f>_xlfn.XLOOKUP(B1689,GM!$Q$5:$Q$756,GM!$J$5:$J$756)</f>
        <v>46104</v>
      </c>
    </row>
    <row r="1690" spans="1:8" x14ac:dyDescent="0.35">
      <c r="A1690" s="29" t="s">
        <v>24</v>
      </c>
      <c r="B1690" s="29" t="str">
        <f t="shared" si="26"/>
        <v>JUP-11</v>
      </c>
      <c r="C1690" s="29" t="s">
        <v>6496</v>
      </c>
      <c r="D1690" s="67" t="s">
        <v>6497</v>
      </c>
      <c r="E1690" s="96" t="s">
        <v>62</v>
      </c>
      <c r="F1690" s="29" t="s">
        <v>61</v>
      </c>
      <c r="G1690" s="29"/>
      <c r="H1690" s="103">
        <f>_xlfn.XLOOKUP(B1690,GM!$Q$5:$Q$756,GM!$J$5:$J$756)</f>
        <v>46104</v>
      </c>
    </row>
    <row r="1691" spans="1:8" x14ac:dyDescent="0.35">
      <c r="A1691" s="29" t="s">
        <v>24</v>
      </c>
      <c r="B1691" s="29" t="str">
        <f t="shared" si="26"/>
        <v>JUP-10</v>
      </c>
      <c r="C1691" s="29" t="s">
        <v>6498</v>
      </c>
      <c r="D1691" s="67" t="s">
        <v>6499</v>
      </c>
      <c r="E1691" s="96" t="s">
        <v>62</v>
      </c>
      <c r="F1691" s="29" t="s">
        <v>61</v>
      </c>
      <c r="G1691" s="29"/>
      <c r="H1691" s="103">
        <f>_xlfn.XLOOKUP(B1691,GM!$Q$5:$Q$756,GM!$J$5:$J$756)</f>
        <v>45959</v>
      </c>
    </row>
    <row r="1692" spans="1:8" x14ac:dyDescent="0.35">
      <c r="A1692" s="29" t="s">
        <v>24</v>
      </c>
      <c r="B1692" s="29" t="str">
        <f t="shared" si="26"/>
        <v>JUP-10</v>
      </c>
      <c r="C1692" s="29" t="s">
        <v>6500</v>
      </c>
      <c r="D1692" s="67" t="s">
        <v>6501</v>
      </c>
      <c r="E1692" s="96" t="s">
        <v>62</v>
      </c>
      <c r="F1692" s="29" t="s">
        <v>61</v>
      </c>
      <c r="G1692" s="29"/>
      <c r="H1692" s="103">
        <f>_xlfn.XLOOKUP(B1692,GM!$Q$5:$Q$756,GM!$J$5:$J$756)</f>
        <v>45959</v>
      </c>
    </row>
    <row r="1693" spans="1:8" x14ac:dyDescent="0.35">
      <c r="A1693" s="29" t="s">
        <v>24</v>
      </c>
      <c r="B1693" s="29" t="str">
        <f t="shared" si="26"/>
        <v>JUP-10</v>
      </c>
      <c r="C1693" s="29" t="s">
        <v>6502</v>
      </c>
      <c r="D1693" s="67" t="s">
        <v>6503</v>
      </c>
      <c r="E1693" s="96" t="s">
        <v>62</v>
      </c>
      <c r="F1693" s="29" t="s">
        <v>61</v>
      </c>
      <c r="G1693" s="29"/>
      <c r="H1693" s="103">
        <f>_xlfn.XLOOKUP(B1693,GM!$Q$5:$Q$756,GM!$J$5:$J$756)</f>
        <v>45959</v>
      </c>
    </row>
    <row r="1694" spans="1:8" x14ac:dyDescent="0.35">
      <c r="A1694" s="29" t="s">
        <v>24</v>
      </c>
      <c r="B1694" s="29" t="str">
        <f t="shared" si="26"/>
        <v>JUP-10</v>
      </c>
      <c r="C1694" s="29" t="s">
        <v>6504</v>
      </c>
      <c r="D1694" s="67" t="s">
        <v>6505</v>
      </c>
      <c r="E1694" s="96" t="s">
        <v>62</v>
      </c>
      <c r="F1694" s="29" t="s">
        <v>61</v>
      </c>
      <c r="G1694" s="29"/>
      <c r="H1694" s="103">
        <f>_xlfn.XLOOKUP(B1694,GM!$Q$5:$Q$756,GM!$J$5:$J$756)</f>
        <v>45959</v>
      </c>
    </row>
    <row r="1695" spans="1:8" x14ac:dyDescent="0.35">
      <c r="A1695" s="29" t="s">
        <v>24</v>
      </c>
      <c r="B1695" s="29" t="str">
        <f t="shared" si="26"/>
        <v>JUP-10</v>
      </c>
      <c r="C1695" s="29" t="s">
        <v>6506</v>
      </c>
      <c r="D1695" s="67" t="s">
        <v>6507</v>
      </c>
      <c r="E1695" s="96" t="s">
        <v>62</v>
      </c>
      <c r="F1695" s="29" t="s">
        <v>61</v>
      </c>
      <c r="G1695" s="29"/>
      <c r="H1695" s="103">
        <f>_xlfn.XLOOKUP(B1695,GM!$Q$5:$Q$756,GM!$J$5:$J$756)</f>
        <v>45959</v>
      </c>
    </row>
    <row r="1696" spans="1:8" x14ac:dyDescent="0.35">
      <c r="A1696" s="29" t="s">
        <v>24</v>
      </c>
      <c r="B1696" s="29" t="str">
        <f t="shared" si="26"/>
        <v>JUP-10</v>
      </c>
      <c r="C1696" s="29" t="s">
        <v>6508</v>
      </c>
      <c r="D1696" s="67" t="s">
        <v>6509</v>
      </c>
      <c r="E1696" s="96" t="s">
        <v>62</v>
      </c>
      <c r="F1696" s="29" t="s">
        <v>61</v>
      </c>
      <c r="G1696" s="29"/>
      <c r="H1696" s="103">
        <f>_xlfn.XLOOKUP(B1696,GM!$Q$5:$Q$756,GM!$J$5:$J$756)</f>
        <v>45959</v>
      </c>
    </row>
    <row r="1697" spans="1:8" x14ac:dyDescent="0.35">
      <c r="A1697" s="29" t="s">
        <v>24</v>
      </c>
      <c r="B1697" s="29" t="str">
        <f t="shared" si="26"/>
        <v>JUP-10</v>
      </c>
      <c r="C1697" s="29" t="s">
        <v>6510</v>
      </c>
      <c r="D1697" s="67" t="s">
        <v>6511</v>
      </c>
      <c r="E1697" s="96" t="s">
        <v>62</v>
      </c>
      <c r="F1697" s="29" t="s">
        <v>61</v>
      </c>
      <c r="G1697" s="29"/>
      <c r="H1697" s="103">
        <f>_xlfn.XLOOKUP(B1697,GM!$Q$5:$Q$756,GM!$J$5:$J$756)</f>
        <v>45959</v>
      </c>
    </row>
    <row r="1698" spans="1:8" x14ac:dyDescent="0.35">
      <c r="A1698" s="29" t="s">
        <v>24</v>
      </c>
      <c r="B1698" s="29" t="str">
        <f t="shared" si="26"/>
        <v>JUP-10</v>
      </c>
      <c r="C1698" s="29" t="s">
        <v>6512</v>
      </c>
      <c r="D1698" s="67" t="s">
        <v>6513</v>
      </c>
      <c r="E1698" s="96" t="s">
        <v>62</v>
      </c>
      <c r="F1698" s="29" t="s">
        <v>61</v>
      </c>
      <c r="G1698" s="29"/>
      <c r="H1698" s="103">
        <f>_xlfn.XLOOKUP(B1698,GM!$Q$5:$Q$756,GM!$J$5:$J$756)</f>
        <v>45959</v>
      </c>
    </row>
    <row r="1699" spans="1:8" x14ac:dyDescent="0.35">
      <c r="A1699" s="29" t="s">
        <v>24</v>
      </c>
      <c r="B1699" s="29" t="str">
        <f t="shared" si="26"/>
        <v>JUP-09</v>
      </c>
      <c r="C1699" s="29" t="s">
        <v>6514</v>
      </c>
      <c r="D1699" s="67" t="s">
        <v>6515</v>
      </c>
      <c r="E1699" s="96" t="s">
        <v>62</v>
      </c>
      <c r="F1699" s="29" t="s">
        <v>61</v>
      </c>
      <c r="G1699" s="29"/>
      <c r="H1699" s="103">
        <f>_xlfn.XLOOKUP(B1699,GM!$Q$5:$Q$756,GM!$J$5:$J$756)</f>
        <v>45959</v>
      </c>
    </row>
    <row r="1700" spans="1:8" x14ac:dyDescent="0.35">
      <c r="A1700" s="29" t="s">
        <v>24</v>
      </c>
      <c r="B1700" s="29" t="str">
        <f t="shared" si="26"/>
        <v>JUP-09</v>
      </c>
      <c r="C1700" s="29" t="s">
        <v>6516</v>
      </c>
      <c r="D1700" s="67" t="s">
        <v>6517</v>
      </c>
      <c r="E1700" s="96" t="s">
        <v>62</v>
      </c>
      <c r="F1700" s="29" t="s">
        <v>61</v>
      </c>
      <c r="G1700" s="29"/>
      <c r="H1700" s="103">
        <f>_xlfn.XLOOKUP(B1700,GM!$Q$5:$Q$756,GM!$J$5:$J$756)</f>
        <v>45959</v>
      </c>
    </row>
    <row r="1701" spans="1:8" x14ac:dyDescent="0.35">
      <c r="A1701" s="29" t="s">
        <v>24</v>
      </c>
      <c r="B1701" s="29" t="str">
        <f t="shared" si="26"/>
        <v>JUP-09</v>
      </c>
      <c r="C1701" s="29" t="s">
        <v>6518</v>
      </c>
      <c r="D1701" s="67" t="s">
        <v>6519</v>
      </c>
      <c r="E1701" s="96" t="s">
        <v>62</v>
      </c>
      <c r="F1701" s="29" t="s">
        <v>61</v>
      </c>
      <c r="G1701" s="29"/>
      <c r="H1701" s="103">
        <f>_xlfn.XLOOKUP(B1701,GM!$Q$5:$Q$756,GM!$J$5:$J$756)</f>
        <v>45959</v>
      </c>
    </row>
    <row r="1702" spans="1:8" x14ac:dyDescent="0.35">
      <c r="A1702" s="29" t="s">
        <v>24</v>
      </c>
      <c r="B1702" s="29" t="str">
        <f t="shared" si="26"/>
        <v>JUP-09</v>
      </c>
      <c r="C1702" s="29" t="s">
        <v>6520</v>
      </c>
      <c r="D1702" s="67" t="s">
        <v>6521</v>
      </c>
      <c r="E1702" s="96" t="s">
        <v>62</v>
      </c>
      <c r="F1702" s="29" t="s">
        <v>61</v>
      </c>
      <c r="G1702" s="29"/>
      <c r="H1702" s="103">
        <f>_xlfn.XLOOKUP(B1702,GM!$Q$5:$Q$756,GM!$J$5:$J$756)</f>
        <v>45959</v>
      </c>
    </row>
    <row r="1703" spans="1:8" x14ac:dyDescent="0.35">
      <c r="A1703" s="29" t="s">
        <v>24</v>
      </c>
      <c r="B1703" s="29" t="str">
        <f t="shared" si="26"/>
        <v>JUP-09</v>
      </c>
      <c r="C1703" s="29" t="s">
        <v>6522</v>
      </c>
      <c r="D1703" s="67" t="s">
        <v>6523</v>
      </c>
      <c r="E1703" s="96" t="s">
        <v>62</v>
      </c>
      <c r="F1703" s="29" t="s">
        <v>61</v>
      </c>
      <c r="G1703" s="29"/>
      <c r="H1703" s="103">
        <f>_xlfn.XLOOKUP(B1703,GM!$Q$5:$Q$756,GM!$J$5:$J$756)</f>
        <v>45959</v>
      </c>
    </row>
    <row r="1704" spans="1:8" x14ac:dyDescent="0.35">
      <c r="A1704" s="29" t="s">
        <v>24</v>
      </c>
      <c r="B1704" s="29" t="str">
        <f t="shared" si="26"/>
        <v>JUP-09</v>
      </c>
      <c r="C1704" s="29" t="s">
        <v>6524</v>
      </c>
      <c r="D1704" s="67" t="s">
        <v>6525</v>
      </c>
      <c r="E1704" s="96" t="s">
        <v>62</v>
      </c>
      <c r="F1704" s="29" t="s">
        <v>61</v>
      </c>
      <c r="G1704" s="29"/>
      <c r="H1704" s="103">
        <f>_xlfn.XLOOKUP(B1704,GM!$Q$5:$Q$756,GM!$J$5:$J$756)</f>
        <v>45959</v>
      </c>
    </row>
    <row r="1705" spans="1:8" x14ac:dyDescent="0.35">
      <c r="A1705" s="29" t="s">
        <v>24</v>
      </c>
      <c r="B1705" s="29" t="str">
        <f t="shared" si="26"/>
        <v>JUP-09</v>
      </c>
      <c r="C1705" s="29" t="s">
        <v>6526</v>
      </c>
      <c r="D1705" s="67" t="s">
        <v>6527</v>
      </c>
      <c r="E1705" s="96" t="s">
        <v>62</v>
      </c>
      <c r="F1705" s="29" t="s">
        <v>61</v>
      </c>
      <c r="G1705" s="29"/>
      <c r="H1705" s="103">
        <f>_xlfn.XLOOKUP(B1705,GM!$Q$5:$Q$756,GM!$J$5:$J$756)</f>
        <v>45959</v>
      </c>
    </row>
    <row r="1706" spans="1:8" x14ac:dyDescent="0.35">
      <c r="A1706" s="29" t="s">
        <v>24</v>
      </c>
      <c r="B1706" s="29" t="str">
        <f t="shared" si="26"/>
        <v>JUP-09</v>
      </c>
      <c r="C1706" s="29" t="s">
        <v>6528</v>
      </c>
      <c r="D1706" s="67" t="s">
        <v>6529</v>
      </c>
      <c r="E1706" s="96" t="s">
        <v>62</v>
      </c>
      <c r="F1706" s="29" t="s">
        <v>61</v>
      </c>
      <c r="G1706" s="29"/>
      <c r="H1706" s="103">
        <f>_xlfn.XLOOKUP(B1706,GM!$Q$5:$Q$756,GM!$J$5:$J$756)</f>
        <v>45959</v>
      </c>
    </row>
    <row r="1707" spans="1:8" x14ac:dyDescent="0.35">
      <c r="A1707" s="29" t="s">
        <v>24</v>
      </c>
      <c r="B1707" s="29" t="str">
        <f t="shared" si="26"/>
        <v>JUP-09</v>
      </c>
      <c r="C1707" s="29" t="s">
        <v>6530</v>
      </c>
      <c r="D1707" s="67" t="s">
        <v>6531</v>
      </c>
      <c r="E1707" s="96" t="s">
        <v>62</v>
      </c>
      <c r="F1707" s="29" t="s">
        <v>61</v>
      </c>
      <c r="G1707" s="29"/>
      <c r="H1707" s="103">
        <f>_xlfn.XLOOKUP(B1707,GM!$Q$5:$Q$756,GM!$J$5:$J$756)</f>
        <v>45959</v>
      </c>
    </row>
    <row r="1708" spans="1:8" x14ac:dyDescent="0.35">
      <c r="A1708" s="29" t="s">
        <v>24</v>
      </c>
      <c r="B1708" s="29" t="str">
        <f t="shared" si="26"/>
        <v>JUP-07</v>
      </c>
      <c r="C1708" s="29" t="s">
        <v>6532</v>
      </c>
      <c r="D1708" s="67" t="s">
        <v>6533</v>
      </c>
      <c r="E1708" s="96" t="s">
        <v>62</v>
      </c>
      <c r="F1708" s="29" t="s">
        <v>61</v>
      </c>
      <c r="G1708" s="29"/>
      <c r="H1708" s="103">
        <f>_xlfn.XLOOKUP(B1708,GM!$Q$5:$Q$756,GM!$J$5:$J$756)</f>
        <v>45959</v>
      </c>
    </row>
    <row r="1709" spans="1:8" x14ac:dyDescent="0.35">
      <c r="A1709" s="29" t="s">
        <v>24</v>
      </c>
      <c r="B1709" s="29" t="str">
        <f t="shared" si="26"/>
        <v>JUP-07</v>
      </c>
      <c r="C1709" s="29" t="s">
        <v>6534</v>
      </c>
      <c r="D1709" s="67" t="s">
        <v>6535</v>
      </c>
      <c r="E1709" s="96" t="s">
        <v>62</v>
      </c>
      <c r="F1709" s="29" t="s">
        <v>61</v>
      </c>
      <c r="G1709" s="29"/>
      <c r="H1709" s="103">
        <f>_xlfn.XLOOKUP(B1709,GM!$Q$5:$Q$756,GM!$J$5:$J$756)</f>
        <v>45959</v>
      </c>
    </row>
    <row r="1710" spans="1:8" x14ac:dyDescent="0.35">
      <c r="A1710" s="29" t="s">
        <v>24</v>
      </c>
      <c r="B1710" s="29" t="str">
        <f t="shared" si="26"/>
        <v>JUP-07</v>
      </c>
      <c r="C1710" s="29" t="s">
        <v>6536</v>
      </c>
      <c r="D1710" s="67" t="s">
        <v>6537</v>
      </c>
      <c r="E1710" s="96" t="s">
        <v>62</v>
      </c>
      <c r="F1710" s="29" t="s">
        <v>61</v>
      </c>
      <c r="G1710" s="29"/>
      <c r="H1710" s="103">
        <f>_xlfn.XLOOKUP(B1710,GM!$Q$5:$Q$756,GM!$J$5:$J$756)</f>
        <v>45959</v>
      </c>
    </row>
    <row r="1711" spans="1:8" x14ac:dyDescent="0.35">
      <c r="A1711" s="29" t="s">
        <v>24</v>
      </c>
      <c r="B1711" s="29" t="str">
        <f t="shared" si="26"/>
        <v>JUP-07</v>
      </c>
      <c r="C1711" s="29" t="s">
        <v>6538</v>
      </c>
      <c r="D1711" s="67" t="s">
        <v>6539</v>
      </c>
      <c r="E1711" s="96" t="s">
        <v>62</v>
      </c>
      <c r="F1711" s="29" t="s">
        <v>61</v>
      </c>
      <c r="G1711" s="29"/>
      <c r="H1711" s="103">
        <f>_xlfn.XLOOKUP(B1711,GM!$Q$5:$Q$756,GM!$J$5:$J$756)</f>
        <v>45959</v>
      </c>
    </row>
    <row r="1712" spans="1:8" x14ac:dyDescent="0.35">
      <c r="A1712" s="29" t="s">
        <v>24</v>
      </c>
      <c r="B1712" s="29" t="str">
        <f t="shared" si="26"/>
        <v>JUP-07</v>
      </c>
      <c r="C1712" s="29" t="s">
        <v>6540</v>
      </c>
      <c r="D1712" s="67" t="s">
        <v>6541</v>
      </c>
      <c r="E1712" s="96" t="s">
        <v>62</v>
      </c>
      <c r="F1712" s="29" t="s">
        <v>61</v>
      </c>
      <c r="G1712" s="29"/>
      <c r="H1712" s="103">
        <f>_xlfn.XLOOKUP(B1712,GM!$Q$5:$Q$756,GM!$J$5:$J$756)</f>
        <v>45959</v>
      </c>
    </row>
    <row r="1713" spans="1:8" x14ac:dyDescent="0.35">
      <c r="A1713" s="29" t="s">
        <v>24</v>
      </c>
      <c r="B1713" s="29" t="str">
        <f t="shared" si="26"/>
        <v>JUP-06</v>
      </c>
      <c r="C1713" s="29" t="s">
        <v>6542</v>
      </c>
      <c r="D1713" s="67" t="s">
        <v>6543</v>
      </c>
      <c r="E1713" s="96" t="s">
        <v>62</v>
      </c>
      <c r="F1713" s="29" t="s">
        <v>61</v>
      </c>
      <c r="G1713" s="29"/>
      <c r="H1713" s="103">
        <f>_xlfn.XLOOKUP(B1713,GM!$Q$5:$Q$756,GM!$J$5:$J$756)</f>
        <v>46104</v>
      </c>
    </row>
    <row r="1714" spans="1:8" x14ac:dyDescent="0.35">
      <c r="A1714" s="29" t="s">
        <v>24</v>
      </c>
      <c r="B1714" s="29" t="str">
        <f t="shared" si="26"/>
        <v>JUP-06</v>
      </c>
      <c r="C1714" s="29" t="s">
        <v>6544</v>
      </c>
      <c r="D1714" s="67" t="s">
        <v>6545</v>
      </c>
      <c r="E1714" s="96" t="s">
        <v>62</v>
      </c>
      <c r="F1714" s="29" t="s">
        <v>61</v>
      </c>
      <c r="G1714" s="29"/>
      <c r="H1714" s="103">
        <f>_xlfn.XLOOKUP(B1714,GM!$Q$5:$Q$756,GM!$J$5:$J$756)</f>
        <v>46104</v>
      </c>
    </row>
    <row r="1715" spans="1:8" x14ac:dyDescent="0.35">
      <c r="A1715" s="29" t="s">
        <v>24</v>
      </c>
      <c r="B1715" s="29" t="str">
        <f t="shared" si="26"/>
        <v>JUP-06</v>
      </c>
      <c r="C1715" s="29" t="s">
        <v>6546</v>
      </c>
      <c r="D1715" s="67" t="s">
        <v>6547</v>
      </c>
      <c r="E1715" s="96" t="s">
        <v>62</v>
      </c>
      <c r="F1715" s="29" t="s">
        <v>61</v>
      </c>
      <c r="G1715" s="29"/>
      <c r="H1715" s="103">
        <f>_xlfn.XLOOKUP(B1715,GM!$Q$5:$Q$756,GM!$J$5:$J$756)</f>
        <v>46104</v>
      </c>
    </row>
    <row r="1716" spans="1:8" x14ac:dyDescent="0.35">
      <c r="A1716" s="29" t="s">
        <v>24</v>
      </c>
      <c r="B1716" s="29" t="str">
        <f t="shared" si="26"/>
        <v>JUP-06</v>
      </c>
      <c r="C1716" s="29" t="s">
        <v>6548</v>
      </c>
      <c r="D1716" s="67" t="s">
        <v>6549</v>
      </c>
      <c r="E1716" s="96" t="s">
        <v>62</v>
      </c>
      <c r="F1716" s="29" t="s">
        <v>61</v>
      </c>
      <c r="G1716" s="29"/>
      <c r="H1716" s="103">
        <f>_xlfn.XLOOKUP(B1716,GM!$Q$5:$Q$756,GM!$J$5:$J$756)</f>
        <v>46104</v>
      </c>
    </row>
    <row r="1717" spans="1:8" x14ac:dyDescent="0.35">
      <c r="A1717" s="29" t="s">
        <v>24</v>
      </c>
      <c r="B1717" s="29" t="str">
        <f t="shared" si="26"/>
        <v>JUP-06</v>
      </c>
      <c r="C1717" s="29" t="s">
        <v>6550</v>
      </c>
      <c r="D1717" s="67" t="s">
        <v>6551</v>
      </c>
      <c r="E1717" s="96" t="s">
        <v>62</v>
      </c>
      <c r="F1717" s="29" t="s">
        <v>61</v>
      </c>
      <c r="G1717" s="29"/>
      <c r="H1717" s="103">
        <f>_xlfn.XLOOKUP(B1717,GM!$Q$5:$Q$756,GM!$J$5:$J$756)</f>
        <v>46104</v>
      </c>
    </row>
    <row r="1718" spans="1:8" x14ac:dyDescent="0.35">
      <c r="A1718" s="29" t="s">
        <v>24</v>
      </c>
      <c r="B1718" s="29" t="str">
        <f t="shared" si="26"/>
        <v>JUP-06</v>
      </c>
      <c r="C1718" s="29" t="s">
        <v>6552</v>
      </c>
      <c r="D1718" s="67" t="s">
        <v>6553</v>
      </c>
      <c r="E1718" s="96" t="s">
        <v>62</v>
      </c>
      <c r="F1718" s="29" t="s">
        <v>61</v>
      </c>
      <c r="G1718" s="29"/>
      <c r="H1718" s="103">
        <f>_xlfn.XLOOKUP(B1718,GM!$Q$5:$Q$756,GM!$J$5:$J$756)</f>
        <v>46104</v>
      </c>
    </row>
    <row r="1719" spans="1:8" x14ac:dyDescent="0.35">
      <c r="A1719" s="29" t="s">
        <v>24</v>
      </c>
      <c r="B1719" s="29" t="str">
        <f t="shared" si="26"/>
        <v>JUP-06</v>
      </c>
      <c r="C1719" s="29" t="s">
        <v>6554</v>
      </c>
      <c r="D1719" s="67" t="s">
        <v>6555</v>
      </c>
      <c r="E1719" s="96" t="s">
        <v>62</v>
      </c>
      <c r="F1719" s="29" t="s">
        <v>61</v>
      </c>
      <c r="G1719" s="29"/>
      <c r="H1719" s="103">
        <f>_xlfn.XLOOKUP(B1719,GM!$Q$5:$Q$756,GM!$J$5:$J$756)</f>
        <v>46104</v>
      </c>
    </row>
    <row r="1720" spans="1:8" x14ac:dyDescent="0.35">
      <c r="A1720" s="29" t="s">
        <v>24</v>
      </c>
      <c r="B1720" s="29" t="str">
        <f t="shared" si="26"/>
        <v>JUP-06</v>
      </c>
      <c r="C1720" s="29" t="s">
        <v>6556</v>
      </c>
      <c r="D1720" s="67" t="s">
        <v>6557</v>
      </c>
      <c r="E1720" s="96" t="s">
        <v>62</v>
      </c>
      <c r="F1720" s="29" t="s">
        <v>61</v>
      </c>
      <c r="G1720" s="29"/>
      <c r="H1720" s="103">
        <f>_xlfn.XLOOKUP(B1720,GM!$Q$5:$Q$756,GM!$J$5:$J$756)</f>
        <v>46104</v>
      </c>
    </row>
    <row r="1721" spans="1:8" x14ac:dyDescent="0.35">
      <c r="A1721" s="29" t="s">
        <v>24</v>
      </c>
      <c r="B1721" s="29" t="str">
        <f t="shared" si="26"/>
        <v>JUP-06</v>
      </c>
      <c r="C1721" s="29" t="s">
        <v>6558</v>
      </c>
      <c r="D1721" s="67" t="s">
        <v>6559</v>
      </c>
      <c r="E1721" s="96" t="s">
        <v>62</v>
      </c>
      <c r="F1721" s="29" t="s">
        <v>61</v>
      </c>
      <c r="G1721" s="29"/>
      <c r="H1721" s="103">
        <f>_xlfn.XLOOKUP(B1721,GM!$Q$5:$Q$756,GM!$J$5:$J$756)</f>
        <v>46104</v>
      </c>
    </row>
    <row r="1722" spans="1:8" x14ac:dyDescent="0.35">
      <c r="A1722" s="29" t="s">
        <v>24</v>
      </c>
      <c r="B1722" s="29" t="str">
        <f t="shared" si="26"/>
        <v>JUP-06</v>
      </c>
      <c r="C1722" s="29" t="s">
        <v>6560</v>
      </c>
      <c r="D1722" s="67" t="s">
        <v>6561</v>
      </c>
      <c r="E1722" s="96" t="s">
        <v>62</v>
      </c>
      <c r="F1722" s="29" t="s">
        <v>61</v>
      </c>
      <c r="G1722" s="29"/>
      <c r="H1722" s="103">
        <f>_xlfn.XLOOKUP(B1722,GM!$Q$5:$Q$756,GM!$J$5:$J$756)</f>
        <v>46104</v>
      </c>
    </row>
    <row r="1723" spans="1:8" x14ac:dyDescent="0.35">
      <c r="A1723" s="29" t="s">
        <v>24</v>
      </c>
      <c r="B1723" s="29" t="str">
        <f t="shared" si="26"/>
        <v>JUP-06</v>
      </c>
      <c r="C1723" s="29" t="s">
        <v>6562</v>
      </c>
      <c r="D1723" s="67" t="s">
        <v>6563</v>
      </c>
      <c r="E1723" s="96" t="s">
        <v>62</v>
      </c>
      <c r="F1723" s="29" t="s">
        <v>61</v>
      </c>
      <c r="G1723" s="29"/>
      <c r="H1723" s="103">
        <f>_xlfn.XLOOKUP(B1723,GM!$Q$5:$Q$756,GM!$J$5:$J$756)</f>
        <v>46104</v>
      </c>
    </row>
    <row r="1724" spans="1:8" x14ac:dyDescent="0.35">
      <c r="A1724" s="29" t="s">
        <v>24</v>
      </c>
      <c r="B1724" s="29" t="str">
        <f t="shared" si="26"/>
        <v>JUP-06</v>
      </c>
      <c r="C1724" s="29" t="s">
        <v>6564</v>
      </c>
      <c r="D1724" s="67" t="s">
        <v>6565</v>
      </c>
      <c r="E1724" s="96" t="s">
        <v>62</v>
      </c>
      <c r="F1724" s="29" t="s">
        <v>61</v>
      </c>
      <c r="G1724" s="29"/>
      <c r="H1724" s="103">
        <f>_xlfn.XLOOKUP(B1724,GM!$Q$5:$Q$756,GM!$J$5:$J$756)</f>
        <v>46104</v>
      </c>
    </row>
    <row r="1725" spans="1:8" x14ac:dyDescent="0.35">
      <c r="A1725" s="29" t="s">
        <v>24</v>
      </c>
      <c r="B1725" s="29" t="str">
        <f t="shared" si="26"/>
        <v>JUP-06</v>
      </c>
      <c r="C1725" s="29" t="s">
        <v>6566</v>
      </c>
      <c r="D1725" s="67" t="s">
        <v>6567</v>
      </c>
      <c r="E1725" s="96" t="s">
        <v>62</v>
      </c>
      <c r="F1725" s="29" t="s">
        <v>61</v>
      </c>
      <c r="G1725" s="29"/>
      <c r="H1725" s="103">
        <f>_xlfn.XLOOKUP(B1725,GM!$Q$5:$Q$756,GM!$J$5:$J$756)</f>
        <v>46104</v>
      </c>
    </row>
    <row r="1726" spans="1:8" x14ac:dyDescent="0.35">
      <c r="A1726" s="29" t="s">
        <v>24</v>
      </c>
      <c r="B1726" s="29" t="str">
        <f t="shared" si="26"/>
        <v>JUP-06</v>
      </c>
      <c r="C1726" s="29" t="s">
        <v>6568</v>
      </c>
      <c r="D1726" s="67" t="s">
        <v>6569</v>
      </c>
      <c r="E1726" s="96" t="s">
        <v>62</v>
      </c>
      <c r="F1726" s="29" t="s">
        <v>61</v>
      </c>
      <c r="G1726" s="29"/>
      <c r="H1726" s="103">
        <f>_xlfn.XLOOKUP(B1726,GM!$Q$5:$Q$756,GM!$J$5:$J$756)</f>
        <v>46104</v>
      </c>
    </row>
    <row r="1727" spans="1:8" x14ac:dyDescent="0.35">
      <c r="A1727" s="29" t="s">
        <v>24</v>
      </c>
      <c r="B1727" s="29" t="str">
        <f t="shared" si="26"/>
        <v>JUP-06</v>
      </c>
      <c r="C1727" s="29" t="s">
        <v>6570</v>
      </c>
      <c r="D1727" s="67" t="s">
        <v>6571</v>
      </c>
      <c r="E1727" s="96" t="s">
        <v>62</v>
      </c>
      <c r="F1727" s="29" t="s">
        <v>61</v>
      </c>
      <c r="G1727" s="29"/>
      <c r="H1727" s="103">
        <f>_xlfn.XLOOKUP(B1727,GM!$Q$5:$Q$756,GM!$J$5:$J$756)</f>
        <v>46104</v>
      </c>
    </row>
    <row r="1728" spans="1:8" x14ac:dyDescent="0.35">
      <c r="A1728" s="29" t="s">
        <v>24</v>
      </c>
      <c r="B1728" s="29" t="str">
        <f t="shared" si="26"/>
        <v>JUP-06</v>
      </c>
      <c r="C1728" s="29" t="s">
        <v>6572</v>
      </c>
      <c r="D1728" s="67" t="s">
        <v>6573</v>
      </c>
      <c r="E1728" s="96" t="s">
        <v>62</v>
      </c>
      <c r="F1728" s="29" t="s">
        <v>61</v>
      </c>
      <c r="G1728" s="29"/>
      <c r="H1728" s="103">
        <f>_xlfn.XLOOKUP(B1728,GM!$Q$5:$Q$756,GM!$J$5:$J$756)</f>
        <v>46104</v>
      </c>
    </row>
    <row r="1729" spans="1:8" x14ac:dyDescent="0.35">
      <c r="A1729" s="29" t="s">
        <v>24</v>
      </c>
      <c r="B1729" s="29" t="str">
        <f t="shared" si="26"/>
        <v>JUP-06</v>
      </c>
      <c r="C1729" s="29" t="s">
        <v>6574</v>
      </c>
      <c r="D1729" s="67" t="s">
        <v>6575</v>
      </c>
      <c r="E1729" s="96" t="s">
        <v>62</v>
      </c>
      <c r="F1729" s="29" t="s">
        <v>61</v>
      </c>
      <c r="G1729" s="29"/>
      <c r="H1729" s="103">
        <f>_xlfn.XLOOKUP(B1729,GM!$Q$5:$Q$756,GM!$J$5:$J$756)</f>
        <v>46104</v>
      </c>
    </row>
    <row r="1730" spans="1:8" x14ac:dyDescent="0.35">
      <c r="A1730" s="29" t="s">
        <v>24</v>
      </c>
      <c r="B1730" s="29" t="str">
        <f t="shared" si="26"/>
        <v>JUP-05</v>
      </c>
      <c r="C1730" s="29" t="s">
        <v>6576</v>
      </c>
      <c r="D1730" s="67" t="s">
        <v>6577</v>
      </c>
      <c r="E1730" s="96" t="s">
        <v>62</v>
      </c>
      <c r="F1730" s="29" t="s">
        <v>61</v>
      </c>
      <c r="G1730" s="29"/>
      <c r="H1730" s="103">
        <f>_xlfn.XLOOKUP(B1730,GM!$Q$5:$Q$756,GM!$J$5:$J$756)</f>
        <v>46104</v>
      </c>
    </row>
    <row r="1731" spans="1:8" x14ac:dyDescent="0.35">
      <c r="A1731" s="29" t="s">
        <v>24</v>
      </c>
      <c r="B1731" s="29" t="str">
        <f t="shared" si="26"/>
        <v>JUP-05</v>
      </c>
      <c r="C1731" s="29" t="s">
        <v>6578</v>
      </c>
      <c r="D1731" s="67" t="s">
        <v>6579</v>
      </c>
      <c r="E1731" s="96" t="s">
        <v>62</v>
      </c>
      <c r="F1731" s="29" t="s">
        <v>61</v>
      </c>
      <c r="G1731" s="29"/>
      <c r="H1731" s="103">
        <f>_xlfn.XLOOKUP(B1731,GM!$Q$5:$Q$756,GM!$J$5:$J$756)</f>
        <v>46104</v>
      </c>
    </row>
    <row r="1732" spans="1:8" x14ac:dyDescent="0.35">
      <c r="A1732" s="29" t="s">
        <v>24</v>
      </c>
      <c r="B1732" s="29" t="str">
        <f t="shared" si="26"/>
        <v>JUP-05</v>
      </c>
      <c r="C1732" s="29" t="s">
        <v>6580</v>
      </c>
      <c r="D1732" s="67" t="s">
        <v>6581</v>
      </c>
      <c r="E1732" s="96" t="s">
        <v>62</v>
      </c>
      <c r="F1732" s="29" t="s">
        <v>61</v>
      </c>
      <c r="G1732" s="29"/>
      <c r="H1732" s="103">
        <f>_xlfn.XLOOKUP(B1732,GM!$Q$5:$Q$756,GM!$J$5:$J$756)</f>
        <v>46104</v>
      </c>
    </row>
    <row r="1733" spans="1:8" x14ac:dyDescent="0.35">
      <c r="A1733" s="29" t="s">
        <v>24</v>
      </c>
      <c r="B1733" s="29" t="str">
        <f t="shared" ref="B1733:B1796" si="27">IF(OR(A1733="ARN",A1733="SDP"),MID(C1733,4,7),MID(C1733,4,6))</f>
        <v>JUP-05</v>
      </c>
      <c r="C1733" s="29" t="s">
        <v>6582</v>
      </c>
      <c r="D1733" s="67" t="s">
        <v>6583</v>
      </c>
      <c r="E1733" s="96" t="s">
        <v>62</v>
      </c>
      <c r="F1733" s="29" t="s">
        <v>61</v>
      </c>
      <c r="G1733" s="29"/>
      <c r="H1733" s="103">
        <f>_xlfn.XLOOKUP(B1733,GM!$Q$5:$Q$756,GM!$J$5:$J$756)</f>
        <v>46104</v>
      </c>
    </row>
    <row r="1734" spans="1:8" x14ac:dyDescent="0.35">
      <c r="A1734" s="29" t="s">
        <v>24</v>
      </c>
      <c r="B1734" s="29" t="str">
        <f t="shared" si="27"/>
        <v>JUP-05</v>
      </c>
      <c r="C1734" s="29" t="s">
        <v>6584</v>
      </c>
      <c r="D1734" s="67" t="s">
        <v>6585</v>
      </c>
      <c r="E1734" s="96" t="s">
        <v>62</v>
      </c>
      <c r="F1734" s="29" t="s">
        <v>61</v>
      </c>
      <c r="G1734" s="29"/>
      <c r="H1734" s="103">
        <f>_xlfn.XLOOKUP(B1734,GM!$Q$5:$Q$756,GM!$J$5:$J$756)</f>
        <v>46104</v>
      </c>
    </row>
    <row r="1735" spans="1:8" x14ac:dyDescent="0.35">
      <c r="A1735" s="29" t="s">
        <v>24</v>
      </c>
      <c r="B1735" s="29" t="str">
        <f t="shared" si="27"/>
        <v>JUP-05</v>
      </c>
      <c r="C1735" s="29" t="s">
        <v>6586</v>
      </c>
      <c r="D1735" s="67" t="s">
        <v>6587</v>
      </c>
      <c r="E1735" s="96" t="s">
        <v>62</v>
      </c>
      <c r="F1735" s="29" t="s">
        <v>61</v>
      </c>
      <c r="G1735" s="29"/>
      <c r="H1735" s="103">
        <f>_xlfn.XLOOKUP(B1735,GM!$Q$5:$Q$756,GM!$J$5:$J$756)</f>
        <v>46104</v>
      </c>
    </row>
    <row r="1736" spans="1:8" x14ac:dyDescent="0.35">
      <c r="A1736" s="29" t="s">
        <v>24</v>
      </c>
      <c r="B1736" s="29" t="str">
        <f t="shared" si="27"/>
        <v>JUP-05</v>
      </c>
      <c r="C1736" s="29" t="s">
        <v>6588</v>
      </c>
      <c r="D1736" s="67" t="s">
        <v>6589</v>
      </c>
      <c r="E1736" s="96" t="s">
        <v>62</v>
      </c>
      <c r="F1736" s="29" t="s">
        <v>61</v>
      </c>
      <c r="G1736" s="29"/>
      <c r="H1736" s="103">
        <f>_xlfn.XLOOKUP(B1736,GM!$Q$5:$Q$756,GM!$J$5:$J$756)</f>
        <v>46104</v>
      </c>
    </row>
    <row r="1737" spans="1:8" x14ac:dyDescent="0.35">
      <c r="A1737" s="29" t="s">
        <v>24</v>
      </c>
      <c r="B1737" s="29" t="str">
        <f t="shared" si="27"/>
        <v>JUP-05</v>
      </c>
      <c r="C1737" s="29" t="s">
        <v>6590</v>
      </c>
      <c r="D1737" s="67" t="s">
        <v>6591</v>
      </c>
      <c r="E1737" s="96" t="s">
        <v>62</v>
      </c>
      <c r="F1737" s="29" t="s">
        <v>61</v>
      </c>
      <c r="G1737" s="29"/>
      <c r="H1737" s="103">
        <f>_xlfn.XLOOKUP(B1737,GM!$Q$5:$Q$756,GM!$J$5:$J$756)</f>
        <v>46104</v>
      </c>
    </row>
    <row r="1738" spans="1:8" x14ac:dyDescent="0.35">
      <c r="A1738" s="29" t="s">
        <v>24</v>
      </c>
      <c r="B1738" s="29" t="str">
        <f t="shared" si="27"/>
        <v>JUP-04</v>
      </c>
      <c r="C1738" s="29" t="s">
        <v>6592</v>
      </c>
      <c r="D1738" s="67" t="s">
        <v>6593</v>
      </c>
      <c r="E1738" s="96" t="s">
        <v>62</v>
      </c>
      <c r="F1738" s="29" t="s">
        <v>61</v>
      </c>
      <c r="G1738" s="29"/>
      <c r="H1738" s="103">
        <f>_xlfn.XLOOKUP(B1738,GM!$Q$5:$Q$756,GM!$J$5:$J$756)</f>
        <v>45202</v>
      </c>
    </row>
    <row r="1739" spans="1:8" x14ac:dyDescent="0.35">
      <c r="A1739" s="29" t="s">
        <v>24</v>
      </c>
      <c r="B1739" s="29" t="str">
        <f t="shared" si="27"/>
        <v>JUP-04</v>
      </c>
      <c r="C1739" s="29" t="s">
        <v>6594</v>
      </c>
      <c r="D1739" s="67" t="s">
        <v>6595</v>
      </c>
      <c r="E1739" s="96" t="s">
        <v>62</v>
      </c>
      <c r="F1739" s="29" t="s">
        <v>61</v>
      </c>
      <c r="G1739" s="29"/>
      <c r="H1739" s="103">
        <f>_xlfn.XLOOKUP(B1739,GM!$Q$5:$Q$756,GM!$J$5:$J$756)</f>
        <v>45202</v>
      </c>
    </row>
    <row r="1740" spans="1:8" x14ac:dyDescent="0.35">
      <c r="A1740" s="29" t="s">
        <v>24</v>
      </c>
      <c r="B1740" s="29" t="str">
        <f t="shared" si="27"/>
        <v>JUP-04</v>
      </c>
      <c r="C1740" s="29" t="s">
        <v>6596</v>
      </c>
      <c r="D1740" s="67" t="s">
        <v>6597</v>
      </c>
      <c r="E1740" s="96" t="s">
        <v>62</v>
      </c>
      <c r="F1740" s="29" t="s">
        <v>61</v>
      </c>
      <c r="G1740" s="29"/>
      <c r="H1740" s="103">
        <f>_xlfn.XLOOKUP(B1740,GM!$Q$5:$Q$756,GM!$J$5:$J$756)</f>
        <v>45202</v>
      </c>
    </row>
    <row r="1741" spans="1:8" x14ac:dyDescent="0.35">
      <c r="A1741" s="29" t="s">
        <v>24</v>
      </c>
      <c r="B1741" s="29" t="str">
        <f t="shared" si="27"/>
        <v>JUP-04</v>
      </c>
      <c r="C1741" s="29" t="s">
        <v>6598</v>
      </c>
      <c r="D1741" s="67" t="s">
        <v>6599</v>
      </c>
      <c r="E1741" s="96" t="s">
        <v>62</v>
      </c>
      <c r="F1741" s="29" t="s">
        <v>61</v>
      </c>
      <c r="G1741" s="29"/>
      <c r="H1741" s="103">
        <f>_xlfn.XLOOKUP(B1741,GM!$Q$5:$Q$756,GM!$J$5:$J$756)</f>
        <v>45202</v>
      </c>
    </row>
    <row r="1742" spans="1:8" x14ac:dyDescent="0.35">
      <c r="A1742" s="29" t="s">
        <v>24</v>
      </c>
      <c r="B1742" s="29" t="str">
        <f t="shared" si="27"/>
        <v>JUP-04</v>
      </c>
      <c r="C1742" s="29" t="s">
        <v>6600</v>
      </c>
      <c r="D1742" s="67" t="s">
        <v>6601</v>
      </c>
      <c r="E1742" s="96" t="s">
        <v>62</v>
      </c>
      <c r="F1742" s="29" t="s">
        <v>61</v>
      </c>
      <c r="G1742" s="29"/>
      <c r="H1742" s="103">
        <f>_xlfn.XLOOKUP(B1742,GM!$Q$5:$Q$756,GM!$J$5:$J$756)</f>
        <v>45202</v>
      </c>
    </row>
    <row r="1743" spans="1:8" x14ac:dyDescent="0.35">
      <c r="A1743" s="29" t="s">
        <v>24</v>
      </c>
      <c r="B1743" s="29" t="str">
        <f t="shared" si="27"/>
        <v>JUP-04</v>
      </c>
      <c r="C1743" s="29" t="s">
        <v>6602</v>
      </c>
      <c r="D1743" s="67" t="s">
        <v>6603</v>
      </c>
      <c r="E1743" s="96" t="s">
        <v>62</v>
      </c>
      <c r="F1743" s="29" t="s">
        <v>61</v>
      </c>
      <c r="G1743" s="29"/>
      <c r="H1743" s="103">
        <f>_xlfn.XLOOKUP(B1743,GM!$Q$5:$Q$756,GM!$J$5:$J$756)</f>
        <v>45202</v>
      </c>
    </row>
    <row r="1744" spans="1:8" x14ac:dyDescent="0.35">
      <c r="A1744" s="29" t="s">
        <v>24</v>
      </c>
      <c r="B1744" s="29" t="str">
        <f t="shared" si="27"/>
        <v>JUP-04</v>
      </c>
      <c r="C1744" s="29" t="s">
        <v>6604</v>
      </c>
      <c r="D1744" s="67" t="s">
        <v>6605</v>
      </c>
      <c r="E1744" s="96" t="s">
        <v>62</v>
      </c>
      <c r="F1744" s="29" t="s">
        <v>61</v>
      </c>
      <c r="G1744" s="29"/>
      <c r="H1744" s="103">
        <f>_xlfn.XLOOKUP(B1744,GM!$Q$5:$Q$756,GM!$J$5:$J$756)</f>
        <v>45202</v>
      </c>
    </row>
    <row r="1745" spans="1:8" x14ac:dyDescent="0.35">
      <c r="A1745" s="29" t="s">
        <v>24</v>
      </c>
      <c r="B1745" s="29" t="str">
        <f t="shared" si="27"/>
        <v>JUP-04</v>
      </c>
      <c r="C1745" s="29" t="s">
        <v>6606</v>
      </c>
      <c r="D1745" s="67" t="s">
        <v>6607</v>
      </c>
      <c r="E1745" s="96" t="s">
        <v>62</v>
      </c>
      <c r="F1745" s="29" t="s">
        <v>61</v>
      </c>
      <c r="G1745" s="29"/>
      <c r="H1745" s="103">
        <f>_xlfn.XLOOKUP(B1745,GM!$Q$5:$Q$756,GM!$J$5:$J$756)</f>
        <v>45202</v>
      </c>
    </row>
    <row r="1746" spans="1:8" x14ac:dyDescent="0.35">
      <c r="A1746" s="29" t="s">
        <v>24</v>
      </c>
      <c r="B1746" s="29" t="str">
        <f t="shared" si="27"/>
        <v>JUP-04</v>
      </c>
      <c r="C1746" s="29" t="s">
        <v>6608</v>
      </c>
      <c r="D1746" s="67" t="s">
        <v>6609</v>
      </c>
      <c r="E1746" s="96" t="s">
        <v>62</v>
      </c>
      <c r="F1746" s="29" t="s">
        <v>61</v>
      </c>
      <c r="G1746" s="29"/>
      <c r="H1746" s="103">
        <f>_xlfn.XLOOKUP(B1746,GM!$Q$5:$Q$756,GM!$J$5:$J$756)</f>
        <v>45202</v>
      </c>
    </row>
    <row r="1747" spans="1:8" x14ac:dyDescent="0.35">
      <c r="A1747" s="29" t="s">
        <v>24</v>
      </c>
      <c r="B1747" s="29" t="str">
        <f t="shared" si="27"/>
        <v>JUP-04</v>
      </c>
      <c r="C1747" s="29" t="s">
        <v>6610</v>
      </c>
      <c r="D1747" s="67" t="s">
        <v>6611</v>
      </c>
      <c r="E1747" s="96" t="s">
        <v>62</v>
      </c>
      <c r="F1747" s="29" t="s">
        <v>61</v>
      </c>
      <c r="G1747" s="29"/>
      <c r="H1747" s="103">
        <f>_xlfn.XLOOKUP(B1747,GM!$Q$5:$Q$756,GM!$J$5:$J$756)</f>
        <v>45202</v>
      </c>
    </row>
    <row r="1748" spans="1:8" x14ac:dyDescent="0.35">
      <c r="A1748" s="29" t="s">
        <v>24</v>
      </c>
      <c r="B1748" s="29" t="str">
        <f t="shared" si="27"/>
        <v>JUP-04</v>
      </c>
      <c r="C1748" s="29" t="s">
        <v>6612</v>
      </c>
      <c r="D1748" s="67" t="s">
        <v>6613</v>
      </c>
      <c r="E1748" s="96" t="s">
        <v>62</v>
      </c>
      <c r="F1748" s="29" t="s">
        <v>61</v>
      </c>
      <c r="G1748" s="29"/>
      <c r="H1748" s="103">
        <f>_xlfn.XLOOKUP(B1748,GM!$Q$5:$Q$756,GM!$J$5:$J$756)</f>
        <v>45202</v>
      </c>
    </row>
    <row r="1749" spans="1:8" x14ac:dyDescent="0.35">
      <c r="A1749" s="29" t="s">
        <v>24</v>
      </c>
      <c r="B1749" s="29" t="str">
        <f t="shared" si="27"/>
        <v>JUP-04</v>
      </c>
      <c r="C1749" s="29" t="s">
        <v>6614</v>
      </c>
      <c r="D1749" s="67" t="s">
        <v>6615</v>
      </c>
      <c r="E1749" s="96" t="s">
        <v>62</v>
      </c>
      <c r="F1749" s="29" t="s">
        <v>61</v>
      </c>
      <c r="G1749" s="29"/>
      <c r="H1749" s="103">
        <f>_xlfn.XLOOKUP(B1749,GM!$Q$5:$Q$756,GM!$J$5:$J$756)</f>
        <v>45202</v>
      </c>
    </row>
    <row r="1750" spans="1:8" x14ac:dyDescent="0.35">
      <c r="A1750" s="29" t="s">
        <v>24</v>
      </c>
      <c r="B1750" s="29" t="str">
        <f t="shared" si="27"/>
        <v>JUP-04</v>
      </c>
      <c r="C1750" s="29" t="s">
        <v>6616</v>
      </c>
      <c r="D1750" s="67" t="s">
        <v>6617</v>
      </c>
      <c r="E1750" s="96" t="s">
        <v>62</v>
      </c>
      <c r="F1750" s="29" t="s">
        <v>61</v>
      </c>
      <c r="G1750" s="29"/>
      <c r="H1750" s="103">
        <f>_xlfn.XLOOKUP(B1750,GM!$Q$5:$Q$756,GM!$J$5:$J$756)</f>
        <v>45202</v>
      </c>
    </row>
    <row r="1751" spans="1:8" x14ac:dyDescent="0.35">
      <c r="A1751" s="29" t="s">
        <v>24</v>
      </c>
      <c r="B1751" s="29" t="str">
        <f t="shared" si="27"/>
        <v>JUP-04</v>
      </c>
      <c r="C1751" s="29" t="s">
        <v>6618</v>
      </c>
      <c r="D1751" s="67" t="s">
        <v>6619</v>
      </c>
      <c r="E1751" s="96" t="s">
        <v>62</v>
      </c>
      <c r="F1751" s="29" t="s">
        <v>61</v>
      </c>
      <c r="G1751" s="29"/>
      <c r="H1751" s="103">
        <f>_xlfn.XLOOKUP(B1751,GM!$Q$5:$Q$756,GM!$J$5:$J$756)</f>
        <v>45202</v>
      </c>
    </row>
    <row r="1752" spans="1:8" x14ac:dyDescent="0.35">
      <c r="A1752" s="29" t="s">
        <v>24</v>
      </c>
      <c r="B1752" s="29" t="str">
        <f t="shared" si="27"/>
        <v>JUP-04</v>
      </c>
      <c r="C1752" s="29" t="s">
        <v>6620</v>
      </c>
      <c r="D1752" s="67" t="s">
        <v>6621</v>
      </c>
      <c r="E1752" s="96" t="s">
        <v>62</v>
      </c>
      <c r="F1752" s="29" t="s">
        <v>61</v>
      </c>
      <c r="G1752" s="29"/>
      <c r="H1752" s="103">
        <f>_xlfn.XLOOKUP(B1752,GM!$Q$5:$Q$756,GM!$J$5:$J$756)</f>
        <v>45202</v>
      </c>
    </row>
    <row r="1753" spans="1:8" x14ac:dyDescent="0.35">
      <c r="A1753" s="29" t="s">
        <v>24</v>
      </c>
      <c r="B1753" s="29" t="str">
        <f t="shared" si="27"/>
        <v>JUP-04</v>
      </c>
      <c r="C1753" s="29" t="s">
        <v>6622</v>
      </c>
      <c r="D1753" s="67" t="s">
        <v>6623</v>
      </c>
      <c r="E1753" s="96" t="s">
        <v>62</v>
      </c>
      <c r="F1753" s="29" t="s">
        <v>61</v>
      </c>
      <c r="G1753" s="29"/>
      <c r="H1753" s="103">
        <f>_xlfn.XLOOKUP(B1753,GM!$Q$5:$Q$756,GM!$J$5:$J$756)</f>
        <v>45202</v>
      </c>
    </row>
    <row r="1754" spans="1:8" x14ac:dyDescent="0.35">
      <c r="A1754" s="29" t="s">
        <v>24</v>
      </c>
      <c r="B1754" s="29" t="str">
        <f t="shared" si="27"/>
        <v>JUP-04</v>
      </c>
      <c r="C1754" s="29" t="s">
        <v>6624</v>
      </c>
      <c r="D1754" s="67" t="s">
        <v>6625</v>
      </c>
      <c r="E1754" s="96" t="s">
        <v>62</v>
      </c>
      <c r="F1754" s="29" t="s">
        <v>61</v>
      </c>
      <c r="G1754" s="29"/>
      <c r="H1754" s="103">
        <f>_xlfn.XLOOKUP(B1754,GM!$Q$5:$Q$756,GM!$J$5:$J$756)</f>
        <v>45202</v>
      </c>
    </row>
    <row r="1755" spans="1:8" x14ac:dyDescent="0.35">
      <c r="A1755" s="29" t="s">
        <v>24</v>
      </c>
      <c r="B1755" s="29" t="str">
        <f t="shared" si="27"/>
        <v>JUP-04</v>
      </c>
      <c r="C1755" s="29" t="s">
        <v>6626</v>
      </c>
      <c r="D1755" s="67" t="s">
        <v>6627</v>
      </c>
      <c r="E1755" s="96" t="s">
        <v>62</v>
      </c>
      <c r="F1755" s="29" t="s">
        <v>61</v>
      </c>
      <c r="G1755" s="29"/>
      <c r="H1755" s="103">
        <f>_xlfn.XLOOKUP(B1755,GM!$Q$5:$Q$756,GM!$J$5:$J$756)</f>
        <v>45202</v>
      </c>
    </row>
    <row r="1756" spans="1:8" x14ac:dyDescent="0.35">
      <c r="A1756" s="29" t="s">
        <v>24</v>
      </c>
      <c r="B1756" s="29" t="str">
        <f t="shared" si="27"/>
        <v>JUP-04</v>
      </c>
      <c r="C1756" s="29" t="s">
        <v>6628</v>
      </c>
      <c r="D1756" s="67" t="s">
        <v>6629</v>
      </c>
      <c r="E1756" s="96" t="s">
        <v>62</v>
      </c>
      <c r="F1756" s="29" t="s">
        <v>61</v>
      </c>
      <c r="G1756" s="29"/>
      <c r="H1756" s="103">
        <f>_xlfn.XLOOKUP(B1756,GM!$Q$5:$Q$756,GM!$J$5:$J$756)</f>
        <v>45202</v>
      </c>
    </row>
    <row r="1757" spans="1:8" x14ac:dyDescent="0.35">
      <c r="A1757" s="29" t="s">
        <v>24</v>
      </c>
      <c r="B1757" s="29" t="str">
        <f t="shared" si="27"/>
        <v>JUP-04</v>
      </c>
      <c r="C1757" s="29" t="s">
        <v>6630</v>
      </c>
      <c r="D1757" s="67" t="s">
        <v>6631</v>
      </c>
      <c r="E1757" s="96" t="s">
        <v>62</v>
      </c>
      <c r="F1757" s="29" t="s">
        <v>61</v>
      </c>
      <c r="G1757" s="29"/>
      <c r="H1757" s="103">
        <f>_xlfn.XLOOKUP(B1757,GM!$Q$5:$Q$756,GM!$J$5:$J$756)</f>
        <v>45202</v>
      </c>
    </row>
    <row r="1758" spans="1:8" x14ac:dyDescent="0.35">
      <c r="A1758" s="29" t="s">
        <v>24</v>
      </c>
      <c r="B1758" s="29" t="str">
        <f t="shared" si="27"/>
        <v>JUP-04</v>
      </c>
      <c r="C1758" s="29" t="s">
        <v>6632</v>
      </c>
      <c r="D1758" s="67" t="s">
        <v>6633</v>
      </c>
      <c r="E1758" s="96" t="s">
        <v>62</v>
      </c>
      <c r="F1758" s="29" t="s">
        <v>61</v>
      </c>
      <c r="G1758" s="29"/>
      <c r="H1758" s="103">
        <f>_xlfn.XLOOKUP(B1758,GM!$Q$5:$Q$756,GM!$J$5:$J$756)</f>
        <v>45202</v>
      </c>
    </row>
    <row r="1759" spans="1:8" x14ac:dyDescent="0.35">
      <c r="A1759" s="29" t="s">
        <v>24</v>
      </c>
      <c r="B1759" s="29" t="str">
        <f t="shared" si="27"/>
        <v>JUP-04</v>
      </c>
      <c r="C1759" s="29" t="s">
        <v>6634</v>
      </c>
      <c r="D1759" s="67" t="s">
        <v>6635</v>
      </c>
      <c r="E1759" s="96" t="s">
        <v>62</v>
      </c>
      <c r="F1759" s="29" t="s">
        <v>61</v>
      </c>
      <c r="G1759" s="29"/>
      <c r="H1759" s="103">
        <f>_xlfn.XLOOKUP(B1759,GM!$Q$5:$Q$756,GM!$J$5:$J$756)</f>
        <v>45202</v>
      </c>
    </row>
    <row r="1760" spans="1:8" x14ac:dyDescent="0.35">
      <c r="A1760" s="29" t="s">
        <v>24</v>
      </c>
      <c r="B1760" s="29" t="str">
        <f t="shared" si="27"/>
        <v>JUP-03</v>
      </c>
      <c r="C1760" s="29" t="s">
        <v>6636</v>
      </c>
      <c r="D1760" s="67" t="s">
        <v>6637</v>
      </c>
      <c r="E1760" s="96" t="s">
        <v>62</v>
      </c>
      <c r="F1760" s="29" t="s">
        <v>61</v>
      </c>
      <c r="G1760" s="29"/>
      <c r="H1760" s="103">
        <f>_xlfn.XLOOKUP(B1760,GM!$Q$5:$Q$756,GM!$J$5:$J$756)</f>
        <v>45506</v>
      </c>
    </row>
    <row r="1761" spans="1:8" x14ac:dyDescent="0.35">
      <c r="A1761" s="29" t="s">
        <v>24</v>
      </c>
      <c r="B1761" s="29" t="str">
        <f t="shared" si="27"/>
        <v>JUP-03</v>
      </c>
      <c r="C1761" s="29" t="s">
        <v>6638</v>
      </c>
      <c r="D1761" s="67" t="s">
        <v>6639</v>
      </c>
      <c r="E1761" s="96" t="s">
        <v>62</v>
      </c>
      <c r="F1761" s="29" t="s">
        <v>61</v>
      </c>
      <c r="G1761" s="29"/>
      <c r="H1761" s="103">
        <f>_xlfn.XLOOKUP(B1761,GM!$Q$5:$Q$756,GM!$J$5:$J$756)</f>
        <v>45506</v>
      </c>
    </row>
    <row r="1762" spans="1:8" x14ac:dyDescent="0.35">
      <c r="A1762" s="29" t="s">
        <v>24</v>
      </c>
      <c r="B1762" s="29" t="str">
        <f t="shared" si="27"/>
        <v>JUP-03</v>
      </c>
      <c r="C1762" s="29" t="s">
        <v>6640</v>
      </c>
      <c r="D1762" s="67" t="s">
        <v>6641</v>
      </c>
      <c r="E1762" s="96" t="s">
        <v>62</v>
      </c>
      <c r="F1762" s="29" t="s">
        <v>61</v>
      </c>
      <c r="G1762" s="29"/>
      <c r="H1762" s="103">
        <f>_xlfn.XLOOKUP(B1762,GM!$Q$5:$Q$756,GM!$J$5:$J$756)</f>
        <v>45506</v>
      </c>
    </row>
    <row r="1763" spans="1:8" x14ac:dyDescent="0.35">
      <c r="A1763" s="29" t="s">
        <v>24</v>
      </c>
      <c r="B1763" s="29" t="str">
        <f t="shared" si="27"/>
        <v>JUP-03</v>
      </c>
      <c r="C1763" s="29" t="s">
        <v>6642</v>
      </c>
      <c r="D1763" s="67" t="s">
        <v>6643</v>
      </c>
      <c r="E1763" s="96" t="s">
        <v>62</v>
      </c>
      <c r="F1763" s="29" t="s">
        <v>61</v>
      </c>
      <c r="G1763" s="29"/>
      <c r="H1763" s="103">
        <f>_xlfn.XLOOKUP(B1763,GM!$Q$5:$Q$756,GM!$J$5:$J$756)</f>
        <v>45506</v>
      </c>
    </row>
    <row r="1764" spans="1:8" x14ac:dyDescent="0.35">
      <c r="A1764" s="29" t="s">
        <v>24</v>
      </c>
      <c r="B1764" s="29" t="str">
        <f t="shared" si="27"/>
        <v>JUP-03</v>
      </c>
      <c r="C1764" s="29" t="s">
        <v>6644</v>
      </c>
      <c r="D1764" s="67" t="s">
        <v>6645</v>
      </c>
      <c r="E1764" s="96" t="s">
        <v>62</v>
      </c>
      <c r="F1764" s="29" t="s">
        <v>61</v>
      </c>
      <c r="G1764" s="29"/>
      <c r="H1764" s="103">
        <f>_xlfn.XLOOKUP(B1764,GM!$Q$5:$Q$756,GM!$J$5:$J$756)</f>
        <v>45506</v>
      </c>
    </row>
    <row r="1765" spans="1:8" x14ac:dyDescent="0.35">
      <c r="A1765" s="29" t="s">
        <v>24</v>
      </c>
      <c r="B1765" s="29" t="str">
        <f t="shared" si="27"/>
        <v>JUP-03</v>
      </c>
      <c r="C1765" s="29" t="s">
        <v>6646</v>
      </c>
      <c r="D1765" s="67" t="s">
        <v>6647</v>
      </c>
      <c r="E1765" s="96" t="s">
        <v>62</v>
      </c>
      <c r="F1765" s="29" t="s">
        <v>61</v>
      </c>
      <c r="G1765" s="29"/>
      <c r="H1765" s="103">
        <f>_xlfn.XLOOKUP(B1765,GM!$Q$5:$Q$756,GM!$J$5:$J$756)</f>
        <v>45506</v>
      </c>
    </row>
    <row r="1766" spans="1:8" x14ac:dyDescent="0.35">
      <c r="A1766" s="29" t="s">
        <v>24</v>
      </c>
      <c r="B1766" s="29" t="str">
        <f t="shared" si="27"/>
        <v>JUP-03</v>
      </c>
      <c r="C1766" s="29" t="s">
        <v>6648</v>
      </c>
      <c r="D1766" s="67" t="s">
        <v>6649</v>
      </c>
      <c r="E1766" s="96" t="s">
        <v>62</v>
      </c>
      <c r="F1766" s="29" t="s">
        <v>61</v>
      </c>
      <c r="G1766" s="29"/>
      <c r="H1766" s="103">
        <f>_xlfn.XLOOKUP(B1766,GM!$Q$5:$Q$756,GM!$J$5:$J$756)</f>
        <v>45506</v>
      </c>
    </row>
    <row r="1767" spans="1:8" x14ac:dyDescent="0.35">
      <c r="A1767" s="29" t="s">
        <v>24</v>
      </c>
      <c r="B1767" s="29" t="str">
        <f t="shared" si="27"/>
        <v>JUP-03</v>
      </c>
      <c r="C1767" s="29" t="s">
        <v>6650</v>
      </c>
      <c r="D1767" s="67" t="s">
        <v>6651</v>
      </c>
      <c r="E1767" s="96" t="s">
        <v>62</v>
      </c>
      <c r="F1767" s="29" t="s">
        <v>61</v>
      </c>
      <c r="G1767" s="29"/>
      <c r="H1767" s="103">
        <f>_xlfn.XLOOKUP(B1767,GM!$Q$5:$Q$756,GM!$J$5:$J$756)</f>
        <v>45506</v>
      </c>
    </row>
    <row r="1768" spans="1:8" x14ac:dyDescent="0.35">
      <c r="A1768" s="29" t="s">
        <v>24</v>
      </c>
      <c r="B1768" s="29" t="str">
        <f t="shared" si="27"/>
        <v>JUP-03</v>
      </c>
      <c r="C1768" s="29" t="s">
        <v>6652</v>
      </c>
      <c r="D1768" s="67" t="s">
        <v>6653</v>
      </c>
      <c r="E1768" s="96" t="s">
        <v>62</v>
      </c>
      <c r="F1768" s="29" t="s">
        <v>61</v>
      </c>
      <c r="G1768" s="29"/>
      <c r="H1768" s="103">
        <f>_xlfn.XLOOKUP(B1768,GM!$Q$5:$Q$756,GM!$J$5:$J$756)</f>
        <v>45506</v>
      </c>
    </row>
    <row r="1769" spans="1:8" x14ac:dyDescent="0.35">
      <c r="A1769" s="29" t="s">
        <v>24</v>
      </c>
      <c r="B1769" s="29" t="str">
        <f t="shared" si="27"/>
        <v>JUP-03</v>
      </c>
      <c r="C1769" s="29" t="s">
        <v>6654</v>
      </c>
      <c r="D1769" s="67" t="s">
        <v>6655</v>
      </c>
      <c r="E1769" s="96" t="s">
        <v>62</v>
      </c>
      <c r="F1769" s="29" t="s">
        <v>61</v>
      </c>
      <c r="G1769" s="29"/>
      <c r="H1769" s="103">
        <f>_xlfn.XLOOKUP(B1769,GM!$Q$5:$Q$756,GM!$J$5:$J$756)</f>
        <v>45506</v>
      </c>
    </row>
    <row r="1770" spans="1:8" x14ac:dyDescent="0.35">
      <c r="A1770" s="29" t="s">
        <v>24</v>
      </c>
      <c r="B1770" s="29" t="str">
        <f t="shared" si="27"/>
        <v>JUP-03</v>
      </c>
      <c r="C1770" s="29" t="s">
        <v>6656</v>
      </c>
      <c r="D1770" s="67" t="s">
        <v>6657</v>
      </c>
      <c r="E1770" s="96" t="s">
        <v>62</v>
      </c>
      <c r="F1770" s="29" t="s">
        <v>61</v>
      </c>
      <c r="G1770" s="29"/>
      <c r="H1770" s="103">
        <f>_xlfn.XLOOKUP(B1770,GM!$Q$5:$Q$756,GM!$J$5:$J$756)</f>
        <v>45506</v>
      </c>
    </row>
    <row r="1771" spans="1:8" x14ac:dyDescent="0.35">
      <c r="A1771" s="29" t="s">
        <v>24</v>
      </c>
      <c r="B1771" s="29" t="str">
        <f t="shared" si="27"/>
        <v>JUP-03</v>
      </c>
      <c r="C1771" s="29" t="s">
        <v>6658</v>
      </c>
      <c r="D1771" s="67" t="s">
        <v>6659</v>
      </c>
      <c r="E1771" s="96" t="s">
        <v>62</v>
      </c>
      <c r="F1771" s="29" t="s">
        <v>61</v>
      </c>
      <c r="G1771" s="29"/>
      <c r="H1771" s="103">
        <f>_xlfn.XLOOKUP(B1771,GM!$Q$5:$Q$756,GM!$J$5:$J$756)</f>
        <v>45506</v>
      </c>
    </row>
    <row r="1772" spans="1:8" x14ac:dyDescent="0.35">
      <c r="A1772" s="29" t="s">
        <v>24</v>
      </c>
      <c r="B1772" s="29" t="str">
        <f t="shared" si="27"/>
        <v>JUP-03</v>
      </c>
      <c r="C1772" s="29" t="s">
        <v>6660</v>
      </c>
      <c r="D1772" s="67" t="s">
        <v>6661</v>
      </c>
      <c r="E1772" s="96" t="s">
        <v>62</v>
      </c>
      <c r="F1772" s="29" t="s">
        <v>61</v>
      </c>
      <c r="G1772" s="29"/>
      <c r="H1772" s="103">
        <f>_xlfn.XLOOKUP(B1772,GM!$Q$5:$Q$756,GM!$J$5:$J$756)</f>
        <v>45506</v>
      </c>
    </row>
    <row r="1773" spans="1:8" x14ac:dyDescent="0.35">
      <c r="A1773" s="29" t="s">
        <v>24</v>
      </c>
      <c r="B1773" s="29" t="str">
        <f t="shared" si="27"/>
        <v>JUP-03</v>
      </c>
      <c r="C1773" s="29" t="s">
        <v>6662</v>
      </c>
      <c r="D1773" s="67" t="s">
        <v>6663</v>
      </c>
      <c r="E1773" s="96" t="s">
        <v>62</v>
      </c>
      <c r="F1773" s="29" t="s">
        <v>61</v>
      </c>
      <c r="G1773" s="29"/>
      <c r="H1773" s="103">
        <f>_xlfn.XLOOKUP(B1773,GM!$Q$5:$Q$756,GM!$J$5:$J$756)</f>
        <v>45506</v>
      </c>
    </row>
    <row r="1774" spans="1:8" x14ac:dyDescent="0.35">
      <c r="A1774" s="29" t="s">
        <v>24</v>
      </c>
      <c r="B1774" s="29" t="str">
        <f t="shared" si="27"/>
        <v>JUP-03</v>
      </c>
      <c r="C1774" s="29" t="s">
        <v>6664</v>
      </c>
      <c r="D1774" s="67" t="s">
        <v>6665</v>
      </c>
      <c r="E1774" s="96" t="s">
        <v>62</v>
      </c>
      <c r="F1774" s="29" t="s">
        <v>61</v>
      </c>
      <c r="G1774" s="29"/>
      <c r="H1774" s="103">
        <f>_xlfn.XLOOKUP(B1774,GM!$Q$5:$Q$756,GM!$J$5:$J$756)</f>
        <v>45506</v>
      </c>
    </row>
    <row r="1775" spans="1:8" x14ac:dyDescent="0.35">
      <c r="A1775" s="29" t="s">
        <v>24</v>
      </c>
      <c r="B1775" s="29" t="str">
        <f t="shared" si="27"/>
        <v>JUP-03</v>
      </c>
      <c r="C1775" s="29" t="s">
        <v>6666</v>
      </c>
      <c r="D1775" s="67" t="s">
        <v>6667</v>
      </c>
      <c r="E1775" s="96" t="s">
        <v>62</v>
      </c>
      <c r="F1775" s="29" t="s">
        <v>61</v>
      </c>
      <c r="G1775" s="29"/>
      <c r="H1775" s="103">
        <f>_xlfn.XLOOKUP(B1775,GM!$Q$5:$Q$756,GM!$J$5:$J$756)</f>
        <v>45506</v>
      </c>
    </row>
    <row r="1776" spans="1:8" x14ac:dyDescent="0.35">
      <c r="A1776" s="29" t="s">
        <v>24</v>
      </c>
      <c r="B1776" s="29" t="str">
        <f t="shared" si="27"/>
        <v>JUP-03</v>
      </c>
      <c r="C1776" s="29" t="s">
        <v>6668</v>
      </c>
      <c r="D1776" s="67" t="s">
        <v>6669</v>
      </c>
      <c r="E1776" s="96" t="s">
        <v>62</v>
      </c>
      <c r="F1776" s="29" t="s">
        <v>61</v>
      </c>
      <c r="G1776" s="29"/>
      <c r="H1776" s="103">
        <f>_xlfn.XLOOKUP(B1776,GM!$Q$5:$Q$756,GM!$J$5:$J$756)</f>
        <v>45506</v>
      </c>
    </row>
    <row r="1777" spans="1:8" x14ac:dyDescent="0.35">
      <c r="A1777" s="29" t="s">
        <v>24</v>
      </c>
      <c r="B1777" s="29" t="str">
        <f t="shared" si="27"/>
        <v>JUP-03</v>
      </c>
      <c r="C1777" s="29" t="s">
        <v>6670</v>
      </c>
      <c r="D1777" s="67" t="s">
        <v>6671</v>
      </c>
      <c r="E1777" s="96" t="s">
        <v>62</v>
      </c>
      <c r="F1777" s="29" t="s">
        <v>61</v>
      </c>
      <c r="G1777" s="29"/>
      <c r="H1777" s="103">
        <f>_xlfn.XLOOKUP(B1777,GM!$Q$5:$Q$756,GM!$J$5:$J$756)</f>
        <v>45506</v>
      </c>
    </row>
    <row r="1778" spans="1:8" x14ac:dyDescent="0.35">
      <c r="A1778" s="29" t="s">
        <v>24</v>
      </c>
      <c r="B1778" s="29" t="str">
        <f t="shared" si="27"/>
        <v>JUP-03</v>
      </c>
      <c r="C1778" s="29" t="s">
        <v>6672</v>
      </c>
      <c r="D1778" s="67" t="s">
        <v>6673</v>
      </c>
      <c r="E1778" s="96" t="s">
        <v>62</v>
      </c>
      <c r="F1778" s="29" t="s">
        <v>61</v>
      </c>
      <c r="G1778" s="29"/>
      <c r="H1778" s="103">
        <f>_xlfn.XLOOKUP(B1778,GM!$Q$5:$Q$756,GM!$J$5:$J$756)</f>
        <v>45506</v>
      </c>
    </row>
    <row r="1779" spans="1:8" x14ac:dyDescent="0.35">
      <c r="A1779" s="29" t="s">
        <v>24</v>
      </c>
      <c r="B1779" s="29" t="str">
        <f t="shared" si="27"/>
        <v>JUP-03</v>
      </c>
      <c r="C1779" s="29" t="s">
        <v>6674</v>
      </c>
      <c r="D1779" s="67" t="s">
        <v>6675</v>
      </c>
      <c r="E1779" s="96" t="s">
        <v>62</v>
      </c>
      <c r="F1779" s="29" t="s">
        <v>61</v>
      </c>
      <c r="G1779" s="29"/>
      <c r="H1779" s="103">
        <f>_xlfn.XLOOKUP(B1779,GM!$Q$5:$Q$756,GM!$J$5:$J$756)</f>
        <v>45506</v>
      </c>
    </row>
    <row r="1780" spans="1:8" x14ac:dyDescent="0.35">
      <c r="A1780" s="29" t="s">
        <v>24</v>
      </c>
      <c r="B1780" s="29" t="str">
        <f t="shared" si="27"/>
        <v>JUP-03</v>
      </c>
      <c r="C1780" s="29" t="s">
        <v>6676</v>
      </c>
      <c r="D1780" s="67" t="s">
        <v>6677</v>
      </c>
      <c r="E1780" s="96" t="s">
        <v>62</v>
      </c>
      <c r="F1780" s="29" t="s">
        <v>61</v>
      </c>
      <c r="G1780" s="29"/>
      <c r="H1780" s="103">
        <f>_xlfn.XLOOKUP(B1780,GM!$Q$5:$Q$756,GM!$J$5:$J$756)</f>
        <v>45506</v>
      </c>
    </row>
    <row r="1781" spans="1:8" x14ac:dyDescent="0.35">
      <c r="A1781" s="29" t="s">
        <v>24</v>
      </c>
      <c r="B1781" s="29" t="str">
        <f t="shared" si="27"/>
        <v>JUP-03</v>
      </c>
      <c r="C1781" s="29" t="s">
        <v>6678</v>
      </c>
      <c r="D1781" s="67" t="s">
        <v>6679</v>
      </c>
      <c r="E1781" s="96" t="s">
        <v>62</v>
      </c>
      <c r="F1781" s="29" t="s">
        <v>61</v>
      </c>
      <c r="G1781" s="29"/>
      <c r="H1781" s="103">
        <f>_xlfn.XLOOKUP(B1781,GM!$Q$5:$Q$756,GM!$J$5:$J$756)</f>
        <v>45506</v>
      </c>
    </row>
    <row r="1782" spans="1:8" x14ac:dyDescent="0.35">
      <c r="A1782" s="29" t="s">
        <v>24</v>
      </c>
      <c r="B1782" s="29" t="str">
        <f t="shared" si="27"/>
        <v>JUP-03</v>
      </c>
      <c r="C1782" s="29" t="s">
        <v>6680</v>
      </c>
      <c r="D1782" s="67" t="s">
        <v>6681</v>
      </c>
      <c r="E1782" s="96" t="s">
        <v>62</v>
      </c>
      <c r="F1782" s="29" t="s">
        <v>61</v>
      </c>
      <c r="G1782" s="29"/>
      <c r="H1782" s="103">
        <f>_xlfn.XLOOKUP(B1782,GM!$Q$5:$Q$756,GM!$J$5:$J$756)</f>
        <v>45506</v>
      </c>
    </row>
    <row r="1783" spans="1:8" x14ac:dyDescent="0.35">
      <c r="A1783" s="29" t="s">
        <v>24</v>
      </c>
      <c r="B1783" s="29" t="str">
        <f t="shared" si="27"/>
        <v>JUP-03</v>
      </c>
      <c r="C1783" s="29" t="s">
        <v>6682</v>
      </c>
      <c r="D1783" s="67" t="s">
        <v>6683</v>
      </c>
      <c r="E1783" s="96" t="s">
        <v>62</v>
      </c>
      <c r="F1783" s="29" t="s">
        <v>61</v>
      </c>
      <c r="G1783" s="29"/>
      <c r="H1783" s="103">
        <f>_xlfn.XLOOKUP(B1783,GM!$Q$5:$Q$756,GM!$J$5:$J$756)</f>
        <v>45506</v>
      </c>
    </row>
    <row r="1784" spans="1:8" x14ac:dyDescent="0.35">
      <c r="A1784" s="29" t="s">
        <v>24</v>
      </c>
      <c r="B1784" s="29" t="str">
        <f t="shared" si="27"/>
        <v>JUP-03</v>
      </c>
      <c r="C1784" s="29" t="s">
        <v>6684</v>
      </c>
      <c r="D1784" s="67" t="s">
        <v>6685</v>
      </c>
      <c r="E1784" s="96" t="s">
        <v>62</v>
      </c>
      <c r="F1784" s="29" t="s">
        <v>61</v>
      </c>
      <c r="G1784" s="29"/>
      <c r="H1784" s="103">
        <f>_xlfn.XLOOKUP(B1784,GM!$Q$5:$Q$756,GM!$J$5:$J$756)</f>
        <v>45506</v>
      </c>
    </row>
    <row r="1785" spans="1:8" x14ac:dyDescent="0.35">
      <c r="A1785" s="29" t="s">
        <v>24</v>
      </c>
      <c r="B1785" s="29" t="str">
        <f t="shared" si="27"/>
        <v>JUP-03</v>
      </c>
      <c r="C1785" s="29" t="s">
        <v>6686</v>
      </c>
      <c r="D1785" s="67" t="s">
        <v>6687</v>
      </c>
      <c r="E1785" s="96" t="s">
        <v>62</v>
      </c>
      <c r="F1785" s="29" t="s">
        <v>61</v>
      </c>
      <c r="G1785" s="29"/>
      <c r="H1785" s="103">
        <f>_xlfn.XLOOKUP(B1785,GM!$Q$5:$Q$756,GM!$J$5:$J$756)</f>
        <v>45506</v>
      </c>
    </row>
    <row r="1786" spans="1:8" x14ac:dyDescent="0.35">
      <c r="A1786" s="29" t="s">
        <v>24</v>
      </c>
      <c r="B1786" s="29" t="str">
        <f t="shared" si="27"/>
        <v>JUP-03</v>
      </c>
      <c r="C1786" s="29" t="s">
        <v>6688</v>
      </c>
      <c r="D1786" s="67" t="s">
        <v>6689</v>
      </c>
      <c r="E1786" s="96" t="s">
        <v>62</v>
      </c>
      <c r="F1786" s="29" t="s">
        <v>61</v>
      </c>
      <c r="G1786" s="29"/>
      <c r="H1786" s="103">
        <f>_xlfn.XLOOKUP(B1786,GM!$Q$5:$Q$756,GM!$J$5:$J$756)</f>
        <v>45506</v>
      </c>
    </row>
    <row r="1787" spans="1:8" x14ac:dyDescent="0.35">
      <c r="A1787" s="29" t="s">
        <v>24</v>
      </c>
      <c r="B1787" s="29" t="str">
        <f t="shared" si="27"/>
        <v>JUP-03</v>
      </c>
      <c r="C1787" s="29" t="s">
        <v>6690</v>
      </c>
      <c r="D1787" s="67" t="s">
        <v>6691</v>
      </c>
      <c r="E1787" s="96" t="s">
        <v>62</v>
      </c>
      <c r="F1787" s="29" t="s">
        <v>61</v>
      </c>
      <c r="G1787" s="29"/>
      <c r="H1787" s="103">
        <f>_xlfn.XLOOKUP(B1787,GM!$Q$5:$Q$756,GM!$J$5:$J$756)</f>
        <v>45506</v>
      </c>
    </row>
    <row r="1788" spans="1:8" x14ac:dyDescent="0.35">
      <c r="A1788" s="29" t="s">
        <v>24</v>
      </c>
      <c r="B1788" s="29" t="str">
        <f t="shared" si="27"/>
        <v>JUP-03</v>
      </c>
      <c r="C1788" s="29" t="s">
        <v>6692</v>
      </c>
      <c r="D1788" s="67" t="s">
        <v>6693</v>
      </c>
      <c r="E1788" s="96" t="s">
        <v>62</v>
      </c>
      <c r="F1788" s="29" t="s">
        <v>61</v>
      </c>
      <c r="G1788" s="29"/>
      <c r="H1788" s="103">
        <f>_xlfn.XLOOKUP(B1788,GM!$Q$5:$Q$756,GM!$J$5:$J$756)</f>
        <v>45506</v>
      </c>
    </row>
    <row r="1789" spans="1:8" x14ac:dyDescent="0.35">
      <c r="A1789" s="29" t="s">
        <v>24</v>
      </c>
      <c r="B1789" s="29" t="str">
        <f t="shared" si="27"/>
        <v>JUP-03</v>
      </c>
      <c r="C1789" s="29" t="s">
        <v>6694</v>
      </c>
      <c r="D1789" s="67" t="s">
        <v>6695</v>
      </c>
      <c r="E1789" s="96" t="s">
        <v>62</v>
      </c>
      <c r="F1789" s="29" t="s">
        <v>61</v>
      </c>
      <c r="G1789" s="29"/>
      <c r="H1789" s="103">
        <f>_xlfn.XLOOKUP(B1789,GM!$Q$5:$Q$756,GM!$J$5:$J$756)</f>
        <v>45506</v>
      </c>
    </row>
    <row r="1790" spans="1:8" x14ac:dyDescent="0.35">
      <c r="A1790" s="29" t="s">
        <v>24</v>
      </c>
      <c r="B1790" s="29" t="str">
        <f t="shared" si="27"/>
        <v>JUP-03</v>
      </c>
      <c r="C1790" s="29" t="s">
        <v>6696</v>
      </c>
      <c r="D1790" s="67" t="s">
        <v>6697</v>
      </c>
      <c r="E1790" s="96" t="s">
        <v>62</v>
      </c>
      <c r="F1790" s="29" t="s">
        <v>61</v>
      </c>
      <c r="G1790" s="29"/>
      <c r="H1790" s="103">
        <f>_xlfn.XLOOKUP(B1790,GM!$Q$5:$Q$756,GM!$J$5:$J$756)</f>
        <v>45506</v>
      </c>
    </row>
    <row r="1791" spans="1:8" x14ac:dyDescent="0.35">
      <c r="A1791" s="29" t="s">
        <v>24</v>
      </c>
      <c r="B1791" s="29" t="str">
        <f t="shared" si="27"/>
        <v>JUP-02</v>
      </c>
      <c r="C1791" s="29" t="s">
        <v>6698</v>
      </c>
      <c r="D1791" s="67" t="s">
        <v>6699</v>
      </c>
      <c r="E1791" s="96" t="s">
        <v>62</v>
      </c>
      <c r="F1791" s="29" t="s">
        <v>61</v>
      </c>
      <c r="G1791" s="29"/>
      <c r="H1791" s="103">
        <f>_xlfn.XLOOKUP(B1791,GM!$Q$5:$Q$756,GM!$J$5:$J$756)</f>
        <v>45959</v>
      </c>
    </row>
    <row r="1792" spans="1:8" x14ac:dyDescent="0.35">
      <c r="A1792" s="29" t="s">
        <v>24</v>
      </c>
      <c r="B1792" s="29" t="str">
        <f t="shared" si="27"/>
        <v>JUP-02</v>
      </c>
      <c r="C1792" s="29" t="s">
        <v>6700</v>
      </c>
      <c r="D1792" s="67" t="s">
        <v>6701</v>
      </c>
      <c r="E1792" s="96" t="s">
        <v>62</v>
      </c>
      <c r="F1792" s="29" t="s">
        <v>61</v>
      </c>
      <c r="G1792" s="29"/>
      <c r="H1792" s="103">
        <f>_xlfn.XLOOKUP(B1792,GM!$Q$5:$Q$756,GM!$J$5:$J$756)</f>
        <v>45959</v>
      </c>
    </row>
    <row r="1793" spans="1:8" x14ac:dyDescent="0.35">
      <c r="A1793" s="29" t="s">
        <v>24</v>
      </c>
      <c r="B1793" s="29" t="str">
        <f t="shared" si="27"/>
        <v>JUP-02</v>
      </c>
      <c r="C1793" s="29" t="s">
        <v>6702</v>
      </c>
      <c r="D1793" s="67" t="s">
        <v>6703</v>
      </c>
      <c r="E1793" s="96" t="s">
        <v>62</v>
      </c>
      <c r="F1793" s="29" t="s">
        <v>61</v>
      </c>
      <c r="G1793" s="29"/>
      <c r="H1793" s="103">
        <f>_xlfn.XLOOKUP(B1793,GM!$Q$5:$Q$756,GM!$J$5:$J$756)</f>
        <v>45959</v>
      </c>
    </row>
    <row r="1794" spans="1:8" x14ac:dyDescent="0.35">
      <c r="A1794" s="29" t="s">
        <v>24</v>
      </c>
      <c r="B1794" s="29" t="str">
        <f t="shared" si="27"/>
        <v>JUP-02</v>
      </c>
      <c r="C1794" s="29" t="s">
        <v>6704</v>
      </c>
      <c r="D1794" s="67" t="s">
        <v>6705</v>
      </c>
      <c r="E1794" s="96" t="s">
        <v>62</v>
      </c>
      <c r="F1794" s="29" t="s">
        <v>61</v>
      </c>
      <c r="G1794" s="29"/>
      <c r="H1794" s="103">
        <f>_xlfn.XLOOKUP(B1794,GM!$Q$5:$Q$756,GM!$J$5:$J$756)</f>
        <v>45959</v>
      </c>
    </row>
    <row r="1795" spans="1:8" x14ac:dyDescent="0.35">
      <c r="A1795" s="29" t="s">
        <v>24</v>
      </c>
      <c r="B1795" s="29" t="str">
        <f t="shared" si="27"/>
        <v>JUP-02</v>
      </c>
      <c r="C1795" s="29" t="s">
        <v>6706</v>
      </c>
      <c r="D1795" s="67" t="s">
        <v>6707</v>
      </c>
      <c r="E1795" s="96" t="s">
        <v>62</v>
      </c>
      <c r="F1795" s="29" t="s">
        <v>61</v>
      </c>
      <c r="G1795" s="29"/>
      <c r="H1795" s="103">
        <f>_xlfn.XLOOKUP(B1795,GM!$Q$5:$Q$756,GM!$J$5:$J$756)</f>
        <v>45959</v>
      </c>
    </row>
    <row r="1796" spans="1:8" x14ac:dyDescent="0.35">
      <c r="A1796" s="29" t="s">
        <v>24</v>
      </c>
      <c r="B1796" s="29" t="str">
        <f t="shared" si="27"/>
        <v>JUP-02</v>
      </c>
      <c r="C1796" s="29" t="s">
        <v>6708</v>
      </c>
      <c r="D1796" s="67" t="s">
        <v>6709</v>
      </c>
      <c r="E1796" s="96" t="s">
        <v>62</v>
      </c>
      <c r="F1796" s="29" t="s">
        <v>61</v>
      </c>
      <c r="G1796" s="29"/>
      <c r="H1796" s="103">
        <f>_xlfn.XLOOKUP(B1796,GM!$Q$5:$Q$756,GM!$J$5:$J$756)</f>
        <v>45959</v>
      </c>
    </row>
    <row r="1797" spans="1:8" x14ac:dyDescent="0.35">
      <c r="A1797" s="29" t="s">
        <v>24</v>
      </c>
      <c r="B1797" s="29" t="str">
        <f t="shared" ref="B1797:B1860" si="28">IF(OR(A1797="ARN",A1797="SDP"),MID(C1797,4,7),MID(C1797,4,6))</f>
        <v>JUP-02</v>
      </c>
      <c r="C1797" s="29" t="s">
        <v>6710</v>
      </c>
      <c r="D1797" s="67" t="s">
        <v>6711</v>
      </c>
      <c r="E1797" s="96" t="s">
        <v>62</v>
      </c>
      <c r="F1797" s="29" t="s">
        <v>61</v>
      </c>
      <c r="G1797" s="29"/>
      <c r="H1797" s="103">
        <f>_xlfn.XLOOKUP(B1797,GM!$Q$5:$Q$756,GM!$J$5:$J$756)</f>
        <v>45959</v>
      </c>
    </row>
    <row r="1798" spans="1:8" x14ac:dyDescent="0.35">
      <c r="A1798" s="29" t="s">
        <v>24</v>
      </c>
      <c r="B1798" s="29" t="str">
        <f t="shared" si="28"/>
        <v>JUP-02</v>
      </c>
      <c r="C1798" s="29" t="s">
        <v>6712</v>
      </c>
      <c r="D1798" s="67" t="s">
        <v>6713</v>
      </c>
      <c r="E1798" s="96" t="s">
        <v>62</v>
      </c>
      <c r="F1798" s="29" t="s">
        <v>61</v>
      </c>
      <c r="G1798" s="29"/>
      <c r="H1798" s="103">
        <f>_xlfn.XLOOKUP(B1798,GM!$Q$5:$Q$756,GM!$J$5:$J$756)</f>
        <v>45959</v>
      </c>
    </row>
    <row r="1799" spans="1:8" x14ac:dyDescent="0.35">
      <c r="A1799" s="29" t="s">
        <v>24</v>
      </c>
      <c r="B1799" s="29" t="str">
        <f t="shared" si="28"/>
        <v>JUP-02</v>
      </c>
      <c r="C1799" s="29" t="s">
        <v>6714</v>
      </c>
      <c r="D1799" s="67" t="s">
        <v>6715</v>
      </c>
      <c r="E1799" s="96" t="s">
        <v>62</v>
      </c>
      <c r="F1799" s="29" t="s">
        <v>61</v>
      </c>
      <c r="G1799" s="29"/>
      <c r="H1799" s="103">
        <f>_xlfn.XLOOKUP(B1799,GM!$Q$5:$Q$756,GM!$J$5:$J$756)</f>
        <v>45959</v>
      </c>
    </row>
    <row r="1800" spans="1:8" x14ac:dyDescent="0.35">
      <c r="A1800" s="29" t="s">
        <v>24</v>
      </c>
      <c r="B1800" s="29" t="str">
        <f t="shared" si="28"/>
        <v>JUP-02</v>
      </c>
      <c r="C1800" s="29" t="s">
        <v>6716</v>
      </c>
      <c r="D1800" s="67" t="s">
        <v>6717</v>
      </c>
      <c r="E1800" s="96" t="s">
        <v>62</v>
      </c>
      <c r="F1800" s="29" t="s">
        <v>61</v>
      </c>
      <c r="G1800" s="29"/>
      <c r="H1800" s="103">
        <f>_xlfn.XLOOKUP(B1800,GM!$Q$5:$Q$756,GM!$J$5:$J$756)</f>
        <v>45959</v>
      </c>
    </row>
    <row r="1801" spans="1:8" x14ac:dyDescent="0.35">
      <c r="A1801" s="29" t="s">
        <v>24</v>
      </c>
      <c r="B1801" s="29" t="str">
        <f t="shared" si="28"/>
        <v>JUP-02</v>
      </c>
      <c r="C1801" s="29" t="s">
        <v>6718</v>
      </c>
      <c r="D1801" s="67" t="s">
        <v>6719</v>
      </c>
      <c r="E1801" s="96" t="s">
        <v>62</v>
      </c>
      <c r="F1801" s="29" t="s">
        <v>61</v>
      </c>
      <c r="G1801" s="29"/>
      <c r="H1801" s="103">
        <f>_xlfn.XLOOKUP(B1801,GM!$Q$5:$Q$756,GM!$J$5:$J$756)</f>
        <v>45959</v>
      </c>
    </row>
    <row r="1802" spans="1:8" x14ac:dyDescent="0.35">
      <c r="A1802" s="29" t="s">
        <v>24</v>
      </c>
      <c r="B1802" s="29" t="str">
        <f t="shared" si="28"/>
        <v>JUP-02</v>
      </c>
      <c r="C1802" s="29" t="s">
        <v>6720</v>
      </c>
      <c r="D1802" s="67" t="s">
        <v>6721</v>
      </c>
      <c r="E1802" s="96" t="s">
        <v>62</v>
      </c>
      <c r="F1802" s="29" t="s">
        <v>61</v>
      </c>
      <c r="G1802" s="29"/>
      <c r="H1802" s="103">
        <f>_xlfn.XLOOKUP(B1802,GM!$Q$5:$Q$756,GM!$J$5:$J$756)</f>
        <v>45959</v>
      </c>
    </row>
    <row r="1803" spans="1:8" x14ac:dyDescent="0.35">
      <c r="A1803" s="29" t="s">
        <v>24</v>
      </c>
      <c r="B1803" s="29" t="str">
        <f t="shared" si="28"/>
        <v>JUP-02</v>
      </c>
      <c r="C1803" s="29" t="s">
        <v>6722</v>
      </c>
      <c r="D1803" s="67" t="s">
        <v>6723</v>
      </c>
      <c r="E1803" s="96" t="s">
        <v>62</v>
      </c>
      <c r="F1803" s="29" t="s">
        <v>61</v>
      </c>
      <c r="G1803" s="29"/>
      <c r="H1803" s="103">
        <f>_xlfn.XLOOKUP(B1803,GM!$Q$5:$Q$756,GM!$J$5:$J$756)</f>
        <v>45959</v>
      </c>
    </row>
    <row r="1804" spans="1:8" x14ac:dyDescent="0.35">
      <c r="A1804" s="29" t="s">
        <v>24</v>
      </c>
      <c r="B1804" s="29" t="str">
        <f t="shared" si="28"/>
        <v>JUP-02</v>
      </c>
      <c r="C1804" s="29" t="s">
        <v>6724</v>
      </c>
      <c r="D1804" s="67" t="s">
        <v>6725</v>
      </c>
      <c r="E1804" s="96" t="s">
        <v>62</v>
      </c>
      <c r="F1804" s="29" t="s">
        <v>61</v>
      </c>
      <c r="G1804" s="29"/>
      <c r="H1804" s="103">
        <f>_xlfn.XLOOKUP(B1804,GM!$Q$5:$Q$756,GM!$J$5:$J$756)</f>
        <v>45959</v>
      </c>
    </row>
    <row r="1805" spans="1:8" x14ac:dyDescent="0.35">
      <c r="A1805" s="29" t="s">
        <v>24</v>
      </c>
      <c r="B1805" s="29" t="str">
        <f t="shared" si="28"/>
        <v>JUP-02</v>
      </c>
      <c r="C1805" s="29" t="s">
        <v>6726</v>
      </c>
      <c r="D1805" s="67" t="s">
        <v>6727</v>
      </c>
      <c r="E1805" s="96" t="s">
        <v>62</v>
      </c>
      <c r="F1805" s="29" t="s">
        <v>61</v>
      </c>
      <c r="G1805" s="29"/>
      <c r="H1805" s="103">
        <f>_xlfn.XLOOKUP(B1805,GM!$Q$5:$Q$756,GM!$J$5:$J$756)</f>
        <v>45959</v>
      </c>
    </row>
    <row r="1806" spans="1:8" x14ac:dyDescent="0.35">
      <c r="A1806" s="29" t="s">
        <v>24</v>
      </c>
      <c r="B1806" s="29" t="str">
        <f t="shared" si="28"/>
        <v>JUP-02</v>
      </c>
      <c r="C1806" s="29" t="s">
        <v>6728</v>
      </c>
      <c r="D1806" s="67" t="s">
        <v>6729</v>
      </c>
      <c r="E1806" s="96" t="s">
        <v>62</v>
      </c>
      <c r="F1806" s="29" t="s">
        <v>61</v>
      </c>
      <c r="G1806" s="29"/>
      <c r="H1806" s="103">
        <f>_xlfn.XLOOKUP(B1806,GM!$Q$5:$Q$756,GM!$J$5:$J$756)</f>
        <v>45959</v>
      </c>
    </row>
    <row r="1807" spans="1:8" x14ac:dyDescent="0.35">
      <c r="A1807" s="29" t="s">
        <v>24</v>
      </c>
      <c r="B1807" s="29" t="str">
        <f t="shared" si="28"/>
        <v>JUP-02</v>
      </c>
      <c r="C1807" s="29" t="s">
        <v>6730</v>
      </c>
      <c r="D1807" s="67" t="s">
        <v>6731</v>
      </c>
      <c r="E1807" s="96" t="s">
        <v>62</v>
      </c>
      <c r="F1807" s="29" t="s">
        <v>61</v>
      </c>
      <c r="G1807" s="29"/>
      <c r="H1807" s="103">
        <f>_xlfn.XLOOKUP(B1807,GM!$Q$5:$Q$756,GM!$J$5:$J$756)</f>
        <v>45959</v>
      </c>
    </row>
    <row r="1808" spans="1:8" x14ac:dyDescent="0.35">
      <c r="A1808" s="29" t="s">
        <v>24</v>
      </c>
      <c r="B1808" s="29" t="str">
        <f t="shared" si="28"/>
        <v>JUP-02</v>
      </c>
      <c r="C1808" s="29" t="s">
        <v>6732</v>
      </c>
      <c r="D1808" s="67" t="s">
        <v>6733</v>
      </c>
      <c r="E1808" s="96" t="s">
        <v>62</v>
      </c>
      <c r="F1808" s="29" t="s">
        <v>61</v>
      </c>
      <c r="G1808" s="29"/>
      <c r="H1808" s="103">
        <f>_xlfn.XLOOKUP(B1808,GM!$Q$5:$Q$756,GM!$J$5:$J$756)</f>
        <v>45959</v>
      </c>
    </row>
    <row r="1809" spans="1:8" x14ac:dyDescent="0.35">
      <c r="A1809" s="29" t="s">
        <v>24</v>
      </c>
      <c r="B1809" s="29" t="str">
        <f t="shared" si="28"/>
        <v>JUP-02</v>
      </c>
      <c r="C1809" s="29" t="s">
        <v>6734</v>
      </c>
      <c r="D1809" s="67" t="s">
        <v>6735</v>
      </c>
      <c r="E1809" s="96" t="s">
        <v>62</v>
      </c>
      <c r="F1809" s="29" t="s">
        <v>61</v>
      </c>
      <c r="G1809" s="29"/>
      <c r="H1809" s="103">
        <f>_xlfn.XLOOKUP(B1809,GM!$Q$5:$Q$756,GM!$J$5:$J$756)</f>
        <v>45959</v>
      </c>
    </row>
    <row r="1810" spans="1:8" x14ac:dyDescent="0.35">
      <c r="A1810" s="29" t="s">
        <v>24</v>
      </c>
      <c r="B1810" s="29" t="str">
        <f t="shared" si="28"/>
        <v>JUP-02</v>
      </c>
      <c r="C1810" s="29" t="s">
        <v>6736</v>
      </c>
      <c r="D1810" s="67" t="s">
        <v>6737</v>
      </c>
      <c r="E1810" s="96" t="s">
        <v>62</v>
      </c>
      <c r="F1810" s="29" t="s">
        <v>61</v>
      </c>
      <c r="G1810" s="29"/>
      <c r="H1810" s="103">
        <f>_xlfn.XLOOKUP(B1810,GM!$Q$5:$Q$756,GM!$J$5:$J$756)</f>
        <v>45959</v>
      </c>
    </row>
    <row r="1811" spans="1:8" x14ac:dyDescent="0.35">
      <c r="A1811" s="29" t="s">
        <v>24</v>
      </c>
      <c r="B1811" s="29" t="str">
        <f t="shared" si="28"/>
        <v>JUP-02</v>
      </c>
      <c r="C1811" s="29" t="s">
        <v>6738</v>
      </c>
      <c r="D1811" s="67" t="s">
        <v>6739</v>
      </c>
      <c r="E1811" s="96" t="s">
        <v>62</v>
      </c>
      <c r="F1811" s="29" t="s">
        <v>61</v>
      </c>
      <c r="G1811" s="29"/>
      <c r="H1811" s="103">
        <f>_xlfn.XLOOKUP(B1811,GM!$Q$5:$Q$756,GM!$J$5:$J$756)</f>
        <v>45959</v>
      </c>
    </row>
    <row r="1812" spans="1:8" x14ac:dyDescent="0.35">
      <c r="A1812" s="29" t="s">
        <v>24</v>
      </c>
      <c r="B1812" s="29" t="str">
        <f t="shared" si="28"/>
        <v>JUP-02</v>
      </c>
      <c r="C1812" s="29" t="s">
        <v>6740</v>
      </c>
      <c r="D1812" s="67" t="s">
        <v>6741</v>
      </c>
      <c r="E1812" s="96" t="s">
        <v>62</v>
      </c>
      <c r="F1812" s="29" t="s">
        <v>61</v>
      </c>
      <c r="G1812" s="29"/>
      <c r="H1812" s="103">
        <f>_xlfn.XLOOKUP(B1812,GM!$Q$5:$Q$756,GM!$J$5:$J$756)</f>
        <v>45959</v>
      </c>
    </row>
    <row r="1813" spans="1:8" x14ac:dyDescent="0.35">
      <c r="A1813" s="29" t="s">
        <v>24</v>
      </c>
      <c r="B1813" s="29" t="str">
        <f t="shared" si="28"/>
        <v>JUP-02</v>
      </c>
      <c r="C1813" s="29" t="s">
        <v>6742</v>
      </c>
      <c r="D1813" s="67" t="s">
        <v>6743</v>
      </c>
      <c r="E1813" s="96" t="s">
        <v>62</v>
      </c>
      <c r="F1813" s="29" t="s">
        <v>61</v>
      </c>
      <c r="G1813" s="29"/>
      <c r="H1813" s="103">
        <f>_xlfn.XLOOKUP(B1813,GM!$Q$5:$Q$756,GM!$J$5:$J$756)</f>
        <v>45959</v>
      </c>
    </row>
    <row r="1814" spans="1:8" x14ac:dyDescent="0.35">
      <c r="A1814" s="29" t="s">
        <v>24</v>
      </c>
      <c r="B1814" s="29" t="str">
        <f t="shared" si="28"/>
        <v>JUP-02</v>
      </c>
      <c r="C1814" s="29" t="s">
        <v>6744</v>
      </c>
      <c r="D1814" s="67" t="s">
        <v>6745</v>
      </c>
      <c r="E1814" s="96" t="s">
        <v>62</v>
      </c>
      <c r="F1814" s="29" t="s">
        <v>61</v>
      </c>
      <c r="G1814" s="29"/>
      <c r="H1814" s="103">
        <f>_xlfn.XLOOKUP(B1814,GM!$Q$5:$Q$756,GM!$J$5:$J$756)</f>
        <v>45959</v>
      </c>
    </row>
    <row r="1815" spans="1:8" x14ac:dyDescent="0.35">
      <c r="A1815" s="29" t="s">
        <v>24</v>
      </c>
      <c r="B1815" s="29" t="str">
        <f t="shared" si="28"/>
        <v>JUP-02</v>
      </c>
      <c r="C1815" s="29" t="s">
        <v>6746</v>
      </c>
      <c r="D1815" s="67" t="s">
        <v>6747</v>
      </c>
      <c r="E1815" s="96" t="s">
        <v>62</v>
      </c>
      <c r="F1815" s="29" t="s">
        <v>61</v>
      </c>
      <c r="G1815" s="29"/>
      <c r="H1815" s="103">
        <f>_xlfn.XLOOKUP(B1815,GM!$Q$5:$Q$756,GM!$J$5:$J$756)</f>
        <v>45959</v>
      </c>
    </row>
    <row r="1816" spans="1:8" x14ac:dyDescent="0.35">
      <c r="A1816" s="29" t="s">
        <v>24</v>
      </c>
      <c r="B1816" s="29" t="str">
        <f t="shared" si="28"/>
        <v>JUP-02</v>
      </c>
      <c r="C1816" s="29" t="s">
        <v>6748</v>
      </c>
      <c r="D1816" s="67" t="s">
        <v>6749</v>
      </c>
      <c r="E1816" s="96" t="s">
        <v>62</v>
      </c>
      <c r="F1816" s="29" t="s">
        <v>61</v>
      </c>
      <c r="G1816" s="29"/>
      <c r="H1816" s="103">
        <f>_xlfn.XLOOKUP(B1816,GM!$Q$5:$Q$756,GM!$J$5:$J$756)</f>
        <v>45959</v>
      </c>
    </row>
    <row r="1817" spans="1:8" x14ac:dyDescent="0.35">
      <c r="A1817" s="29" t="s">
        <v>24</v>
      </c>
      <c r="B1817" s="29" t="str">
        <f t="shared" si="28"/>
        <v>JUP-02</v>
      </c>
      <c r="C1817" s="29" t="s">
        <v>6750</v>
      </c>
      <c r="D1817" s="67" t="s">
        <v>6751</v>
      </c>
      <c r="E1817" s="96" t="s">
        <v>62</v>
      </c>
      <c r="F1817" s="29" t="s">
        <v>61</v>
      </c>
      <c r="G1817" s="29"/>
      <c r="H1817" s="103">
        <f>_xlfn.XLOOKUP(B1817,GM!$Q$5:$Q$756,GM!$J$5:$J$756)</f>
        <v>45959</v>
      </c>
    </row>
    <row r="1818" spans="1:8" x14ac:dyDescent="0.35">
      <c r="A1818" s="29" t="s">
        <v>24</v>
      </c>
      <c r="B1818" s="29" t="str">
        <f t="shared" si="28"/>
        <v>JUP-02</v>
      </c>
      <c r="C1818" s="29" t="s">
        <v>6752</v>
      </c>
      <c r="D1818" s="67" t="s">
        <v>6753</v>
      </c>
      <c r="E1818" s="96" t="s">
        <v>62</v>
      </c>
      <c r="F1818" s="29" t="s">
        <v>61</v>
      </c>
      <c r="G1818" s="29"/>
      <c r="H1818" s="103">
        <f>_xlfn.XLOOKUP(B1818,GM!$Q$5:$Q$756,GM!$J$5:$J$756)</f>
        <v>45959</v>
      </c>
    </row>
    <row r="1819" spans="1:8" x14ac:dyDescent="0.35">
      <c r="A1819" s="29" t="s">
        <v>24</v>
      </c>
      <c r="B1819" s="29" t="str">
        <f t="shared" si="28"/>
        <v>JUP-01</v>
      </c>
      <c r="C1819" s="29" t="s">
        <v>6754</v>
      </c>
      <c r="D1819" s="67" t="s">
        <v>6755</v>
      </c>
      <c r="E1819" s="96" t="s">
        <v>62</v>
      </c>
      <c r="F1819" s="29" t="s">
        <v>61</v>
      </c>
      <c r="G1819" s="29"/>
      <c r="H1819" s="103">
        <f>_xlfn.XLOOKUP(B1819,GM!$Q$5:$Q$756,GM!$J$5:$J$756)</f>
        <v>44739</v>
      </c>
    </row>
    <row r="1820" spans="1:8" x14ac:dyDescent="0.35">
      <c r="A1820" s="29" t="s">
        <v>24</v>
      </c>
      <c r="B1820" s="29" t="str">
        <f t="shared" si="28"/>
        <v>JUP-01</v>
      </c>
      <c r="C1820" s="29" t="s">
        <v>6756</v>
      </c>
      <c r="D1820" s="67" t="s">
        <v>6757</v>
      </c>
      <c r="E1820" s="96" t="s">
        <v>62</v>
      </c>
      <c r="F1820" s="29" t="s">
        <v>61</v>
      </c>
      <c r="G1820" s="29"/>
      <c r="H1820" s="103">
        <f>_xlfn.XLOOKUP(B1820,GM!$Q$5:$Q$756,GM!$J$5:$J$756)</f>
        <v>44739</v>
      </c>
    </row>
    <row r="1821" spans="1:8" x14ac:dyDescent="0.35">
      <c r="A1821" s="29" t="s">
        <v>24</v>
      </c>
      <c r="B1821" s="29" t="str">
        <f t="shared" si="28"/>
        <v>JUP-01</v>
      </c>
      <c r="C1821" s="29" t="s">
        <v>6758</v>
      </c>
      <c r="D1821" s="67" t="s">
        <v>6759</v>
      </c>
      <c r="E1821" s="96" t="s">
        <v>62</v>
      </c>
      <c r="F1821" s="29" t="s">
        <v>61</v>
      </c>
      <c r="G1821" s="29"/>
      <c r="H1821" s="103">
        <f>_xlfn.XLOOKUP(B1821,GM!$Q$5:$Q$756,GM!$J$5:$J$756)</f>
        <v>44739</v>
      </c>
    </row>
    <row r="1822" spans="1:8" x14ac:dyDescent="0.35">
      <c r="A1822" s="29" t="s">
        <v>24</v>
      </c>
      <c r="B1822" s="29" t="str">
        <f t="shared" si="28"/>
        <v>JUP-01</v>
      </c>
      <c r="C1822" s="29" t="s">
        <v>6760</v>
      </c>
      <c r="D1822" s="67" t="s">
        <v>6761</v>
      </c>
      <c r="E1822" s="96" t="s">
        <v>62</v>
      </c>
      <c r="F1822" s="29" t="s">
        <v>61</v>
      </c>
      <c r="G1822" s="29"/>
      <c r="H1822" s="103">
        <f>_xlfn.XLOOKUP(B1822,GM!$Q$5:$Q$756,GM!$J$5:$J$756)</f>
        <v>44739</v>
      </c>
    </row>
    <row r="1823" spans="1:8" x14ac:dyDescent="0.35">
      <c r="A1823" s="29" t="s">
        <v>24</v>
      </c>
      <c r="B1823" s="29" t="str">
        <f t="shared" si="28"/>
        <v>JUP-01</v>
      </c>
      <c r="C1823" s="29" t="s">
        <v>6762</v>
      </c>
      <c r="D1823" s="67" t="s">
        <v>6763</v>
      </c>
      <c r="E1823" s="96" t="s">
        <v>62</v>
      </c>
      <c r="F1823" s="29" t="s">
        <v>61</v>
      </c>
      <c r="G1823" s="29"/>
      <c r="H1823" s="103">
        <f>_xlfn.XLOOKUP(B1823,GM!$Q$5:$Q$756,GM!$J$5:$J$756)</f>
        <v>44739</v>
      </c>
    </row>
    <row r="1824" spans="1:8" x14ac:dyDescent="0.35">
      <c r="A1824" s="29" t="s">
        <v>24</v>
      </c>
      <c r="B1824" s="29" t="str">
        <f t="shared" si="28"/>
        <v>JUP-01</v>
      </c>
      <c r="C1824" s="29" t="s">
        <v>6764</v>
      </c>
      <c r="D1824" s="67" t="s">
        <v>6765</v>
      </c>
      <c r="E1824" s="96" t="s">
        <v>62</v>
      </c>
      <c r="F1824" s="29" t="s">
        <v>61</v>
      </c>
      <c r="G1824" s="29"/>
      <c r="H1824" s="103">
        <f>_xlfn.XLOOKUP(B1824,GM!$Q$5:$Q$756,GM!$J$5:$J$756)</f>
        <v>44739</v>
      </c>
    </row>
    <row r="1825" spans="1:8" x14ac:dyDescent="0.35">
      <c r="A1825" s="29" t="s">
        <v>24</v>
      </c>
      <c r="B1825" s="29" t="str">
        <f t="shared" si="28"/>
        <v>JUP-01</v>
      </c>
      <c r="C1825" s="29" t="s">
        <v>6766</v>
      </c>
      <c r="D1825" s="67" t="s">
        <v>6767</v>
      </c>
      <c r="E1825" s="96" t="s">
        <v>62</v>
      </c>
      <c r="F1825" s="29" t="s">
        <v>61</v>
      </c>
      <c r="G1825" s="29"/>
      <c r="H1825" s="103">
        <f>_xlfn.XLOOKUP(B1825,GM!$Q$5:$Q$756,GM!$J$5:$J$756)</f>
        <v>44739</v>
      </c>
    </row>
    <row r="1826" spans="1:8" x14ac:dyDescent="0.35">
      <c r="A1826" s="29" t="s">
        <v>24</v>
      </c>
      <c r="B1826" s="29" t="str">
        <f t="shared" si="28"/>
        <v>JUP-01</v>
      </c>
      <c r="C1826" s="29" t="s">
        <v>6768</v>
      </c>
      <c r="D1826" s="67" t="s">
        <v>6769</v>
      </c>
      <c r="E1826" s="96" t="s">
        <v>62</v>
      </c>
      <c r="F1826" s="29" t="s">
        <v>61</v>
      </c>
      <c r="G1826" s="29"/>
      <c r="H1826" s="103">
        <f>_xlfn.XLOOKUP(B1826,GM!$Q$5:$Q$756,GM!$J$5:$J$756)</f>
        <v>44739</v>
      </c>
    </row>
    <row r="1827" spans="1:8" x14ac:dyDescent="0.35">
      <c r="A1827" s="29" t="s">
        <v>24</v>
      </c>
      <c r="B1827" s="29" t="str">
        <f t="shared" si="28"/>
        <v>JUP-01</v>
      </c>
      <c r="C1827" s="29" t="s">
        <v>6770</v>
      </c>
      <c r="D1827" s="67" t="s">
        <v>6771</v>
      </c>
      <c r="E1827" s="96" t="s">
        <v>62</v>
      </c>
      <c r="F1827" s="29" t="s">
        <v>61</v>
      </c>
      <c r="G1827" s="29"/>
      <c r="H1827" s="103">
        <f>_xlfn.XLOOKUP(B1827,GM!$Q$5:$Q$756,GM!$J$5:$J$756)</f>
        <v>44739</v>
      </c>
    </row>
    <row r="1828" spans="1:8" x14ac:dyDescent="0.35">
      <c r="A1828" s="29" t="s">
        <v>24</v>
      </c>
      <c r="B1828" s="29" t="str">
        <f t="shared" si="28"/>
        <v>JUP-01</v>
      </c>
      <c r="C1828" s="29" t="s">
        <v>6772</v>
      </c>
      <c r="D1828" s="67" t="s">
        <v>6773</v>
      </c>
      <c r="E1828" s="96" t="s">
        <v>62</v>
      </c>
      <c r="F1828" s="29" t="s">
        <v>61</v>
      </c>
      <c r="G1828" s="29"/>
      <c r="H1828" s="103">
        <f>_xlfn.XLOOKUP(B1828,GM!$Q$5:$Q$756,GM!$J$5:$J$756)</f>
        <v>44739</v>
      </c>
    </row>
    <row r="1829" spans="1:8" x14ac:dyDescent="0.35">
      <c r="A1829" s="29" t="s">
        <v>24</v>
      </c>
      <c r="B1829" s="29" t="str">
        <f t="shared" si="28"/>
        <v>JUP-01</v>
      </c>
      <c r="C1829" s="29" t="s">
        <v>6774</v>
      </c>
      <c r="D1829" s="67" t="s">
        <v>6775</v>
      </c>
      <c r="E1829" s="96" t="s">
        <v>62</v>
      </c>
      <c r="F1829" s="29" t="s">
        <v>61</v>
      </c>
      <c r="G1829" s="29"/>
      <c r="H1829" s="103">
        <f>_xlfn.XLOOKUP(B1829,GM!$Q$5:$Q$756,GM!$J$5:$J$756)</f>
        <v>44739</v>
      </c>
    </row>
    <row r="1830" spans="1:8" x14ac:dyDescent="0.35">
      <c r="A1830" s="29" t="s">
        <v>24</v>
      </c>
      <c r="B1830" s="29" t="str">
        <f t="shared" si="28"/>
        <v>JUP-01</v>
      </c>
      <c r="C1830" s="29" t="s">
        <v>6776</v>
      </c>
      <c r="D1830" s="67" t="s">
        <v>6777</v>
      </c>
      <c r="E1830" s="96" t="s">
        <v>62</v>
      </c>
      <c r="F1830" s="29" t="s">
        <v>61</v>
      </c>
      <c r="G1830" s="29"/>
      <c r="H1830" s="103">
        <f>_xlfn.XLOOKUP(B1830,GM!$Q$5:$Q$756,GM!$J$5:$J$756)</f>
        <v>44739</v>
      </c>
    </row>
    <row r="1831" spans="1:8" x14ac:dyDescent="0.35">
      <c r="A1831" s="29" t="s">
        <v>24</v>
      </c>
      <c r="B1831" s="29" t="str">
        <f t="shared" si="28"/>
        <v>JUP-01</v>
      </c>
      <c r="C1831" s="29" t="s">
        <v>6778</v>
      </c>
      <c r="D1831" s="67" t="s">
        <v>6779</v>
      </c>
      <c r="E1831" s="96" t="s">
        <v>62</v>
      </c>
      <c r="F1831" s="29" t="s">
        <v>61</v>
      </c>
      <c r="G1831" s="29"/>
      <c r="H1831" s="103">
        <f>_xlfn.XLOOKUP(B1831,GM!$Q$5:$Q$756,GM!$J$5:$J$756)</f>
        <v>44739</v>
      </c>
    </row>
    <row r="1832" spans="1:8" x14ac:dyDescent="0.35">
      <c r="A1832" s="29" t="s">
        <v>24</v>
      </c>
      <c r="B1832" s="29" t="str">
        <f t="shared" si="28"/>
        <v>JUP-01</v>
      </c>
      <c r="C1832" s="29" t="s">
        <v>6780</v>
      </c>
      <c r="D1832" s="67" t="s">
        <v>6781</v>
      </c>
      <c r="E1832" s="96" t="s">
        <v>62</v>
      </c>
      <c r="F1832" s="29" t="s">
        <v>61</v>
      </c>
      <c r="G1832" s="29"/>
      <c r="H1832" s="103">
        <f>_xlfn.XLOOKUP(B1832,GM!$Q$5:$Q$756,GM!$J$5:$J$756)</f>
        <v>44739</v>
      </c>
    </row>
    <row r="1833" spans="1:8" x14ac:dyDescent="0.35">
      <c r="A1833" s="29" t="s">
        <v>24</v>
      </c>
      <c r="B1833" s="29" t="str">
        <f t="shared" si="28"/>
        <v>JUP-01</v>
      </c>
      <c r="C1833" s="29" t="s">
        <v>6782</v>
      </c>
      <c r="D1833" s="67" t="s">
        <v>6783</v>
      </c>
      <c r="E1833" s="96" t="s">
        <v>62</v>
      </c>
      <c r="F1833" s="29" t="s">
        <v>61</v>
      </c>
      <c r="G1833" s="29"/>
      <c r="H1833" s="103">
        <f>_xlfn.XLOOKUP(B1833,GM!$Q$5:$Q$756,GM!$J$5:$J$756)</f>
        <v>44739</v>
      </c>
    </row>
    <row r="1834" spans="1:8" x14ac:dyDescent="0.35">
      <c r="A1834" s="29" t="s">
        <v>24</v>
      </c>
      <c r="B1834" s="29" t="str">
        <f t="shared" si="28"/>
        <v>JUP-01</v>
      </c>
      <c r="C1834" s="29" t="s">
        <v>6784</v>
      </c>
      <c r="D1834" s="67" t="s">
        <v>6785</v>
      </c>
      <c r="E1834" s="96" t="s">
        <v>62</v>
      </c>
      <c r="F1834" s="29" t="s">
        <v>61</v>
      </c>
      <c r="G1834" s="29"/>
      <c r="H1834" s="103">
        <f>_xlfn.XLOOKUP(B1834,GM!$Q$5:$Q$756,GM!$J$5:$J$756)</f>
        <v>44739</v>
      </c>
    </row>
    <row r="1835" spans="1:8" x14ac:dyDescent="0.35">
      <c r="A1835" s="29" t="s">
        <v>24</v>
      </c>
      <c r="B1835" s="29" t="str">
        <f t="shared" si="28"/>
        <v>JUP-01</v>
      </c>
      <c r="C1835" s="29" t="s">
        <v>6786</v>
      </c>
      <c r="D1835" s="67" t="s">
        <v>6787</v>
      </c>
      <c r="E1835" s="96" t="s">
        <v>62</v>
      </c>
      <c r="F1835" s="29" t="s">
        <v>61</v>
      </c>
      <c r="G1835" s="29"/>
      <c r="H1835" s="103">
        <f>_xlfn.XLOOKUP(B1835,GM!$Q$5:$Q$756,GM!$J$5:$J$756)</f>
        <v>44739</v>
      </c>
    </row>
    <row r="1836" spans="1:8" x14ac:dyDescent="0.35">
      <c r="A1836" s="29" t="s">
        <v>24</v>
      </c>
      <c r="B1836" s="29" t="str">
        <f t="shared" si="28"/>
        <v>JUP-01</v>
      </c>
      <c r="C1836" s="29" t="s">
        <v>6788</v>
      </c>
      <c r="D1836" s="67" t="s">
        <v>6789</v>
      </c>
      <c r="E1836" s="96" t="s">
        <v>62</v>
      </c>
      <c r="F1836" s="29" t="s">
        <v>61</v>
      </c>
      <c r="G1836" s="29"/>
      <c r="H1836" s="103">
        <f>_xlfn.XLOOKUP(B1836,GM!$Q$5:$Q$756,GM!$J$5:$J$756)</f>
        <v>44739</v>
      </c>
    </row>
    <row r="1837" spans="1:8" x14ac:dyDescent="0.35">
      <c r="A1837" s="29" t="s">
        <v>24</v>
      </c>
      <c r="B1837" s="29" t="str">
        <f t="shared" si="28"/>
        <v>JUP-01</v>
      </c>
      <c r="C1837" s="29" t="s">
        <v>6790</v>
      </c>
      <c r="D1837" s="67" t="s">
        <v>6791</v>
      </c>
      <c r="E1837" s="96" t="s">
        <v>62</v>
      </c>
      <c r="F1837" s="29" t="s">
        <v>61</v>
      </c>
      <c r="G1837" s="29"/>
      <c r="H1837" s="103">
        <f>_xlfn.XLOOKUP(B1837,GM!$Q$5:$Q$756,GM!$J$5:$J$756)</f>
        <v>44739</v>
      </c>
    </row>
    <row r="1838" spans="1:8" x14ac:dyDescent="0.35">
      <c r="A1838" s="29" t="s">
        <v>24</v>
      </c>
      <c r="B1838" s="29" t="str">
        <f t="shared" si="28"/>
        <v>JUP-01</v>
      </c>
      <c r="C1838" s="29" t="s">
        <v>6792</v>
      </c>
      <c r="D1838" s="67" t="s">
        <v>6793</v>
      </c>
      <c r="E1838" s="96" t="s">
        <v>62</v>
      </c>
      <c r="F1838" s="29" t="s">
        <v>61</v>
      </c>
      <c r="G1838" s="29"/>
      <c r="H1838" s="103">
        <f>_xlfn.XLOOKUP(B1838,GM!$Q$5:$Q$756,GM!$J$5:$J$756)</f>
        <v>44739</v>
      </c>
    </row>
    <row r="1839" spans="1:8" x14ac:dyDescent="0.35">
      <c r="A1839" s="29" t="s">
        <v>24</v>
      </c>
      <c r="B1839" s="29" t="str">
        <f t="shared" si="28"/>
        <v>JUP-01</v>
      </c>
      <c r="C1839" s="29" t="s">
        <v>6794</v>
      </c>
      <c r="D1839" s="67" t="s">
        <v>6795</v>
      </c>
      <c r="E1839" s="96" t="s">
        <v>62</v>
      </c>
      <c r="F1839" s="29" t="s">
        <v>61</v>
      </c>
      <c r="G1839" s="29"/>
      <c r="H1839" s="103">
        <f>_xlfn.XLOOKUP(B1839,GM!$Q$5:$Q$756,GM!$J$5:$J$756)</f>
        <v>44739</v>
      </c>
    </row>
    <row r="1840" spans="1:8" x14ac:dyDescent="0.35">
      <c r="A1840" s="29" t="s">
        <v>24</v>
      </c>
      <c r="B1840" s="29" t="str">
        <f t="shared" si="28"/>
        <v>JUP-01</v>
      </c>
      <c r="C1840" s="29" t="s">
        <v>6796</v>
      </c>
      <c r="D1840" s="67" t="s">
        <v>6797</v>
      </c>
      <c r="E1840" s="96" t="s">
        <v>62</v>
      </c>
      <c r="F1840" s="29" t="s">
        <v>61</v>
      </c>
      <c r="G1840" s="29"/>
      <c r="H1840" s="103">
        <f>_xlfn.XLOOKUP(B1840,GM!$Q$5:$Q$756,GM!$J$5:$J$756)</f>
        <v>44739</v>
      </c>
    </row>
    <row r="1841" spans="1:8" x14ac:dyDescent="0.35">
      <c r="A1841" s="29" t="s">
        <v>24</v>
      </c>
      <c r="B1841" s="29" t="str">
        <f t="shared" si="28"/>
        <v>JUP-01</v>
      </c>
      <c r="C1841" s="29" t="s">
        <v>6798</v>
      </c>
      <c r="D1841" s="67" t="s">
        <v>6799</v>
      </c>
      <c r="E1841" s="96" t="s">
        <v>62</v>
      </c>
      <c r="F1841" s="29" t="s">
        <v>61</v>
      </c>
      <c r="G1841" s="29"/>
      <c r="H1841" s="103">
        <f>_xlfn.XLOOKUP(B1841,GM!$Q$5:$Q$756,GM!$J$5:$J$756)</f>
        <v>44739</v>
      </c>
    </row>
    <row r="1842" spans="1:8" x14ac:dyDescent="0.35">
      <c r="A1842" s="29" t="s">
        <v>24</v>
      </c>
      <c r="B1842" s="29" t="str">
        <f t="shared" si="28"/>
        <v>JUP-01</v>
      </c>
      <c r="C1842" s="29" t="s">
        <v>6800</v>
      </c>
      <c r="D1842" s="67" t="s">
        <v>6801</v>
      </c>
      <c r="E1842" s="96" t="s">
        <v>62</v>
      </c>
      <c r="F1842" s="29" t="s">
        <v>61</v>
      </c>
      <c r="G1842" s="29"/>
      <c r="H1842" s="103">
        <f>_xlfn.XLOOKUP(B1842,GM!$Q$5:$Q$756,GM!$J$5:$J$756)</f>
        <v>44739</v>
      </c>
    </row>
    <row r="1843" spans="1:8" x14ac:dyDescent="0.35">
      <c r="A1843" s="29" t="s">
        <v>24</v>
      </c>
      <c r="B1843" s="29" t="str">
        <f t="shared" si="28"/>
        <v>JUP-01</v>
      </c>
      <c r="C1843" s="29" t="s">
        <v>6802</v>
      </c>
      <c r="D1843" s="67" t="s">
        <v>6803</v>
      </c>
      <c r="E1843" s="96" t="s">
        <v>62</v>
      </c>
      <c r="F1843" s="29" t="s">
        <v>61</v>
      </c>
      <c r="G1843" s="29"/>
      <c r="H1843" s="103">
        <f>_xlfn.XLOOKUP(B1843,GM!$Q$5:$Q$756,GM!$J$5:$J$756)</f>
        <v>44739</v>
      </c>
    </row>
    <row r="1844" spans="1:8" x14ac:dyDescent="0.35">
      <c r="A1844" s="29" t="s">
        <v>24</v>
      </c>
      <c r="B1844" s="29" t="str">
        <f t="shared" si="28"/>
        <v>JUP-01</v>
      </c>
      <c r="C1844" s="29" t="s">
        <v>6804</v>
      </c>
      <c r="D1844" s="67" t="s">
        <v>6805</v>
      </c>
      <c r="E1844" s="96" t="s">
        <v>62</v>
      </c>
      <c r="F1844" s="29" t="s">
        <v>61</v>
      </c>
      <c r="G1844" s="29"/>
      <c r="H1844" s="103">
        <f>_xlfn.XLOOKUP(B1844,GM!$Q$5:$Q$756,GM!$J$5:$J$756)</f>
        <v>44739</v>
      </c>
    </row>
    <row r="1845" spans="1:8" x14ac:dyDescent="0.35">
      <c r="A1845" s="29" t="s">
        <v>24</v>
      </c>
      <c r="B1845" s="29" t="str">
        <f t="shared" si="28"/>
        <v>JUP-01</v>
      </c>
      <c r="C1845" s="29" t="s">
        <v>6806</v>
      </c>
      <c r="D1845" s="67" t="s">
        <v>6807</v>
      </c>
      <c r="E1845" s="96" t="s">
        <v>62</v>
      </c>
      <c r="F1845" s="29" t="s">
        <v>61</v>
      </c>
      <c r="G1845" s="29"/>
      <c r="H1845" s="103">
        <f>_xlfn.XLOOKUP(B1845,GM!$Q$5:$Q$756,GM!$J$5:$J$756)</f>
        <v>44739</v>
      </c>
    </row>
    <row r="1846" spans="1:8" x14ac:dyDescent="0.35">
      <c r="A1846" s="29" t="s">
        <v>24</v>
      </c>
      <c r="B1846" s="29" t="str">
        <f t="shared" si="28"/>
        <v>JUP-01</v>
      </c>
      <c r="C1846" s="29" t="s">
        <v>6808</v>
      </c>
      <c r="D1846" s="67" t="s">
        <v>6809</v>
      </c>
      <c r="E1846" s="96" t="s">
        <v>62</v>
      </c>
      <c r="F1846" s="29" t="s">
        <v>61</v>
      </c>
      <c r="G1846" s="29"/>
      <c r="H1846" s="103">
        <f>_xlfn.XLOOKUP(B1846,GM!$Q$5:$Q$756,GM!$J$5:$J$756)</f>
        <v>44739</v>
      </c>
    </row>
    <row r="1847" spans="1:8" x14ac:dyDescent="0.35">
      <c r="A1847" s="29" t="s">
        <v>24</v>
      </c>
      <c r="B1847" s="29" t="str">
        <f t="shared" si="28"/>
        <v>JUP-00</v>
      </c>
      <c r="C1847" s="29" t="s">
        <v>6810</v>
      </c>
      <c r="D1847" s="67" t="s">
        <v>6811</v>
      </c>
      <c r="E1847" s="96" t="s">
        <v>62</v>
      </c>
      <c r="F1847" s="29" t="s">
        <v>61</v>
      </c>
      <c r="G1847" s="29"/>
      <c r="H1847" s="103">
        <f>_xlfn.XLOOKUP(B1847,GM!$Q$5:$Q$756,GM!$J$5:$J$756)</f>
        <v>45202</v>
      </c>
    </row>
    <row r="1848" spans="1:8" x14ac:dyDescent="0.35">
      <c r="A1848" s="29" t="s">
        <v>24</v>
      </c>
      <c r="B1848" s="29" t="str">
        <f t="shared" si="28"/>
        <v>JUP-00</v>
      </c>
      <c r="C1848" s="29" t="s">
        <v>6812</v>
      </c>
      <c r="D1848" s="67" t="s">
        <v>6813</v>
      </c>
      <c r="E1848" s="96" t="s">
        <v>62</v>
      </c>
      <c r="F1848" s="29" t="s">
        <v>61</v>
      </c>
      <c r="G1848" s="29"/>
      <c r="H1848" s="103">
        <f>_xlfn.XLOOKUP(B1848,GM!$Q$5:$Q$756,GM!$J$5:$J$756)</f>
        <v>45202</v>
      </c>
    </row>
    <row r="1849" spans="1:8" x14ac:dyDescent="0.35">
      <c r="A1849" s="29" t="s">
        <v>24</v>
      </c>
      <c r="B1849" s="29" t="str">
        <f t="shared" si="28"/>
        <v>JUP-00</v>
      </c>
      <c r="C1849" s="29" t="s">
        <v>6814</v>
      </c>
      <c r="D1849" s="67" t="s">
        <v>6815</v>
      </c>
      <c r="E1849" s="96" t="s">
        <v>62</v>
      </c>
      <c r="F1849" s="29" t="s">
        <v>61</v>
      </c>
      <c r="G1849" s="29"/>
      <c r="H1849" s="103">
        <f>_xlfn.XLOOKUP(B1849,GM!$Q$5:$Q$756,GM!$J$5:$J$756)</f>
        <v>45202</v>
      </c>
    </row>
    <row r="1850" spans="1:8" x14ac:dyDescent="0.35">
      <c r="A1850" s="29" t="s">
        <v>24</v>
      </c>
      <c r="B1850" s="29" t="str">
        <f t="shared" si="28"/>
        <v>JUP-00</v>
      </c>
      <c r="C1850" s="29" t="s">
        <v>6816</v>
      </c>
      <c r="D1850" s="67" t="s">
        <v>6817</v>
      </c>
      <c r="E1850" s="96" t="s">
        <v>62</v>
      </c>
      <c r="F1850" s="29" t="s">
        <v>61</v>
      </c>
      <c r="G1850" s="29"/>
      <c r="H1850" s="103">
        <f>_xlfn.XLOOKUP(B1850,GM!$Q$5:$Q$756,GM!$J$5:$J$756)</f>
        <v>45202</v>
      </c>
    </row>
    <row r="1851" spans="1:8" x14ac:dyDescent="0.35">
      <c r="A1851" s="29" t="s">
        <v>24</v>
      </c>
      <c r="B1851" s="29" t="str">
        <f t="shared" si="28"/>
        <v>JUP-00</v>
      </c>
      <c r="C1851" s="29" t="s">
        <v>6818</v>
      </c>
      <c r="D1851" s="67" t="s">
        <v>6819</v>
      </c>
      <c r="E1851" s="96" t="s">
        <v>62</v>
      </c>
      <c r="F1851" s="29" t="s">
        <v>61</v>
      </c>
      <c r="G1851" s="29"/>
      <c r="H1851" s="103">
        <f>_xlfn.XLOOKUP(B1851,GM!$Q$5:$Q$756,GM!$J$5:$J$756)</f>
        <v>45202</v>
      </c>
    </row>
    <row r="1852" spans="1:8" x14ac:dyDescent="0.35">
      <c r="A1852" s="29" t="s">
        <v>24</v>
      </c>
      <c r="B1852" s="29" t="str">
        <f t="shared" si="28"/>
        <v>JUP-00</v>
      </c>
      <c r="C1852" s="29" t="s">
        <v>6820</v>
      </c>
      <c r="D1852" s="67" t="s">
        <v>6821</v>
      </c>
      <c r="E1852" s="96" t="s">
        <v>62</v>
      </c>
      <c r="F1852" s="29" t="s">
        <v>61</v>
      </c>
      <c r="G1852" s="29"/>
      <c r="H1852" s="103">
        <f>_xlfn.XLOOKUP(B1852,GM!$Q$5:$Q$756,GM!$J$5:$J$756)</f>
        <v>45202</v>
      </c>
    </row>
    <row r="1853" spans="1:8" x14ac:dyDescent="0.35">
      <c r="A1853" s="29" t="s">
        <v>24</v>
      </c>
      <c r="B1853" s="29" t="str">
        <f t="shared" si="28"/>
        <v>JUP-00</v>
      </c>
      <c r="C1853" s="29" t="s">
        <v>6822</v>
      </c>
      <c r="D1853" s="67" t="s">
        <v>6823</v>
      </c>
      <c r="E1853" s="96" t="s">
        <v>62</v>
      </c>
      <c r="F1853" s="29" t="s">
        <v>61</v>
      </c>
      <c r="G1853" s="29"/>
      <c r="H1853" s="103">
        <f>_xlfn.XLOOKUP(B1853,GM!$Q$5:$Q$756,GM!$J$5:$J$756)</f>
        <v>45202</v>
      </c>
    </row>
    <row r="1854" spans="1:8" x14ac:dyDescent="0.35">
      <c r="A1854" s="29" t="s">
        <v>24</v>
      </c>
      <c r="B1854" s="29" t="str">
        <f t="shared" si="28"/>
        <v>JUP-00</v>
      </c>
      <c r="C1854" s="29" t="s">
        <v>6824</v>
      </c>
      <c r="D1854" s="67" t="s">
        <v>6825</v>
      </c>
      <c r="E1854" s="96" t="s">
        <v>62</v>
      </c>
      <c r="F1854" s="29" t="s">
        <v>61</v>
      </c>
      <c r="G1854" s="29"/>
      <c r="H1854" s="103">
        <f>_xlfn.XLOOKUP(B1854,GM!$Q$5:$Q$756,GM!$J$5:$J$756)</f>
        <v>45202</v>
      </c>
    </row>
    <row r="1855" spans="1:8" x14ac:dyDescent="0.35">
      <c r="A1855" s="29" t="s">
        <v>24</v>
      </c>
      <c r="B1855" s="29" t="str">
        <f t="shared" si="28"/>
        <v>JUP-00</v>
      </c>
      <c r="C1855" s="29" t="s">
        <v>6826</v>
      </c>
      <c r="D1855" s="67" t="s">
        <v>6827</v>
      </c>
      <c r="E1855" s="96" t="s">
        <v>62</v>
      </c>
      <c r="F1855" s="29" t="s">
        <v>61</v>
      </c>
      <c r="G1855" s="29"/>
      <c r="H1855" s="103">
        <f>_xlfn.XLOOKUP(B1855,GM!$Q$5:$Q$756,GM!$J$5:$J$756)</f>
        <v>45202</v>
      </c>
    </row>
    <row r="1856" spans="1:8" hidden="1" x14ac:dyDescent="0.35">
      <c r="A1856" s="29" t="s">
        <v>13</v>
      </c>
      <c r="B1856" s="29" t="str">
        <f t="shared" si="28"/>
        <v>JUR-00</v>
      </c>
      <c r="C1856" s="29" t="s">
        <v>6828</v>
      </c>
      <c r="D1856" s="67" t="s">
        <v>6829</v>
      </c>
      <c r="E1856" s="96" t="s">
        <v>62</v>
      </c>
      <c r="F1856" s="29" t="s">
        <v>61</v>
      </c>
      <c r="G1856" s="29"/>
      <c r="H1856" s="103">
        <f>_xlfn.XLOOKUP(B1856,GM!$Q$5:$Q$756,GM!$J$5:$J$756)</f>
        <v>45202</v>
      </c>
    </row>
    <row r="1857" spans="1:8" hidden="1" x14ac:dyDescent="0.35">
      <c r="A1857" s="29" t="s">
        <v>13</v>
      </c>
      <c r="B1857" s="29" t="str">
        <f t="shared" si="28"/>
        <v>JUR-00</v>
      </c>
      <c r="C1857" s="29" t="s">
        <v>6830</v>
      </c>
      <c r="D1857" s="67" t="s">
        <v>6831</v>
      </c>
      <c r="E1857" s="96" t="s">
        <v>62</v>
      </c>
      <c r="F1857" s="29" t="s">
        <v>61</v>
      </c>
      <c r="G1857" s="29"/>
      <c r="H1857" s="103">
        <f>_xlfn.XLOOKUP(B1857,GM!$Q$5:$Q$756,GM!$J$5:$J$756)</f>
        <v>45202</v>
      </c>
    </row>
    <row r="1858" spans="1:8" hidden="1" x14ac:dyDescent="0.35">
      <c r="A1858" s="29" t="s">
        <v>13</v>
      </c>
      <c r="B1858" s="29" t="str">
        <f t="shared" si="28"/>
        <v>JUR-00</v>
      </c>
      <c r="C1858" s="29" t="s">
        <v>6832</v>
      </c>
      <c r="D1858" s="67" t="s">
        <v>6833</v>
      </c>
      <c r="E1858" s="96" t="s">
        <v>62</v>
      </c>
      <c r="F1858" s="29" t="s">
        <v>61</v>
      </c>
      <c r="G1858" s="29"/>
      <c r="H1858" s="103">
        <f>_xlfn.XLOOKUP(B1858,GM!$Q$5:$Q$756,GM!$J$5:$J$756)</f>
        <v>45202</v>
      </c>
    </row>
    <row r="1859" spans="1:8" hidden="1" x14ac:dyDescent="0.35">
      <c r="A1859" s="29" t="s">
        <v>13</v>
      </c>
      <c r="B1859" s="29" t="str">
        <f t="shared" si="28"/>
        <v>JUR-00</v>
      </c>
      <c r="C1859" s="29" t="s">
        <v>6834</v>
      </c>
      <c r="D1859" s="67" t="s">
        <v>6835</v>
      </c>
      <c r="E1859" s="96" t="s">
        <v>62</v>
      </c>
      <c r="F1859" s="29" t="s">
        <v>61</v>
      </c>
      <c r="G1859" s="29"/>
      <c r="H1859" s="103">
        <f>_xlfn.XLOOKUP(B1859,GM!$Q$5:$Q$756,GM!$J$5:$J$756)</f>
        <v>45202</v>
      </c>
    </row>
    <row r="1860" spans="1:8" hidden="1" x14ac:dyDescent="0.35">
      <c r="A1860" s="29" t="s">
        <v>13</v>
      </c>
      <c r="B1860" s="29" t="str">
        <f t="shared" si="28"/>
        <v>JUR-00</v>
      </c>
      <c r="C1860" s="29" t="s">
        <v>6836</v>
      </c>
      <c r="D1860" s="67" t="s">
        <v>6837</v>
      </c>
      <c r="E1860" s="96" t="s">
        <v>62</v>
      </c>
      <c r="F1860" s="29" t="s">
        <v>61</v>
      </c>
      <c r="G1860" s="29"/>
      <c r="H1860" s="103">
        <f>_xlfn.XLOOKUP(B1860,GM!$Q$5:$Q$756,GM!$J$5:$J$756)</f>
        <v>45202</v>
      </c>
    </row>
    <row r="1861" spans="1:8" hidden="1" x14ac:dyDescent="0.35">
      <c r="A1861" s="29" t="s">
        <v>13</v>
      </c>
      <c r="B1861" s="29" t="str">
        <f t="shared" ref="B1861:B1924" si="29">IF(OR(A1861="ARN",A1861="SDP"),MID(C1861,4,7),MID(C1861,4,6))</f>
        <v>JUR-00</v>
      </c>
      <c r="C1861" s="29" t="s">
        <v>6838</v>
      </c>
      <c r="D1861" s="67" t="s">
        <v>6839</v>
      </c>
      <c r="E1861" s="96" t="s">
        <v>62</v>
      </c>
      <c r="F1861" s="29" t="s">
        <v>61</v>
      </c>
      <c r="G1861" s="29"/>
      <c r="H1861" s="103">
        <f>_xlfn.XLOOKUP(B1861,GM!$Q$5:$Q$756,GM!$J$5:$J$756)</f>
        <v>45202</v>
      </c>
    </row>
    <row r="1862" spans="1:8" hidden="1" x14ac:dyDescent="0.35">
      <c r="A1862" s="29" t="s">
        <v>13</v>
      </c>
      <c r="B1862" s="29" t="str">
        <f t="shared" si="29"/>
        <v>JUR-00</v>
      </c>
      <c r="C1862" s="29" t="s">
        <v>6840</v>
      </c>
      <c r="D1862" s="67" t="s">
        <v>6841</v>
      </c>
      <c r="E1862" s="96" t="s">
        <v>62</v>
      </c>
      <c r="F1862" s="29" t="s">
        <v>61</v>
      </c>
      <c r="G1862" s="29"/>
      <c r="H1862" s="103">
        <f>_xlfn.XLOOKUP(B1862,GM!$Q$5:$Q$756,GM!$J$5:$J$756)</f>
        <v>45202</v>
      </c>
    </row>
    <row r="1863" spans="1:8" hidden="1" x14ac:dyDescent="0.35">
      <c r="A1863" s="29" t="s">
        <v>13</v>
      </c>
      <c r="B1863" s="29" t="str">
        <f t="shared" si="29"/>
        <v>JUR-00</v>
      </c>
      <c r="C1863" s="29" t="s">
        <v>6842</v>
      </c>
      <c r="D1863" s="67" t="s">
        <v>6843</v>
      </c>
      <c r="E1863" s="96" t="s">
        <v>62</v>
      </c>
      <c r="F1863" s="29" t="s">
        <v>61</v>
      </c>
      <c r="G1863" s="29"/>
      <c r="H1863" s="103">
        <f>_xlfn.XLOOKUP(B1863,GM!$Q$5:$Q$756,GM!$J$5:$J$756)</f>
        <v>45202</v>
      </c>
    </row>
    <row r="1864" spans="1:8" hidden="1" x14ac:dyDescent="0.35">
      <c r="A1864" s="29" t="s">
        <v>13</v>
      </c>
      <c r="B1864" s="29" t="str">
        <f t="shared" si="29"/>
        <v>JUR-00</v>
      </c>
      <c r="C1864" s="29" t="s">
        <v>6844</v>
      </c>
      <c r="D1864" s="67" t="s">
        <v>6845</v>
      </c>
      <c r="E1864" s="96" t="s">
        <v>62</v>
      </c>
      <c r="F1864" s="29" t="s">
        <v>61</v>
      </c>
      <c r="G1864" s="29"/>
      <c r="H1864" s="103">
        <f>_xlfn.XLOOKUP(B1864,GM!$Q$5:$Q$756,GM!$J$5:$J$756)</f>
        <v>45202</v>
      </c>
    </row>
    <row r="1865" spans="1:8" hidden="1" x14ac:dyDescent="0.35">
      <c r="A1865" s="29" t="s">
        <v>13</v>
      </c>
      <c r="B1865" s="29" t="str">
        <f t="shared" si="29"/>
        <v>JUR-01</v>
      </c>
      <c r="C1865" s="29" t="s">
        <v>6846</v>
      </c>
      <c r="D1865" s="67" t="s">
        <v>6847</v>
      </c>
      <c r="E1865" s="96" t="s">
        <v>62</v>
      </c>
      <c r="F1865" s="29" t="s">
        <v>61</v>
      </c>
      <c r="G1865" s="29"/>
      <c r="H1865" s="103">
        <f>_xlfn.XLOOKUP(B1865,GM!$Q$5:$Q$756,GM!$J$5:$J$756)</f>
        <v>44739</v>
      </c>
    </row>
    <row r="1866" spans="1:8" hidden="1" x14ac:dyDescent="0.35">
      <c r="A1866" s="29" t="s">
        <v>13</v>
      </c>
      <c r="B1866" s="29" t="str">
        <f t="shared" si="29"/>
        <v>JUR-01</v>
      </c>
      <c r="C1866" s="29" t="s">
        <v>6848</v>
      </c>
      <c r="D1866" s="67" t="s">
        <v>6849</v>
      </c>
      <c r="E1866" s="96" t="s">
        <v>62</v>
      </c>
      <c r="F1866" s="29" t="s">
        <v>61</v>
      </c>
      <c r="G1866" s="29"/>
      <c r="H1866" s="103">
        <f>_xlfn.XLOOKUP(B1866,GM!$Q$5:$Q$756,GM!$J$5:$J$756)</f>
        <v>44739</v>
      </c>
    </row>
    <row r="1867" spans="1:8" hidden="1" x14ac:dyDescent="0.35">
      <c r="A1867" s="29" t="s">
        <v>13</v>
      </c>
      <c r="B1867" s="29" t="str">
        <f t="shared" si="29"/>
        <v>JUR-01</v>
      </c>
      <c r="C1867" s="29" t="s">
        <v>6850</v>
      </c>
      <c r="D1867" s="67" t="s">
        <v>6851</v>
      </c>
      <c r="E1867" s="96" t="s">
        <v>62</v>
      </c>
      <c r="F1867" s="29" t="s">
        <v>61</v>
      </c>
      <c r="G1867" s="29"/>
      <c r="H1867" s="103">
        <f>_xlfn.XLOOKUP(B1867,GM!$Q$5:$Q$756,GM!$J$5:$J$756)</f>
        <v>44739</v>
      </c>
    </row>
    <row r="1868" spans="1:8" hidden="1" x14ac:dyDescent="0.35">
      <c r="A1868" s="29" t="s">
        <v>13</v>
      </c>
      <c r="B1868" s="29" t="str">
        <f t="shared" si="29"/>
        <v>JUR-01</v>
      </c>
      <c r="C1868" s="29" t="s">
        <v>6852</v>
      </c>
      <c r="D1868" s="67" t="s">
        <v>6853</v>
      </c>
      <c r="E1868" s="96" t="s">
        <v>62</v>
      </c>
      <c r="F1868" s="29" t="s">
        <v>61</v>
      </c>
      <c r="G1868" s="29"/>
      <c r="H1868" s="103">
        <f>_xlfn.XLOOKUP(B1868,GM!$Q$5:$Q$756,GM!$J$5:$J$756)</f>
        <v>44739</v>
      </c>
    </row>
    <row r="1869" spans="1:8" hidden="1" x14ac:dyDescent="0.35">
      <c r="A1869" s="29" t="s">
        <v>13</v>
      </c>
      <c r="B1869" s="29" t="str">
        <f t="shared" si="29"/>
        <v>JUR-01</v>
      </c>
      <c r="C1869" s="29" t="s">
        <v>6854</v>
      </c>
      <c r="D1869" s="67" t="s">
        <v>6855</v>
      </c>
      <c r="E1869" s="96" t="s">
        <v>62</v>
      </c>
      <c r="F1869" s="29" t="s">
        <v>61</v>
      </c>
      <c r="G1869" s="29"/>
      <c r="H1869" s="103">
        <f>_xlfn.XLOOKUP(B1869,GM!$Q$5:$Q$756,GM!$J$5:$J$756)</f>
        <v>44739</v>
      </c>
    </row>
    <row r="1870" spans="1:8" hidden="1" x14ac:dyDescent="0.35">
      <c r="A1870" s="29" t="s">
        <v>13</v>
      </c>
      <c r="B1870" s="29" t="str">
        <f t="shared" si="29"/>
        <v>JUR-01</v>
      </c>
      <c r="C1870" s="29" t="s">
        <v>6856</v>
      </c>
      <c r="D1870" s="67" t="s">
        <v>6857</v>
      </c>
      <c r="E1870" s="96" t="s">
        <v>62</v>
      </c>
      <c r="F1870" s="29" t="s">
        <v>61</v>
      </c>
      <c r="G1870" s="29"/>
      <c r="H1870" s="103">
        <f>_xlfn.XLOOKUP(B1870,GM!$Q$5:$Q$756,GM!$J$5:$J$756)</f>
        <v>44739</v>
      </c>
    </row>
    <row r="1871" spans="1:8" hidden="1" x14ac:dyDescent="0.35">
      <c r="A1871" s="29" t="s">
        <v>13</v>
      </c>
      <c r="B1871" s="29" t="str">
        <f t="shared" si="29"/>
        <v>JUR-01</v>
      </c>
      <c r="C1871" s="29" t="s">
        <v>6858</v>
      </c>
      <c r="D1871" s="67" t="s">
        <v>6859</v>
      </c>
      <c r="E1871" s="96" t="s">
        <v>62</v>
      </c>
      <c r="F1871" s="29" t="s">
        <v>61</v>
      </c>
      <c r="G1871" s="29"/>
      <c r="H1871" s="103">
        <f>_xlfn.XLOOKUP(B1871,GM!$Q$5:$Q$756,GM!$J$5:$J$756)</f>
        <v>44739</v>
      </c>
    </row>
    <row r="1872" spans="1:8" hidden="1" x14ac:dyDescent="0.35">
      <c r="A1872" s="29" t="s">
        <v>13</v>
      </c>
      <c r="B1872" s="29" t="str">
        <f t="shared" si="29"/>
        <v>JUR-01</v>
      </c>
      <c r="C1872" s="29" t="s">
        <v>6860</v>
      </c>
      <c r="D1872" s="67" t="s">
        <v>6861</v>
      </c>
      <c r="E1872" s="96" t="s">
        <v>62</v>
      </c>
      <c r="F1872" s="29" t="s">
        <v>61</v>
      </c>
      <c r="G1872" s="29"/>
      <c r="H1872" s="103">
        <f>_xlfn.XLOOKUP(B1872,GM!$Q$5:$Q$756,GM!$J$5:$J$756)</f>
        <v>44739</v>
      </c>
    </row>
    <row r="1873" spans="1:8" hidden="1" x14ac:dyDescent="0.35">
      <c r="A1873" s="29" t="s">
        <v>13</v>
      </c>
      <c r="B1873" s="29" t="str">
        <f t="shared" si="29"/>
        <v>JUR-01</v>
      </c>
      <c r="C1873" s="29" t="s">
        <v>6862</v>
      </c>
      <c r="D1873" s="67" t="s">
        <v>6863</v>
      </c>
      <c r="E1873" s="96" t="s">
        <v>62</v>
      </c>
      <c r="F1873" s="29" t="s">
        <v>61</v>
      </c>
      <c r="G1873" s="29"/>
      <c r="H1873" s="103">
        <f>_xlfn.XLOOKUP(B1873,GM!$Q$5:$Q$756,GM!$J$5:$J$756)</f>
        <v>44739</v>
      </c>
    </row>
    <row r="1874" spans="1:8" hidden="1" x14ac:dyDescent="0.35">
      <c r="A1874" s="29" t="s">
        <v>13</v>
      </c>
      <c r="B1874" s="29" t="str">
        <f t="shared" si="29"/>
        <v>JUR-01</v>
      </c>
      <c r="C1874" s="29" t="s">
        <v>6864</v>
      </c>
      <c r="D1874" s="67" t="s">
        <v>6865</v>
      </c>
      <c r="E1874" s="96" t="s">
        <v>62</v>
      </c>
      <c r="F1874" s="29" t="s">
        <v>61</v>
      </c>
      <c r="G1874" s="29"/>
      <c r="H1874" s="103">
        <f>_xlfn.XLOOKUP(B1874,GM!$Q$5:$Q$756,GM!$J$5:$J$756)</f>
        <v>44739</v>
      </c>
    </row>
    <row r="1875" spans="1:8" hidden="1" x14ac:dyDescent="0.35">
      <c r="A1875" s="29" t="s">
        <v>13</v>
      </c>
      <c r="B1875" s="29" t="str">
        <f t="shared" si="29"/>
        <v>JUR-01</v>
      </c>
      <c r="C1875" s="29" t="s">
        <v>6866</v>
      </c>
      <c r="D1875" s="67" t="s">
        <v>6867</v>
      </c>
      <c r="E1875" s="96" t="s">
        <v>62</v>
      </c>
      <c r="F1875" s="29" t="s">
        <v>61</v>
      </c>
      <c r="G1875" s="29"/>
      <c r="H1875" s="103">
        <f>_xlfn.XLOOKUP(B1875,GM!$Q$5:$Q$756,GM!$J$5:$J$756)</f>
        <v>44739</v>
      </c>
    </row>
    <row r="1876" spans="1:8" hidden="1" x14ac:dyDescent="0.35">
      <c r="A1876" s="29" t="s">
        <v>13</v>
      </c>
      <c r="B1876" s="29" t="str">
        <f t="shared" si="29"/>
        <v>JUR-01</v>
      </c>
      <c r="C1876" s="29" t="s">
        <v>6868</v>
      </c>
      <c r="D1876" s="67" t="s">
        <v>6869</v>
      </c>
      <c r="E1876" s="96" t="s">
        <v>62</v>
      </c>
      <c r="F1876" s="29" t="s">
        <v>61</v>
      </c>
      <c r="G1876" s="29"/>
      <c r="H1876" s="103">
        <f>_xlfn.XLOOKUP(B1876,GM!$Q$5:$Q$756,GM!$J$5:$J$756)</f>
        <v>44739</v>
      </c>
    </row>
    <row r="1877" spans="1:8" hidden="1" x14ac:dyDescent="0.35">
      <c r="A1877" s="29" t="s">
        <v>13</v>
      </c>
      <c r="B1877" s="29" t="str">
        <f t="shared" si="29"/>
        <v>JUR-01</v>
      </c>
      <c r="C1877" s="29" t="s">
        <v>6870</v>
      </c>
      <c r="D1877" s="67" t="s">
        <v>6871</v>
      </c>
      <c r="E1877" s="96" t="s">
        <v>62</v>
      </c>
      <c r="F1877" s="29" t="s">
        <v>61</v>
      </c>
      <c r="G1877" s="29"/>
      <c r="H1877" s="103">
        <f>_xlfn.XLOOKUP(B1877,GM!$Q$5:$Q$756,GM!$J$5:$J$756)</f>
        <v>44739</v>
      </c>
    </row>
    <row r="1878" spans="1:8" hidden="1" x14ac:dyDescent="0.35">
      <c r="A1878" s="29" t="s">
        <v>13</v>
      </c>
      <c r="B1878" s="29" t="str">
        <f t="shared" si="29"/>
        <v>JUR-01</v>
      </c>
      <c r="C1878" s="29" t="s">
        <v>6872</v>
      </c>
      <c r="D1878" s="67" t="s">
        <v>6873</v>
      </c>
      <c r="E1878" s="96" t="s">
        <v>62</v>
      </c>
      <c r="F1878" s="29" t="s">
        <v>61</v>
      </c>
      <c r="G1878" s="29"/>
      <c r="H1878" s="103">
        <f>_xlfn.XLOOKUP(B1878,GM!$Q$5:$Q$756,GM!$J$5:$J$756)</f>
        <v>44739</v>
      </c>
    </row>
    <row r="1879" spans="1:8" hidden="1" x14ac:dyDescent="0.35">
      <c r="A1879" s="29" t="s">
        <v>13</v>
      </c>
      <c r="B1879" s="29" t="str">
        <f t="shared" si="29"/>
        <v>JUR-01</v>
      </c>
      <c r="C1879" s="29" t="s">
        <v>6874</v>
      </c>
      <c r="D1879" s="67" t="s">
        <v>6875</v>
      </c>
      <c r="E1879" s="96" t="s">
        <v>62</v>
      </c>
      <c r="F1879" s="29" t="s">
        <v>61</v>
      </c>
      <c r="G1879" s="29"/>
      <c r="H1879" s="103">
        <f>_xlfn.XLOOKUP(B1879,GM!$Q$5:$Q$756,GM!$J$5:$J$756)</f>
        <v>44739</v>
      </c>
    </row>
    <row r="1880" spans="1:8" hidden="1" x14ac:dyDescent="0.35">
      <c r="A1880" s="29" t="s">
        <v>13</v>
      </c>
      <c r="B1880" s="29" t="str">
        <f t="shared" si="29"/>
        <v>JUR-01</v>
      </c>
      <c r="C1880" s="29" t="s">
        <v>6876</v>
      </c>
      <c r="D1880" s="67" t="s">
        <v>6877</v>
      </c>
      <c r="E1880" s="96" t="s">
        <v>62</v>
      </c>
      <c r="F1880" s="29" t="s">
        <v>61</v>
      </c>
      <c r="G1880" s="29"/>
      <c r="H1880" s="103">
        <f>_xlfn.XLOOKUP(B1880,GM!$Q$5:$Q$756,GM!$J$5:$J$756)</f>
        <v>44739</v>
      </c>
    </row>
    <row r="1881" spans="1:8" hidden="1" x14ac:dyDescent="0.35">
      <c r="A1881" s="29" t="s">
        <v>13</v>
      </c>
      <c r="B1881" s="29" t="str">
        <f t="shared" si="29"/>
        <v>JUR-01</v>
      </c>
      <c r="C1881" s="29" t="s">
        <v>6878</v>
      </c>
      <c r="D1881" s="67" t="s">
        <v>6879</v>
      </c>
      <c r="E1881" s="96" t="s">
        <v>62</v>
      </c>
      <c r="F1881" s="29" t="s">
        <v>61</v>
      </c>
      <c r="G1881" s="29"/>
      <c r="H1881" s="103">
        <f>_xlfn.XLOOKUP(B1881,GM!$Q$5:$Q$756,GM!$J$5:$J$756)</f>
        <v>44739</v>
      </c>
    </row>
    <row r="1882" spans="1:8" hidden="1" x14ac:dyDescent="0.35">
      <c r="A1882" s="29" t="s">
        <v>13</v>
      </c>
      <c r="B1882" s="29" t="str">
        <f t="shared" si="29"/>
        <v>JUR-01</v>
      </c>
      <c r="C1882" s="29" t="s">
        <v>6880</v>
      </c>
      <c r="D1882" s="67" t="s">
        <v>6881</v>
      </c>
      <c r="E1882" s="96" t="s">
        <v>62</v>
      </c>
      <c r="F1882" s="29" t="s">
        <v>61</v>
      </c>
      <c r="G1882" s="29"/>
      <c r="H1882" s="103">
        <f>_xlfn.XLOOKUP(B1882,GM!$Q$5:$Q$756,GM!$J$5:$J$756)</f>
        <v>44739</v>
      </c>
    </row>
    <row r="1883" spans="1:8" hidden="1" x14ac:dyDescent="0.35">
      <c r="A1883" s="29" t="s">
        <v>13</v>
      </c>
      <c r="B1883" s="29" t="str">
        <f t="shared" si="29"/>
        <v>JUR-01</v>
      </c>
      <c r="C1883" s="29" t="s">
        <v>6882</v>
      </c>
      <c r="D1883" s="67" t="s">
        <v>6883</v>
      </c>
      <c r="E1883" s="96" t="s">
        <v>62</v>
      </c>
      <c r="F1883" s="29" t="s">
        <v>61</v>
      </c>
      <c r="G1883" s="29"/>
      <c r="H1883" s="103">
        <f>_xlfn.XLOOKUP(B1883,GM!$Q$5:$Q$756,GM!$J$5:$J$756)</f>
        <v>44739</v>
      </c>
    </row>
    <row r="1884" spans="1:8" hidden="1" x14ac:dyDescent="0.35">
      <c r="A1884" s="29" t="s">
        <v>13</v>
      </c>
      <c r="B1884" s="29" t="str">
        <f t="shared" si="29"/>
        <v>JUR-01</v>
      </c>
      <c r="C1884" s="29" t="s">
        <v>6884</v>
      </c>
      <c r="D1884" s="67" t="s">
        <v>6885</v>
      </c>
      <c r="E1884" s="96" t="s">
        <v>62</v>
      </c>
      <c r="F1884" s="29" t="s">
        <v>61</v>
      </c>
      <c r="G1884" s="29"/>
      <c r="H1884" s="103">
        <f>_xlfn.XLOOKUP(B1884,GM!$Q$5:$Q$756,GM!$J$5:$J$756)</f>
        <v>44739</v>
      </c>
    </row>
    <row r="1885" spans="1:8" hidden="1" x14ac:dyDescent="0.35">
      <c r="A1885" s="29" t="s">
        <v>13</v>
      </c>
      <c r="B1885" s="29" t="str">
        <f t="shared" si="29"/>
        <v>JUR-01</v>
      </c>
      <c r="C1885" s="29" t="s">
        <v>6886</v>
      </c>
      <c r="D1885" s="67" t="s">
        <v>6887</v>
      </c>
      <c r="E1885" s="96" t="s">
        <v>62</v>
      </c>
      <c r="F1885" s="29" t="s">
        <v>61</v>
      </c>
      <c r="G1885" s="29"/>
      <c r="H1885" s="103">
        <f>_xlfn.XLOOKUP(B1885,GM!$Q$5:$Q$756,GM!$J$5:$J$756)</f>
        <v>44739</v>
      </c>
    </row>
    <row r="1886" spans="1:8" hidden="1" x14ac:dyDescent="0.35">
      <c r="A1886" s="29" t="s">
        <v>13</v>
      </c>
      <c r="B1886" s="29" t="str">
        <f t="shared" si="29"/>
        <v>JUR-01</v>
      </c>
      <c r="C1886" s="29" t="s">
        <v>6888</v>
      </c>
      <c r="D1886" s="67" t="s">
        <v>6889</v>
      </c>
      <c r="E1886" s="96" t="s">
        <v>62</v>
      </c>
      <c r="F1886" s="29" t="s">
        <v>61</v>
      </c>
      <c r="G1886" s="29"/>
      <c r="H1886" s="103">
        <f>_xlfn.XLOOKUP(B1886,GM!$Q$5:$Q$756,GM!$J$5:$J$756)</f>
        <v>44739</v>
      </c>
    </row>
    <row r="1887" spans="1:8" hidden="1" x14ac:dyDescent="0.35">
      <c r="A1887" s="29" t="s">
        <v>13</v>
      </c>
      <c r="B1887" s="29" t="str">
        <f t="shared" si="29"/>
        <v>JUR-01</v>
      </c>
      <c r="C1887" s="29" t="s">
        <v>6890</v>
      </c>
      <c r="D1887" s="67" t="s">
        <v>6891</v>
      </c>
      <c r="E1887" s="96" t="s">
        <v>62</v>
      </c>
      <c r="F1887" s="29" t="s">
        <v>61</v>
      </c>
      <c r="G1887" s="29"/>
      <c r="H1887" s="103">
        <f>_xlfn.XLOOKUP(B1887,GM!$Q$5:$Q$756,GM!$J$5:$J$756)</f>
        <v>44739</v>
      </c>
    </row>
    <row r="1888" spans="1:8" hidden="1" x14ac:dyDescent="0.35">
      <c r="A1888" s="29" t="s">
        <v>13</v>
      </c>
      <c r="B1888" s="29" t="str">
        <f t="shared" si="29"/>
        <v>JUR-01</v>
      </c>
      <c r="C1888" s="29" t="s">
        <v>6892</v>
      </c>
      <c r="D1888" s="67" t="s">
        <v>6893</v>
      </c>
      <c r="E1888" s="96" t="s">
        <v>62</v>
      </c>
      <c r="F1888" s="29" t="s">
        <v>61</v>
      </c>
      <c r="G1888" s="29"/>
      <c r="H1888" s="103">
        <f>_xlfn.XLOOKUP(B1888,GM!$Q$5:$Q$756,GM!$J$5:$J$756)</f>
        <v>44739</v>
      </c>
    </row>
    <row r="1889" spans="1:8" hidden="1" x14ac:dyDescent="0.35">
      <c r="A1889" s="29" t="s">
        <v>13</v>
      </c>
      <c r="B1889" s="29" t="str">
        <f t="shared" si="29"/>
        <v>JUR-01</v>
      </c>
      <c r="C1889" s="29" t="s">
        <v>6894</v>
      </c>
      <c r="D1889" s="67" t="s">
        <v>6895</v>
      </c>
      <c r="E1889" s="96" t="s">
        <v>62</v>
      </c>
      <c r="F1889" s="29" t="s">
        <v>61</v>
      </c>
      <c r="G1889" s="29"/>
      <c r="H1889" s="103">
        <f>_xlfn.XLOOKUP(B1889,GM!$Q$5:$Q$756,GM!$J$5:$J$756)</f>
        <v>44739</v>
      </c>
    </row>
    <row r="1890" spans="1:8" hidden="1" x14ac:dyDescent="0.35">
      <c r="A1890" s="29" t="s">
        <v>13</v>
      </c>
      <c r="B1890" s="29" t="str">
        <f t="shared" si="29"/>
        <v>JUR-01</v>
      </c>
      <c r="C1890" s="29" t="s">
        <v>6896</v>
      </c>
      <c r="D1890" s="67" t="s">
        <v>6897</v>
      </c>
      <c r="E1890" s="96" t="s">
        <v>62</v>
      </c>
      <c r="F1890" s="29" t="s">
        <v>61</v>
      </c>
      <c r="G1890" s="29"/>
      <c r="H1890" s="103">
        <f>_xlfn.XLOOKUP(B1890,GM!$Q$5:$Q$756,GM!$J$5:$J$756)</f>
        <v>44739</v>
      </c>
    </row>
    <row r="1891" spans="1:8" hidden="1" x14ac:dyDescent="0.35">
      <c r="A1891" s="29" t="s">
        <v>13</v>
      </c>
      <c r="B1891" s="29" t="str">
        <f t="shared" si="29"/>
        <v>JUR-01</v>
      </c>
      <c r="C1891" s="29" t="s">
        <v>6898</v>
      </c>
      <c r="D1891" s="67" t="s">
        <v>6899</v>
      </c>
      <c r="E1891" s="96" t="s">
        <v>62</v>
      </c>
      <c r="F1891" s="29" t="s">
        <v>61</v>
      </c>
      <c r="G1891" s="29"/>
      <c r="H1891" s="103">
        <f>_xlfn.XLOOKUP(B1891,GM!$Q$5:$Q$756,GM!$J$5:$J$756)</f>
        <v>44739</v>
      </c>
    </row>
    <row r="1892" spans="1:8" hidden="1" x14ac:dyDescent="0.35">
      <c r="A1892" s="29" t="s">
        <v>13</v>
      </c>
      <c r="B1892" s="29" t="str">
        <f t="shared" si="29"/>
        <v>JUR-02</v>
      </c>
      <c r="C1892" s="29" t="s">
        <v>6900</v>
      </c>
      <c r="D1892" s="67" t="s">
        <v>6901</v>
      </c>
      <c r="E1892" s="96" t="s">
        <v>62</v>
      </c>
      <c r="F1892" s="29" t="s">
        <v>61</v>
      </c>
      <c r="G1892" s="29"/>
      <c r="H1892" s="103">
        <f>_xlfn.XLOOKUP(B1892,GM!$Q$5:$Q$756,GM!$J$5:$J$756)</f>
        <v>44739</v>
      </c>
    </row>
    <row r="1893" spans="1:8" hidden="1" x14ac:dyDescent="0.35">
      <c r="A1893" s="29" t="s">
        <v>13</v>
      </c>
      <c r="B1893" s="29" t="str">
        <f t="shared" si="29"/>
        <v>JUR-02</v>
      </c>
      <c r="C1893" s="29" t="s">
        <v>6902</v>
      </c>
      <c r="D1893" s="67" t="s">
        <v>6903</v>
      </c>
      <c r="E1893" s="96" t="s">
        <v>62</v>
      </c>
      <c r="F1893" s="29" t="s">
        <v>61</v>
      </c>
      <c r="G1893" s="29"/>
      <c r="H1893" s="103">
        <f>_xlfn.XLOOKUP(B1893,GM!$Q$5:$Q$756,GM!$J$5:$J$756)</f>
        <v>44739</v>
      </c>
    </row>
    <row r="1894" spans="1:8" hidden="1" x14ac:dyDescent="0.35">
      <c r="A1894" s="29" t="s">
        <v>13</v>
      </c>
      <c r="B1894" s="29" t="str">
        <f t="shared" si="29"/>
        <v>JUR-02</v>
      </c>
      <c r="C1894" s="29" t="s">
        <v>6904</v>
      </c>
      <c r="D1894" s="67" t="s">
        <v>6905</v>
      </c>
      <c r="E1894" s="96" t="s">
        <v>62</v>
      </c>
      <c r="F1894" s="29" t="s">
        <v>61</v>
      </c>
      <c r="G1894" s="29"/>
      <c r="H1894" s="103">
        <f>_xlfn.XLOOKUP(B1894,GM!$Q$5:$Q$756,GM!$J$5:$J$756)</f>
        <v>44739</v>
      </c>
    </row>
    <row r="1895" spans="1:8" hidden="1" x14ac:dyDescent="0.35">
      <c r="A1895" s="29" t="s">
        <v>13</v>
      </c>
      <c r="B1895" s="29" t="str">
        <f t="shared" si="29"/>
        <v>JUR-02</v>
      </c>
      <c r="C1895" s="29" t="s">
        <v>6906</v>
      </c>
      <c r="D1895" s="67" t="s">
        <v>6907</v>
      </c>
      <c r="E1895" s="96" t="s">
        <v>62</v>
      </c>
      <c r="F1895" s="29" t="s">
        <v>61</v>
      </c>
      <c r="G1895" s="29"/>
      <c r="H1895" s="103">
        <f>_xlfn.XLOOKUP(B1895,GM!$Q$5:$Q$756,GM!$J$5:$J$756)</f>
        <v>44739</v>
      </c>
    </row>
    <row r="1896" spans="1:8" hidden="1" x14ac:dyDescent="0.35">
      <c r="A1896" s="29" t="s">
        <v>13</v>
      </c>
      <c r="B1896" s="29" t="str">
        <f t="shared" si="29"/>
        <v>JUR-02</v>
      </c>
      <c r="C1896" s="29" t="s">
        <v>6908</v>
      </c>
      <c r="D1896" s="67" t="s">
        <v>6909</v>
      </c>
      <c r="E1896" s="96" t="s">
        <v>62</v>
      </c>
      <c r="F1896" s="29" t="s">
        <v>61</v>
      </c>
      <c r="G1896" s="29"/>
      <c r="H1896" s="103">
        <f>_xlfn.XLOOKUP(B1896,GM!$Q$5:$Q$756,GM!$J$5:$J$756)</f>
        <v>44739</v>
      </c>
    </row>
    <row r="1897" spans="1:8" hidden="1" x14ac:dyDescent="0.35">
      <c r="A1897" s="29" t="s">
        <v>13</v>
      </c>
      <c r="B1897" s="29" t="str">
        <f t="shared" si="29"/>
        <v>JUR-02</v>
      </c>
      <c r="C1897" s="29" t="s">
        <v>6910</v>
      </c>
      <c r="D1897" s="67" t="s">
        <v>6911</v>
      </c>
      <c r="E1897" s="96" t="s">
        <v>62</v>
      </c>
      <c r="F1897" s="29" t="s">
        <v>61</v>
      </c>
      <c r="G1897" s="29"/>
      <c r="H1897" s="103">
        <f>_xlfn.XLOOKUP(B1897,GM!$Q$5:$Q$756,GM!$J$5:$J$756)</f>
        <v>44739</v>
      </c>
    </row>
    <row r="1898" spans="1:8" hidden="1" x14ac:dyDescent="0.35">
      <c r="A1898" s="29" t="s">
        <v>13</v>
      </c>
      <c r="B1898" s="29" t="str">
        <f t="shared" si="29"/>
        <v>JUR-02</v>
      </c>
      <c r="C1898" s="29" t="s">
        <v>6912</v>
      </c>
      <c r="D1898" s="67" t="s">
        <v>6913</v>
      </c>
      <c r="E1898" s="96" t="s">
        <v>62</v>
      </c>
      <c r="F1898" s="29" t="s">
        <v>61</v>
      </c>
      <c r="G1898" s="29"/>
      <c r="H1898" s="103">
        <f>_xlfn.XLOOKUP(B1898,GM!$Q$5:$Q$756,GM!$J$5:$J$756)</f>
        <v>44739</v>
      </c>
    </row>
    <row r="1899" spans="1:8" hidden="1" x14ac:dyDescent="0.35">
      <c r="A1899" s="29" t="s">
        <v>13</v>
      </c>
      <c r="B1899" s="29" t="str">
        <f t="shared" si="29"/>
        <v>JUR-02</v>
      </c>
      <c r="C1899" s="29" t="s">
        <v>6914</v>
      </c>
      <c r="D1899" s="67" t="s">
        <v>6915</v>
      </c>
      <c r="E1899" s="96" t="s">
        <v>62</v>
      </c>
      <c r="F1899" s="29" t="s">
        <v>61</v>
      </c>
      <c r="G1899" s="29"/>
      <c r="H1899" s="103">
        <f>_xlfn.XLOOKUP(B1899,GM!$Q$5:$Q$756,GM!$J$5:$J$756)</f>
        <v>44739</v>
      </c>
    </row>
    <row r="1900" spans="1:8" hidden="1" x14ac:dyDescent="0.35">
      <c r="A1900" s="29" t="s">
        <v>13</v>
      </c>
      <c r="B1900" s="29" t="str">
        <f t="shared" si="29"/>
        <v>JUR-02</v>
      </c>
      <c r="C1900" s="29" t="s">
        <v>6916</v>
      </c>
      <c r="D1900" s="67" t="s">
        <v>6917</v>
      </c>
      <c r="E1900" s="96" t="s">
        <v>62</v>
      </c>
      <c r="F1900" s="29" t="s">
        <v>61</v>
      </c>
      <c r="G1900" s="29"/>
      <c r="H1900" s="103">
        <f>_xlfn.XLOOKUP(B1900,GM!$Q$5:$Q$756,GM!$J$5:$J$756)</f>
        <v>44739</v>
      </c>
    </row>
    <row r="1901" spans="1:8" hidden="1" x14ac:dyDescent="0.35">
      <c r="A1901" s="29" t="s">
        <v>13</v>
      </c>
      <c r="B1901" s="29" t="str">
        <f t="shared" si="29"/>
        <v>JUR-02</v>
      </c>
      <c r="C1901" s="29" t="s">
        <v>6918</v>
      </c>
      <c r="D1901" s="67" t="s">
        <v>6919</v>
      </c>
      <c r="E1901" s="96" t="s">
        <v>62</v>
      </c>
      <c r="F1901" s="29" t="s">
        <v>61</v>
      </c>
      <c r="G1901" s="29"/>
      <c r="H1901" s="103">
        <f>_xlfn.XLOOKUP(B1901,GM!$Q$5:$Q$756,GM!$J$5:$J$756)</f>
        <v>44739</v>
      </c>
    </row>
    <row r="1902" spans="1:8" hidden="1" x14ac:dyDescent="0.35">
      <c r="A1902" s="29" t="s">
        <v>13</v>
      </c>
      <c r="B1902" s="29" t="str">
        <f t="shared" si="29"/>
        <v>JUR-02</v>
      </c>
      <c r="C1902" s="29" t="s">
        <v>6920</v>
      </c>
      <c r="D1902" s="67" t="s">
        <v>6921</v>
      </c>
      <c r="E1902" s="96" t="s">
        <v>62</v>
      </c>
      <c r="F1902" s="29" t="s">
        <v>61</v>
      </c>
      <c r="G1902" s="29"/>
      <c r="H1902" s="103">
        <f>_xlfn.XLOOKUP(B1902,GM!$Q$5:$Q$756,GM!$J$5:$J$756)</f>
        <v>44739</v>
      </c>
    </row>
    <row r="1903" spans="1:8" hidden="1" x14ac:dyDescent="0.35">
      <c r="A1903" s="29" t="s">
        <v>13</v>
      </c>
      <c r="B1903" s="29" t="str">
        <f t="shared" si="29"/>
        <v>JUR-02</v>
      </c>
      <c r="C1903" s="29" t="s">
        <v>6922</v>
      </c>
      <c r="D1903" s="67" t="s">
        <v>6923</v>
      </c>
      <c r="E1903" s="96" t="s">
        <v>62</v>
      </c>
      <c r="F1903" s="29" t="s">
        <v>61</v>
      </c>
      <c r="G1903" s="29"/>
      <c r="H1903" s="103">
        <f>_xlfn.XLOOKUP(B1903,GM!$Q$5:$Q$756,GM!$J$5:$J$756)</f>
        <v>44739</v>
      </c>
    </row>
    <row r="1904" spans="1:8" hidden="1" x14ac:dyDescent="0.35">
      <c r="A1904" s="29" t="s">
        <v>13</v>
      </c>
      <c r="B1904" s="29" t="str">
        <f t="shared" si="29"/>
        <v>JUR-02</v>
      </c>
      <c r="C1904" s="29" t="s">
        <v>6924</v>
      </c>
      <c r="D1904" s="67" t="s">
        <v>6925</v>
      </c>
      <c r="E1904" s="96" t="s">
        <v>62</v>
      </c>
      <c r="F1904" s="29" t="s">
        <v>61</v>
      </c>
      <c r="G1904" s="29"/>
      <c r="H1904" s="103">
        <f>_xlfn.XLOOKUP(B1904,GM!$Q$5:$Q$756,GM!$J$5:$J$756)</f>
        <v>44739</v>
      </c>
    </row>
    <row r="1905" spans="1:8" hidden="1" x14ac:dyDescent="0.35">
      <c r="A1905" s="29" t="s">
        <v>13</v>
      </c>
      <c r="B1905" s="29" t="str">
        <f t="shared" si="29"/>
        <v>JUR-02</v>
      </c>
      <c r="C1905" s="29" t="s">
        <v>6926</v>
      </c>
      <c r="D1905" s="67" t="s">
        <v>6927</v>
      </c>
      <c r="E1905" s="96" t="s">
        <v>62</v>
      </c>
      <c r="F1905" s="29" t="s">
        <v>61</v>
      </c>
      <c r="G1905" s="29"/>
      <c r="H1905" s="103">
        <f>_xlfn.XLOOKUP(B1905,GM!$Q$5:$Q$756,GM!$J$5:$J$756)</f>
        <v>44739</v>
      </c>
    </row>
    <row r="1906" spans="1:8" hidden="1" x14ac:dyDescent="0.35">
      <c r="A1906" s="29" t="s">
        <v>13</v>
      </c>
      <c r="B1906" s="29" t="str">
        <f t="shared" si="29"/>
        <v>JUR-02</v>
      </c>
      <c r="C1906" s="29" t="s">
        <v>6928</v>
      </c>
      <c r="D1906" s="67" t="s">
        <v>6929</v>
      </c>
      <c r="E1906" s="96" t="s">
        <v>62</v>
      </c>
      <c r="F1906" s="29" t="s">
        <v>61</v>
      </c>
      <c r="G1906" s="29"/>
      <c r="H1906" s="103">
        <f>_xlfn.XLOOKUP(B1906,GM!$Q$5:$Q$756,GM!$J$5:$J$756)</f>
        <v>44739</v>
      </c>
    </row>
    <row r="1907" spans="1:8" hidden="1" x14ac:dyDescent="0.35">
      <c r="A1907" s="29" t="s">
        <v>13</v>
      </c>
      <c r="B1907" s="29" t="str">
        <f t="shared" si="29"/>
        <v>JUR-02</v>
      </c>
      <c r="C1907" s="29" t="s">
        <v>6930</v>
      </c>
      <c r="D1907" s="67" t="s">
        <v>6931</v>
      </c>
      <c r="E1907" s="96" t="s">
        <v>62</v>
      </c>
      <c r="F1907" s="29" t="s">
        <v>61</v>
      </c>
      <c r="G1907" s="29"/>
      <c r="H1907" s="103">
        <f>_xlfn.XLOOKUP(B1907,GM!$Q$5:$Q$756,GM!$J$5:$J$756)</f>
        <v>44739</v>
      </c>
    </row>
    <row r="1908" spans="1:8" hidden="1" x14ac:dyDescent="0.35">
      <c r="A1908" s="29" t="s">
        <v>13</v>
      </c>
      <c r="B1908" s="29" t="str">
        <f t="shared" si="29"/>
        <v>JUR-02</v>
      </c>
      <c r="C1908" s="29" t="s">
        <v>6932</v>
      </c>
      <c r="D1908" s="67" t="s">
        <v>6933</v>
      </c>
      <c r="E1908" s="96" t="s">
        <v>62</v>
      </c>
      <c r="F1908" s="29" t="s">
        <v>61</v>
      </c>
      <c r="G1908" s="29"/>
      <c r="H1908" s="103">
        <f>_xlfn.XLOOKUP(B1908,GM!$Q$5:$Q$756,GM!$J$5:$J$756)</f>
        <v>44739</v>
      </c>
    </row>
    <row r="1909" spans="1:8" hidden="1" x14ac:dyDescent="0.35">
      <c r="A1909" s="29" t="s">
        <v>13</v>
      </c>
      <c r="B1909" s="29" t="str">
        <f t="shared" si="29"/>
        <v>JUR-02</v>
      </c>
      <c r="C1909" s="29" t="s">
        <v>6934</v>
      </c>
      <c r="D1909" s="67" t="s">
        <v>6935</v>
      </c>
      <c r="E1909" s="96" t="s">
        <v>62</v>
      </c>
      <c r="F1909" s="29" t="s">
        <v>61</v>
      </c>
      <c r="G1909" s="29"/>
      <c r="H1909" s="103">
        <f>_xlfn.XLOOKUP(B1909,GM!$Q$5:$Q$756,GM!$J$5:$J$756)</f>
        <v>44739</v>
      </c>
    </row>
    <row r="1910" spans="1:8" hidden="1" x14ac:dyDescent="0.35">
      <c r="A1910" s="29" t="s">
        <v>13</v>
      </c>
      <c r="B1910" s="29" t="str">
        <f t="shared" si="29"/>
        <v>JUR-02</v>
      </c>
      <c r="C1910" s="29" t="s">
        <v>6936</v>
      </c>
      <c r="D1910" s="67" t="s">
        <v>6937</v>
      </c>
      <c r="E1910" s="96" t="s">
        <v>62</v>
      </c>
      <c r="F1910" s="29" t="s">
        <v>61</v>
      </c>
      <c r="G1910" s="29"/>
      <c r="H1910" s="103">
        <f>_xlfn.XLOOKUP(B1910,GM!$Q$5:$Q$756,GM!$J$5:$J$756)</f>
        <v>44739</v>
      </c>
    </row>
    <row r="1911" spans="1:8" hidden="1" x14ac:dyDescent="0.35">
      <c r="A1911" s="29" t="s">
        <v>13</v>
      </c>
      <c r="B1911" s="29" t="str">
        <f t="shared" si="29"/>
        <v>JUR-02</v>
      </c>
      <c r="C1911" s="29" t="s">
        <v>6938</v>
      </c>
      <c r="D1911" s="67" t="s">
        <v>6939</v>
      </c>
      <c r="E1911" s="96" t="s">
        <v>62</v>
      </c>
      <c r="F1911" s="29" t="s">
        <v>61</v>
      </c>
      <c r="G1911" s="29"/>
      <c r="H1911" s="103">
        <f>_xlfn.XLOOKUP(B1911,GM!$Q$5:$Q$756,GM!$J$5:$J$756)</f>
        <v>44739</v>
      </c>
    </row>
    <row r="1912" spans="1:8" hidden="1" x14ac:dyDescent="0.35">
      <c r="A1912" s="29" t="s">
        <v>13</v>
      </c>
      <c r="B1912" s="29" t="str">
        <f t="shared" si="29"/>
        <v>JUR-02</v>
      </c>
      <c r="C1912" s="29" t="s">
        <v>6940</v>
      </c>
      <c r="D1912" s="67" t="s">
        <v>6941</v>
      </c>
      <c r="E1912" s="96" t="s">
        <v>62</v>
      </c>
      <c r="F1912" s="29" t="s">
        <v>61</v>
      </c>
      <c r="G1912" s="29"/>
      <c r="H1912" s="103">
        <f>_xlfn.XLOOKUP(B1912,GM!$Q$5:$Q$756,GM!$J$5:$J$756)</f>
        <v>44739</v>
      </c>
    </row>
    <row r="1913" spans="1:8" hidden="1" x14ac:dyDescent="0.35">
      <c r="A1913" s="29" t="s">
        <v>13</v>
      </c>
      <c r="B1913" s="29" t="str">
        <f t="shared" si="29"/>
        <v>JUR-02</v>
      </c>
      <c r="C1913" s="29" t="s">
        <v>6942</v>
      </c>
      <c r="D1913" s="67" t="s">
        <v>6943</v>
      </c>
      <c r="E1913" s="96" t="s">
        <v>62</v>
      </c>
      <c r="F1913" s="29" t="s">
        <v>61</v>
      </c>
      <c r="G1913" s="29"/>
      <c r="H1913" s="103">
        <f>_xlfn.XLOOKUP(B1913,GM!$Q$5:$Q$756,GM!$J$5:$J$756)</f>
        <v>44739</v>
      </c>
    </row>
    <row r="1914" spans="1:8" hidden="1" x14ac:dyDescent="0.35">
      <c r="A1914" s="29" t="s">
        <v>13</v>
      </c>
      <c r="B1914" s="29" t="str">
        <f t="shared" si="29"/>
        <v>JUR-02</v>
      </c>
      <c r="C1914" s="29" t="s">
        <v>6944</v>
      </c>
      <c r="D1914" s="67" t="s">
        <v>6945</v>
      </c>
      <c r="E1914" s="96" t="s">
        <v>62</v>
      </c>
      <c r="F1914" s="29" t="s">
        <v>61</v>
      </c>
      <c r="G1914" s="29"/>
      <c r="H1914" s="103">
        <f>_xlfn.XLOOKUP(B1914,GM!$Q$5:$Q$756,GM!$J$5:$J$756)</f>
        <v>44739</v>
      </c>
    </row>
    <row r="1915" spans="1:8" hidden="1" x14ac:dyDescent="0.35">
      <c r="A1915" s="29" t="s">
        <v>13</v>
      </c>
      <c r="B1915" s="29" t="str">
        <f t="shared" si="29"/>
        <v>JUR-02</v>
      </c>
      <c r="C1915" s="29" t="s">
        <v>6946</v>
      </c>
      <c r="D1915" s="67" t="s">
        <v>6947</v>
      </c>
      <c r="E1915" s="96" t="s">
        <v>62</v>
      </c>
      <c r="F1915" s="29" t="s">
        <v>61</v>
      </c>
      <c r="G1915" s="29"/>
      <c r="H1915" s="103">
        <f>_xlfn.XLOOKUP(B1915,GM!$Q$5:$Q$756,GM!$J$5:$J$756)</f>
        <v>44739</v>
      </c>
    </row>
    <row r="1916" spans="1:8" hidden="1" x14ac:dyDescent="0.35">
      <c r="A1916" s="29" t="s">
        <v>13</v>
      </c>
      <c r="B1916" s="29" t="str">
        <f t="shared" si="29"/>
        <v>JUR-02</v>
      </c>
      <c r="C1916" s="29" t="s">
        <v>6948</v>
      </c>
      <c r="D1916" s="67" t="s">
        <v>6949</v>
      </c>
      <c r="E1916" s="96" t="s">
        <v>62</v>
      </c>
      <c r="F1916" s="29" t="s">
        <v>61</v>
      </c>
      <c r="G1916" s="29"/>
      <c r="H1916" s="103">
        <f>_xlfn.XLOOKUP(B1916,GM!$Q$5:$Q$756,GM!$J$5:$J$756)</f>
        <v>44739</v>
      </c>
    </row>
    <row r="1917" spans="1:8" hidden="1" x14ac:dyDescent="0.35">
      <c r="A1917" s="29" t="s">
        <v>13</v>
      </c>
      <c r="B1917" s="29" t="str">
        <f t="shared" si="29"/>
        <v>JUR-02</v>
      </c>
      <c r="C1917" s="29" t="s">
        <v>6950</v>
      </c>
      <c r="D1917" s="67" t="s">
        <v>6951</v>
      </c>
      <c r="E1917" s="96" t="s">
        <v>62</v>
      </c>
      <c r="F1917" s="29" t="s">
        <v>61</v>
      </c>
      <c r="G1917" s="29"/>
      <c r="H1917" s="103">
        <f>_xlfn.XLOOKUP(B1917,GM!$Q$5:$Q$756,GM!$J$5:$J$756)</f>
        <v>44739</v>
      </c>
    </row>
    <row r="1918" spans="1:8" hidden="1" x14ac:dyDescent="0.35">
      <c r="A1918" s="29" t="s">
        <v>13</v>
      </c>
      <c r="B1918" s="29" t="str">
        <f t="shared" si="29"/>
        <v>JUR-02</v>
      </c>
      <c r="C1918" s="29" t="s">
        <v>6952</v>
      </c>
      <c r="D1918" s="67" t="s">
        <v>6953</v>
      </c>
      <c r="E1918" s="96" t="s">
        <v>62</v>
      </c>
      <c r="F1918" s="29" t="s">
        <v>61</v>
      </c>
      <c r="G1918" s="29"/>
      <c r="H1918" s="103">
        <f>_xlfn.XLOOKUP(B1918,GM!$Q$5:$Q$756,GM!$J$5:$J$756)</f>
        <v>44739</v>
      </c>
    </row>
    <row r="1919" spans="1:8" hidden="1" x14ac:dyDescent="0.35">
      <c r="A1919" s="29" t="s">
        <v>13</v>
      </c>
      <c r="B1919" s="29" t="str">
        <f t="shared" si="29"/>
        <v>JUR-03</v>
      </c>
      <c r="C1919" s="29" t="s">
        <v>6954</v>
      </c>
      <c r="D1919" s="67" t="s">
        <v>6955</v>
      </c>
      <c r="E1919" s="96" t="s">
        <v>62</v>
      </c>
      <c r="F1919" s="29" t="s">
        <v>61</v>
      </c>
      <c r="G1919" s="29"/>
      <c r="H1919" s="103">
        <f>_xlfn.XLOOKUP(B1919,GM!$Q$5:$Q$756,GM!$J$5:$J$756)</f>
        <v>45506</v>
      </c>
    </row>
    <row r="1920" spans="1:8" hidden="1" x14ac:dyDescent="0.35">
      <c r="A1920" s="29" t="s">
        <v>13</v>
      </c>
      <c r="B1920" s="29" t="str">
        <f t="shared" si="29"/>
        <v>JUR-03</v>
      </c>
      <c r="C1920" s="29" t="s">
        <v>6956</v>
      </c>
      <c r="D1920" s="67" t="s">
        <v>6957</v>
      </c>
      <c r="E1920" s="96" t="s">
        <v>62</v>
      </c>
      <c r="F1920" s="29" t="s">
        <v>61</v>
      </c>
      <c r="G1920" s="29"/>
      <c r="H1920" s="103">
        <f>_xlfn.XLOOKUP(B1920,GM!$Q$5:$Q$756,GM!$J$5:$J$756)</f>
        <v>45506</v>
      </c>
    </row>
    <row r="1921" spans="1:8" hidden="1" x14ac:dyDescent="0.35">
      <c r="A1921" s="29" t="s">
        <v>13</v>
      </c>
      <c r="B1921" s="29" t="str">
        <f t="shared" si="29"/>
        <v>JUR-03</v>
      </c>
      <c r="C1921" s="29" t="s">
        <v>6958</v>
      </c>
      <c r="D1921" s="67" t="s">
        <v>6959</v>
      </c>
      <c r="E1921" s="96" t="s">
        <v>62</v>
      </c>
      <c r="F1921" s="29" t="s">
        <v>61</v>
      </c>
      <c r="G1921" s="29"/>
      <c r="H1921" s="103">
        <f>_xlfn.XLOOKUP(B1921,GM!$Q$5:$Q$756,GM!$J$5:$J$756)</f>
        <v>45506</v>
      </c>
    </row>
    <row r="1922" spans="1:8" hidden="1" x14ac:dyDescent="0.35">
      <c r="A1922" s="29" t="s">
        <v>13</v>
      </c>
      <c r="B1922" s="29" t="str">
        <f t="shared" si="29"/>
        <v>JUR-03</v>
      </c>
      <c r="C1922" s="29" t="s">
        <v>6960</v>
      </c>
      <c r="D1922" s="67" t="s">
        <v>6961</v>
      </c>
      <c r="E1922" s="96" t="s">
        <v>62</v>
      </c>
      <c r="F1922" s="29" t="s">
        <v>61</v>
      </c>
      <c r="G1922" s="29"/>
      <c r="H1922" s="103">
        <f>_xlfn.XLOOKUP(B1922,GM!$Q$5:$Q$756,GM!$J$5:$J$756)</f>
        <v>45506</v>
      </c>
    </row>
    <row r="1923" spans="1:8" hidden="1" x14ac:dyDescent="0.35">
      <c r="A1923" s="29" t="s">
        <v>13</v>
      </c>
      <c r="B1923" s="29" t="str">
        <f t="shared" si="29"/>
        <v>JUR-03</v>
      </c>
      <c r="C1923" s="29" t="s">
        <v>6962</v>
      </c>
      <c r="D1923" s="67" t="s">
        <v>6963</v>
      </c>
      <c r="E1923" s="96" t="s">
        <v>62</v>
      </c>
      <c r="F1923" s="29" t="s">
        <v>61</v>
      </c>
      <c r="G1923" s="29"/>
      <c r="H1923" s="103">
        <f>_xlfn.XLOOKUP(B1923,GM!$Q$5:$Q$756,GM!$J$5:$J$756)</f>
        <v>45506</v>
      </c>
    </row>
    <row r="1924" spans="1:8" hidden="1" x14ac:dyDescent="0.35">
      <c r="A1924" s="29" t="s">
        <v>13</v>
      </c>
      <c r="B1924" s="29" t="str">
        <f t="shared" si="29"/>
        <v>JUR-03</v>
      </c>
      <c r="C1924" s="29" t="s">
        <v>6964</v>
      </c>
      <c r="D1924" s="67" t="s">
        <v>6965</v>
      </c>
      <c r="E1924" s="96" t="s">
        <v>62</v>
      </c>
      <c r="F1924" s="29" t="s">
        <v>61</v>
      </c>
      <c r="G1924" s="29"/>
      <c r="H1924" s="103">
        <f>_xlfn.XLOOKUP(B1924,GM!$Q$5:$Q$756,GM!$J$5:$J$756)</f>
        <v>45506</v>
      </c>
    </row>
    <row r="1925" spans="1:8" hidden="1" x14ac:dyDescent="0.35">
      <c r="A1925" s="29" t="s">
        <v>13</v>
      </c>
      <c r="B1925" s="29" t="str">
        <f t="shared" ref="B1925:B1988" si="30">IF(OR(A1925="ARN",A1925="SDP"),MID(C1925,4,7),MID(C1925,4,6))</f>
        <v>JUR-03</v>
      </c>
      <c r="C1925" s="29" t="s">
        <v>6966</v>
      </c>
      <c r="D1925" s="67" t="s">
        <v>6967</v>
      </c>
      <c r="E1925" s="96" t="s">
        <v>62</v>
      </c>
      <c r="F1925" s="29" t="s">
        <v>61</v>
      </c>
      <c r="G1925" s="29"/>
      <c r="H1925" s="103">
        <f>_xlfn.XLOOKUP(B1925,GM!$Q$5:$Q$756,GM!$J$5:$J$756)</f>
        <v>45506</v>
      </c>
    </row>
    <row r="1926" spans="1:8" hidden="1" x14ac:dyDescent="0.35">
      <c r="A1926" s="29" t="s">
        <v>13</v>
      </c>
      <c r="B1926" s="29" t="str">
        <f t="shared" si="30"/>
        <v>JUR-03</v>
      </c>
      <c r="C1926" s="29" t="s">
        <v>6968</v>
      </c>
      <c r="D1926" s="67" t="s">
        <v>6969</v>
      </c>
      <c r="E1926" s="96" t="s">
        <v>62</v>
      </c>
      <c r="F1926" s="29" t="s">
        <v>61</v>
      </c>
      <c r="G1926" s="29"/>
      <c r="H1926" s="103">
        <f>_xlfn.XLOOKUP(B1926,GM!$Q$5:$Q$756,GM!$J$5:$J$756)</f>
        <v>45506</v>
      </c>
    </row>
    <row r="1927" spans="1:8" hidden="1" x14ac:dyDescent="0.35">
      <c r="A1927" s="29" t="s">
        <v>13</v>
      </c>
      <c r="B1927" s="29" t="str">
        <f t="shared" si="30"/>
        <v>JUR-03</v>
      </c>
      <c r="C1927" s="29" t="s">
        <v>6970</v>
      </c>
      <c r="D1927" s="67" t="s">
        <v>6971</v>
      </c>
      <c r="E1927" s="96" t="s">
        <v>62</v>
      </c>
      <c r="F1927" s="29" t="s">
        <v>61</v>
      </c>
      <c r="G1927" s="29"/>
      <c r="H1927" s="103">
        <f>_xlfn.XLOOKUP(B1927,GM!$Q$5:$Q$756,GM!$J$5:$J$756)</f>
        <v>45506</v>
      </c>
    </row>
    <row r="1928" spans="1:8" hidden="1" x14ac:dyDescent="0.35">
      <c r="A1928" s="29" t="s">
        <v>13</v>
      </c>
      <c r="B1928" s="29" t="str">
        <f t="shared" si="30"/>
        <v>JUR-03</v>
      </c>
      <c r="C1928" s="29" t="s">
        <v>6972</v>
      </c>
      <c r="D1928" s="67" t="s">
        <v>6973</v>
      </c>
      <c r="E1928" s="96" t="s">
        <v>62</v>
      </c>
      <c r="F1928" s="29" t="s">
        <v>61</v>
      </c>
      <c r="G1928" s="29"/>
      <c r="H1928" s="103">
        <f>_xlfn.XLOOKUP(B1928,GM!$Q$5:$Q$756,GM!$J$5:$J$756)</f>
        <v>45506</v>
      </c>
    </row>
    <row r="1929" spans="1:8" hidden="1" x14ac:dyDescent="0.35">
      <c r="A1929" s="29" t="s">
        <v>13</v>
      </c>
      <c r="B1929" s="29" t="str">
        <f t="shared" si="30"/>
        <v>JUR-03</v>
      </c>
      <c r="C1929" s="29" t="s">
        <v>6974</v>
      </c>
      <c r="D1929" s="67" t="s">
        <v>6975</v>
      </c>
      <c r="E1929" s="96" t="s">
        <v>62</v>
      </c>
      <c r="F1929" s="29" t="s">
        <v>61</v>
      </c>
      <c r="G1929" s="29"/>
      <c r="H1929" s="103">
        <f>_xlfn.XLOOKUP(B1929,GM!$Q$5:$Q$756,GM!$J$5:$J$756)</f>
        <v>45506</v>
      </c>
    </row>
    <row r="1930" spans="1:8" hidden="1" x14ac:dyDescent="0.35">
      <c r="A1930" s="29" t="s">
        <v>13</v>
      </c>
      <c r="B1930" s="29" t="str">
        <f t="shared" si="30"/>
        <v>JUR-03</v>
      </c>
      <c r="C1930" s="29" t="s">
        <v>6976</v>
      </c>
      <c r="D1930" s="67" t="s">
        <v>6977</v>
      </c>
      <c r="E1930" s="96" t="s">
        <v>62</v>
      </c>
      <c r="F1930" s="29" t="s">
        <v>61</v>
      </c>
      <c r="G1930" s="29"/>
      <c r="H1930" s="103">
        <f>_xlfn.XLOOKUP(B1930,GM!$Q$5:$Q$756,GM!$J$5:$J$756)</f>
        <v>45506</v>
      </c>
    </row>
    <row r="1931" spans="1:8" hidden="1" x14ac:dyDescent="0.35">
      <c r="A1931" s="29" t="s">
        <v>13</v>
      </c>
      <c r="B1931" s="29" t="str">
        <f t="shared" si="30"/>
        <v>JUR-03</v>
      </c>
      <c r="C1931" s="29" t="s">
        <v>6978</v>
      </c>
      <c r="D1931" s="67" t="s">
        <v>6979</v>
      </c>
      <c r="E1931" s="96" t="s">
        <v>62</v>
      </c>
      <c r="F1931" s="29" t="s">
        <v>61</v>
      </c>
      <c r="G1931" s="29"/>
      <c r="H1931" s="103">
        <f>_xlfn.XLOOKUP(B1931,GM!$Q$5:$Q$756,GM!$J$5:$J$756)</f>
        <v>45506</v>
      </c>
    </row>
    <row r="1932" spans="1:8" hidden="1" x14ac:dyDescent="0.35">
      <c r="A1932" s="29" t="s">
        <v>13</v>
      </c>
      <c r="B1932" s="29" t="str">
        <f t="shared" si="30"/>
        <v>JUR-03</v>
      </c>
      <c r="C1932" s="29" t="s">
        <v>6980</v>
      </c>
      <c r="D1932" s="67" t="s">
        <v>6981</v>
      </c>
      <c r="E1932" s="96" t="s">
        <v>62</v>
      </c>
      <c r="F1932" s="29" t="s">
        <v>61</v>
      </c>
      <c r="G1932" s="29"/>
      <c r="H1932" s="103">
        <f>_xlfn.XLOOKUP(B1932,GM!$Q$5:$Q$756,GM!$J$5:$J$756)</f>
        <v>45506</v>
      </c>
    </row>
    <row r="1933" spans="1:8" hidden="1" x14ac:dyDescent="0.35">
      <c r="A1933" s="29" t="s">
        <v>13</v>
      </c>
      <c r="B1933" s="29" t="str">
        <f t="shared" si="30"/>
        <v>JUR-03</v>
      </c>
      <c r="C1933" s="29" t="s">
        <v>6982</v>
      </c>
      <c r="D1933" s="67" t="s">
        <v>6983</v>
      </c>
      <c r="E1933" s="96" t="s">
        <v>62</v>
      </c>
      <c r="F1933" s="29" t="s">
        <v>61</v>
      </c>
      <c r="G1933" s="29"/>
      <c r="H1933" s="103">
        <f>_xlfn.XLOOKUP(B1933,GM!$Q$5:$Q$756,GM!$J$5:$J$756)</f>
        <v>45506</v>
      </c>
    </row>
    <row r="1934" spans="1:8" hidden="1" x14ac:dyDescent="0.35">
      <c r="A1934" s="29" t="s">
        <v>13</v>
      </c>
      <c r="B1934" s="29" t="str">
        <f t="shared" si="30"/>
        <v>JUR-03</v>
      </c>
      <c r="C1934" s="29" t="s">
        <v>6984</v>
      </c>
      <c r="D1934" s="67" t="s">
        <v>6985</v>
      </c>
      <c r="E1934" s="96" t="s">
        <v>62</v>
      </c>
      <c r="F1934" s="29" t="s">
        <v>61</v>
      </c>
      <c r="G1934" s="29"/>
      <c r="H1934" s="103">
        <f>_xlfn.XLOOKUP(B1934,GM!$Q$5:$Q$756,GM!$J$5:$J$756)</f>
        <v>45506</v>
      </c>
    </row>
    <row r="1935" spans="1:8" hidden="1" x14ac:dyDescent="0.35">
      <c r="A1935" s="29" t="s">
        <v>13</v>
      </c>
      <c r="B1935" s="29" t="str">
        <f t="shared" si="30"/>
        <v>JUR-03</v>
      </c>
      <c r="C1935" s="29" t="s">
        <v>6986</v>
      </c>
      <c r="D1935" s="67" t="s">
        <v>6987</v>
      </c>
      <c r="E1935" s="96" t="s">
        <v>62</v>
      </c>
      <c r="F1935" s="29" t="s">
        <v>61</v>
      </c>
      <c r="G1935" s="29"/>
      <c r="H1935" s="103">
        <f>_xlfn.XLOOKUP(B1935,GM!$Q$5:$Q$756,GM!$J$5:$J$756)</f>
        <v>45506</v>
      </c>
    </row>
    <row r="1936" spans="1:8" hidden="1" x14ac:dyDescent="0.35">
      <c r="A1936" s="29" t="s">
        <v>13</v>
      </c>
      <c r="B1936" s="29" t="str">
        <f t="shared" si="30"/>
        <v>JUR-03</v>
      </c>
      <c r="C1936" s="29" t="s">
        <v>6988</v>
      </c>
      <c r="D1936" s="67" t="s">
        <v>6989</v>
      </c>
      <c r="E1936" s="96" t="s">
        <v>62</v>
      </c>
      <c r="F1936" s="29" t="s">
        <v>61</v>
      </c>
      <c r="G1936" s="29"/>
      <c r="H1936" s="103">
        <f>_xlfn.XLOOKUP(B1936,GM!$Q$5:$Q$756,GM!$J$5:$J$756)</f>
        <v>45506</v>
      </c>
    </row>
    <row r="1937" spans="1:8" hidden="1" x14ac:dyDescent="0.35">
      <c r="A1937" s="29" t="s">
        <v>13</v>
      </c>
      <c r="B1937" s="29" t="str">
        <f t="shared" si="30"/>
        <v>JUR-03</v>
      </c>
      <c r="C1937" s="29" t="s">
        <v>6990</v>
      </c>
      <c r="D1937" s="67" t="s">
        <v>6991</v>
      </c>
      <c r="E1937" s="96" t="s">
        <v>62</v>
      </c>
      <c r="F1937" s="29" t="s">
        <v>61</v>
      </c>
      <c r="G1937" s="29"/>
      <c r="H1937" s="103">
        <f>_xlfn.XLOOKUP(B1937,GM!$Q$5:$Q$756,GM!$J$5:$J$756)</f>
        <v>45506</v>
      </c>
    </row>
    <row r="1938" spans="1:8" hidden="1" x14ac:dyDescent="0.35">
      <c r="A1938" s="29" t="s">
        <v>13</v>
      </c>
      <c r="B1938" s="29" t="str">
        <f t="shared" si="30"/>
        <v>JUR-03</v>
      </c>
      <c r="C1938" s="29" t="s">
        <v>6992</v>
      </c>
      <c r="D1938" s="67" t="s">
        <v>6993</v>
      </c>
      <c r="E1938" s="96" t="s">
        <v>62</v>
      </c>
      <c r="F1938" s="29" t="s">
        <v>61</v>
      </c>
      <c r="G1938" s="29"/>
      <c r="H1938" s="103">
        <f>_xlfn.XLOOKUP(B1938,GM!$Q$5:$Q$756,GM!$J$5:$J$756)</f>
        <v>45506</v>
      </c>
    </row>
    <row r="1939" spans="1:8" hidden="1" x14ac:dyDescent="0.35">
      <c r="A1939" s="29" t="s">
        <v>13</v>
      </c>
      <c r="B1939" s="29" t="str">
        <f t="shared" si="30"/>
        <v>JUR-03</v>
      </c>
      <c r="C1939" s="29" t="s">
        <v>6994</v>
      </c>
      <c r="D1939" s="67" t="s">
        <v>6995</v>
      </c>
      <c r="E1939" s="96" t="s">
        <v>62</v>
      </c>
      <c r="F1939" s="29" t="s">
        <v>61</v>
      </c>
      <c r="G1939" s="29"/>
      <c r="H1939" s="103">
        <f>_xlfn.XLOOKUP(B1939,GM!$Q$5:$Q$756,GM!$J$5:$J$756)</f>
        <v>45506</v>
      </c>
    </row>
    <row r="1940" spans="1:8" hidden="1" x14ac:dyDescent="0.35">
      <c r="A1940" s="29" t="s">
        <v>13</v>
      </c>
      <c r="B1940" s="29" t="str">
        <f t="shared" si="30"/>
        <v>JUR-03</v>
      </c>
      <c r="C1940" s="29" t="s">
        <v>6996</v>
      </c>
      <c r="D1940" s="67" t="s">
        <v>6997</v>
      </c>
      <c r="E1940" s="96" t="s">
        <v>62</v>
      </c>
      <c r="F1940" s="29" t="s">
        <v>61</v>
      </c>
      <c r="G1940" s="29"/>
      <c r="H1940" s="103">
        <f>_xlfn.XLOOKUP(B1940,GM!$Q$5:$Q$756,GM!$J$5:$J$756)</f>
        <v>45506</v>
      </c>
    </row>
    <row r="1941" spans="1:8" hidden="1" x14ac:dyDescent="0.35">
      <c r="A1941" s="29" t="s">
        <v>13</v>
      </c>
      <c r="B1941" s="29" t="str">
        <f t="shared" si="30"/>
        <v>JUR-03</v>
      </c>
      <c r="C1941" s="29" t="s">
        <v>6998</v>
      </c>
      <c r="D1941" s="67" t="s">
        <v>6999</v>
      </c>
      <c r="E1941" s="96" t="s">
        <v>62</v>
      </c>
      <c r="F1941" s="29" t="s">
        <v>61</v>
      </c>
      <c r="G1941" s="29"/>
      <c r="H1941" s="103">
        <f>_xlfn.XLOOKUP(B1941,GM!$Q$5:$Q$756,GM!$J$5:$J$756)</f>
        <v>45506</v>
      </c>
    </row>
    <row r="1942" spans="1:8" hidden="1" x14ac:dyDescent="0.35">
      <c r="A1942" s="29" t="s">
        <v>13</v>
      </c>
      <c r="B1942" s="29" t="str">
        <f t="shared" si="30"/>
        <v>JUR-03</v>
      </c>
      <c r="C1942" s="29" t="s">
        <v>7000</v>
      </c>
      <c r="D1942" s="67" t="s">
        <v>7001</v>
      </c>
      <c r="E1942" s="96" t="s">
        <v>62</v>
      </c>
      <c r="F1942" s="29" t="s">
        <v>61</v>
      </c>
      <c r="G1942" s="29"/>
      <c r="H1942" s="103">
        <f>_xlfn.XLOOKUP(B1942,GM!$Q$5:$Q$756,GM!$J$5:$J$756)</f>
        <v>45506</v>
      </c>
    </row>
    <row r="1943" spans="1:8" hidden="1" x14ac:dyDescent="0.35">
      <c r="A1943" s="29" t="s">
        <v>13</v>
      </c>
      <c r="B1943" s="29" t="str">
        <f t="shared" si="30"/>
        <v>JUR-03</v>
      </c>
      <c r="C1943" s="29" t="s">
        <v>7002</v>
      </c>
      <c r="D1943" s="67" t="s">
        <v>7003</v>
      </c>
      <c r="E1943" s="96" t="s">
        <v>62</v>
      </c>
      <c r="F1943" s="29" t="s">
        <v>61</v>
      </c>
      <c r="G1943" s="29"/>
      <c r="H1943" s="103">
        <f>_xlfn.XLOOKUP(B1943,GM!$Q$5:$Q$756,GM!$J$5:$J$756)</f>
        <v>45506</v>
      </c>
    </row>
    <row r="1944" spans="1:8" hidden="1" x14ac:dyDescent="0.35">
      <c r="A1944" s="29" t="s">
        <v>13</v>
      </c>
      <c r="B1944" s="29" t="str">
        <f t="shared" si="30"/>
        <v>JUR-03</v>
      </c>
      <c r="C1944" s="29" t="s">
        <v>7004</v>
      </c>
      <c r="D1944" s="67" t="s">
        <v>7005</v>
      </c>
      <c r="E1944" s="96" t="s">
        <v>62</v>
      </c>
      <c r="F1944" s="29" t="s">
        <v>61</v>
      </c>
      <c r="G1944" s="29"/>
      <c r="H1944" s="103">
        <f>_xlfn.XLOOKUP(B1944,GM!$Q$5:$Q$756,GM!$J$5:$J$756)</f>
        <v>45506</v>
      </c>
    </row>
    <row r="1945" spans="1:8" hidden="1" x14ac:dyDescent="0.35">
      <c r="A1945" s="29" t="s">
        <v>13</v>
      </c>
      <c r="B1945" s="29" t="str">
        <f t="shared" si="30"/>
        <v>JUR-03</v>
      </c>
      <c r="C1945" s="29" t="s">
        <v>7006</v>
      </c>
      <c r="D1945" s="67" t="s">
        <v>7007</v>
      </c>
      <c r="E1945" s="96" t="s">
        <v>62</v>
      </c>
      <c r="F1945" s="29" t="s">
        <v>61</v>
      </c>
      <c r="G1945" s="29"/>
      <c r="H1945" s="103">
        <f>_xlfn.XLOOKUP(B1945,GM!$Q$5:$Q$756,GM!$J$5:$J$756)</f>
        <v>45506</v>
      </c>
    </row>
    <row r="1946" spans="1:8" hidden="1" x14ac:dyDescent="0.35">
      <c r="A1946" s="29" t="s">
        <v>13</v>
      </c>
      <c r="B1946" s="29" t="str">
        <f t="shared" si="30"/>
        <v>JUR-03</v>
      </c>
      <c r="C1946" s="29" t="s">
        <v>7008</v>
      </c>
      <c r="D1946" s="67" t="s">
        <v>7009</v>
      </c>
      <c r="E1946" s="96" t="s">
        <v>62</v>
      </c>
      <c r="F1946" s="29" t="s">
        <v>61</v>
      </c>
      <c r="G1946" s="29"/>
      <c r="H1946" s="103">
        <f>_xlfn.XLOOKUP(B1946,GM!$Q$5:$Q$756,GM!$J$5:$J$756)</f>
        <v>45506</v>
      </c>
    </row>
    <row r="1947" spans="1:8" hidden="1" x14ac:dyDescent="0.35">
      <c r="A1947" s="29" t="s">
        <v>13</v>
      </c>
      <c r="B1947" s="29" t="str">
        <f t="shared" si="30"/>
        <v>JUR-03</v>
      </c>
      <c r="C1947" s="29" t="s">
        <v>7010</v>
      </c>
      <c r="D1947" s="67" t="s">
        <v>7011</v>
      </c>
      <c r="E1947" s="96" t="s">
        <v>62</v>
      </c>
      <c r="F1947" s="29" t="s">
        <v>61</v>
      </c>
      <c r="G1947" s="29"/>
      <c r="H1947" s="103">
        <f>_xlfn.XLOOKUP(B1947,GM!$Q$5:$Q$756,GM!$J$5:$J$756)</f>
        <v>45506</v>
      </c>
    </row>
    <row r="1948" spans="1:8" hidden="1" x14ac:dyDescent="0.35">
      <c r="A1948" s="29" t="s">
        <v>13</v>
      </c>
      <c r="B1948" s="29" t="str">
        <f t="shared" si="30"/>
        <v>JUR-03</v>
      </c>
      <c r="C1948" s="29" t="s">
        <v>7012</v>
      </c>
      <c r="D1948" s="67" t="s">
        <v>7013</v>
      </c>
      <c r="E1948" s="96" t="s">
        <v>62</v>
      </c>
      <c r="F1948" s="29" t="s">
        <v>61</v>
      </c>
      <c r="G1948" s="29"/>
      <c r="H1948" s="103">
        <f>_xlfn.XLOOKUP(B1948,GM!$Q$5:$Q$756,GM!$J$5:$J$756)</f>
        <v>45506</v>
      </c>
    </row>
    <row r="1949" spans="1:8" hidden="1" x14ac:dyDescent="0.35">
      <c r="A1949" s="29" t="s">
        <v>13</v>
      </c>
      <c r="B1949" s="29" t="str">
        <f t="shared" si="30"/>
        <v>JUR-03</v>
      </c>
      <c r="C1949" s="29" t="s">
        <v>7014</v>
      </c>
      <c r="D1949" s="67" t="s">
        <v>7015</v>
      </c>
      <c r="E1949" s="96" t="s">
        <v>62</v>
      </c>
      <c r="F1949" s="29" t="s">
        <v>61</v>
      </c>
      <c r="G1949" s="29"/>
      <c r="H1949" s="103">
        <f>_xlfn.XLOOKUP(B1949,GM!$Q$5:$Q$756,GM!$J$5:$J$756)</f>
        <v>45506</v>
      </c>
    </row>
    <row r="1950" spans="1:8" hidden="1" x14ac:dyDescent="0.35">
      <c r="A1950" s="29" t="s">
        <v>13</v>
      </c>
      <c r="B1950" s="29" t="str">
        <f t="shared" si="30"/>
        <v>JUR-03</v>
      </c>
      <c r="C1950" s="29" t="s">
        <v>7016</v>
      </c>
      <c r="D1950" s="67" t="s">
        <v>7017</v>
      </c>
      <c r="E1950" s="96" t="s">
        <v>62</v>
      </c>
      <c r="F1950" s="29" t="s">
        <v>61</v>
      </c>
      <c r="G1950" s="29"/>
      <c r="H1950" s="103">
        <f>_xlfn.XLOOKUP(B1950,GM!$Q$5:$Q$756,GM!$J$5:$J$756)</f>
        <v>45506</v>
      </c>
    </row>
    <row r="1951" spans="1:8" hidden="1" x14ac:dyDescent="0.35">
      <c r="A1951" s="29" t="s">
        <v>13</v>
      </c>
      <c r="B1951" s="29" t="str">
        <f t="shared" si="30"/>
        <v>JUR-04</v>
      </c>
      <c r="C1951" s="29" t="s">
        <v>7018</v>
      </c>
      <c r="D1951" s="67" t="s">
        <v>7019</v>
      </c>
      <c r="E1951" s="96" t="s">
        <v>62</v>
      </c>
      <c r="F1951" s="29" t="s">
        <v>61</v>
      </c>
      <c r="G1951" s="29"/>
      <c r="H1951" s="103">
        <f>_xlfn.XLOOKUP(B1951,GM!$Q$5:$Q$756,GM!$J$5:$J$756)</f>
        <v>46104</v>
      </c>
    </row>
    <row r="1952" spans="1:8" hidden="1" x14ac:dyDescent="0.35">
      <c r="A1952" s="29" t="s">
        <v>13</v>
      </c>
      <c r="B1952" s="29" t="str">
        <f t="shared" si="30"/>
        <v>JUR-04</v>
      </c>
      <c r="C1952" s="29" t="s">
        <v>7020</v>
      </c>
      <c r="D1952" s="67" t="s">
        <v>7021</v>
      </c>
      <c r="E1952" s="96" t="s">
        <v>62</v>
      </c>
      <c r="F1952" s="29" t="s">
        <v>61</v>
      </c>
      <c r="G1952" s="29"/>
      <c r="H1952" s="103">
        <f>_xlfn.XLOOKUP(B1952,GM!$Q$5:$Q$756,GM!$J$5:$J$756)</f>
        <v>46104</v>
      </c>
    </row>
    <row r="1953" spans="1:8" hidden="1" x14ac:dyDescent="0.35">
      <c r="A1953" s="29" t="s">
        <v>13</v>
      </c>
      <c r="B1953" s="29" t="str">
        <f t="shared" si="30"/>
        <v>JUR-04</v>
      </c>
      <c r="C1953" s="29" t="s">
        <v>7022</v>
      </c>
      <c r="D1953" s="67" t="s">
        <v>7023</v>
      </c>
      <c r="E1953" s="96" t="s">
        <v>62</v>
      </c>
      <c r="F1953" s="29" t="s">
        <v>61</v>
      </c>
      <c r="G1953" s="29"/>
      <c r="H1953" s="103">
        <f>_xlfn.XLOOKUP(B1953,GM!$Q$5:$Q$756,GM!$J$5:$J$756)</f>
        <v>46104</v>
      </c>
    </row>
    <row r="1954" spans="1:8" hidden="1" x14ac:dyDescent="0.35">
      <c r="A1954" s="29" t="s">
        <v>13</v>
      </c>
      <c r="B1954" s="29" t="str">
        <f t="shared" si="30"/>
        <v>JUR-04</v>
      </c>
      <c r="C1954" s="29" t="s">
        <v>7024</v>
      </c>
      <c r="D1954" s="67" t="s">
        <v>7025</v>
      </c>
      <c r="E1954" s="96" t="s">
        <v>62</v>
      </c>
      <c r="F1954" s="29" t="s">
        <v>61</v>
      </c>
      <c r="G1954" s="29"/>
      <c r="H1954" s="103">
        <f>_xlfn.XLOOKUP(B1954,GM!$Q$5:$Q$756,GM!$J$5:$J$756)</f>
        <v>46104</v>
      </c>
    </row>
    <row r="1955" spans="1:8" hidden="1" x14ac:dyDescent="0.35">
      <c r="A1955" s="29" t="s">
        <v>13</v>
      </c>
      <c r="B1955" s="29" t="str">
        <f t="shared" si="30"/>
        <v>JUR-04</v>
      </c>
      <c r="C1955" s="29" t="s">
        <v>7026</v>
      </c>
      <c r="D1955" s="67" t="s">
        <v>7027</v>
      </c>
      <c r="E1955" s="96" t="s">
        <v>62</v>
      </c>
      <c r="F1955" s="29" t="s">
        <v>61</v>
      </c>
      <c r="G1955" s="29"/>
      <c r="H1955" s="103">
        <f>_xlfn.XLOOKUP(B1955,GM!$Q$5:$Q$756,GM!$J$5:$J$756)</f>
        <v>46104</v>
      </c>
    </row>
    <row r="1956" spans="1:8" hidden="1" x14ac:dyDescent="0.35">
      <c r="A1956" s="29" t="s">
        <v>13</v>
      </c>
      <c r="B1956" s="29" t="str">
        <f t="shared" si="30"/>
        <v>JUR-04</v>
      </c>
      <c r="C1956" s="29" t="s">
        <v>7028</v>
      </c>
      <c r="D1956" s="67" t="s">
        <v>7029</v>
      </c>
      <c r="E1956" s="96" t="s">
        <v>62</v>
      </c>
      <c r="F1956" s="29" t="s">
        <v>61</v>
      </c>
      <c r="G1956" s="29"/>
      <c r="H1956" s="103">
        <f>_xlfn.XLOOKUP(B1956,GM!$Q$5:$Q$756,GM!$J$5:$J$756)</f>
        <v>46104</v>
      </c>
    </row>
    <row r="1957" spans="1:8" hidden="1" x14ac:dyDescent="0.35">
      <c r="A1957" s="29" t="s">
        <v>13</v>
      </c>
      <c r="B1957" s="29" t="str">
        <f t="shared" si="30"/>
        <v>JUR-04</v>
      </c>
      <c r="C1957" s="29" t="s">
        <v>7030</v>
      </c>
      <c r="D1957" s="67" t="s">
        <v>7031</v>
      </c>
      <c r="E1957" s="96" t="s">
        <v>62</v>
      </c>
      <c r="F1957" s="29" t="s">
        <v>61</v>
      </c>
      <c r="G1957" s="29"/>
      <c r="H1957" s="103">
        <f>_xlfn.XLOOKUP(B1957,GM!$Q$5:$Q$756,GM!$J$5:$J$756)</f>
        <v>46104</v>
      </c>
    </row>
    <row r="1958" spans="1:8" hidden="1" x14ac:dyDescent="0.35">
      <c r="A1958" s="29" t="s">
        <v>13</v>
      </c>
      <c r="B1958" s="29" t="str">
        <f t="shared" si="30"/>
        <v>JUR-04</v>
      </c>
      <c r="C1958" s="29" t="s">
        <v>7032</v>
      </c>
      <c r="D1958" s="67" t="s">
        <v>7033</v>
      </c>
      <c r="E1958" s="96" t="s">
        <v>62</v>
      </c>
      <c r="F1958" s="29" t="s">
        <v>61</v>
      </c>
      <c r="G1958" s="29"/>
      <c r="H1958" s="103">
        <f>_xlfn.XLOOKUP(B1958,GM!$Q$5:$Q$756,GM!$J$5:$J$756)</f>
        <v>46104</v>
      </c>
    </row>
    <row r="1959" spans="1:8" hidden="1" x14ac:dyDescent="0.35">
      <c r="A1959" s="29" t="s">
        <v>13</v>
      </c>
      <c r="B1959" s="29" t="str">
        <f t="shared" si="30"/>
        <v>JUR-04</v>
      </c>
      <c r="C1959" s="29" t="s">
        <v>7034</v>
      </c>
      <c r="D1959" s="67" t="s">
        <v>7035</v>
      </c>
      <c r="E1959" s="96" t="s">
        <v>62</v>
      </c>
      <c r="F1959" s="29" t="s">
        <v>61</v>
      </c>
      <c r="G1959" s="29"/>
      <c r="H1959" s="103">
        <f>_xlfn.XLOOKUP(B1959,GM!$Q$5:$Q$756,GM!$J$5:$J$756)</f>
        <v>46104</v>
      </c>
    </row>
    <row r="1960" spans="1:8" hidden="1" x14ac:dyDescent="0.35">
      <c r="A1960" s="29" t="s">
        <v>13</v>
      </c>
      <c r="B1960" s="29" t="str">
        <f t="shared" si="30"/>
        <v>JUR-04</v>
      </c>
      <c r="C1960" s="29" t="s">
        <v>7036</v>
      </c>
      <c r="D1960" s="67" t="s">
        <v>7037</v>
      </c>
      <c r="E1960" s="96" t="s">
        <v>62</v>
      </c>
      <c r="F1960" s="29" t="s">
        <v>61</v>
      </c>
      <c r="G1960" s="29"/>
      <c r="H1960" s="103">
        <f>_xlfn.XLOOKUP(B1960,GM!$Q$5:$Q$756,GM!$J$5:$J$756)</f>
        <v>46104</v>
      </c>
    </row>
    <row r="1961" spans="1:8" hidden="1" x14ac:dyDescent="0.35">
      <c r="A1961" s="29" t="s">
        <v>13</v>
      </c>
      <c r="B1961" s="29" t="str">
        <f t="shared" si="30"/>
        <v>JUR-04</v>
      </c>
      <c r="C1961" s="29" t="s">
        <v>7038</v>
      </c>
      <c r="D1961" s="67" t="s">
        <v>7039</v>
      </c>
      <c r="E1961" s="96" t="s">
        <v>62</v>
      </c>
      <c r="F1961" s="29" t="s">
        <v>61</v>
      </c>
      <c r="G1961" s="29"/>
      <c r="H1961" s="103">
        <f>_xlfn.XLOOKUP(B1961,GM!$Q$5:$Q$756,GM!$J$5:$J$756)</f>
        <v>46104</v>
      </c>
    </row>
    <row r="1962" spans="1:8" hidden="1" x14ac:dyDescent="0.35">
      <c r="A1962" s="29" t="s">
        <v>13</v>
      </c>
      <c r="B1962" s="29" t="str">
        <f t="shared" si="30"/>
        <v>JUR-04</v>
      </c>
      <c r="C1962" s="29" t="s">
        <v>7040</v>
      </c>
      <c r="D1962" s="67" t="s">
        <v>7041</v>
      </c>
      <c r="E1962" s="96" t="s">
        <v>62</v>
      </c>
      <c r="F1962" s="29" t="s">
        <v>61</v>
      </c>
      <c r="G1962" s="29"/>
      <c r="H1962" s="103">
        <f>_xlfn.XLOOKUP(B1962,GM!$Q$5:$Q$756,GM!$J$5:$J$756)</f>
        <v>46104</v>
      </c>
    </row>
    <row r="1963" spans="1:8" hidden="1" x14ac:dyDescent="0.35">
      <c r="A1963" s="29" t="s">
        <v>13</v>
      </c>
      <c r="B1963" s="29" t="str">
        <f t="shared" si="30"/>
        <v>JUR-04</v>
      </c>
      <c r="C1963" s="29" t="s">
        <v>7042</v>
      </c>
      <c r="D1963" s="67" t="s">
        <v>7043</v>
      </c>
      <c r="E1963" s="96" t="s">
        <v>62</v>
      </c>
      <c r="F1963" s="29" t="s">
        <v>61</v>
      </c>
      <c r="G1963" s="29"/>
      <c r="H1963" s="103">
        <f>_xlfn.XLOOKUP(B1963,GM!$Q$5:$Q$756,GM!$J$5:$J$756)</f>
        <v>46104</v>
      </c>
    </row>
    <row r="1964" spans="1:8" hidden="1" x14ac:dyDescent="0.35">
      <c r="A1964" s="29" t="s">
        <v>13</v>
      </c>
      <c r="B1964" s="29" t="str">
        <f t="shared" si="30"/>
        <v>JUR-04</v>
      </c>
      <c r="C1964" s="29" t="s">
        <v>7044</v>
      </c>
      <c r="D1964" s="67" t="s">
        <v>7045</v>
      </c>
      <c r="E1964" s="96" t="s">
        <v>62</v>
      </c>
      <c r="F1964" s="29" t="s">
        <v>61</v>
      </c>
      <c r="G1964" s="29"/>
      <c r="H1964" s="103">
        <f>_xlfn.XLOOKUP(B1964,GM!$Q$5:$Q$756,GM!$J$5:$J$756)</f>
        <v>46104</v>
      </c>
    </row>
    <row r="1965" spans="1:8" hidden="1" x14ac:dyDescent="0.35">
      <c r="A1965" s="29" t="s">
        <v>13</v>
      </c>
      <c r="B1965" s="29" t="str">
        <f t="shared" si="30"/>
        <v>JUR-04</v>
      </c>
      <c r="C1965" s="29" t="s">
        <v>7046</v>
      </c>
      <c r="D1965" s="67" t="s">
        <v>7047</v>
      </c>
      <c r="E1965" s="96" t="s">
        <v>62</v>
      </c>
      <c r="F1965" s="29" t="s">
        <v>61</v>
      </c>
      <c r="G1965" s="29"/>
      <c r="H1965" s="103">
        <f>_xlfn.XLOOKUP(B1965,GM!$Q$5:$Q$756,GM!$J$5:$J$756)</f>
        <v>46104</v>
      </c>
    </row>
    <row r="1966" spans="1:8" hidden="1" x14ac:dyDescent="0.35">
      <c r="A1966" s="29" t="s">
        <v>13</v>
      </c>
      <c r="B1966" s="29" t="str">
        <f t="shared" si="30"/>
        <v>JUR-04</v>
      </c>
      <c r="C1966" s="29" t="s">
        <v>7048</v>
      </c>
      <c r="D1966" s="67" t="s">
        <v>7049</v>
      </c>
      <c r="E1966" s="96" t="s">
        <v>62</v>
      </c>
      <c r="F1966" s="29" t="s">
        <v>61</v>
      </c>
      <c r="G1966" s="29"/>
      <c r="H1966" s="103">
        <f>_xlfn.XLOOKUP(B1966,GM!$Q$5:$Q$756,GM!$J$5:$J$756)</f>
        <v>46104</v>
      </c>
    </row>
    <row r="1967" spans="1:8" hidden="1" x14ac:dyDescent="0.35">
      <c r="A1967" s="29" t="s">
        <v>13</v>
      </c>
      <c r="B1967" s="29" t="str">
        <f t="shared" si="30"/>
        <v>JUR-04</v>
      </c>
      <c r="C1967" s="29" t="s">
        <v>7050</v>
      </c>
      <c r="D1967" s="67" t="s">
        <v>7051</v>
      </c>
      <c r="E1967" s="96" t="s">
        <v>62</v>
      </c>
      <c r="F1967" s="29" t="s">
        <v>61</v>
      </c>
      <c r="G1967" s="29"/>
      <c r="H1967" s="103">
        <f>_xlfn.XLOOKUP(B1967,GM!$Q$5:$Q$756,GM!$J$5:$J$756)</f>
        <v>46104</v>
      </c>
    </row>
    <row r="1968" spans="1:8" hidden="1" x14ac:dyDescent="0.35">
      <c r="A1968" s="29" t="s">
        <v>13</v>
      </c>
      <c r="B1968" s="29" t="str">
        <f t="shared" si="30"/>
        <v>JUR-04</v>
      </c>
      <c r="C1968" s="29" t="s">
        <v>7052</v>
      </c>
      <c r="D1968" s="67" t="s">
        <v>7053</v>
      </c>
      <c r="E1968" s="96" t="s">
        <v>62</v>
      </c>
      <c r="F1968" s="29" t="s">
        <v>61</v>
      </c>
      <c r="G1968" s="29"/>
      <c r="H1968" s="103">
        <f>_xlfn.XLOOKUP(B1968,GM!$Q$5:$Q$756,GM!$J$5:$J$756)</f>
        <v>46104</v>
      </c>
    </row>
    <row r="1969" spans="1:8" hidden="1" x14ac:dyDescent="0.35">
      <c r="A1969" s="29" t="s">
        <v>13</v>
      </c>
      <c r="B1969" s="29" t="str">
        <f t="shared" si="30"/>
        <v>JUR-04</v>
      </c>
      <c r="C1969" s="29" t="s">
        <v>7054</v>
      </c>
      <c r="D1969" s="67" t="s">
        <v>7055</v>
      </c>
      <c r="E1969" s="96" t="s">
        <v>62</v>
      </c>
      <c r="F1969" s="29" t="s">
        <v>61</v>
      </c>
      <c r="G1969" s="29"/>
      <c r="H1969" s="103">
        <f>_xlfn.XLOOKUP(B1969,GM!$Q$5:$Q$756,GM!$J$5:$J$756)</f>
        <v>46104</v>
      </c>
    </row>
    <row r="1970" spans="1:8" hidden="1" x14ac:dyDescent="0.35">
      <c r="A1970" s="29" t="s">
        <v>13</v>
      </c>
      <c r="B1970" s="29" t="str">
        <f t="shared" si="30"/>
        <v>JUR-04</v>
      </c>
      <c r="C1970" s="29" t="s">
        <v>7056</v>
      </c>
      <c r="D1970" s="67" t="s">
        <v>7057</v>
      </c>
      <c r="E1970" s="96" t="s">
        <v>62</v>
      </c>
      <c r="F1970" s="29" t="s">
        <v>61</v>
      </c>
      <c r="G1970" s="29"/>
      <c r="H1970" s="103">
        <f>_xlfn.XLOOKUP(B1970,GM!$Q$5:$Q$756,GM!$J$5:$J$756)</f>
        <v>46104</v>
      </c>
    </row>
    <row r="1971" spans="1:8" hidden="1" x14ac:dyDescent="0.35">
      <c r="A1971" s="29" t="s">
        <v>13</v>
      </c>
      <c r="B1971" s="29" t="str">
        <f t="shared" si="30"/>
        <v>JUR-04</v>
      </c>
      <c r="C1971" s="29" t="s">
        <v>7058</v>
      </c>
      <c r="D1971" s="67" t="s">
        <v>7059</v>
      </c>
      <c r="E1971" s="96" t="s">
        <v>62</v>
      </c>
      <c r="F1971" s="29" t="s">
        <v>61</v>
      </c>
      <c r="G1971" s="29"/>
      <c r="H1971" s="103">
        <f>_xlfn.XLOOKUP(B1971,GM!$Q$5:$Q$756,GM!$J$5:$J$756)</f>
        <v>46104</v>
      </c>
    </row>
    <row r="1972" spans="1:8" hidden="1" x14ac:dyDescent="0.35">
      <c r="A1972" s="29" t="s">
        <v>13</v>
      </c>
      <c r="B1972" s="29" t="str">
        <f t="shared" si="30"/>
        <v>JUR-04</v>
      </c>
      <c r="C1972" s="29" t="s">
        <v>7060</v>
      </c>
      <c r="D1972" s="67" t="s">
        <v>7061</v>
      </c>
      <c r="E1972" s="96" t="s">
        <v>62</v>
      </c>
      <c r="F1972" s="29" t="s">
        <v>61</v>
      </c>
      <c r="G1972" s="29"/>
      <c r="H1972" s="103">
        <f>_xlfn.XLOOKUP(B1972,GM!$Q$5:$Q$756,GM!$J$5:$J$756)</f>
        <v>46104</v>
      </c>
    </row>
    <row r="1973" spans="1:8" hidden="1" x14ac:dyDescent="0.35">
      <c r="A1973" s="29" t="s">
        <v>13</v>
      </c>
      <c r="B1973" s="29" t="str">
        <f t="shared" si="30"/>
        <v>JUR-05</v>
      </c>
      <c r="C1973" s="29" t="s">
        <v>7062</v>
      </c>
      <c r="D1973" s="67" t="s">
        <v>7063</v>
      </c>
      <c r="E1973" s="96" t="s">
        <v>62</v>
      </c>
      <c r="F1973" s="29" t="s">
        <v>61</v>
      </c>
      <c r="G1973" s="29"/>
      <c r="H1973" s="103">
        <f>_xlfn.XLOOKUP(B1973,GM!$Q$5:$Q$756,GM!$J$5:$J$756)</f>
        <v>46104</v>
      </c>
    </row>
    <row r="1974" spans="1:8" hidden="1" x14ac:dyDescent="0.35">
      <c r="A1974" s="29" t="s">
        <v>13</v>
      </c>
      <c r="B1974" s="29" t="str">
        <f t="shared" si="30"/>
        <v>JUR-05</v>
      </c>
      <c r="C1974" s="29" t="s">
        <v>7064</v>
      </c>
      <c r="D1974" s="67" t="s">
        <v>7065</v>
      </c>
      <c r="E1974" s="96" t="s">
        <v>62</v>
      </c>
      <c r="F1974" s="29" t="s">
        <v>61</v>
      </c>
      <c r="G1974" s="29"/>
      <c r="H1974" s="103">
        <f>_xlfn.XLOOKUP(B1974,GM!$Q$5:$Q$756,GM!$J$5:$J$756)</f>
        <v>46104</v>
      </c>
    </row>
    <row r="1975" spans="1:8" hidden="1" x14ac:dyDescent="0.35">
      <c r="A1975" s="29" t="s">
        <v>13</v>
      </c>
      <c r="B1975" s="29" t="str">
        <f t="shared" si="30"/>
        <v>JUR-05</v>
      </c>
      <c r="C1975" s="29" t="s">
        <v>7066</v>
      </c>
      <c r="D1975" s="67" t="s">
        <v>7067</v>
      </c>
      <c r="E1975" s="96" t="s">
        <v>62</v>
      </c>
      <c r="F1975" s="29" t="s">
        <v>61</v>
      </c>
      <c r="G1975" s="29"/>
      <c r="H1975" s="103">
        <f>_xlfn.XLOOKUP(B1975,GM!$Q$5:$Q$756,GM!$J$5:$J$756)</f>
        <v>46104</v>
      </c>
    </row>
    <row r="1976" spans="1:8" hidden="1" x14ac:dyDescent="0.35">
      <c r="A1976" s="29" t="s">
        <v>13</v>
      </c>
      <c r="B1976" s="29" t="str">
        <f t="shared" si="30"/>
        <v>JUR-05</v>
      </c>
      <c r="C1976" s="29" t="s">
        <v>7068</v>
      </c>
      <c r="D1976" s="67" t="s">
        <v>7069</v>
      </c>
      <c r="E1976" s="96" t="s">
        <v>62</v>
      </c>
      <c r="F1976" s="29" t="s">
        <v>61</v>
      </c>
      <c r="G1976" s="29"/>
      <c r="H1976" s="103">
        <f>_xlfn.XLOOKUP(B1976,GM!$Q$5:$Q$756,GM!$J$5:$J$756)</f>
        <v>46104</v>
      </c>
    </row>
    <row r="1977" spans="1:8" hidden="1" x14ac:dyDescent="0.35">
      <c r="A1977" s="29" t="s">
        <v>13</v>
      </c>
      <c r="B1977" s="29" t="str">
        <f t="shared" si="30"/>
        <v>JUR-05</v>
      </c>
      <c r="C1977" s="29" t="s">
        <v>7070</v>
      </c>
      <c r="D1977" s="67" t="s">
        <v>7071</v>
      </c>
      <c r="E1977" s="96" t="s">
        <v>62</v>
      </c>
      <c r="F1977" s="29" t="s">
        <v>61</v>
      </c>
      <c r="G1977" s="29"/>
      <c r="H1977" s="103">
        <f>_xlfn.XLOOKUP(B1977,GM!$Q$5:$Q$756,GM!$J$5:$J$756)</f>
        <v>46104</v>
      </c>
    </row>
    <row r="1978" spans="1:8" hidden="1" x14ac:dyDescent="0.35">
      <c r="A1978" s="29" t="s">
        <v>13</v>
      </c>
      <c r="B1978" s="29" t="str">
        <f t="shared" si="30"/>
        <v>JUR-05</v>
      </c>
      <c r="C1978" s="29" t="s">
        <v>7072</v>
      </c>
      <c r="D1978" s="67" t="s">
        <v>7073</v>
      </c>
      <c r="E1978" s="96" t="s">
        <v>62</v>
      </c>
      <c r="F1978" s="29" t="s">
        <v>61</v>
      </c>
      <c r="G1978" s="29"/>
      <c r="H1978" s="103">
        <f>_xlfn.XLOOKUP(B1978,GM!$Q$5:$Q$756,GM!$J$5:$J$756)</f>
        <v>46104</v>
      </c>
    </row>
    <row r="1979" spans="1:8" hidden="1" x14ac:dyDescent="0.35">
      <c r="A1979" s="29" t="s">
        <v>13</v>
      </c>
      <c r="B1979" s="29" t="str">
        <f t="shared" si="30"/>
        <v>JUR-05</v>
      </c>
      <c r="C1979" s="29" t="s">
        <v>7074</v>
      </c>
      <c r="D1979" s="67" t="s">
        <v>7075</v>
      </c>
      <c r="E1979" s="96" t="s">
        <v>62</v>
      </c>
      <c r="F1979" s="29" t="s">
        <v>61</v>
      </c>
      <c r="G1979" s="29"/>
      <c r="H1979" s="103">
        <f>_xlfn.XLOOKUP(B1979,GM!$Q$5:$Q$756,GM!$J$5:$J$756)</f>
        <v>46104</v>
      </c>
    </row>
    <row r="1980" spans="1:8" hidden="1" x14ac:dyDescent="0.35">
      <c r="A1980" s="29" t="s">
        <v>13</v>
      </c>
      <c r="B1980" s="29" t="str">
        <f t="shared" si="30"/>
        <v>JUR-05</v>
      </c>
      <c r="C1980" s="29" t="s">
        <v>7076</v>
      </c>
      <c r="D1980" s="67" t="s">
        <v>7077</v>
      </c>
      <c r="E1980" s="96" t="s">
        <v>62</v>
      </c>
      <c r="F1980" s="29" t="s">
        <v>61</v>
      </c>
      <c r="G1980" s="29"/>
      <c r="H1980" s="103">
        <f>_xlfn.XLOOKUP(B1980,GM!$Q$5:$Q$756,GM!$J$5:$J$756)</f>
        <v>46104</v>
      </c>
    </row>
    <row r="1981" spans="1:8" hidden="1" x14ac:dyDescent="0.35">
      <c r="A1981" s="29" t="s">
        <v>13</v>
      </c>
      <c r="B1981" s="29" t="str">
        <f t="shared" si="30"/>
        <v>JUR-06</v>
      </c>
      <c r="C1981" s="29" t="s">
        <v>7078</v>
      </c>
      <c r="D1981" s="67" t="s">
        <v>7079</v>
      </c>
      <c r="E1981" s="96" t="s">
        <v>62</v>
      </c>
      <c r="F1981" s="29" t="s">
        <v>61</v>
      </c>
      <c r="G1981" s="29"/>
      <c r="H1981" s="103">
        <f>_xlfn.XLOOKUP(B1981,GM!$Q$5:$Q$756,GM!$J$5:$J$756)</f>
        <v>46104</v>
      </c>
    </row>
    <row r="1982" spans="1:8" hidden="1" x14ac:dyDescent="0.35">
      <c r="A1982" s="29" t="s">
        <v>13</v>
      </c>
      <c r="B1982" s="29" t="str">
        <f t="shared" si="30"/>
        <v>JUR-06</v>
      </c>
      <c r="C1982" s="29" t="s">
        <v>7080</v>
      </c>
      <c r="D1982" s="67" t="s">
        <v>7081</v>
      </c>
      <c r="E1982" s="96" t="s">
        <v>62</v>
      </c>
      <c r="F1982" s="29" t="s">
        <v>61</v>
      </c>
      <c r="G1982" s="29"/>
      <c r="H1982" s="103">
        <f>_xlfn.XLOOKUP(B1982,GM!$Q$5:$Q$756,GM!$J$5:$J$756)</f>
        <v>46104</v>
      </c>
    </row>
    <row r="1983" spans="1:8" hidden="1" x14ac:dyDescent="0.35">
      <c r="A1983" s="29" t="s">
        <v>13</v>
      </c>
      <c r="B1983" s="29" t="str">
        <f t="shared" si="30"/>
        <v>JUR-06</v>
      </c>
      <c r="C1983" s="29" t="s">
        <v>7082</v>
      </c>
      <c r="D1983" s="67" t="s">
        <v>7083</v>
      </c>
      <c r="E1983" s="96" t="s">
        <v>62</v>
      </c>
      <c r="F1983" s="29" t="s">
        <v>61</v>
      </c>
      <c r="G1983" s="29"/>
      <c r="H1983" s="103">
        <f>_xlfn.XLOOKUP(B1983,GM!$Q$5:$Q$756,GM!$J$5:$J$756)</f>
        <v>46104</v>
      </c>
    </row>
    <row r="1984" spans="1:8" hidden="1" x14ac:dyDescent="0.35">
      <c r="A1984" s="29" t="s">
        <v>13</v>
      </c>
      <c r="B1984" s="29" t="str">
        <f t="shared" si="30"/>
        <v>JUR-06</v>
      </c>
      <c r="C1984" s="29" t="s">
        <v>7084</v>
      </c>
      <c r="D1984" s="67" t="s">
        <v>7085</v>
      </c>
      <c r="E1984" s="96" t="s">
        <v>62</v>
      </c>
      <c r="F1984" s="29" t="s">
        <v>61</v>
      </c>
      <c r="G1984" s="29"/>
      <c r="H1984" s="103">
        <f>_xlfn.XLOOKUP(B1984,GM!$Q$5:$Q$756,GM!$J$5:$J$756)</f>
        <v>46104</v>
      </c>
    </row>
    <row r="1985" spans="1:8" hidden="1" x14ac:dyDescent="0.35">
      <c r="A1985" s="29" t="s">
        <v>13</v>
      </c>
      <c r="B1985" s="29" t="str">
        <f t="shared" si="30"/>
        <v>JUR-06</v>
      </c>
      <c r="C1985" s="29" t="s">
        <v>7086</v>
      </c>
      <c r="D1985" s="67" t="s">
        <v>7087</v>
      </c>
      <c r="E1985" s="96" t="s">
        <v>62</v>
      </c>
      <c r="F1985" s="29" t="s">
        <v>61</v>
      </c>
      <c r="G1985" s="29"/>
      <c r="H1985" s="103">
        <f>_xlfn.XLOOKUP(B1985,GM!$Q$5:$Q$756,GM!$J$5:$J$756)</f>
        <v>46104</v>
      </c>
    </row>
    <row r="1986" spans="1:8" hidden="1" x14ac:dyDescent="0.35">
      <c r="A1986" s="29" t="s">
        <v>13</v>
      </c>
      <c r="B1986" s="29" t="str">
        <f t="shared" si="30"/>
        <v>JUR-06</v>
      </c>
      <c r="C1986" s="29" t="s">
        <v>7088</v>
      </c>
      <c r="D1986" s="67" t="s">
        <v>7089</v>
      </c>
      <c r="E1986" s="96" t="s">
        <v>62</v>
      </c>
      <c r="F1986" s="29" t="s">
        <v>61</v>
      </c>
      <c r="G1986" s="29"/>
      <c r="H1986" s="103">
        <f>_xlfn.XLOOKUP(B1986,GM!$Q$5:$Q$756,GM!$J$5:$J$756)</f>
        <v>46104</v>
      </c>
    </row>
    <row r="1987" spans="1:8" hidden="1" x14ac:dyDescent="0.35">
      <c r="A1987" s="29" t="s">
        <v>13</v>
      </c>
      <c r="B1987" s="29" t="str">
        <f t="shared" si="30"/>
        <v>JUR-06</v>
      </c>
      <c r="C1987" s="29" t="s">
        <v>7090</v>
      </c>
      <c r="D1987" s="67" t="s">
        <v>7091</v>
      </c>
      <c r="E1987" s="96" t="s">
        <v>62</v>
      </c>
      <c r="F1987" s="29" t="s">
        <v>61</v>
      </c>
      <c r="G1987" s="29"/>
      <c r="H1987" s="103">
        <f>_xlfn.XLOOKUP(B1987,GM!$Q$5:$Q$756,GM!$J$5:$J$756)</f>
        <v>46104</v>
      </c>
    </row>
    <row r="1988" spans="1:8" hidden="1" x14ac:dyDescent="0.35">
      <c r="A1988" s="29" t="s">
        <v>13</v>
      </c>
      <c r="B1988" s="29" t="str">
        <f t="shared" si="30"/>
        <v>JUR-06</v>
      </c>
      <c r="C1988" s="29" t="s">
        <v>7092</v>
      </c>
      <c r="D1988" s="67" t="s">
        <v>7093</v>
      </c>
      <c r="E1988" s="96" t="s">
        <v>62</v>
      </c>
      <c r="F1988" s="29" t="s">
        <v>61</v>
      </c>
      <c r="G1988" s="29"/>
      <c r="H1988" s="103">
        <f>_xlfn.XLOOKUP(B1988,GM!$Q$5:$Q$756,GM!$J$5:$J$756)</f>
        <v>46104</v>
      </c>
    </row>
    <row r="1989" spans="1:8" hidden="1" x14ac:dyDescent="0.35">
      <c r="A1989" s="29" t="s">
        <v>13</v>
      </c>
      <c r="B1989" s="29" t="str">
        <f t="shared" ref="B1989:B2052" si="31">IF(OR(A1989="ARN",A1989="SDP"),MID(C1989,4,7),MID(C1989,4,6))</f>
        <v>JUR-06</v>
      </c>
      <c r="C1989" s="29" t="s">
        <v>7094</v>
      </c>
      <c r="D1989" s="67" t="s">
        <v>7095</v>
      </c>
      <c r="E1989" s="96" t="s">
        <v>62</v>
      </c>
      <c r="F1989" s="29" t="s">
        <v>61</v>
      </c>
      <c r="G1989" s="29"/>
      <c r="H1989" s="103">
        <f>_xlfn.XLOOKUP(B1989,GM!$Q$5:$Q$756,GM!$J$5:$J$756)</f>
        <v>46104</v>
      </c>
    </row>
    <row r="1990" spans="1:8" hidden="1" x14ac:dyDescent="0.35">
      <c r="A1990" s="29" t="s">
        <v>13</v>
      </c>
      <c r="B1990" s="29" t="str">
        <f t="shared" si="31"/>
        <v>JUR-06</v>
      </c>
      <c r="C1990" s="29" t="s">
        <v>7096</v>
      </c>
      <c r="D1990" s="67" t="s">
        <v>7097</v>
      </c>
      <c r="E1990" s="96" t="s">
        <v>62</v>
      </c>
      <c r="F1990" s="29" t="s">
        <v>61</v>
      </c>
      <c r="G1990" s="29"/>
      <c r="H1990" s="103">
        <f>_xlfn.XLOOKUP(B1990,GM!$Q$5:$Q$756,GM!$J$5:$J$756)</f>
        <v>46104</v>
      </c>
    </row>
    <row r="1991" spans="1:8" hidden="1" x14ac:dyDescent="0.35">
      <c r="A1991" s="29" t="s">
        <v>13</v>
      </c>
      <c r="B1991" s="29" t="str">
        <f t="shared" si="31"/>
        <v>JUR-06</v>
      </c>
      <c r="C1991" s="29" t="s">
        <v>7098</v>
      </c>
      <c r="D1991" s="67" t="s">
        <v>7099</v>
      </c>
      <c r="E1991" s="96" t="s">
        <v>62</v>
      </c>
      <c r="F1991" s="29" t="s">
        <v>61</v>
      </c>
      <c r="G1991" s="29"/>
      <c r="H1991" s="103">
        <f>_xlfn.XLOOKUP(B1991,GM!$Q$5:$Q$756,GM!$J$5:$J$756)</f>
        <v>46104</v>
      </c>
    </row>
    <row r="1992" spans="1:8" hidden="1" x14ac:dyDescent="0.35">
      <c r="A1992" s="29" t="s">
        <v>13</v>
      </c>
      <c r="B1992" s="29" t="str">
        <f t="shared" si="31"/>
        <v>JUR-06</v>
      </c>
      <c r="C1992" s="29" t="s">
        <v>7100</v>
      </c>
      <c r="D1992" s="67" t="s">
        <v>7101</v>
      </c>
      <c r="E1992" s="96" t="s">
        <v>62</v>
      </c>
      <c r="F1992" s="29" t="s">
        <v>61</v>
      </c>
      <c r="G1992" s="29"/>
      <c r="H1992" s="103">
        <f>_xlfn.XLOOKUP(B1992,GM!$Q$5:$Q$756,GM!$J$5:$J$756)</f>
        <v>46104</v>
      </c>
    </row>
    <row r="1993" spans="1:8" hidden="1" x14ac:dyDescent="0.35">
      <c r="A1993" s="29" t="s">
        <v>13</v>
      </c>
      <c r="B1993" s="29" t="str">
        <f t="shared" si="31"/>
        <v>JUR-06</v>
      </c>
      <c r="C1993" s="29" t="s">
        <v>7102</v>
      </c>
      <c r="D1993" s="67" t="s">
        <v>7103</v>
      </c>
      <c r="E1993" s="96" t="s">
        <v>62</v>
      </c>
      <c r="F1993" s="29" t="s">
        <v>61</v>
      </c>
      <c r="G1993" s="29"/>
      <c r="H1993" s="103">
        <f>_xlfn.XLOOKUP(B1993,GM!$Q$5:$Q$756,GM!$J$5:$J$756)</f>
        <v>46104</v>
      </c>
    </row>
    <row r="1994" spans="1:8" hidden="1" x14ac:dyDescent="0.35">
      <c r="A1994" s="29" t="s">
        <v>13</v>
      </c>
      <c r="B1994" s="29" t="str">
        <f t="shared" si="31"/>
        <v>JUR-06</v>
      </c>
      <c r="C1994" s="29" t="s">
        <v>7104</v>
      </c>
      <c r="D1994" s="67" t="s">
        <v>7105</v>
      </c>
      <c r="E1994" s="96" t="s">
        <v>62</v>
      </c>
      <c r="F1994" s="29" t="s">
        <v>61</v>
      </c>
      <c r="G1994" s="29"/>
      <c r="H1994" s="103">
        <f>_xlfn.XLOOKUP(B1994,GM!$Q$5:$Q$756,GM!$J$5:$J$756)</f>
        <v>46104</v>
      </c>
    </row>
    <row r="1995" spans="1:8" hidden="1" x14ac:dyDescent="0.35">
      <c r="A1995" s="29" t="s">
        <v>13</v>
      </c>
      <c r="B1995" s="29" t="str">
        <f t="shared" si="31"/>
        <v>JUR-06</v>
      </c>
      <c r="C1995" s="29" t="s">
        <v>7106</v>
      </c>
      <c r="D1995" s="67" t="s">
        <v>7107</v>
      </c>
      <c r="E1995" s="96" t="s">
        <v>62</v>
      </c>
      <c r="F1995" s="29" t="s">
        <v>61</v>
      </c>
      <c r="G1995" s="29"/>
      <c r="H1995" s="103">
        <f>_xlfn.XLOOKUP(B1995,GM!$Q$5:$Q$756,GM!$J$5:$J$756)</f>
        <v>46104</v>
      </c>
    </row>
    <row r="1996" spans="1:8" hidden="1" x14ac:dyDescent="0.35">
      <c r="A1996" s="29" t="s">
        <v>13</v>
      </c>
      <c r="B1996" s="29" t="str">
        <f t="shared" si="31"/>
        <v>JUR-06</v>
      </c>
      <c r="C1996" s="29" t="s">
        <v>7108</v>
      </c>
      <c r="D1996" s="67" t="s">
        <v>7109</v>
      </c>
      <c r="E1996" s="96" t="s">
        <v>62</v>
      </c>
      <c r="F1996" s="29" t="s">
        <v>61</v>
      </c>
      <c r="G1996" s="29"/>
      <c r="H1996" s="103">
        <f>_xlfn.XLOOKUP(B1996,GM!$Q$5:$Q$756,GM!$J$5:$J$756)</f>
        <v>46104</v>
      </c>
    </row>
    <row r="1997" spans="1:8" hidden="1" x14ac:dyDescent="0.35">
      <c r="A1997" s="29" t="s">
        <v>13</v>
      </c>
      <c r="B1997" s="29" t="str">
        <f t="shared" si="31"/>
        <v>JUR-06</v>
      </c>
      <c r="C1997" s="29" t="s">
        <v>7108</v>
      </c>
      <c r="D1997" s="67" t="s">
        <v>7110</v>
      </c>
      <c r="E1997" s="96" t="s">
        <v>62</v>
      </c>
      <c r="F1997" s="29" t="s">
        <v>61</v>
      </c>
      <c r="G1997" s="29"/>
      <c r="H1997" s="103">
        <f>_xlfn.XLOOKUP(B1997,GM!$Q$5:$Q$756,GM!$J$5:$J$756)</f>
        <v>46104</v>
      </c>
    </row>
    <row r="1998" spans="1:8" hidden="1" x14ac:dyDescent="0.35">
      <c r="A1998" s="29" t="s">
        <v>13</v>
      </c>
      <c r="B1998" s="29" t="str">
        <f t="shared" si="31"/>
        <v>JUR-06</v>
      </c>
      <c r="C1998" s="29" t="s">
        <v>7111</v>
      </c>
      <c r="D1998" s="67" t="s">
        <v>7112</v>
      </c>
      <c r="E1998" s="96" t="s">
        <v>62</v>
      </c>
      <c r="F1998" s="29" t="s">
        <v>61</v>
      </c>
      <c r="G1998" s="29"/>
      <c r="H1998" s="103">
        <f>_xlfn.XLOOKUP(B1998,GM!$Q$5:$Q$756,GM!$J$5:$J$756)</f>
        <v>46104</v>
      </c>
    </row>
    <row r="1999" spans="1:8" hidden="1" x14ac:dyDescent="0.35">
      <c r="A1999" s="29" t="s">
        <v>13</v>
      </c>
      <c r="B1999" s="29" t="str">
        <f t="shared" si="31"/>
        <v>JUR-07</v>
      </c>
      <c r="C1999" s="29" t="s">
        <v>7113</v>
      </c>
      <c r="D1999" s="67" t="s">
        <v>7114</v>
      </c>
      <c r="E1999" s="96" t="s">
        <v>62</v>
      </c>
      <c r="F1999" s="29" t="s">
        <v>61</v>
      </c>
      <c r="G1999" s="29"/>
      <c r="H1999" s="103">
        <f>_xlfn.XLOOKUP(B1999,GM!$Q$5:$Q$756,GM!$J$5:$J$756)</f>
        <v>45959</v>
      </c>
    </row>
    <row r="2000" spans="1:8" hidden="1" x14ac:dyDescent="0.35">
      <c r="A2000" s="29" t="s">
        <v>13</v>
      </c>
      <c r="B2000" s="29" t="str">
        <f t="shared" si="31"/>
        <v>JUR-07</v>
      </c>
      <c r="C2000" s="29" t="s">
        <v>7115</v>
      </c>
      <c r="D2000" s="67" t="s">
        <v>7116</v>
      </c>
      <c r="E2000" s="96" t="s">
        <v>62</v>
      </c>
      <c r="F2000" s="29" t="s">
        <v>61</v>
      </c>
      <c r="G2000" s="29"/>
      <c r="H2000" s="103">
        <f>_xlfn.XLOOKUP(B2000,GM!$Q$5:$Q$756,GM!$J$5:$J$756)</f>
        <v>45959</v>
      </c>
    </row>
    <row r="2001" spans="1:8" hidden="1" x14ac:dyDescent="0.35">
      <c r="A2001" s="29" t="s">
        <v>13</v>
      </c>
      <c r="B2001" s="29" t="str">
        <f t="shared" si="31"/>
        <v>JUR-07</v>
      </c>
      <c r="C2001" s="29" t="s">
        <v>7117</v>
      </c>
      <c r="D2001" s="67" t="s">
        <v>7118</v>
      </c>
      <c r="E2001" s="96" t="s">
        <v>62</v>
      </c>
      <c r="F2001" s="29" t="s">
        <v>61</v>
      </c>
      <c r="G2001" s="29"/>
      <c r="H2001" s="103">
        <f>_xlfn.XLOOKUP(B2001,GM!$Q$5:$Q$756,GM!$J$5:$J$756)</f>
        <v>45959</v>
      </c>
    </row>
    <row r="2002" spans="1:8" hidden="1" x14ac:dyDescent="0.35">
      <c r="A2002" s="29" t="s">
        <v>13</v>
      </c>
      <c r="B2002" s="29" t="str">
        <f t="shared" si="31"/>
        <v>JUR-07</v>
      </c>
      <c r="C2002" s="29" t="s">
        <v>7119</v>
      </c>
      <c r="D2002" s="67" t="s">
        <v>7120</v>
      </c>
      <c r="E2002" s="96" t="s">
        <v>62</v>
      </c>
      <c r="F2002" s="29" t="s">
        <v>61</v>
      </c>
      <c r="G2002" s="29"/>
      <c r="H2002" s="103">
        <f>_xlfn.XLOOKUP(B2002,GM!$Q$5:$Q$756,GM!$J$5:$J$756)</f>
        <v>45959</v>
      </c>
    </row>
    <row r="2003" spans="1:8" hidden="1" x14ac:dyDescent="0.35">
      <c r="A2003" s="29" t="s">
        <v>13</v>
      </c>
      <c r="B2003" s="29" t="str">
        <f t="shared" si="31"/>
        <v>JUR-07</v>
      </c>
      <c r="C2003" s="29" t="s">
        <v>7121</v>
      </c>
      <c r="D2003" s="67" t="s">
        <v>7122</v>
      </c>
      <c r="E2003" s="96" t="s">
        <v>62</v>
      </c>
      <c r="F2003" s="29" t="s">
        <v>61</v>
      </c>
      <c r="G2003" s="29"/>
      <c r="H2003" s="103">
        <f>_xlfn.XLOOKUP(B2003,GM!$Q$5:$Q$756,GM!$J$5:$J$756)</f>
        <v>45959</v>
      </c>
    </row>
    <row r="2004" spans="1:8" hidden="1" x14ac:dyDescent="0.35">
      <c r="A2004" s="29" t="s">
        <v>13</v>
      </c>
      <c r="B2004" s="29" t="str">
        <f t="shared" si="31"/>
        <v>JUR-09</v>
      </c>
      <c r="C2004" s="29" t="s">
        <v>7123</v>
      </c>
      <c r="D2004" s="67" t="s">
        <v>7124</v>
      </c>
      <c r="E2004" s="96" t="s">
        <v>62</v>
      </c>
      <c r="F2004" s="29" t="s">
        <v>61</v>
      </c>
      <c r="G2004" s="29"/>
      <c r="H2004" s="103">
        <f>_xlfn.XLOOKUP(B2004,GM!$Q$5:$Q$756,GM!$J$5:$J$756)</f>
        <v>45959</v>
      </c>
    </row>
    <row r="2005" spans="1:8" hidden="1" x14ac:dyDescent="0.35">
      <c r="A2005" s="29" t="s">
        <v>13</v>
      </c>
      <c r="B2005" s="29" t="str">
        <f t="shared" si="31"/>
        <v>JUR-09</v>
      </c>
      <c r="C2005" s="29" t="s">
        <v>7125</v>
      </c>
      <c r="D2005" s="67" t="s">
        <v>7126</v>
      </c>
      <c r="E2005" s="96" t="s">
        <v>62</v>
      </c>
      <c r="F2005" s="29" t="s">
        <v>61</v>
      </c>
      <c r="G2005" s="29"/>
      <c r="H2005" s="103">
        <f>_xlfn.XLOOKUP(B2005,GM!$Q$5:$Q$756,GM!$J$5:$J$756)</f>
        <v>45959</v>
      </c>
    </row>
    <row r="2006" spans="1:8" hidden="1" x14ac:dyDescent="0.35">
      <c r="A2006" s="29" t="s">
        <v>13</v>
      </c>
      <c r="B2006" s="29" t="str">
        <f t="shared" si="31"/>
        <v>JUR-09</v>
      </c>
      <c r="C2006" s="29" t="s">
        <v>7127</v>
      </c>
      <c r="D2006" s="67" t="s">
        <v>7128</v>
      </c>
      <c r="E2006" s="96" t="s">
        <v>62</v>
      </c>
      <c r="F2006" s="29" t="s">
        <v>61</v>
      </c>
      <c r="G2006" s="29"/>
      <c r="H2006" s="103">
        <f>_xlfn.XLOOKUP(B2006,GM!$Q$5:$Q$756,GM!$J$5:$J$756)</f>
        <v>45959</v>
      </c>
    </row>
    <row r="2007" spans="1:8" hidden="1" x14ac:dyDescent="0.35">
      <c r="A2007" s="29" t="s">
        <v>13</v>
      </c>
      <c r="B2007" s="29" t="str">
        <f t="shared" si="31"/>
        <v>JUR-09</v>
      </c>
      <c r="C2007" s="29" t="s">
        <v>7129</v>
      </c>
      <c r="D2007" s="67" t="s">
        <v>7130</v>
      </c>
      <c r="E2007" s="96" t="s">
        <v>62</v>
      </c>
      <c r="F2007" s="29" t="s">
        <v>61</v>
      </c>
      <c r="G2007" s="29"/>
      <c r="H2007" s="103">
        <f>_xlfn.XLOOKUP(B2007,GM!$Q$5:$Q$756,GM!$J$5:$J$756)</f>
        <v>45959</v>
      </c>
    </row>
    <row r="2008" spans="1:8" hidden="1" x14ac:dyDescent="0.35">
      <c r="A2008" s="29" t="s">
        <v>13</v>
      </c>
      <c r="B2008" s="29" t="str">
        <f t="shared" si="31"/>
        <v>JUR-09</v>
      </c>
      <c r="C2008" s="29" t="s">
        <v>7131</v>
      </c>
      <c r="D2008" s="67" t="s">
        <v>7132</v>
      </c>
      <c r="E2008" s="96" t="s">
        <v>62</v>
      </c>
      <c r="F2008" s="29" t="s">
        <v>61</v>
      </c>
      <c r="G2008" s="29"/>
      <c r="H2008" s="103">
        <f>_xlfn.XLOOKUP(B2008,GM!$Q$5:$Q$756,GM!$J$5:$J$756)</f>
        <v>45959</v>
      </c>
    </row>
    <row r="2009" spans="1:8" hidden="1" x14ac:dyDescent="0.35">
      <c r="A2009" s="29" t="s">
        <v>13</v>
      </c>
      <c r="B2009" s="29" t="str">
        <f t="shared" si="31"/>
        <v>JUR-09</v>
      </c>
      <c r="C2009" s="29" t="s">
        <v>7133</v>
      </c>
      <c r="D2009" s="67" t="s">
        <v>7134</v>
      </c>
      <c r="E2009" s="96" t="s">
        <v>62</v>
      </c>
      <c r="F2009" s="29" t="s">
        <v>61</v>
      </c>
      <c r="G2009" s="29"/>
      <c r="H2009" s="103">
        <f>_xlfn.XLOOKUP(B2009,GM!$Q$5:$Q$756,GM!$J$5:$J$756)</f>
        <v>45959</v>
      </c>
    </row>
    <row r="2010" spans="1:8" hidden="1" x14ac:dyDescent="0.35">
      <c r="A2010" s="29" t="s">
        <v>13</v>
      </c>
      <c r="B2010" s="29" t="str">
        <f t="shared" si="31"/>
        <v>JUR-09</v>
      </c>
      <c r="C2010" s="29" t="s">
        <v>7135</v>
      </c>
      <c r="D2010" s="67" t="s">
        <v>7136</v>
      </c>
      <c r="E2010" s="96" t="s">
        <v>62</v>
      </c>
      <c r="F2010" s="29" t="s">
        <v>61</v>
      </c>
      <c r="G2010" s="29"/>
      <c r="H2010" s="103">
        <f>_xlfn.XLOOKUP(B2010,GM!$Q$5:$Q$756,GM!$J$5:$J$756)</f>
        <v>45959</v>
      </c>
    </row>
    <row r="2011" spans="1:8" hidden="1" x14ac:dyDescent="0.35">
      <c r="A2011" s="29" t="s">
        <v>13</v>
      </c>
      <c r="B2011" s="29" t="str">
        <f t="shared" si="31"/>
        <v>JUR-09</v>
      </c>
      <c r="C2011" s="29" t="s">
        <v>7137</v>
      </c>
      <c r="D2011" s="67" t="s">
        <v>7138</v>
      </c>
      <c r="E2011" s="96" t="s">
        <v>62</v>
      </c>
      <c r="F2011" s="29" t="s">
        <v>61</v>
      </c>
      <c r="G2011" s="29"/>
      <c r="H2011" s="103">
        <f>_xlfn.XLOOKUP(B2011,GM!$Q$5:$Q$756,GM!$J$5:$J$756)</f>
        <v>45959</v>
      </c>
    </row>
    <row r="2012" spans="1:8" hidden="1" x14ac:dyDescent="0.35">
      <c r="A2012" s="29" t="s">
        <v>13</v>
      </c>
      <c r="B2012" s="29" t="str">
        <f t="shared" si="31"/>
        <v>JUR-09</v>
      </c>
      <c r="C2012" s="29" t="s">
        <v>7139</v>
      </c>
      <c r="D2012" s="67" t="s">
        <v>7140</v>
      </c>
      <c r="E2012" s="96" t="s">
        <v>62</v>
      </c>
      <c r="F2012" s="29" t="s">
        <v>61</v>
      </c>
      <c r="G2012" s="29"/>
      <c r="H2012" s="103">
        <f>_xlfn.XLOOKUP(B2012,GM!$Q$5:$Q$756,GM!$J$5:$J$756)</f>
        <v>45959</v>
      </c>
    </row>
    <row r="2013" spans="1:8" hidden="1" x14ac:dyDescent="0.35">
      <c r="A2013" s="29" t="s">
        <v>13</v>
      </c>
      <c r="B2013" s="29" t="str">
        <f t="shared" si="31"/>
        <v>JUR-10</v>
      </c>
      <c r="C2013" s="29" t="s">
        <v>7141</v>
      </c>
      <c r="D2013" s="67" t="s">
        <v>7142</v>
      </c>
      <c r="E2013" s="96" t="s">
        <v>62</v>
      </c>
      <c r="F2013" s="29" t="s">
        <v>61</v>
      </c>
      <c r="G2013" s="29"/>
      <c r="H2013" s="103">
        <f>_xlfn.XLOOKUP(B2013,GM!$Q$5:$Q$756,GM!$J$5:$J$756)</f>
        <v>45959</v>
      </c>
    </row>
    <row r="2014" spans="1:8" hidden="1" x14ac:dyDescent="0.35">
      <c r="A2014" s="29" t="s">
        <v>13</v>
      </c>
      <c r="B2014" s="29" t="str">
        <f t="shared" si="31"/>
        <v>JUR-10</v>
      </c>
      <c r="C2014" s="29" t="s">
        <v>7143</v>
      </c>
      <c r="D2014" s="67" t="s">
        <v>7144</v>
      </c>
      <c r="E2014" s="96" t="s">
        <v>62</v>
      </c>
      <c r="F2014" s="29" t="s">
        <v>61</v>
      </c>
      <c r="G2014" s="29"/>
      <c r="H2014" s="103">
        <f>_xlfn.XLOOKUP(B2014,GM!$Q$5:$Q$756,GM!$J$5:$J$756)</f>
        <v>45959</v>
      </c>
    </row>
    <row r="2015" spans="1:8" hidden="1" x14ac:dyDescent="0.35">
      <c r="A2015" s="29" t="s">
        <v>13</v>
      </c>
      <c r="B2015" s="29" t="str">
        <f t="shared" si="31"/>
        <v>JUR-10</v>
      </c>
      <c r="C2015" s="29" t="s">
        <v>7145</v>
      </c>
      <c r="D2015" s="67" t="s">
        <v>7146</v>
      </c>
      <c r="E2015" s="96" t="s">
        <v>62</v>
      </c>
      <c r="F2015" s="29" t="s">
        <v>61</v>
      </c>
      <c r="G2015" s="29"/>
      <c r="H2015" s="103">
        <f>_xlfn.XLOOKUP(B2015,GM!$Q$5:$Q$756,GM!$J$5:$J$756)</f>
        <v>45959</v>
      </c>
    </row>
    <row r="2016" spans="1:8" hidden="1" x14ac:dyDescent="0.35">
      <c r="A2016" s="29" t="s">
        <v>13</v>
      </c>
      <c r="B2016" s="29" t="str">
        <f t="shared" si="31"/>
        <v>JUR-10</v>
      </c>
      <c r="C2016" s="29" t="s">
        <v>7147</v>
      </c>
      <c r="D2016" s="67" t="s">
        <v>7148</v>
      </c>
      <c r="E2016" s="96" t="s">
        <v>62</v>
      </c>
      <c r="F2016" s="29" t="s">
        <v>61</v>
      </c>
      <c r="G2016" s="29"/>
      <c r="H2016" s="103">
        <f>_xlfn.XLOOKUP(B2016,GM!$Q$5:$Q$756,GM!$J$5:$J$756)</f>
        <v>45959</v>
      </c>
    </row>
    <row r="2017" spans="1:8" hidden="1" x14ac:dyDescent="0.35">
      <c r="A2017" s="29" t="s">
        <v>13</v>
      </c>
      <c r="B2017" s="29" t="str">
        <f t="shared" si="31"/>
        <v>JUR-10</v>
      </c>
      <c r="C2017" s="29" t="s">
        <v>7149</v>
      </c>
      <c r="D2017" s="67" t="s">
        <v>7150</v>
      </c>
      <c r="E2017" s="96" t="s">
        <v>62</v>
      </c>
      <c r="F2017" s="29" t="s">
        <v>61</v>
      </c>
      <c r="G2017" s="29"/>
      <c r="H2017" s="103">
        <f>_xlfn.XLOOKUP(B2017,GM!$Q$5:$Q$756,GM!$J$5:$J$756)</f>
        <v>45959</v>
      </c>
    </row>
    <row r="2018" spans="1:8" hidden="1" x14ac:dyDescent="0.35">
      <c r="A2018" s="29" t="s">
        <v>13</v>
      </c>
      <c r="B2018" s="29" t="str">
        <f t="shared" si="31"/>
        <v>JUR-10</v>
      </c>
      <c r="C2018" s="29" t="s">
        <v>7151</v>
      </c>
      <c r="D2018" s="67" t="s">
        <v>7152</v>
      </c>
      <c r="E2018" s="96" t="s">
        <v>62</v>
      </c>
      <c r="F2018" s="29" t="s">
        <v>61</v>
      </c>
      <c r="G2018" s="29"/>
      <c r="H2018" s="103">
        <f>_xlfn.XLOOKUP(B2018,GM!$Q$5:$Q$756,GM!$J$5:$J$756)</f>
        <v>45959</v>
      </c>
    </row>
    <row r="2019" spans="1:8" hidden="1" x14ac:dyDescent="0.35">
      <c r="A2019" s="29" t="s">
        <v>13</v>
      </c>
      <c r="B2019" s="29" t="str">
        <f t="shared" si="31"/>
        <v>JUR-10</v>
      </c>
      <c r="C2019" s="29" t="s">
        <v>7153</v>
      </c>
      <c r="D2019" s="67" t="s">
        <v>7154</v>
      </c>
      <c r="E2019" s="96" t="s">
        <v>62</v>
      </c>
      <c r="F2019" s="29" t="s">
        <v>61</v>
      </c>
      <c r="G2019" s="29"/>
      <c r="H2019" s="103">
        <f>_xlfn.XLOOKUP(B2019,GM!$Q$5:$Q$756,GM!$J$5:$J$756)</f>
        <v>45959</v>
      </c>
    </row>
    <row r="2020" spans="1:8" hidden="1" x14ac:dyDescent="0.35">
      <c r="A2020" s="29" t="s">
        <v>13</v>
      </c>
      <c r="B2020" s="29" t="str">
        <f t="shared" si="31"/>
        <v>JUR-10</v>
      </c>
      <c r="C2020" s="29" t="s">
        <v>7155</v>
      </c>
      <c r="D2020" s="67" t="s">
        <v>7156</v>
      </c>
      <c r="E2020" s="96" t="s">
        <v>62</v>
      </c>
      <c r="F2020" s="29" t="s">
        <v>61</v>
      </c>
      <c r="G2020" s="29"/>
      <c r="H2020" s="103">
        <f>_xlfn.XLOOKUP(B2020,GM!$Q$5:$Q$756,GM!$J$5:$J$756)</f>
        <v>45959</v>
      </c>
    </row>
    <row r="2021" spans="1:8" hidden="1" x14ac:dyDescent="0.35">
      <c r="A2021" s="29" t="s">
        <v>13</v>
      </c>
      <c r="B2021" s="29" t="str">
        <f t="shared" si="31"/>
        <v>JUR-11</v>
      </c>
      <c r="C2021" s="29" t="s">
        <v>7157</v>
      </c>
      <c r="D2021" s="67" t="s">
        <v>7158</v>
      </c>
      <c r="E2021" s="96" t="s">
        <v>62</v>
      </c>
      <c r="F2021" s="29" t="s">
        <v>61</v>
      </c>
      <c r="G2021" s="29"/>
      <c r="H2021" s="103">
        <f>_xlfn.XLOOKUP(B2021,GM!$Q$5:$Q$756,GM!$J$5:$J$756)</f>
        <v>46104</v>
      </c>
    </row>
    <row r="2022" spans="1:8" hidden="1" x14ac:dyDescent="0.35">
      <c r="A2022" s="29" t="s">
        <v>13</v>
      </c>
      <c r="B2022" s="29" t="str">
        <f t="shared" si="31"/>
        <v>JUR-11</v>
      </c>
      <c r="C2022" s="29" t="s">
        <v>7159</v>
      </c>
      <c r="D2022" s="67" t="s">
        <v>7160</v>
      </c>
      <c r="E2022" s="96" t="s">
        <v>62</v>
      </c>
      <c r="F2022" s="29" t="s">
        <v>61</v>
      </c>
      <c r="G2022" s="29"/>
      <c r="H2022" s="103">
        <f>_xlfn.XLOOKUP(B2022,GM!$Q$5:$Q$756,GM!$J$5:$J$756)</f>
        <v>46104</v>
      </c>
    </row>
    <row r="2023" spans="1:8" hidden="1" x14ac:dyDescent="0.35">
      <c r="A2023" s="29" t="s">
        <v>13</v>
      </c>
      <c r="B2023" s="29" t="str">
        <f t="shared" si="31"/>
        <v>JUR-11</v>
      </c>
      <c r="C2023" s="29" t="s">
        <v>7161</v>
      </c>
      <c r="D2023" s="67" t="s">
        <v>7162</v>
      </c>
      <c r="E2023" s="96" t="s">
        <v>62</v>
      </c>
      <c r="F2023" s="29" t="s">
        <v>61</v>
      </c>
      <c r="G2023" s="29"/>
      <c r="H2023" s="103">
        <f>_xlfn.XLOOKUP(B2023,GM!$Q$5:$Q$756,GM!$J$5:$J$756)</f>
        <v>46104</v>
      </c>
    </row>
    <row r="2024" spans="1:8" hidden="1" x14ac:dyDescent="0.35">
      <c r="A2024" s="29" t="s">
        <v>13</v>
      </c>
      <c r="B2024" s="29" t="str">
        <f t="shared" si="31"/>
        <v>JUR-11</v>
      </c>
      <c r="C2024" s="29" t="s">
        <v>7163</v>
      </c>
      <c r="D2024" s="67" t="s">
        <v>7164</v>
      </c>
      <c r="E2024" s="96" t="s">
        <v>62</v>
      </c>
      <c r="F2024" s="29" t="s">
        <v>61</v>
      </c>
      <c r="G2024" s="29"/>
      <c r="H2024" s="103">
        <f>_xlfn.XLOOKUP(B2024,GM!$Q$5:$Q$756,GM!$J$5:$J$756)</f>
        <v>46104</v>
      </c>
    </row>
    <row r="2025" spans="1:8" hidden="1" x14ac:dyDescent="0.35">
      <c r="A2025" s="29" t="s">
        <v>13</v>
      </c>
      <c r="B2025" s="29" t="str">
        <f t="shared" si="31"/>
        <v>JUR-12</v>
      </c>
      <c r="C2025" s="29" t="s">
        <v>7165</v>
      </c>
      <c r="D2025" s="67" t="s">
        <v>7166</v>
      </c>
      <c r="E2025" s="96" t="s">
        <v>62</v>
      </c>
      <c r="F2025" s="29" t="s">
        <v>61</v>
      </c>
      <c r="G2025" s="29"/>
      <c r="H2025" s="103">
        <f>_xlfn.XLOOKUP(B2025,GM!$Q$5:$Q$756,GM!$J$5:$J$756)</f>
        <v>46104</v>
      </c>
    </row>
    <row r="2026" spans="1:8" hidden="1" x14ac:dyDescent="0.35">
      <c r="A2026" s="29" t="s">
        <v>13</v>
      </c>
      <c r="B2026" s="29" t="str">
        <f t="shared" si="31"/>
        <v>JUR-13</v>
      </c>
      <c r="C2026" s="29" t="s">
        <v>7167</v>
      </c>
      <c r="D2026" s="67" t="s">
        <v>7168</v>
      </c>
      <c r="E2026" s="96" t="s">
        <v>62</v>
      </c>
      <c r="F2026" s="29" t="s">
        <v>61</v>
      </c>
      <c r="G2026" s="29"/>
      <c r="H2026" s="103">
        <f>_xlfn.XLOOKUP(B2026,GM!$Q$5:$Q$756,GM!$J$5:$J$756)</f>
        <v>46104</v>
      </c>
    </row>
    <row r="2027" spans="1:8" hidden="1" x14ac:dyDescent="0.35">
      <c r="A2027" s="29" t="s">
        <v>13</v>
      </c>
      <c r="B2027" s="29" t="str">
        <f t="shared" si="31"/>
        <v>JUR-13</v>
      </c>
      <c r="C2027" s="29" t="s">
        <v>7169</v>
      </c>
      <c r="D2027" s="67" t="s">
        <v>7170</v>
      </c>
      <c r="E2027" s="96" t="s">
        <v>62</v>
      </c>
      <c r="F2027" s="29" t="s">
        <v>61</v>
      </c>
      <c r="G2027" s="29"/>
      <c r="H2027" s="103">
        <f>_xlfn.XLOOKUP(B2027,GM!$Q$5:$Q$756,GM!$J$5:$J$756)</f>
        <v>46104</v>
      </c>
    </row>
    <row r="2028" spans="1:8" hidden="1" x14ac:dyDescent="0.35">
      <c r="A2028" s="29" t="s">
        <v>13</v>
      </c>
      <c r="B2028" s="29" t="str">
        <f t="shared" si="31"/>
        <v>JUR-13</v>
      </c>
      <c r="C2028" s="29" t="s">
        <v>7171</v>
      </c>
      <c r="D2028" s="67" t="s">
        <v>7172</v>
      </c>
      <c r="E2028" s="96" t="s">
        <v>62</v>
      </c>
      <c r="F2028" s="29" t="s">
        <v>61</v>
      </c>
      <c r="G2028" s="29"/>
      <c r="H2028" s="103">
        <f>_xlfn.XLOOKUP(B2028,GM!$Q$5:$Q$756,GM!$J$5:$J$756)</f>
        <v>46104</v>
      </c>
    </row>
    <row r="2029" spans="1:8" hidden="1" x14ac:dyDescent="0.35">
      <c r="A2029" s="29" t="s">
        <v>13</v>
      </c>
      <c r="B2029" s="29" t="str">
        <f t="shared" si="31"/>
        <v>JUR-13</v>
      </c>
      <c r="C2029" s="29" t="s">
        <v>7173</v>
      </c>
      <c r="D2029" s="67" t="s">
        <v>7174</v>
      </c>
      <c r="E2029" s="96" t="s">
        <v>62</v>
      </c>
      <c r="F2029" s="29" t="s">
        <v>61</v>
      </c>
      <c r="G2029" s="29"/>
      <c r="H2029" s="103">
        <f>_xlfn.XLOOKUP(B2029,GM!$Q$5:$Q$756,GM!$J$5:$J$756)</f>
        <v>46104</v>
      </c>
    </row>
    <row r="2030" spans="1:8" hidden="1" x14ac:dyDescent="0.35">
      <c r="A2030" s="29" t="s">
        <v>13</v>
      </c>
      <c r="B2030" s="29" t="str">
        <f t="shared" si="31"/>
        <v>JUR-13</v>
      </c>
      <c r="C2030" s="29" t="s">
        <v>7175</v>
      </c>
      <c r="D2030" s="67" t="s">
        <v>7176</v>
      </c>
      <c r="E2030" s="96" t="s">
        <v>62</v>
      </c>
      <c r="F2030" s="29" t="s">
        <v>61</v>
      </c>
      <c r="G2030" s="29"/>
      <c r="H2030" s="103">
        <f>_xlfn.XLOOKUP(B2030,GM!$Q$5:$Q$756,GM!$J$5:$J$756)</f>
        <v>46104</v>
      </c>
    </row>
    <row r="2031" spans="1:8" hidden="1" x14ac:dyDescent="0.35">
      <c r="A2031" s="29" t="s">
        <v>13</v>
      </c>
      <c r="B2031" s="29" t="str">
        <f t="shared" si="31"/>
        <v>JUR-13</v>
      </c>
      <c r="C2031" s="29" t="s">
        <v>7177</v>
      </c>
      <c r="D2031" s="67" t="s">
        <v>7178</v>
      </c>
      <c r="E2031" s="96" t="s">
        <v>62</v>
      </c>
      <c r="F2031" s="29" t="s">
        <v>61</v>
      </c>
      <c r="G2031" s="29"/>
      <c r="H2031" s="103">
        <f>_xlfn.XLOOKUP(B2031,GM!$Q$5:$Q$756,GM!$J$5:$J$756)</f>
        <v>46104</v>
      </c>
    </row>
    <row r="2032" spans="1:8" hidden="1" x14ac:dyDescent="0.35">
      <c r="A2032" s="29" t="s">
        <v>13</v>
      </c>
      <c r="B2032" s="29" t="str">
        <f t="shared" si="31"/>
        <v>JUR-14</v>
      </c>
      <c r="C2032" s="29" t="s">
        <v>7179</v>
      </c>
      <c r="D2032" s="67" t="s">
        <v>7180</v>
      </c>
      <c r="E2032" s="96" t="s">
        <v>62</v>
      </c>
      <c r="F2032" s="29" t="s">
        <v>61</v>
      </c>
      <c r="G2032" s="29"/>
      <c r="H2032" s="103">
        <f>_xlfn.XLOOKUP(B2032,GM!$Q$5:$Q$756,GM!$J$5:$J$756)</f>
        <v>45202</v>
      </c>
    </row>
    <row r="2033" spans="1:8" hidden="1" x14ac:dyDescent="0.35">
      <c r="A2033" s="29" t="s">
        <v>13</v>
      </c>
      <c r="B2033" s="29" t="str">
        <f t="shared" si="31"/>
        <v>JUR-15</v>
      </c>
      <c r="C2033" s="29" t="s">
        <v>7181</v>
      </c>
      <c r="D2033" s="67" t="s">
        <v>7182</v>
      </c>
      <c r="E2033" s="96" t="s">
        <v>62</v>
      </c>
      <c r="F2033" s="29" t="s">
        <v>61</v>
      </c>
      <c r="G2033" s="29"/>
      <c r="H2033" s="103">
        <f>_xlfn.XLOOKUP(B2033,GM!$Q$5:$Q$756,GM!$J$5:$J$756)</f>
        <v>46104</v>
      </c>
    </row>
    <row r="2034" spans="1:8" hidden="1" x14ac:dyDescent="0.35">
      <c r="A2034" s="29" t="s">
        <v>13</v>
      </c>
      <c r="B2034" s="29" t="str">
        <f t="shared" si="31"/>
        <v>JUR-15</v>
      </c>
      <c r="C2034" s="29" t="s">
        <v>7183</v>
      </c>
      <c r="D2034" s="67" t="s">
        <v>7184</v>
      </c>
      <c r="E2034" s="96" t="s">
        <v>62</v>
      </c>
      <c r="F2034" s="29" t="s">
        <v>61</v>
      </c>
      <c r="G2034" s="29"/>
      <c r="H2034" s="103">
        <f>_xlfn.XLOOKUP(B2034,GM!$Q$5:$Q$756,GM!$J$5:$J$756)</f>
        <v>46104</v>
      </c>
    </row>
    <row r="2035" spans="1:8" hidden="1" x14ac:dyDescent="0.35">
      <c r="A2035" s="29" t="s">
        <v>13</v>
      </c>
      <c r="B2035" s="29" t="str">
        <f t="shared" si="31"/>
        <v>JUR-15</v>
      </c>
      <c r="C2035" s="29" t="s">
        <v>7185</v>
      </c>
      <c r="D2035" s="67" t="s">
        <v>7186</v>
      </c>
      <c r="E2035" s="96" t="s">
        <v>62</v>
      </c>
      <c r="F2035" s="29" t="s">
        <v>61</v>
      </c>
      <c r="G2035" s="29"/>
      <c r="H2035" s="103">
        <f>_xlfn.XLOOKUP(B2035,GM!$Q$5:$Q$756,GM!$J$5:$J$756)</f>
        <v>46104</v>
      </c>
    </row>
    <row r="2036" spans="1:8" hidden="1" x14ac:dyDescent="0.35">
      <c r="A2036" s="29" t="s">
        <v>13</v>
      </c>
      <c r="B2036" s="29" t="str">
        <f t="shared" si="31"/>
        <v>JUR-15</v>
      </c>
      <c r="C2036" s="29" t="s">
        <v>7187</v>
      </c>
      <c r="D2036" s="67" t="s">
        <v>7188</v>
      </c>
      <c r="E2036" s="96" t="s">
        <v>62</v>
      </c>
      <c r="F2036" s="29" t="s">
        <v>61</v>
      </c>
      <c r="G2036" s="29"/>
      <c r="H2036" s="103">
        <f>_xlfn.XLOOKUP(B2036,GM!$Q$5:$Q$756,GM!$J$5:$J$756)</f>
        <v>46104</v>
      </c>
    </row>
    <row r="2037" spans="1:8" hidden="1" x14ac:dyDescent="0.35">
      <c r="A2037" s="29" t="s">
        <v>13</v>
      </c>
      <c r="B2037" s="29" t="str">
        <f t="shared" si="31"/>
        <v>JUR-15</v>
      </c>
      <c r="C2037" s="29" t="s">
        <v>7189</v>
      </c>
      <c r="D2037" s="67" t="s">
        <v>7190</v>
      </c>
      <c r="E2037" s="96" t="s">
        <v>62</v>
      </c>
      <c r="F2037" s="29" t="s">
        <v>61</v>
      </c>
      <c r="G2037" s="29"/>
      <c r="H2037" s="103">
        <f>_xlfn.XLOOKUP(B2037,GM!$Q$5:$Q$756,GM!$J$5:$J$756)</f>
        <v>46104</v>
      </c>
    </row>
    <row r="2038" spans="1:8" hidden="1" x14ac:dyDescent="0.35">
      <c r="A2038" s="29" t="s">
        <v>13</v>
      </c>
      <c r="B2038" s="29" t="str">
        <f t="shared" si="31"/>
        <v>JUR-15</v>
      </c>
      <c r="C2038" s="29" t="s">
        <v>7191</v>
      </c>
      <c r="D2038" s="67" t="s">
        <v>7192</v>
      </c>
      <c r="E2038" s="96" t="s">
        <v>62</v>
      </c>
      <c r="F2038" s="29" t="s">
        <v>61</v>
      </c>
      <c r="G2038" s="29"/>
      <c r="H2038" s="103">
        <f>_xlfn.XLOOKUP(B2038,GM!$Q$5:$Q$756,GM!$J$5:$J$756)</f>
        <v>46104</v>
      </c>
    </row>
    <row r="2039" spans="1:8" hidden="1" x14ac:dyDescent="0.35">
      <c r="A2039" s="29" t="s">
        <v>13</v>
      </c>
      <c r="B2039" s="29" t="str">
        <f t="shared" si="31"/>
        <v>JUR-15</v>
      </c>
      <c r="C2039" s="29" t="s">
        <v>7193</v>
      </c>
      <c r="D2039" s="67" t="s">
        <v>7194</v>
      </c>
      <c r="E2039" s="96" t="s">
        <v>62</v>
      </c>
      <c r="F2039" s="29" t="s">
        <v>61</v>
      </c>
      <c r="G2039" s="29"/>
      <c r="H2039" s="103">
        <f>_xlfn.XLOOKUP(B2039,GM!$Q$5:$Q$756,GM!$J$5:$J$756)</f>
        <v>46104</v>
      </c>
    </row>
    <row r="2040" spans="1:8" hidden="1" x14ac:dyDescent="0.35">
      <c r="A2040" s="29" t="s">
        <v>13</v>
      </c>
      <c r="B2040" s="29" t="str">
        <f t="shared" si="31"/>
        <v>JUR-15</v>
      </c>
      <c r="C2040" s="29" t="s">
        <v>7195</v>
      </c>
      <c r="D2040" s="67" t="s">
        <v>7196</v>
      </c>
      <c r="E2040" s="96" t="s">
        <v>62</v>
      </c>
      <c r="F2040" s="29" t="s">
        <v>61</v>
      </c>
      <c r="G2040" s="29"/>
      <c r="H2040" s="103">
        <f>_xlfn.XLOOKUP(B2040,GM!$Q$5:$Q$756,GM!$J$5:$J$756)</f>
        <v>46104</v>
      </c>
    </row>
    <row r="2041" spans="1:8" hidden="1" x14ac:dyDescent="0.35">
      <c r="A2041" s="29" t="s">
        <v>13</v>
      </c>
      <c r="B2041" s="29" t="str">
        <f t="shared" si="31"/>
        <v>JUR-15</v>
      </c>
      <c r="C2041" s="29" t="s">
        <v>7197</v>
      </c>
      <c r="D2041" s="67" t="s">
        <v>7198</v>
      </c>
      <c r="E2041" s="96" t="s">
        <v>62</v>
      </c>
      <c r="F2041" s="29" t="s">
        <v>61</v>
      </c>
      <c r="G2041" s="29"/>
      <c r="H2041" s="103">
        <f>_xlfn.XLOOKUP(B2041,GM!$Q$5:$Q$756,GM!$J$5:$J$756)</f>
        <v>46104</v>
      </c>
    </row>
    <row r="2042" spans="1:8" hidden="1" x14ac:dyDescent="0.35">
      <c r="A2042" s="29" t="s">
        <v>13</v>
      </c>
      <c r="B2042" s="29" t="str">
        <f t="shared" si="31"/>
        <v>JUR-15</v>
      </c>
      <c r="C2042" s="29" t="s">
        <v>7199</v>
      </c>
      <c r="D2042" s="67" t="s">
        <v>7200</v>
      </c>
      <c r="E2042" s="96" t="s">
        <v>62</v>
      </c>
      <c r="F2042" s="29" t="s">
        <v>61</v>
      </c>
      <c r="G2042" s="29"/>
      <c r="H2042" s="103">
        <f>_xlfn.XLOOKUP(B2042,GM!$Q$5:$Q$756,GM!$J$5:$J$756)</f>
        <v>46104</v>
      </c>
    </row>
    <row r="2043" spans="1:8" hidden="1" x14ac:dyDescent="0.35">
      <c r="A2043" s="29" t="s">
        <v>13</v>
      </c>
      <c r="B2043" s="29" t="str">
        <f t="shared" si="31"/>
        <v>JUR-15</v>
      </c>
      <c r="C2043" s="29" t="s">
        <v>7201</v>
      </c>
      <c r="D2043" s="67" t="s">
        <v>7202</v>
      </c>
      <c r="E2043" s="96" t="s">
        <v>62</v>
      </c>
      <c r="F2043" s="29" t="s">
        <v>61</v>
      </c>
      <c r="G2043" s="29"/>
      <c r="H2043" s="103">
        <f>_xlfn.XLOOKUP(B2043,GM!$Q$5:$Q$756,GM!$J$5:$J$756)</f>
        <v>46104</v>
      </c>
    </row>
    <row r="2044" spans="1:8" hidden="1" x14ac:dyDescent="0.35">
      <c r="A2044" s="29" t="s">
        <v>13</v>
      </c>
      <c r="B2044" s="29" t="str">
        <f t="shared" si="31"/>
        <v>JUR-15</v>
      </c>
      <c r="C2044" s="29" t="s">
        <v>7203</v>
      </c>
      <c r="D2044" s="67" t="s">
        <v>7204</v>
      </c>
      <c r="E2044" s="96" t="s">
        <v>62</v>
      </c>
      <c r="F2044" s="29" t="s">
        <v>61</v>
      </c>
      <c r="G2044" s="29"/>
      <c r="H2044" s="103">
        <f>_xlfn.XLOOKUP(B2044,GM!$Q$5:$Q$756,GM!$J$5:$J$756)</f>
        <v>46104</v>
      </c>
    </row>
    <row r="2045" spans="1:8" hidden="1" x14ac:dyDescent="0.35">
      <c r="A2045" s="29" t="s">
        <v>13</v>
      </c>
      <c r="B2045" s="29" t="str">
        <f t="shared" si="31"/>
        <v>JUR-15</v>
      </c>
      <c r="C2045" s="29" t="s">
        <v>7205</v>
      </c>
      <c r="D2045" s="67" t="s">
        <v>7206</v>
      </c>
      <c r="E2045" s="96" t="s">
        <v>62</v>
      </c>
      <c r="F2045" s="29" t="s">
        <v>61</v>
      </c>
      <c r="G2045" s="29"/>
      <c r="H2045" s="103">
        <f>_xlfn.XLOOKUP(B2045,GM!$Q$5:$Q$756,GM!$J$5:$J$756)</f>
        <v>46104</v>
      </c>
    </row>
    <row r="2046" spans="1:8" hidden="1" x14ac:dyDescent="0.35">
      <c r="A2046" s="29" t="s">
        <v>13</v>
      </c>
      <c r="B2046" s="29" t="str">
        <f t="shared" si="31"/>
        <v>JUR-15</v>
      </c>
      <c r="C2046" s="29" t="s">
        <v>7207</v>
      </c>
      <c r="D2046" s="67" t="s">
        <v>7208</v>
      </c>
      <c r="E2046" s="96" t="s">
        <v>62</v>
      </c>
      <c r="F2046" s="29" t="s">
        <v>61</v>
      </c>
      <c r="G2046" s="29"/>
      <c r="H2046" s="103">
        <f>_xlfn.XLOOKUP(B2046,GM!$Q$5:$Q$756,GM!$J$5:$J$756)</f>
        <v>46104</v>
      </c>
    </row>
    <row r="2047" spans="1:8" hidden="1" x14ac:dyDescent="0.35">
      <c r="A2047" s="29" t="s">
        <v>13</v>
      </c>
      <c r="B2047" s="29" t="str">
        <f t="shared" si="31"/>
        <v>JUR-15</v>
      </c>
      <c r="C2047" s="29" t="s">
        <v>7209</v>
      </c>
      <c r="D2047" s="67" t="s">
        <v>7210</v>
      </c>
      <c r="E2047" s="96" t="s">
        <v>62</v>
      </c>
      <c r="F2047" s="29" t="s">
        <v>61</v>
      </c>
      <c r="G2047" s="29"/>
      <c r="H2047" s="103">
        <f>_xlfn.XLOOKUP(B2047,GM!$Q$5:$Q$756,GM!$J$5:$J$756)</f>
        <v>46104</v>
      </c>
    </row>
    <row r="2048" spans="1:8" hidden="1" x14ac:dyDescent="0.35">
      <c r="A2048" s="29" t="s">
        <v>13</v>
      </c>
      <c r="B2048" s="29" t="str">
        <f t="shared" si="31"/>
        <v>JUR-15</v>
      </c>
      <c r="C2048" s="29" t="s">
        <v>7211</v>
      </c>
      <c r="D2048" s="67" t="s">
        <v>7212</v>
      </c>
      <c r="E2048" s="96" t="s">
        <v>62</v>
      </c>
      <c r="F2048" s="29" t="s">
        <v>61</v>
      </c>
      <c r="G2048" s="29"/>
      <c r="H2048" s="103">
        <f>_xlfn.XLOOKUP(B2048,GM!$Q$5:$Q$756,GM!$J$5:$J$756)</f>
        <v>46104</v>
      </c>
    </row>
    <row r="2049" spans="1:8" hidden="1" x14ac:dyDescent="0.35">
      <c r="A2049" s="29" t="s">
        <v>13</v>
      </c>
      <c r="B2049" s="29" t="str">
        <f t="shared" si="31"/>
        <v>JUR-15</v>
      </c>
      <c r="C2049" s="29" t="s">
        <v>7213</v>
      </c>
      <c r="D2049" s="67" t="s">
        <v>7214</v>
      </c>
      <c r="E2049" s="96" t="s">
        <v>62</v>
      </c>
      <c r="F2049" s="29" t="s">
        <v>61</v>
      </c>
      <c r="G2049" s="29"/>
      <c r="H2049" s="103">
        <f>_xlfn.XLOOKUP(B2049,GM!$Q$5:$Q$756,GM!$J$5:$J$756)</f>
        <v>46104</v>
      </c>
    </row>
    <row r="2050" spans="1:8" hidden="1" x14ac:dyDescent="0.35">
      <c r="A2050" s="29" t="s">
        <v>13</v>
      </c>
      <c r="B2050" s="29" t="str">
        <f t="shared" si="31"/>
        <v>JUR-15</v>
      </c>
      <c r="C2050" s="29" t="s">
        <v>7215</v>
      </c>
      <c r="D2050" s="67" t="s">
        <v>7216</v>
      </c>
      <c r="E2050" s="96" t="s">
        <v>62</v>
      </c>
      <c r="F2050" s="29" t="s">
        <v>61</v>
      </c>
      <c r="G2050" s="29"/>
      <c r="H2050" s="103">
        <f>_xlfn.XLOOKUP(B2050,GM!$Q$5:$Q$756,GM!$J$5:$J$756)</f>
        <v>46104</v>
      </c>
    </row>
    <row r="2051" spans="1:8" hidden="1" x14ac:dyDescent="0.35">
      <c r="A2051" s="29" t="s">
        <v>13</v>
      </c>
      <c r="B2051" s="29" t="str">
        <f t="shared" si="31"/>
        <v>JUR-15</v>
      </c>
      <c r="C2051" s="29" t="s">
        <v>7217</v>
      </c>
      <c r="D2051" s="67" t="s">
        <v>7218</v>
      </c>
      <c r="E2051" s="96" t="s">
        <v>62</v>
      </c>
      <c r="F2051" s="29" t="s">
        <v>61</v>
      </c>
      <c r="G2051" s="29"/>
      <c r="H2051" s="103">
        <f>_xlfn.XLOOKUP(B2051,GM!$Q$5:$Q$756,GM!$J$5:$J$756)</f>
        <v>46104</v>
      </c>
    </row>
    <row r="2052" spans="1:8" hidden="1" x14ac:dyDescent="0.35">
      <c r="A2052" s="29" t="s">
        <v>13</v>
      </c>
      <c r="B2052" s="29" t="str">
        <f t="shared" si="31"/>
        <v>JUR-15</v>
      </c>
      <c r="C2052" s="29" t="s">
        <v>7219</v>
      </c>
      <c r="D2052" s="67" t="s">
        <v>7220</v>
      </c>
      <c r="E2052" s="96" t="s">
        <v>62</v>
      </c>
      <c r="F2052" s="29" t="s">
        <v>61</v>
      </c>
      <c r="G2052" s="29"/>
      <c r="H2052" s="103">
        <f>_xlfn.XLOOKUP(B2052,GM!$Q$5:$Q$756,GM!$J$5:$J$756)</f>
        <v>46104</v>
      </c>
    </row>
    <row r="2053" spans="1:8" hidden="1" x14ac:dyDescent="0.35">
      <c r="A2053" s="29" t="s">
        <v>13</v>
      </c>
      <c r="B2053" s="29" t="str">
        <f t="shared" ref="B2053:B2116" si="32">IF(OR(A2053="ARN",A2053="SDP"),MID(C2053,4,7),MID(C2053,4,6))</f>
        <v>JUR-15</v>
      </c>
      <c r="C2053" s="29" t="s">
        <v>7221</v>
      </c>
      <c r="D2053" s="67" t="s">
        <v>7222</v>
      </c>
      <c r="E2053" s="96" t="s">
        <v>62</v>
      </c>
      <c r="F2053" s="29" t="s">
        <v>61</v>
      </c>
      <c r="G2053" s="29"/>
      <c r="H2053" s="103">
        <f>_xlfn.XLOOKUP(B2053,GM!$Q$5:$Q$756,GM!$J$5:$J$756)</f>
        <v>46104</v>
      </c>
    </row>
    <row r="2054" spans="1:8" hidden="1" x14ac:dyDescent="0.35">
      <c r="A2054" s="29" t="s">
        <v>13</v>
      </c>
      <c r="B2054" s="29" t="str">
        <f t="shared" si="32"/>
        <v>JUR-15</v>
      </c>
      <c r="C2054" s="29" t="s">
        <v>7223</v>
      </c>
      <c r="D2054" s="67" t="s">
        <v>7224</v>
      </c>
      <c r="E2054" s="96" t="s">
        <v>62</v>
      </c>
      <c r="F2054" s="29" t="s">
        <v>61</v>
      </c>
      <c r="G2054" s="29"/>
      <c r="H2054" s="103">
        <f>_xlfn.XLOOKUP(B2054,GM!$Q$5:$Q$756,GM!$J$5:$J$756)</f>
        <v>46104</v>
      </c>
    </row>
    <row r="2055" spans="1:8" hidden="1" x14ac:dyDescent="0.35">
      <c r="A2055" s="29" t="s">
        <v>13</v>
      </c>
      <c r="B2055" s="29" t="str">
        <f t="shared" si="32"/>
        <v>JUR-15</v>
      </c>
      <c r="C2055" s="29" t="s">
        <v>7225</v>
      </c>
      <c r="D2055" s="67" t="s">
        <v>7226</v>
      </c>
      <c r="E2055" s="96" t="s">
        <v>62</v>
      </c>
      <c r="F2055" s="29" t="s">
        <v>61</v>
      </c>
      <c r="G2055" s="29"/>
      <c r="H2055" s="103">
        <f>_xlfn.XLOOKUP(B2055,GM!$Q$5:$Q$756,GM!$J$5:$J$756)</f>
        <v>46104</v>
      </c>
    </row>
    <row r="2056" spans="1:8" hidden="1" x14ac:dyDescent="0.35">
      <c r="A2056" s="29" t="s">
        <v>13</v>
      </c>
      <c r="B2056" s="29" t="str">
        <f t="shared" si="32"/>
        <v>JUR-15</v>
      </c>
      <c r="C2056" s="29" t="s">
        <v>7227</v>
      </c>
      <c r="D2056" s="67" t="s">
        <v>7228</v>
      </c>
      <c r="E2056" s="96" t="s">
        <v>62</v>
      </c>
      <c r="F2056" s="29" t="s">
        <v>61</v>
      </c>
      <c r="G2056" s="29"/>
      <c r="H2056" s="103">
        <f>_xlfn.XLOOKUP(B2056,GM!$Q$5:$Q$756,GM!$J$5:$J$756)</f>
        <v>46104</v>
      </c>
    </row>
    <row r="2057" spans="1:8" hidden="1" x14ac:dyDescent="0.35">
      <c r="A2057" s="29" t="s">
        <v>13</v>
      </c>
      <c r="B2057" s="29" t="str">
        <f t="shared" si="32"/>
        <v>JUR-15</v>
      </c>
      <c r="C2057" s="29" t="s">
        <v>7229</v>
      </c>
      <c r="D2057" s="67" t="s">
        <v>7230</v>
      </c>
      <c r="E2057" s="96" t="s">
        <v>62</v>
      </c>
      <c r="F2057" s="29" t="s">
        <v>61</v>
      </c>
      <c r="G2057" s="29"/>
      <c r="H2057" s="103">
        <f>_xlfn.XLOOKUP(B2057,GM!$Q$5:$Q$756,GM!$J$5:$J$756)</f>
        <v>46104</v>
      </c>
    </row>
    <row r="2058" spans="1:8" hidden="1" x14ac:dyDescent="0.35">
      <c r="A2058" s="29" t="s">
        <v>13</v>
      </c>
      <c r="B2058" s="29" t="str">
        <f t="shared" si="32"/>
        <v>JUR-17</v>
      </c>
      <c r="C2058" s="29" t="s">
        <v>7231</v>
      </c>
      <c r="D2058" s="67" t="s">
        <v>7232</v>
      </c>
      <c r="E2058" s="96" t="s">
        <v>62</v>
      </c>
      <c r="F2058" s="29" t="s">
        <v>61</v>
      </c>
      <c r="G2058" s="29"/>
      <c r="H2058" s="103">
        <f>_xlfn.XLOOKUP(B2058,GM!$Q$5:$Q$756,GM!$J$5:$J$756)</f>
        <v>45202</v>
      </c>
    </row>
    <row r="2059" spans="1:8" hidden="1" x14ac:dyDescent="0.35">
      <c r="A2059" s="29" t="s">
        <v>13</v>
      </c>
      <c r="B2059" s="29" t="str">
        <f t="shared" si="32"/>
        <v>JUR-17</v>
      </c>
      <c r="C2059" s="29" t="s">
        <v>7233</v>
      </c>
      <c r="D2059" s="67" t="s">
        <v>7234</v>
      </c>
      <c r="E2059" s="96" t="s">
        <v>62</v>
      </c>
      <c r="F2059" s="29" t="s">
        <v>61</v>
      </c>
      <c r="G2059" s="29"/>
      <c r="H2059" s="103">
        <f>_xlfn.XLOOKUP(B2059,GM!$Q$5:$Q$756,GM!$J$5:$J$756)</f>
        <v>45202</v>
      </c>
    </row>
    <row r="2060" spans="1:8" hidden="1" x14ac:dyDescent="0.35">
      <c r="A2060" s="29" t="s">
        <v>13</v>
      </c>
      <c r="B2060" s="29" t="str">
        <f t="shared" si="32"/>
        <v>JUR-17</v>
      </c>
      <c r="C2060" s="29" t="s">
        <v>7235</v>
      </c>
      <c r="D2060" s="67" t="s">
        <v>7236</v>
      </c>
      <c r="E2060" s="96" t="s">
        <v>62</v>
      </c>
      <c r="F2060" s="29" t="s">
        <v>61</v>
      </c>
      <c r="G2060" s="29"/>
      <c r="H2060" s="103">
        <f>_xlfn.XLOOKUP(B2060,GM!$Q$5:$Q$756,GM!$J$5:$J$756)</f>
        <v>45202</v>
      </c>
    </row>
    <row r="2061" spans="1:8" hidden="1" x14ac:dyDescent="0.35">
      <c r="A2061" s="29" t="s">
        <v>13</v>
      </c>
      <c r="B2061" s="29" t="str">
        <f t="shared" si="32"/>
        <v>JUR-17</v>
      </c>
      <c r="C2061" s="29" t="s">
        <v>7237</v>
      </c>
      <c r="D2061" s="67" t="s">
        <v>7238</v>
      </c>
      <c r="E2061" s="96" t="s">
        <v>62</v>
      </c>
      <c r="F2061" s="29" t="s">
        <v>61</v>
      </c>
      <c r="G2061" s="29"/>
      <c r="H2061" s="103">
        <f>_xlfn.XLOOKUP(B2061,GM!$Q$5:$Q$756,GM!$J$5:$J$756)</f>
        <v>45202</v>
      </c>
    </row>
    <row r="2062" spans="1:8" hidden="1" x14ac:dyDescent="0.35">
      <c r="A2062" s="29" t="s">
        <v>13</v>
      </c>
      <c r="B2062" s="29" t="str">
        <f t="shared" si="32"/>
        <v>JUR-17</v>
      </c>
      <c r="C2062" s="29" t="s">
        <v>7239</v>
      </c>
      <c r="D2062" s="67" t="s">
        <v>7240</v>
      </c>
      <c r="E2062" s="96" t="s">
        <v>62</v>
      </c>
      <c r="F2062" s="29" t="s">
        <v>61</v>
      </c>
      <c r="G2062" s="29"/>
      <c r="H2062" s="103">
        <f>_xlfn.XLOOKUP(B2062,GM!$Q$5:$Q$756,GM!$J$5:$J$756)</f>
        <v>45202</v>
      </c>
    </row>
    <row r="2063" spans="1:8" hidden="1" x14ac:dyDescent="0.35">
      <c r="A2063" s="29" t="s">
        <v>13</v>
      </c>
      <c r="B2063" s="29" t="str">
        <f t="shared" si="32"/>
        <v>JUR-17</v>
      </c>
      <c r="C2063" s="29" t="s">
        <v>7241</v>
      </c>
      <c r="D2063" s="67" t="s">
        <v>7242</v>
      </c>
      <c r="E2063" s="96" t="s">
        <v>62</v>
      </c>
      <c r="F2063" s="29" t="s">
        <v>61</v>
      </c>
      <c r="G2063" s="29"/>
      <c r="H2063" s="103">
        <f>_xlfn.XLOOKUP(B2063,GM!$Q$5:$Q$756,GM!$J$5:$J$756)</f>
        <v>45202</v>
      </c>
    </row>
    <row r="2064" spans="1:8" hidden="1" x14ac:dyDescent="0.35">
      <c r="A2064" s="29" t="s">
        <v>13</v>
      </c>
      <c r="B2064" s="29" t="str">
        <f t="shared" si="32"/>
        <v>JUR-18</v>
      </c>
      <c r="C2064" s="29" t="s">
        <v>7243</v>
      </c>
      <c r="D2064" s="67" t="s">
        <v>7244</v>
      </c>
      <c r="E2064" s="96" t="s">
        <v>62</v>
      </c>
      <c r="F2064" s="29" t="s">
        <v>61</v>
      </c>
      <c r="G2064" s="29"/>
      <c r="H2064" s="103">
        <f>_xlfn.XLOOKUP(B2064,GM!$Q$5:$Q$756,GM!$J$5:$J$756)</f>
        <v>45645</v>
      </c>
    </row>
    <row r="2065" spans="1:8" hidden="1" x14ac:dyDescent="0.35">
      <c r="A2065" s="29" t="s">
        <v>13</v>
      </c>
      <c r="B2065" s="29" t="str">
        <f t="shared" si="32"/>
        <v>JUR-18</v>
      </c>
      <c r="C2065" s="29" t="s">
        <v>7245</v>
      </c>
      <c r="D2065" s="67" t="s">
        <v>7246</v>
      </c>
      <c r="E2065" s="96" t="s">
        <v>62</v>
      </c>
      <c r="F2065" s="29" t="s">
        <v>61</v>
      </c>
      <c r="G2065" s="29"/>
      <c r="H2065" s="103">
        <f>_xlfn.XLOOKUP(B2065,GM!$Q$5:$Q$756,GM!$J$5:$J$756)</f>
        <v>45645</v>
      </c>
    </row>
    <row r="2066" spans="1:8" hidden="1" x14ac:dyDescent="0.35">
      <c r="A2066" s="29" t="s">
        <v>13</v>
      </c>
      <c r="B2066" s="29" t="str">
        <f t="shared" si="32"/>
        <v>JUR-18</v>
      </c>
      <c r="C2066" s="29" t="s">
        <v>7247</v>
      </c>
      <c r="D2066" s="67" t="s">
        <v>7248</v>
      </c>
      <c r="E2066" s="96" t="s">
        <v>62</v>
      </c>
      <c r="F2066" s="29" t="s">
        <v>61</v>
      </c>
      <c r="G2066" s="29"/>
      <c r="H2066" s="103">
        <f>_xlfn.XLOOKUP(B2066,GM!$Q$5:$Q$756,GM!$J$5:$J$756)</f>
        <v>45645</v>
      </c>
    </row>
    <row r="2067" spans="1:8" hidden="1" x14ac:dyDescent="0.35">
      <c r="A2067" s="29" t="s">
        <v>13</v>
      </c>
      <c r="B2067" s="29" t="str">
        <f t="shared" si="32"/>
        <v>JUR-18</v>
      </c>
      <c r="C2067" s="29" t="s">
        <v>7249</v>
      </c>
      <c r="D2067" s="67" t="s">
        <v>7250</v>
      </c>
      <c r="E2067" s="96" t="s">
        <v>62</v>
      </c>
      <c r="F2067" s="29" t="s">
        <v>61</v>
      </c>
      <c r="G2067" s="29"/>
      <c r="H2067" s="103">
        <f>_xlfn.XLOOKUP(B2067,GM!$Q$5:$Q$756,GM!$J$5:$J$756)</f>
        <v>45645</v>
      </c>
    </row>
    <row r="2068" spans="1:8" hidden="1" x14ac:dyDescent="0.35">
      <c r="A2068" s="29" t="s">
        <v>13</v>
      </c>
      <c r="B2068" s="29" t="str">
        <f t="shared" si="32"/>
        <v>JUR-18</v>
      </c>
      <c r="C2068" s="29" t="s">
        <v>7251</v>
      </c>
      <c r="D2068" s="67" t="s">
        <v>7252</v>
      </c>
      <c r="E2068" s="96" t="s">
        <v>62</v>
      </c>
      <c r="F2068" s="29" t="s">
        <v>61</v>
      </c>
      <c r="G2068" s="29"/>
      <c r="H2068" s="103">
        <f>_xlfn.XLOOKUP(B2068,GM!$Q$5:$Q$756,GM!$J$5:$J$756)</f>
        <v>45645</v>
      </c>
    </row>
    <row r="2069" spans="1:8" hidden="1" x14ac:dyDescent="0.35">
      <c r="A2069" s="29" t="s">
        <v>13</v>
      </c>
      <c r="B2069" s="29" t="str">
        <f t="shared" si="32"/>
        <v>JUR-18</v>
      </c>
      <c r="C2069" s="29" t="s">
        <v>7253</v>
      </c>
      <c r="D2069" s="67" t="s">
        <v>7254</v>
      </c>
      <c r="E2069" s="96" t="s">
        <v>62</v>
      </c>
      <c r="F2069" s="29" t="s">
        <v>61</v>
      </c>
      <c r="G2069" s="29"/>
      <c r="H2069" s="103">
        <f>_xlfn.XLOOKUP(B2069,GM!$Q$5:$Q$756,GM!$J$5:$J$756)</f>
        <v>45645</v>
      </c>
    </row>
    <row r="2070" spans="1:8" hidden="1" x14ac:dyDescent="0.35">
      <c r="A2070" s="29" t="s">
        <v>13</v>
      </c>
      <c r="B2070" s="29" t="str">
        <f t="shared" si="32"/>
        <v>JUR-18</v>
      </c>
      <c r="C2070" s="29" t="s">
        <v>7255</v>
      </c>
      <c r="D2070" s="67" t="s">
        <v>7256</v>
      </c>
      <c r="E2070" s="96" t="s">
        <v>62</v>
      </c>
      <c r="F2070" s="29" t="s">
        <v>61</v>
      </c>
      <c r="G2070" s="29"/>
      <c r="H2070" s="103">
        <f>_xlfn.XLOOKUP(B2070,GM!$Q$5:$Q$756,GM!$J$5:$J$756)</f>
        <v>45645</v>
      </c>
    </row>
    <row r="2071" spans="1:8" hidden="1" x14ac:dyDescent="0.35">
      <c r="A2071" s="29" t="s">
        <v>13</v>
      </c>
      <c r="B2071" s="29" t="str">
        <f t="shared" si="32"/>
        <v>JUR-18</v>
      </c>
      <c r="C2071" s="29" t="s">
        <v>7257</v>
      </c>
      <c r="D2071" s="67" t="s">
        <v>7258</v>
      </c>
      <c r="E2071" s="96" t="s">
        <v>62</v>
      </c>
      <c r="F2071" s="29" t="s">
        <v>61</v>
      </c>
      <c r="G2071" s="29"/>
      <c r="H2071" s="103">
        <f>_xlfn.XLOOKUP(B2071,GM!$Q$5:$Q$756,GM!$J$5:$J$756)</f>
        <v>45645</v>
      </c>
    </row>
    <row r="2072" spans="1:8" hidden="1" x14ac:dyDescent="0.35">
      <c r="A2072" s="29" t="s">
        <v>13</v>
      </c>
      <c r="B2072" s="29" t="str">
        <f t="shared" si="32"/>
        <v>JUR-19</v>
      </c>
      <c r="C2072" s="29" t="s">
        <v>7259</v>
      </c>
      <c r="D2072" s="67" t="s">
        <v>7260</v>
      </c>
      <c r="E2072" s="96" t="s">
        <v>62</v>
      </c>
      <c r="F2072" s="29" t="s">
        <v>61</v>
      </c>
      <c r="G2072" s="29"/>
      <c r="H2072" s="103">
        <f>_xlfn.XLOOKUP(B2072,GM!$Q$5:$Q$756,GM!$J$5:$J$756)</f>
        <v>45959</v>
      </c>
    </row>
    <row r="2073" spans="1:8" hidden="1" x14ac:dyDescent="0.35">
      <c r="A2073" s="29" t="s">
        <v>13</v>
      </c>
      <c r="B2073" s="29" t="str">
        <f t="shared" si="32"/>
        <v>JUR-19</v>
      </c>
      <c r="C2073" s="29" t="s">
        <v>7261</v>
      </c>
      <c r="D2073" s="67" t="s">
        <v>7262</v>
      </c>
      <c r="E2073" s="96" t="s">
        <v>62</v>
      </c>
      <c r="F2073" s="29" t="s">
        <v>61</v>
      </c>
      <c r="G2073" s="29"/>
      <c r="H2073" s="103">
        <f>_xlfn.XLOOKUP(B2073,GM!$Q$5:$Q$756,GM!$J$5:$J$756)</f>
        <v>45959</v>
      </c>
    </row>
    <row r="2074" spans="1:8" hidden="1" x14ac:dyDescent="0.35">
      <c r="A2074" s="29" t="s">
        <v>13</v>
      </c>
      <c r="B2074" s="29" t="str">
        <f t="shared" si="32"/>
        <v>JUR-19</v>
      </c>
      <c r="C2074" s="29" t="s">
        <v>7263</v>
      </c>
      <c r="D2074" s="67" t="s">
        <v>7264</v>
      </c>
      <c r="E2074" s="96" t="s">
        <v>62</v>
      </c>
      <c r="F2074" s="29" t="s">
        <v>61</v>
      </c>
      <c r="G2074" s="29"/>
      <c r="H2074" s="103">
        <f>_xlfn.XLOOKUP(B2074,GM!$Q$5:$Q$756,GM!$J$5:$J$756)</f>
        <v>45959</v>
      </c>
    </row>
    <row r="2075" spans="1:8" hidden="1" x14ac:dyDescent="0.35">
      <c r="A2075" s="29" t="s">
        <v>13</v>
      </c>
      <c r="B2075" s="29" t="str">
        <f t="shared" si="32"/>
        <v>JUR-19</v>
      </c>
      <c r="C2075" s="29" t="s">
        <v>7265</v>
      </c>
      <c r="D2075" s="67" t="s">
        <v>7266</v>
      </c>
      <c r="E2075" s="96" t="s">
        <v>62</v>
      </c>
      <c r="F2075" s="29" t="s">
        <v>61</v>
      </c>
      <c r="G2075" s="29"/>
      <c r="H2075" s="103">
        <f>_xlfn.XLOOKUP(B2075,GM!$Q$5:$Q$756,GM!$J$5:$J$756)</f>
        <v>45959</v>
      </c>
    </row>
    <row r="2076" spans="1:8" hidden="1" x14ac:dyDescent="0.35">
      <c r="A2076" s="29" t="s">
        <v>13</v>
      </c>
      <c r="B2076" s="29" t="str">
        <f t="shared" si="32"/>
        <v>JUR-20</v>
      </c>
      <c r="C2076" s="29" t="s">
        <v>7267</v>
      </c>
      <c r="D2076" s="67" t="s">
        <v>7268</v>
      </c>
      <c r="E2076" s="96" t="s">
        <v>62</v>
      </c>
      <c r="F2076" s="29" t="s">
        <v>61</v>
      </c>
      <c r="G2076" s="29"/>
      <c r="H2076" s="103">
        <f>_xlfn.XLOOKUP(B2076,GM!$Q$5:$Q$756,GM!$J$5:$J$756)</f>
        <v>44889</v>
      </c>
    </row>
    <row r="2077" spans="1:8" hidden="1" x14ac:dyDescent="0.35">
      <c r="A2077" s="29" t="s">
        <v>13</v>
      </c>
      <c r="B2077" s="29" t="str">
        <f t="shared" si="32"/>
        <v>JUR-20</v>
      </c>
      <c r="C2077" s="29" t="s">
        <v>7269</v>
      </c>
      <c r="D2077" s="67" t="s">
        <v>7270</v>
      </c>
      <c r="E2077" s="96" t="s">
        <v>62</v>
      </c>
      <c r="F2077" s="29" t="s">
        <v>61</v>
      </c>
      <c r="G2077" s="29"/>
      <c r="H2077" s="103">
        <f>_xlfn.XLOOKUP(B2077,GM!$Q$5:$Q$756,GM!$J$5:$J$756)</f>
        <v>44889</v>
      </c>
    </row>
    <row r="2078" spans="1:8" hidden="1" x14ac:dyDescent="0.35">
      <c r="A2078" s="29" t="s">
        <v>13</v>
      </c>
      <c r="B2078" s="29" t="str">
        <f t="shared" si="32"/>
        <v>JUR-20</v>
      </c>
      <c r="C2078" s="29" t="s">
        <v>7271</v>
      </c>
      <c r="D2078" s="67" t="s">
        <v>7272</v>
      </c>
      <c r="E2078" s="96" t="s">
        <v>62</v>
      </c>
      <c r="F2078" s="29" t="s">
        <v>61</v>
      </c>
      <c r="G2078" s="29"/>
      <c r="H2078" s="103">
        <f>_xlfn.XLOOKUP(B2078,GM!$Q$5:$Q$756,GM!$J$5:$J$756)</f>
        <v>44889</v>
      </c>
    </row>
    <row r="2079" spans="1:8" hidden="1" x14ac:dyDescent="0.35">
      <c r="A2079" s="29" t="s">
        <v>13</v>
      </c>
      <c r="B2079" s="29" t="str">
        <f t="shared" si="32"/>
        <v>JUR-20</v>
      </c>
      <c r="C2079" s="29" t="s">
        <v>7273</v>
      </c>
      <c r="D2079" s="67" t="s">
        <v>7274</v>
      </c>
      <c r="E2079" s="96" t="s">
        <v>62</v>
      </c>
      <c r="F2079" s="29" t="s">
        <v>61</v>
      </c>
      <c r="G2079" s="29"/>
      <c r="H2079" s="103">
        <f>_xlfn.XLOOKUP(B2079,GM!$Q$5:$Q$756,GM!$J$5:$J$756)</f>
        <v>44889</v>
      </c>
    </row>
    <row r="2080" spans="1:8" hidden="1" x14ac:dyDescent="0.35">
      <c r="A2080" s="29" t="s">
        <v>13</v>
      </c>
      <c r="B2080" s="29" t="str">
        <f t="shared" si="32"/>
        <v>JUR-20</v>
      </c>
      <c r="C2080" s="29" t="s">
        <v>7275</v>
      </c>
      <c r="D2080" s="67" t="s">
        <v>7276</v>
      </c>
      <c r="E2080" s="96" t="s">
        <v>62</v>
      </c>
      <c r="F2080" s="29" t="s">
        <v>61</v>
      </c>
      <c r="G2080" s="29"/>
      <c r="H2080" s="103">
        <f>_xlfn.XLOOKUP(B2080,GM!$Q$5:$Q$756,GM!$J$5:$J$756)</f>
        <v>44889</v>
      </c>
    </row>
    <row r="2081" spans="1:8" hidden="1" x14ac:dyDescent="0.35">
      <c r="A2081" s="29" t="s">
        <v>13</v>
      </c>
      <c r="B2081" s="29" t="str">
        <f t="shared" si="32"/>
        <v>JUR-20</v>
      </c>
      <c r="C2081" s="29" t="s">
        <v>7277</v>
      </c>
      <c r="D2081" s="67" t="s">
        <v>7278</v>
      </c>
      <c r="E2081" s="96" t="s">
        <v>62</v>
      </c>
      <c r="F2081" s="29" t="s">
        <v>61</v>
      </c>
      <c r="G2081" s="29"/>
      <c r="H2081" s="103">
        <f>_xlfn.XLOOKUP(B2081,GM!$Q$5:$Q$756,GM!$J$5:$J$756)</f>
        <v>44889</v>
      </c>
    </row>
    <row r="2082" spans="1:8" hidden="1" x14ac:dyDescent="0.35">
      <c r="A2082" s="29" t="s">
        <v>13</v>
      </c>
      <c r="B2082" s="29" t="str">
        <f t="shared" si="32"/>
        <v>JUR-20</v>
      </c>
      <c r="C2082" s="29" t="s">
        <v>7279</v>
      </c>
      <c r="D2082" s="67" t="s">
        <v>7280</v>
      </c>
      <c r="E2082" s="96" t="s">
        <v>62</v>
      </c>
      <c r="F2082" s="29" t="s">
        <v>61</v>
      </c>
      <c r="G2082" s="29"/>
      <c r="H2082" s="103">
        <f>_xlfn.XLOOKUP(B2082,GM!$Q$5:$Q$756,GM!$J$5:$J$756)</f>
        <v>44889</v>
      </c>
    </row>
    <row r="2083" spans="1:8" hidden="1" x14ac:dyDescent="0.35">
      <c r="A2083" s="29" t="s">
        <v>13</v>
      </c>
      <c r="B2083" s="29" t="str">
        <f t="shared" si="32"/>
        <v>JUR-21</v>
      </c>
      <c r="C2083" s="29" t="s">
        <v>7281</v>
      </c>
      <c r="D2083" s="67" t="s">
        <v>7282</v>
      </c>
      <c r="E2083" s="96" t="s">
        <v>62</v>
      </c>
      <c r="F2083" s="29" t="s">
        <v>61</v>
      </c>
      <c r="G2083" s="29"/>
      <c r="H2083" s="103">
        <f>_xlfn.XLOOKUP(B2083,GM!$Q$5:$Q$756,GM!$J$5:$J$756)</f>
        <v>45645</v>
      </c>
    </row>
    <row r="2084" spans="1:8" hidden="1" x14ac:dyDescent="0.35">
      <c r="A2084" s="29" t="s">
        <v>13</v>
      </c>
      <c r="B2084" s="29" t="str">
        <f t="shared" si="32"/>
        <v>JUR-21</v>
      </c>
      <c r="C2084" s="29" t="s">
        <v>7283</v>
      </c>
      <c r="D2084" s="67" t="s">
        <v>7284</v>
      </c>
      <c r="E2084" s="96" t="s">
        <v>62</v>
      </c>
      <c r="F2084" s="29" t="s">
        <v>61</v>
      </c>
      <c r="G2084" s="29"/>
      <c r="H2084" s="103">
        <f>_xlfn.XLOOKUP(B2084,GM!$Q$5:$Q$756,GM!$J$5:$J$756)</f>
        <v>45645</v>
      </c>
    </row>
    <row r="2085" spans="1:8" hidden="1" x14ac:dyDescent="0.35">
      <c r="A2085" s="29" t="s">
        <v>13</v>
      </c>
      <c r="B2085" s="29" t="str">
        <f t="shared" si="32"/>
        <v>JUR-21</v>
      </c>
      <c r="C2085" s="29" t="s">
        <v>7285</v>
      </c>
      <c r="D2085" s="67" t="s">
        <v>7286</v>
      </c>
      <c r="E2085" s="96" t="s">
        <v>62</v>
      </c>
      <c r="F2085" s="29" t="s">
        <v>61</v>
      </c>
      <c r="G2085" s="29"/>
      <c r="H2085" s="103">
        <f>_xlfn.XLOOKUP(B2085,GM!$Q$5:$Q$756,GM!$J$5:$J$756)</f>
        <v>45645</v>
      </c>
    </row>
    <row r="2086" spans="1:8" hidden="1" x14ac:dyDescent="0.35">
      <c r="A2086" s="29" t="s">
        <v>13</v>
      </c>
      <c r="B2086" s="29" t="str">
        <f t="shared" si="32"/>
        <v>JUR-21</v>
      </c>
      <c r="C2086" s="29" t="s">
        <v>7287</v>
      </c>
      <c r="D2086" s="67" t="s">
        <v>7288</v>
      </c>
      <c r="E2086" s="96" t="s">
        <v>62</v>
      </c>
      <c r="F2086" s="29" t="s">
        <v>61</v>
      </c>
      <c r="G2086" s="29"/>
      <c r="H2086" s="103">
        <f>_xlfn.XLOOKUP(B2086,GM!$Q$5:$Q$756,GM!$J$5:$J$756)</f>
        <v>45645</v>
      </c>
    </row>
    <row r="2087" spans="1:8" hidden="1" x14ac:dyDescent="0.35">
      <c r="A2087" s="29" t="s">
        <v>13</v>
      </c>
      <c r="B2087" s="29" t="str">
        <f t="shared" si="32"/>
        <v>JUR-21</v>
      </c>
      <c r="C2087" s="29" t="s">
        <v>7289</v>
      </c>
      <c r="D2087" s="67" t="s">
        <v>7290</v>
      </c>
      <c r="E2087" s="96" t="s">
        <v>62</v>
      </c>
      <c r="F2087" s="29" t="s">
        <v>61</v>
      </c>
      <c r="G2087" s="29"/>
      <c r="H2087" s="103">
        <f>_xlfn.XLOOKUP(B2087,GM!$Q$5:$Q$756,GM!$J$5:$J$756)</f>
        <v>45645</v>
      </c>
    </row>
    <row r="2088" spans="1:8" hidden="1" x14ac:dyDescent="0.35">
      <c r="A2088" s="29" t="s">
        <v>13</v>
      </c>
      <c r="B2088" s="29" t="str">
        <f t="shared" si="32"/>
        <v>JUR-21</v>
      </c>
      <c r="C2088" s="29" t="s">
        <v>7291</v>
      </c>
      <c r="D2088" s="67" t="s">
        <v>7292</v>
      </c>
      <c r="E2088" s="96" t="s">
        <v>62</v>
      </c>
      <c r="F2088" s="29" t="s">
        <v>61</v>
      </c>
      <c r="G2088" s="29"/>
      <c r="H2088" s="103">
        <f>_xlfn.XLOOKUP(B2088,GM!$Q$5:$Q$756,GM!$J$5:$J$756)</f>
        <v>45645</v>
      </c>
    </row>
    <row r="2089" spans="1:8" hidden="1" x14ac:dyDescent="0.35">
      <c r="A2089" s="29" t="s">
        <v>13</v>
      </c>
      <c r="B2089" s="29" t="str">
        <f t="shared" si="32"/>
        <v>JUR-22</v>
      </c>
      <c r="C2089" s="29" t="s">
        <v>7293</v>
      </c>
      <c r="D2089" s="67" t="s">
        <v>7294</v>
      </c>
      <c r="E2089" s="96" t="s">
        <v>62</v>
      </c>
      <c r="F2089" s="29" t="s">
        <v>61</v>
      </c>
      <c r="G2089" s="29" t="s">
        <v>371</v>
      </c>
      <c r="H2089" s="103">
        <f>_xlfn.XLOOKUP(B2089,GM!$Q$5:$Q$756,GM!$J$5:$J$756)</f>
        <v>44739</v>
      </c>
    </row>
    <row r="2090" spans="1:8" hidden="1" x14ac:dyDescent="0.35">
      <c r="A2090" s="29" t="s">
        <v>13</v>
      </c>
      <c r="B2090" s="29" t="str">
        <f t="shared" si="32"/>
        <v>JUR-23</v>
      </c>
      <c r="C2090" s="29" t="s">
        <v>7295</v>
      </c>
      <c r="D2090" s="67" t="s">
        <v>7296</v>
      </c>
      <c r="E2090" s="96" t="s">
        <v>62</v>
      </c>
      <c r="F2090" s="29" t="s">
        <v>61</v>
      </c>
      <c r="G2090" s="29" t="s">
        <v>371</v>
      </c>
      <c r="H2090" s="103">
        <f>_xlfn.XLOOKUP(B2090,GM!$Q$5:$Q$756,GM!$J$5:$J$756)</f>
        <v>44739</v>
      </c>
    </row>
    <row r="2091" spans="1:8" hidden="1" x14ac:dyDescent="0.35">
      <c r="A2091" s="29" t="s">
        <v>13</v>
      </c>
      <c r="B2091" s="29" t="str">
        <f t="shared" si="32"/>
        <v>JUR-24</v>
      </c>
      <c r="C2091" s="29" t="s">
        <v>7297</v>
      </c>
      <c r="D2091" s="67" t="s">
        <v>7298</v>
      </c>
      <c r="E2091" s="96" t="s">
        <v>62</v>
      </c>
      <c r="F2091" s="29" t="s">
        <v>61</v>
      </c>
      <c r="G2091" s="29" t="s">
        <v>371</v>
      </c>
      <c r="H2091" s="103">
        <f>_xlfn.XLOOKUP(B2091,GM!$Q$5:$Q$756,GM!$J$5:$J$756)</f>
        <v>44739</v>
      </c>
    </row>
    <row r="2092" spans="1:8" hidden="1" x14ac:dyDescent="0.35">
      <c r="A2092" s="29" t="s">
        <v>13</v>
      </c>
      <c r="B2092" s="29" t="str">
        <f t="shared" si="32"/>
        <v>JUR-25</v>
      </c>
      <c r="C2092" s="29" t="s">
        <v>7299</v>
      </c>
      <c r="D2092" s="67" t="s">
        <v>7300</v>
      </c>
      <c r="E2092" s="96" t="s">
        <v>62</v>
      </c>
      <c r="F2092" s="29" t="s">
        <v>61</v>
      </c>
      <c r="G2092" s="29"/>
      <c r="H2092" s="103">
        <f>_xlfn.XLOOKUP(B2092,GM!$Q$5:$Q$756,GM!$J$5:$J$756)</f>
        <v>46009</v>
      </c>
    </row>
    <row r="2093" spans="1:8" hidden="1" x14ac:dyDescent="0.35">
      <c r="A2093" s="29" t="s">
        <v>13</v>
      </c>
      <c r="B2093" s="29" t="str">
        <f t="shared" si="32"/>
        <v>JUR-25</v>
      </c>
      <c r="C2093" s="29" t="s">
        <v>7301</v>
      </c>
      <c r="D2093" s="67" t="s">
        <v>7302</v>
      </c>
      <c r="E2093" s="96" t="s">
        <v>62</v>
      </c>
      <c r="F2093" s="29" t="s">
        <v>61</v>
      </c>
      <c r="G2093" s="29"/>
      <c r="H2093" s="103">
        <f>_xlfn.XLOOKUP(B2093,GM!$Q$5:$Q$756,GM!$J$5:$J$756)</f>
        <v>46009</v>
      </c>
    </row>
    <row r="2094" spans="1:8" hidden="1" x14ac:dyDescent="0.35">
      <c r="A2094" s="29" t="s">
        <v>13</v>
      </c>
      <c r="B2094" s="29" t="str">
        <f t="shared" si="32"/>
        <v>JUR-26</v>
      </c>
      <c r="C2094" s="29" t="s">
        <v>7303</v>
      </c>
      <c r="D2094" s="67" t="s">
        <v>7304</v>
      </c>
      <c r="E2094" s="96" t="s">
        <v>62</v>
      </c>
      <c r="F2094" s="29" t="s">
        <v>61</v>
      </c>
      <c r="G2094" s="29" t="s">
        <v>371</v>
      </c>
      <c r="H2094" s="103">
        <f>_xlfn.XLOOKUP(B2094,GM!$Q$5:$Q$756,GM!$J$5:$J$756)</f>
        <v>44739</v>
      </c>
    </row>
    <row r="2095" spans="1:8" hidden="1" x14ac:dyDescent="0.35">
      <c r="A2095" s="29" t="s">
        <v>13</v>
      </c>
      <c r="B2095" s="29" t="str">
        <f t="shared" si="32"/>
        <v>JUR-27</v>
      </c>
      <c r="C2095" s="29" t="s">
        <v>7305</v>
      </c>
      <c r="D2095" s="67" t="s">
        <v>7306</v>
      </c>
      <c r="E2095" s="96" t="s">
        <v>62</v>
      </c>
      <c r="F2095" s="29" t="s">
        <v>61</v>
      </c>
      <c r="G2095" s="29" t="s">
        <v>371</v>
      </c>
      <c r="H2095" s="103">
        <f>_xlfn.XLOOKUP(B2095,GM!$Q$5:$Q$756,GM!$J$5:$J$756)</f>
        <v>44739</v>
      </c>
    </row>
    <row r="2096" spans="1:8" hidden="1" x14ac:dyDescent="0.35">
      <c r="A2096" s="29" t="s">
        <v>13</v>
      </c>
      <c r="B2096" s="29" t="str">
        <f t="shared" si="32"/>
        <v>JUR-28</v>
      </c>
      <c r="C2096" s="29" t="s">
        <v>7307</v>
      </c>
      <c r="D2096" s="67" t="s">
        <v>7308</v>
      </c>
      <c r="E2096" s="96" t="s">
        <v>62</v>
      </c>
      <c r="F2096" s="29" t="s">
        <v>61</v>
      </c>
      <c r="G2096" s="29"/>
      <c r="H2096" s="103">
        <f>_xlfn.XLOOKUP(B2096,GM!$Q$5:$Q$756,GM!$J$5:$J$756)</f>
        <v>45202</v>
      </c>
    </row>
    <row r="2097" spans="1:8" hidden="1" x14ac:dyDescent="0.35">
      <c r="A2097" s="29" t="s">
        <v>13</v>
      </c>
      <c r="B2097" s="29" t="str">
        <f t="shared" si="32"/>
        <v>JUR-29</v>
      </c>
      <c r="C2097" s="29" t="s">
        <v>7309</v>
      </c>
      <c r="D2097" s="67" t="s">
        <v>7310</v>
      </c>
      <c r="E2097" s="96" t="s">
        <v>62</v>
      </c>
      <c r="F2097" s="29" t="s">
        <v>61</v>
      </c>
      <c r="G2097" s="29"/>
      <c r="H2097" s="103">
        <f>_xlfn.XLOOKUP(B2097,GM!$Q$5:$Q$756,GM!$J$5:$J$756)</f>
        <v>45202</v>
      </c>
    </row>
    <row r="2098" spans="1:8" hidden="1" x14ac:dyDescent="0.35">
      <c r="A2098" s="29" t="s">
        <v>13</v>
      </c>
      <c r="B2098" s="29" t="str">
        <f t="shared" si="32"/>
        <v>JUR-30</v>
      </c>
      <c r="C2098" s="29" t="s">
        <v>7311</v>
      </c>
      <c r="D2098" s="67" t="s">
        <v>7312</v>
      </c>
      <c r="E2098" s="96" t="s">
        <v>62</v>
      </c>
      <c r="F2098" s="29" t="s">
        <v>61</v>
      </c>
      <c r="G2098" s="29"/>
      <c r="H2098" s="103">
        <f>_xlfn.XLOOKUP(B2098,GM!$Q$5:$Q$756,GM!$J$5:$J$756)</f>
        <v>44838</v>
      </c>
    </row>
    <row r="2099" spans="1:8" hidden="1" x14ac:dyDescent="0.35">
      <c r="A2099" s="29" t="s">
        <v>13</v>
      </c>
      <c r="B2099" s="29" t="str">
        <f t="shared" si="32"/>
        <v>JUR-30</v>
      </c>
      <c r="C2099" s="29" t="s">
        <v>7313</v>
      </c>
      <c r="D2099" s="67" t="s">
        <v>7314</v>
      </c>
      <c r="E2099" s="96" t="s">
        <v>62</v>
      </c>
      <c r="F2099" s="29" t="s">
        <v>61</v>
      </c>
      <c r="G2099" s="29"/>
      <c r="H2099" s="103">
        <f>_xlfn.XLOOKUP(B2099,GM!$Q$5:$Q$756,GM!$J$5:$J$756)</f>
        <v>44838</v>
      </c>
    </row>
    <row r="2100" spans="1:8" hidden="1" x14ac:dyDescent="0.35">
      <c r="A2100" s="29" t="s">
        <v>13</v>
      </c>
      <c r="B2100" s="29" t="str">
        <f t="shared" si="32"/>
        <v>JUR-33</v>
      </c>
      <c r="C2100" s="29" t="s">
        <v>7315</v>
      </c>
      <c r="D2100" s="67" t="s">
        <v>7316</v>
      </c>
      <c r="E2100" s="96" t="s">
        <v>62</v>
      </c>
      <c r="F2100" s="29" t="s">
        <v>61</v>
      </c>
      <c r="G2100" s="29" t="s">
        <v>371</v>
      </c>
      <c r="H2100" s="103">
        <f>_xlfn.XLOOKUP(B2100,GM!$Q$5:$Q$756,GM!$J$5:$J$756)</f>
        <v>44739</v>
      </c>
    </row>
    <row r="2101" spans="1:8" hidden="1" x14ac:dyDescent="0.35">
      <c r="A2101" s="29" t="s">
        <v>13</v>
      </c>
      <c r="B2101" s="29" t="str">
        <f t="shared" si="32"/>
        <v>JUR-40</v>
      </c>
      <c r="C2101" s="29" t="s">
        <v>7317</v>
      </c>
      <c r="D2101" s="67" t="s">
        <v>7318</v>
      </c>
      <c r="E2101" s="96" t="s">
        <v>62</v>
      </c>
      <c r="F2101" s="29" t="s">
        <v>61</v>
      </c>
      <c r="G2101" s="29"/>
      <c r="H2101" s="103">
        <f>_xlfn.XLOOKUP(B2101,GM!$Q$5:$Q$756,GM!$J$5:$J$756)</f>
        <v>45202</v>
      </c>
    </row>
    <row r="2102" spans="1:8" hidden="1" x14ac:dyDescent="0.35">
      <c r="A2102" s="29" t="s">
        <v>13</v>
      </c>
      <c r="B2102" s="29" t="str">
        <f t="shared" si="32"/>
        <v>JUR-40</v>
      </c>
      <c r="C2102" s="29" t="s">
        <v>7319</v>
      </c>
      <c r="D2102" s="67" t="s">
        <v>7320</v>
      </c>
      <c r="E2102" s="96" t="s">
        <v>62</v>
      </c>
      <c r="F2102" s="29" t="s">
        <v>61</v>
      </c>
      <c r="G2102" s="29"/>
      <c r="H2102" s="103">
        <f>_xlfn.XLOOKUP(B2102,GM!$Q$5:$Q$756,GM!$J$5:$J$756)</f>
        <v>45202</v>
      </c>
    </row>
    <row r="2103" spans="1:8" hidden="1" x14ac:dyDescent="0.35">
      <c r="A2103" s="29" t="s">
        <v>13</v>
      </c>
      <c r="B2103" s="29" t="str">
        <f t="shared" si="32"/>
        <v>JUR-41</v>
      </c>
      <c r="C2103" s="29" t="s">
        <v>7321</v>
      </c>
      <c r="D2103" s="67" t="s">
        <v>7322</v>
      </c>
      <c r="E2103" s="96" t="s">
        <v>62</v>
      </c>
      <c r="F2103" s="29" t="s">
        <v>61</v>
      </c>
      <c r="G2103" s="29"/>
      <c r="H2103" s="103">
        <f>_xlfn.XLOOKUP(B2103,GM!$Q$5:$Q$756,GM!$J$5:$J$756)</f>
        <v>45202</v>
      </c>
    </row>
    <row r="2104" spans="1:8" hidden="1" x14ac:dyDescent="0.35">
      <c r="A2104" s="29" t="s">
        <v>13</v>
      </c>
      <c r="B2104" s="29" t="str">
        <f t="shared" si="32"/>
        <v>JUR-41</v>
      </c>
      <c r="C2104" s="29" t="s">
        <v>7323</v>
      </c>
      <c r="D2104" s="67" t="s">
        <v>7324</v>
      </c>
      <c r="E2104" s="96" t="s">
        <v>62</v>
      </c>
      <c r="F2104" s="29" t="s">
        <v>61</v>
      </c>
      <c r="G2104" s="29"/>
      <c r="H2104" s="103">
        <f>_xlfn.XLOOKUP(B2104,GM!$Q$5:$Q$756,GM!$J$5:$J$756)</f>
        <v>45202</v>
      </c>
    </row>
    <row r="2105" spans="1:8" hidden="1" x14ac:dyDescent="0.35">
      <c r="A2105" s="29" t="s">
        <v>13</v>
      </c>
      <c r="B2105" s="29" t="str">
        <f t="shared" si="32"/>
        <v>JUR-41</v>
      </c>
      <c r="C2105" s="29" t="s">
        <v>7325</v>
      </c>
      <c r="D2105" s="67" t="s">
        <v>7326</v>
      </c>
      <c r="E2105" s="96" t="s">
        <v>62</v>
      </c>
      <c r="F2105" s="29" t="s">
        <v>61</v>
      </c>
      <c r="G2105" s="29"/>
      <c r="H2105" s="103">
        <f>_xlfn.XLOOKUP(B2105,GM!$Q$5:$Q$756,GM!$J$5:$J$756)</f>
        <v>45202</v>
      </c>
    </row>
    <row r="2106" spans="1:8" hidden="1" x14ac:dyDescent="0.35">
      <c r="A2106" s="29" t="s">
        <v>13</v>
      </c>
      <c r="B2106" s="29" t="str">
        <f t="shared" si="32"/>
        <v>JUR-51</v>
      </c>
      <c r="C2106" s="29" t="s">
        <v>7327</v>
      </c>
      <c r="D2106" s="67" t="s">
        <v>7328</v>
      </c>
      <c r="E2106" s="96" t="s">
        <v>62</v>
      </c>
      <c r="F2106" s="29" t="s">
        <v>61</v>
      </c>
      <c r="G2106" s="29"/>
      <c r="H2106" s="103">
        <f>_xlfn.XLOOKUP(B2106,GM!$Q$5:$Q$756,GM!$J$5:$J$756)</f>
        <v>45959</v>
      </c>
    </row>
    <row r="2107" spans="1:8" hidden="1" x14ac:dyDescent="0.35">
      <c r="A2107" s="29" t="s">
        <v>13</v>
      </c>
      <c r="B2107" s="29" t="str">
        <f t="shared" si="32"/>
        <v>JUR-51</v>
      </c>
      <c r="C2107" s="29" t="s">
        <v>7329</v>
      </c>
      <c r="D2107" s="67" t="s">
        <v>7330</v>
      </c>
      <c r="E2107" s="96" t="s">
        <v>62</v>
      </c>
      <c r="F2107" s="29" t="s">
        <v>61</v>
      </c>
      <c r="G2107" s="29"/>
      <c r="H2107" s="103">
        <f>_xlfn.XLOOKUP(B2107,GM!$Q$5:$Q$756,GM!$J$5:$J$756)</f>
        <v>45959</v>
      </c>
    </row>
    <row r="2108" spans="1:8" hidden="1" x14ac:dyDescent="0.35">
      <c r="A2108" s="29" t="s">
        <v>13</v>
      </c>
      <c r="B2108" s="29" t="str">
        <f t="shared" si="32"/>
        <v>JUR-51</v>
      </c>
      <c r="C2108" s="29" t="s">
        <v>7331</v>
      </c>
      <c r="D2108" s="67" t="s">
        <v>7332</v>
      </c>
      <c r="E2108" s="96" t="s">
        <v>62</v>
      </c>
      <c r="F2108" s="29" t="s">
        <v>61</v>
      </c>
      <c r="G2108" s="29"/>
      <c r="H2108" s="103">
        <f>_xlfn.XLOOKUP(B2108,GM!$Q$5:$Q$756,GM!$J$5:$J$756)</f>
        <v>45959</v>
      </c>
    </row>
    <row r="2109" spans="1:8" hidden="1" x14ac:dyDescent="0.35">
      <c r="A2109" s="29" t="s">
        <v>13</v>
      </c>
      <c r="B2109" s="29" t="str">
        <f t="shared" si="32"/>
        <v>JUR-51</v>
      </c>
      <c r="C2109" s="29" t="s">
        <v>7333</v>
      </c>
      <c r="D2109" s="67" t="s">
        <v>7334</v>
      </c>
      <c r="E2109" s="96" t="s">
        <v>62</v>
      </c>
      <c r="F2109" s="29" t="s">
        <v>61</v>
      </c>
      <c r="G2109" s="29"/>
      <c r="H2109" s="103">
        <f>_xlfn.XLOOKUP(B2109,GM!$Q$5:$Q$756,GM!$J$5:$J$756)</f>
        <v>45959</v>
      </c>
    </row>
    <row r="2110" spans="1:8" hidden="1" x14ac:dyDescent="0.35">
      <c r="A2110" s="29" t="s">
        <v>13</v>
      </c>
      <c r="B2110" s="29" t="str">
        <f t="shared" si="32"/>
        <v>JUR-51</v>
      </c>
      <c r="C2110" s="29" t="s">
        <v>7335</v>
      </c>
      <c r="D2110" s="67" t="s">
        <v>7336</v>
      </c>
      <c r="E2110" s="96" t="s">
        <v>62</v>
      </c>
      <c r="F2110" s="29" t="s">
        <v>61</v>
      </c>
      <c r="G2110" s="29"/>
      <c r="H2110" s="103">
        <f>_xlfn.XLOOKUP(B2110,GM!$Q$5:$Q$756,GM!$J$5:$J$756)</f>
        <v>45959</v>
      </c>
    </row>
    <row r="2111" spans="1:8" hidden="1" x14ac:dyDescent="0.35">
      <c r="A2111" s="29" t="s">
        <v>13</v>
      </c>
      <c r="B2111" s="29" t="str">
        <f t="shared" si="32"/>
        <v>JUR-51</v>
      </c>
      <c r="C2111" s="29" t="s">
        <v>7337</v>
      </c>
      <c r="D2111" s="67" t="s">
        <v>7338</v>
      </c>
      <c r="E2111" s="96" t="s">
        <v>62</v>
      </c>
      <c r="F2111" s="29" t="s">
        <v>61</v>
      </c>
      <c r="G2111" s="29"/>
      <c r="H2111" s="103">
        <f>_xlfn.XLOOKUP(B2111,GM!$Q$5:$Q$756,GM!$J$5:$J$756)</f>
        <v>45959</v>
      </c>
    </row>
    <row r="2112" spans="1:8" hidden="1" x14ac:dyDescent="0.35">
      <c r="A2112" s="29" t="s">
        <v>13</v>
      </c>
      <c r="B2112" s="29" t="str">
        <f t="shared" si="32"/>
        <v>JUR-51</v>
      </c>
      <c r="C2112" s="29" t="s">
        <v>7339</v>
      </c>
      <c r="D2112" s="67" t="s">
        <v>7340</v>
      </c>
      <c r="E2112" s="96" t="s">
        <v>62</v>
      </c>
      <c r="F2112" s="29" t="s">
        <v>61</v>
      </c>
      <c r="G2112" s="29"/>
      <c r="H2112" s="103">
        <f>_xlfn.XLOOKUP(B2112,GM!$Q$5:$Q$756,GM!$J$5:$J$756)</f>
        <v>45959</v>
      </c>
    </row>
    <row r="2113" spans="1:8" hidden="1" x14ac:dyDescent="0.35">
      <c r="A2113" s="29" t="s">
        <v>13</v>
      </c>
      <c r="B2113" s="29" t="str">
        <f t="shared" si="32"/>
        <v>JUR-51</v>
      </c>
      <c r="C2113" s="29" t="s">
        <v>7341</v>
      </c>
      <c r="D2113" s="67" t="s">
        <v>7342</v>
      </c>
      <c r="E2113" s="96" t="s">
        <v>62</v>
      </c>
      <c r="F2113" s="29" t="s">
        <v>61</v>
      </c>
      <c r="G2113" s="29"/>
      <c r="H2113" s="103">
        <f>_xlfn.XLOOKUP(B2113,GM!$Q$5:$Q$756,GM!$J$5:$J$756)</f>
        <v>45959</v>
      </c>
    </row>
    <row r="2114" spans="1:8" hidden="1" x14ac:dyDescent="0.35">
      <c r="A2114" s="29" t="s">
        <v>13</v>
      </c>
      <c r="B2114" s="29" t="str">
        <f t="shared" si="32"/>
        <v>JUR-51</v>
      </c>
      <c r="C2114" s="29" t="s">
        <v>7343</v>
      </c>
      <c r="D2114" s="67" t="s">
        <v>7344</v>
      </c>
      <c r="E2114" s="96" t="s">
        <v>62</v>
      </c>
      <c r="F2114" s="29" t="s">
        <v>61</v>
      </c>
      <c r="G2114" s="29"/>
      <c r="H2114" s="103">
        <f>_xlfn.XLOOKUP(B2114,GM!$Q$5:$Q$756,GM!$J$5:$J$756)</f>
        <v>45959</v>
      </c>
    </row>
    <row r="2115" spans="1:8" hidden="1" x14ac:dyDescent="0.35">
      <c r="A2115" s="29" t="s">
        <v>13</v>
      </c>
      <c r="B2115" s="29" t="str">
        <f t="shared" si="32"/>
        <v>JUR-51</v>
      </c>
      <c r="C2115" s="29" t="s">
        <v>7345</v>
      </c>
      <c r="D2115" s="67" t="s">
        <v>7346</v>
      </c>
      <c r="E2115" s="96" t="s">
        <v>62</v>
      </c>
      <c r="F2115" s="29" t="s">
        <v>61</v>
      </c>
      <c r="G2115" s="29"/>
      <c r="H2115" s="103">
        <f>_xlfn.XLOOKUP(B2115,GM!$Q$5:$Q$756,GM!$J$5:$J$756)</f>
        <v>45959</v>
      </c>
    </row>
    <row r="2116" spans="1:8" hidden="1" x14ac:dyDescent="0.35">
      <c r="A2116" s="29" t="s">
        <v>13</v>
      </c>
      <c r="B2116" s="29" t="str">
        <f t="shared" si="32"/>
        <v>JUR-51</v>
      </c>
      <c r="C2116" s="29" t="s">
        <v>7347</v>
      </c>
      <c r="D2116" s="67" t="s">
        <v>7348</v>
      </c>
      <c r="E2116" s="96" t="s">
        <v>62</v>
      </c>
      <c r="F2116" s="29" t="s">
        <v>61</v>
      </c>
      <c r="G2116" s="29"/>
      <c r="H2116" s="103">
        <f>_xlfn.XLOOKUP(B2116,GM!$Q$5:$Q$756,GM!$J$5:$J$756)</f>
        <v>45959</v>
      </c>
    </row>
    <row r="2117" spans="1:8" hidden="1" x14ac:dyDescent="0.35">
      <c r="A2117" s="29" t="s">
        <v>13</v>
      </c>
      <c r="B2117" s="29" t="str">
        <f t="shared" ref="B2117:B2180" si="33">IF(OR(A2117="ARN",A2117="SDP"),MID(C2117,4,7),MID(C2117,4,6))</f>
        <v>JUR-51</v>
      </c>
      <c r="C2117" s="29" t="s">
        <v>7349</v>
      </c>
      <c r="D2117" s="67" t="s">
        <v>7350</v>
      </c>
      <c r="E2117" s="96" t="s">
        <v>62</v>
      </c>
      <c r="F2117" s="29" t="s">
        <v>61</v>
      </c>
      <c r="G2117" s="29"/>
      <c r="H2117" s="103">
        <f>_xlfn.XLOOKUP(B2117,GM!$Q$5:$Q$756,GM!$J$5:$J$756)</f>
        <v>45959</v>
      </c>
    </row>
    <row r="2118" spans="1:8" hidden="1" x14ac:dyDescent="0.35">
      <c r="A2118" s="29" t="s">
        <v>13</v>
      </c>
      <c r="B2118" s="29" t="str">
        <f t="shared" si="33"/>
        <v>JUR-51</v>
      </c>
      <c r="C2118" s="29" t="s">
        <v>7351</v>
      </c>
      <c r="D2118" s="67" t="s">
        <v>7352</v>
      </c>
      <c r="E2118" s="96" t="s">
        <v>62</v>
      </c>
      <c r="F2118" s="29" t="s">
        <v>61</v>
      </c>
      <c r="G2118" s="29"/>
      <c r="H2118" s="103">
        <f>_xlfn.XLOOKUP(B2118,GM!$Q$5:$Q$756,GM!$J$5:$J$756)</f>
        <v>45959</v>
      </c>
    </row>
    <row r="2119" spans="1:8" hidden="1" x14ac:dyDescent="0.35">
      <c r="A2119" s="29" t="s">
        <v>13</v>
      </c>
      <c r="B2119" s="29" t="str">
        <f t="shared" si="33"/>
        <v>JUR-58</v>
      </c>
      <c r="C2119" s="29" t="s">
        <v>7353</v>
      </c>
      <c r="D2119" s="67" t="s">
        <v>7354</v>
      </c>
      <c r="E2119" s="96" t="s">
        <v>62</v>
      </c>
      <c r="F2119" s="29" t="s">
        <v>61</v>
      </c>
      <c r="G2119" s="29" t="s">
        <v>371</v>
      </c>
      <c r="H2119" s="103">
        <f>_xlfn.XLOOKUP(B2119,GM!$Q$5:$Q$756,GM!$J$5:$J$756)</f>
        <v>44739</v>
      </c>
    </row>
    <row r="2120" spans="1:8" hidden="1" x14ac:dyDescent="0.35">
      <c r="A2120" s="29" t="s">
        <v>13</v>
      </c>
      <c r="B2120" s="29" t="str">
        <f t="shared" si="33"/>
        <v>JUR-59</v>
      </c>
      <c r="C2120" s="29" t="s">
        <v>7355</v>
      </c>
      <c r="D2120" s="67" t="s">
        <v>7356</v>
      </c>
      <c r="E2120" s="96" t="s">
        <v>62</v>
      </c>
      <c r="F2120" s="29" t="s">
        <v>61</v>
      </c>
      <c r="G2120" s="29"/>
      <c r="H2120" s="103">
        <f>_xlfn.XLOOKUP(B2120,GM!$Q$5:$Q$756,GM!$J$5:$J$756)</f>
        <v>45462</v>
      </c>
    </row>
    <row r="2121" spans="1:8" hidden="1" x14ac:dyDescent="0.35">
      <c r="A2121" s="29" t="s">
        <v>13</v>
      </c>
      <c r="B2121" s="29" t="str">
        <f t="shared" si="33"/>
        <v>JUR-59</v>
      </c>
      <c r="C2121" s="29" t="s">
        <v>7357</v>
      </c>
      <c r="D2121" s="67" t="s">
        <v>7358</v>
      </c>
      <c r="E2121" s="96" t="s">
        <v>62</v>
      </c>
      <c r="F2121" s="29" t="s">
        <v>61</v>
      </c>
      <c r="G2121" s="29"/>
      <c r="H2121" s="103">
        <f>_xlfn.XLOOKUP(B2121,GM!$Q$5:$Q$756,GM!$J$5:$J$756)</f>
        <v>45462</v>
      </c>
    </row>
    <row r="2122" spans="1:8" hidden="1" x14ac:dyDescent="0.35">
      <c r="A2122" s="29" t="s">
        <v>13</v>
      </c>
      <c r="B2122" s="29" t="str">
        <f t="shared" si="33"/>
        <v>JUR-60</v>
      </c>
      <c r="C2122" s="29" t="s">
        <v>7359</v>
      </c>
      <c r="D2122" s="67" t="s">
        <v>7360</v>
      </c>
      <c r="E2122" s="96" t="s">
        <v>62</v>
      </c>
      <c r="F2122" s="29" t="s">
        <v>61</v>
      </c>
      <c r="G2122" s="29" t="s">
        <v>371</v>
      </c>
      <c r="H2122" s="103">
        <f>_xlfn.XLOOKUP(B2122,GM!$Q$5:$Q$756,GM!$J$5:$J$756)</f>
        <v>44819</v>
      </c>
    </row>
    <row r="2123" spans="1:8" hidden="1" x14ac:dyDescent="0.35">
      <c r="A2123" s="29" t="s">
        <v>13</v>
      </c>
      <c r="B2123" s="29" t="str">
        <f t="shared" si="33"/>
        <v>JUR-61</v>
      </c>
      <c r="C2123" s="29" t="s">
        <v>7361</v>
      </c>
      <c r="D2123" s="67" t="s">
        <v>7362</v>
      </c>
      <c r="E2123" s="96" t="s">
        <v>62</v>
      </c>
      <c r="F2123" s="29" t="s">
        <v>61</v>
      </c>
      <c r="G2123" s="29"/>
      <c r="H2123" s="103">
        <f>_xlfn.XLOOKUP(B2123,GM!$Q$5:$Q$756,GM!$J$5:$J$756)</f>
        <v>45202</v>
      </c>
    </row>
    <row r="2124" spans="1:8" hidden="1" x14ac:dyDescent="0.35">
      <c r="A2124" s="29" t="s">
        <v>13</v>
      </c>
      <c r="B2124" s="29" t="str">
        <f t="shared" si="33"/>
        <v>JUR-62</v>
      </c>
      <c r="C2124" s="29" t="s">
        <v>7363</v>
      </c>
      <c r="D2124" s="67" t="s">
        <v>7364</v>
      </c>
      <c r="E2124" s="96" t="s">
        <v>62</v>
      </c>
      <c r="F2124" s="29" t="s">
        <v>61</v>
      </c>
      <c r="G2124" s="29"/>
      <c r="H2124" s="103">
        <f>_xlfn.XLOOKUP(B2124,GM!$Q$5:$Q$756,GM!$J$5:$J$756)</f>
        <v>44926</v>
      </c>
    </row>
    <row r="2125" spans="1:8" hidden="1" x14ac:dyDescent="0.35">
      <c r="A2125" s="29" t="s">
        <v>13</v>
      </c>
      <c r="B2125" s="29" t="str">
        <f t="shared" si="33"/>
        <v>JUR-64</v>
      </c>
      <c r="C2125" s="29" t="s">
        <v>7365</v>
      </c>
      <c r="D2125" s="67" t="s">
        <v>7366</v>
      </c>
      <c r="E2125" s="96" t="s">
        <v>62</v>
      </c>
      <c r="F2125" s="29" t="s">
        <v>61</v>
      </c>
      <c r="G2125" s="29"/>
      <c r="H2125" s="103" t="e">
        <f>_xlfn.XLOOKUP(B2125,GM!$Q$5:$Q$756,GM!$J$5:$J$756)</f>
        <v>#N/A</v>
      </c>
    </row>
    <row r="2126" spans="1:8" hidden="1" x14ac:dyDescent="0.35">
      <c r="A2126" s="29" t="s">
        <v>13</v>
      </c>
      <c r="B2126" s="29" t="str">
        <f t="shared" si="33"/>
        <v>JUR-65</v>
      </c>
      <c r="C2126" s="29" t="s">
        <v>7367</v>
      </c>
      <c r="D2126" s="67" t="s">
        <v>7368</v>
      </c>
      <c r="E2126" s="96" t="s">
        <v>62</v>
      </c>
      <c r="F2126" s="29" t="s">
        <v>61</v>
      </c>
      <c r="G2126" s="29"/>
      <c r="H2126" s="103">
        <f>_xlfn.XLOOKUP(B2126,GM!$Q$5:$Q$756,GM!$J$5:$J$756)</f>
        <v>45202</v>
      </c>
    </row>
    <row r="2127" spans="1:8" hidden="1" x14ac:dyDescent="0.35">
      <c r="A2127" s="29" t="s">
        <v>13</v>
      </c>
      <c r="B2127" s="29" t="str">
        <f t="shared" si="33"/>
        <v>JUR-66</v>
      </c>
      <c r="C2127" s="29" t="s">
        <v>7369</v>
      </c>
      <c r="D2127" s="67" t="s">
        <v>7370</v>
      </c>
      <c r="E2127" s="96" t="s">
        <v>62</v>
      </c>
      <c r="F2127" s="29" t="s">
        <v>61</v>
      </c>
      <c r="G2127" s="29"/>
      <c r="H2127" s="103" t="e">
        <f>_xlfn.XLOOKUP(B2127,GM!$Q$5:$Q$756,GM!$J$5:$J$756)</f>
        <v>#N/A</v>
      </c>
    </row>
    <row r="2128" spans="1:8" hidden="1" x14ac:dyDescent="0.35">
      <c r="A2128" s="29" t="s">
        <v>13</v>
      </c>
      <c r="B2128" s="29" t="str">
        <f t="shared" si="33"/>
        <v>JUR-67</v>
      </c>
      <c r="C2128" s="29" t="s">
        <v>7371</v>
      </c>
      <c r="D2128" s="67" t="s">
        <v>7372</v>
      </c>
      <c r="E2128" s="96" t="s">
        <v>62</v>
      </c>
      <c r="F2128" s="29" t="s">
        <v>61</v>
      </c>
      <c r="G2128" s="29"/>
      <c r="H2128" s="103">
        <f>_xlfn.XLOOKUP(B2128,GM!$Q$5:$Q$756,GM!$J$5:$J$756)</f>
        <v>45202</v>
      </c>
    </row>
    <row r="2129" spans="1:8" hidden="1" x14ac:dyDescent="0.35">
      <c r="A2129" s="29" t="s">
        <v>13</v>
      </c>
      <c r="B2129" s="29" t="str">
        <f t="shared" si="33"/>
        <v>JUR-68</v>
      </c>
      <c r="C2129" s="29" t="s">
        <v>7373</v>
      </c>
      <c r="D2129" s="67" t="s">
        <v>7374</v>
      </c>
      <c r="E2129" s="96" t="s">
        <v>62</v>
      </c>
      <c r="F2129" s="29" t="s">
        <v>61</v>
      </c>
      <c r="G2129" s="29"/>
      <c r="H2129" s="103" t="e">
        <f>_xlfn.XLOOKUP(B2129,GM!$Q$5:$Q$756,GM!$J$5:$J$756)</f>
        <v>#N/A</v>
      </c>
    </row>
    <row r="2130" spans="1:8" hidden="1" x14ac:dyDescent="0.35">
      <c r="A2130" s="29" t="s">
        <v>21</v>
      </c>
      <c r="B2130" s="29" t="str">
        <f t="shared" si="33"/>
        <v>PLM-00</v>
      </c>
      <c r="C2130" s="29" t="s">
        <v>7375</v>
      </c>
      <c r="D2130" s="67" t="s">
        <v>7376</v>
      </c>
      <c r="E2130" s="96" t="s">
        <v>62</v>
      </c>
      <c r="F2130" s="29" t="s">
        <v>61</v>
      </c>
      <c r="G2130" s="29"/>
      <c r="H2130" s="103">
        <f>_xlfn.XLOOKUP(B2130,GM!$Q$5:$Q$756,GM!$J$5:$J$756)</f>
        <v>45202</v>
      </c>
    </row>
    <row r="2131" spans="1:8" hidden="1" x14ac:dyDescent="0.35">
      <c r="A2131" s="29" t="s">
        <v>21</v>
      </c>
      <c r="B2131" s="29" t="str">
        <f t="shared" si="33"/>
        <v>PLM-00</v>
      </c>
      <c r="C2131" s="29" t="s">
        <v>7377</v>
      </c>
      <c r="D2131" s="67" t="s">
        <v>7378</v>
      </c>
      <c r="E2131" s="96" t="s">
        <v>62</v>
      </c>
      <c r="F2131" s="29" t="s">
        <v>61</v>
      </c>
      <c r="G2131" s="29"/>
      <c r="H2131" s="103">
        <f>_xlfn.XLOOKUP(B2131,GM!$Q$5:$Q$756,GM!$J$5:$J$756)</f>
        <v>45202</v>
      </c>
    </row>
    <row r="2132" spans="1:8" hidden="1" x14ac:dyDescent="0.35">
      <c r="A2132" s="29" t="s">
        <v>21</v>
      </c>
      <c r="B2132" s="29" t="str">
        <f t="shared" si="33"/>
        <v>PLM-00</v>
      </c>
      <c r="C2132" s="29" t="s">
        <v>7379</v>
      </c>
      <c r="D2132" s="67" t="s">
        <v>7380</v>
      </c>
      <c r="E2132" s="96" t="s">
        <v>62</v>
      </c>
      <c r="F2132" s="29" t="s">
        <v>61</v>
      </c>
      <c r="G2132" s="29"/>
      <c r="H2132" s="103">
        <f>_xlfn.XLOOKUP(B2132,GM!$Q$5:$Q$756,GM!$J$5:$J$756)</f>
        <v>45202</v>
      </c>
    </row>
    <row r="2133" spans="1:8" hidden="1" x14ac:dyDescent="0.35">
      <c r="A2133" s="29" t="s">
        <v>21</v>
      </c>
      <c r="B2133" s="29" t="str">
        <f t="shared" si="33"/>
        <v>PLM-00</v>
      </c>
      <c r="C2133" s="29" t="s">
        <v>7381</v>
      </c>
      <c r="D2133" s="67" t="s">
        <v>7382</v>
      </c>
      <c r="E2133" s="96" t="s">
        <v>62</v>
      </c>
      <c r="F2133" s="29" t="s">
        <v>61</v>
      </c>
      <c r="G2133" s="29"/>
      <c r="H2133" s="103">
        <f>_xlfn.XLOOKUP(B2133,GM!$Q$5:$Q$756,GM!$J$5:$J$756)</f>
        <v>45202</v>
      </c>
    </row>
    <row r="2134" spans="1:8" hidden="1" x14ac:dyDescent="0.35">
      <c r="A2134" s="29" t="s">
        <v>21</v>
      </c>
      <c r="B2134" s="29" t="str">
        <f t="shared" si="33"/>
        <v>PLM-00</v>
      </c>
      <c r="C2134" s="29" t="s">
        <v>7383</v>
      </c>
      <c r="D2134" s="67" t="s">
        <v>7384</v>
      </c>
      <c r="E2134" s="96" t="s">
        <v>62</v>
      </c>
      <c r="F2134" s="29" t="s">
        <v>61</v>
      </c>
      <c r="G2134" s="29"/>
      <c r="H2134" s="103">
        <f>_xlfn.XLOOKUP(B2134,GM!$Q$5:$Q$756,GM!$J$5:$J$756)</f>
        <v>45202</v>
      </c>
    </row>
    <row r="2135" spans="1:8" hidden="1" x14ac:dyDescent="0.35">
      <c r="A2135" s="29" t="s">
        <v>21</v>
      </c>
      <c r="B2135" s="29" t="str">
        <f t="shared" si="33"/>
        <v>PLM-00</v>
      </c>
      <c r="C2135" s="29" t="s">
        <v>7385</v>
      </c>
      <c r="D2135" s="67" t="s">
        <v>7386</v>
      </c>
      <c r="E2135" s="96" t="s">
        <v>62</v>
      </c>
      <c r="F2135" s="29" t="s">
        <v>61</v>
      </c>
      <c r="G2135" s="29"/>
      <c r="H2135" s="103">
        <f>_xlfn.XLOOKUP(B2135,GM!$Q$5:$Q$756,GM!$J$5:$J$756)</f>
        <v>45202</v>
      </c>
    </row>
    <row r="2136" spans="1:8" hidden="1" x14ac:dyDescent="0.35">
      <c r="A2136" s="29" t="s">
        <v>21</v>
      </c>
      <c r="B2136" s="29" t="str">
        <f t="shared" si="33"/>
        <v>PLM-00</v>
      </c>
      <c r="C2136" s="29" t="s">
        <v>7387</v>
      </c>
      <c r="D2136" s="67" t="s">
        <v>7388</v>
      </c>
      <c r="E2136" s="96" t="s">
        <v>62</v>
      </c>
      <c r="F2136" s="29" t="s">
        <v>61</v>
      </c>
      <c r="G2136" s="29"/>
      <c r="H2136" s="103">
        <f>_xlfn.XLOOKUP(B2136,GM!$Q$5:$Q$756,GM!$J$5:$J$756)</f>
        <v>45202</v>
      </c>
    </row>
    <row r="2137" spans="1:8" hidden="1" x14ac:dyDescent="0.35">
      <c r="A2137" s="29" t="s">
        <v>21</v>
      </c>
      <c r="B2137" s="29" t="str">
        <f t="shared" si="33"/>
        <v>PLM-00</v>
      </c>
      <c r="C2137" s="29" t="s">
        <v>7389</v>
      </c>
      <c r="D2137" s="67" t="s">
        <v>7390</v>
      </c>
      <c r="E2137" s="96" t="s">
        <v>62</v>
      </c>
      <c r="F2137" s="29" t="s">
        <v>61</v>
      </c>
      <c r="G2137" s="29"/>
      <c r="H2137" s="103">
        <f>_xlfn.XLOOKUP(B2137,GM!$Q$5:$Q$756,GM!$J$5:$J$756)</f>
        <v>45202</v>
      </c>
    </row>
    <row r="2138" spans="1:8" hidden="1" x14ac:dyDescent="0.35">
      <c r="A2138" s="29" t="s">
        <v>21</v>
      </c>
      <c r="B2138" s="29" t="str">
        <f t="shared" si="33"/>
        <v>PLM-00</v>
      </c>
      <c r="C2138" s="29" t="s">
        <v>7391</v>
      </c>
      <c r="D2138" s="67" t="s">
        <v>7392</v>
      </c>
      <c r="E2138" s="96" t="s">
        <v>62</v>
      </c>
      <c r="F2138" s="29" t="s">
        <v>61</v>
      </c>
      <c r="G2138" s="29"/>
      <c r="H2138" s="103">
        <f>_xlfn.XLOOKUP(B2138,GM!$Q$5:$Q$756,GM!$J$5:$J$756)</f>
        <v>45202</v>
      </c>
    </row>
    <row r="2139" spans="1:8" hidden="1" x14ac:dyDescent="0.35">
      <c r="A2139" s="29" t="s">
        <v>21</v>
      </c>
      <c r="B2139" s="29" t="str">
        <f t="shared" si="33"/>
        <v>PLM-01</v>
      </c>
      <c r="C2139" s="29" t="s">
        <v>7393</v>
      </c>
      <c r="D2139" s="67" t="s">
        <v>7394</v>
      </c>
      <c r="E2139" s="96" t="s">
        <v>62</v>
      </c>
      <c r="F2139" s="29" t="s">
        <v>61</v>
      </c>
      <c r="G2139" s="29"/>
      <c r="H2139" s="103">
        <f>_xlfn.XLOOKUP(B2139,GM!$Q$5:$Q$756,GM!$J$5:$J$756)</f>
        <v>44739</v>
      </c>
    </row>
    <row r="2140" spans="1:8" hidden="1" x14ac:dyDescent="0.35">
      <c r="A2140" s="29" t="s">
        <v>21</v>
      </c>
      <c r="B2140" s="29" t="str">
        <f t="shared" si="33"/>
        <v>PLM-01</v>
      </c>
      <c r="C2140" s="29" t="s">
        <v>7395</v>
      </c>
      <c r="D2140" s="67" t="s">
        <v>7396</v>
      </c>
      <c r="E2140" s="96" t="s">
        <v>62</v>
      </c>
      <c r="F2140" s="29" t="s">
        <v>61</v>
      </c>
      <c r="G2140" s="29"/>
      <c r="H2140" s="103">
        <f>_xlfn.XLOOKUP(B2140,GM!$Q$5:$Q$756,GM!$J$5:$J$756)</f>
        <v>44739</v>
      </c>
    </row>
    <row r="2141" spans="1:8" hidden="1" x14ac:dyDescent="0.35">
      <c r="A2141" s="29" t="s">
        <v>21</v>
      </c>
      <c r="B2141" s="29" t="str">
        <f t="shared" si="33"/>
        <v>PLM-01</v>
      </c>
      <c r="C2141" s="29" t="s">
        <v>7397</v>
      </c>
      <c r="D2141" s="67" t="s">
        <v>7398</v>
      </c>
      <c r="E2141" s="96" t="s">
        <v>62</v>
      </c>
      <c r="F2141" s="29" t="s">
        <v>61</v>
      </c>
      <c r="G2141" s="29"/>
      <c r="H2141" s="103">
        <f>_xlfn.XLOOKUP(B2141,GM!$Q$5:$Q$756,GM!$J$5:$J$756)</f>
        <v>44739</v>
      </c>
    </row>
    <row r="2142" spans="1:8" hidden="1" x14ac:dyDescent="0.35">
      <c r="A2142" s="29" t="s">
        <v>21</v>
      </c>
      <c r="B2142" s="29" t="str">
        <f t="shared" si="33"/>
        <v>PLM-01</v>
      </c>
      <c r="C2142" s="29" t="s">
        <v>7399</v>
      </c>
      <c r="D2142" s="67" t="s">
        <v>7400</v>
      </c>
      <c r="E2142" s="96" t="s">
        <v>62</v>
      </c>
      <c r="F2142" s="29" t="s">
        <v>61</v>
      </c>
      <c r="G2142" s="29"/>
      <c r="H2142" s="103">
        <f>_xlfn.XLOOKUP(B2142,GM!$Q$5:$Q$756,GM!$J$5:$J$756)</f>
        <v>44739</v>
      </c>
    </row>
    <row r="2143" spans="1:8" hidden="1" x14ac:dyDescent="0.35">
      <c r="A2143" s="29" t="s">
        <v>21</v>
      </c>
      <c r="B2143" s="29" t="str">
        <f t="shared" si="33"/>
        <v>PLM-01</v>
      </c>
      <c r="C2143" s="29" t="s">
        <v>7401</v>
      </c>
      <c r="D2143" s="67" t="s">
        <v>7402</v>
      </c>
      <c r="E2143" s="96" t="s">
        <v>62</v>
      </c>
      <c r="F2143" s="29" t="s">
        <v>61</v>
      </c>
      <c r="G2143" s="29"/>
      <c r="H2143" s="103">
        <f>_xlfn.XLOOKUP(B2143,GM!$Q$5:$Q$756,GM!$J$5:$J$756)</f>
        <v>44739</v>
      </c>
    </row>
    <row r="2144" spans="1:8" hidden="1" x14ac:dyDescent="0.35">
      <c r="A2144" s="29" t="s">
        <v>21</v>
      </c>
      <c r="B2144" s="29" t="str">
        <f t="shared" si="33"/>
        <v>PLM-01</v>
      </c>
      <c r="C2144" s="29" t="s">
        <v>7403</v>
      </c>
      <c r="D2144" s="67" t="s">
        <v>7404</v>
      </c>
      <c r="E2144" s="96" t="s">
        <v>62</v>
      </c>
      <c r="F2144" s="29" t="s">
        <v>61</v>
      </c>
      <c r="G2144" s="29"/>
      <c r="H2144" s="103">
        <f>_xlfn.XLOOKUP(B2144,GM!$Q$5:$Q$756,GM!$J$5:$J$756)</f>
        <v>44739</v>
      </c>
    </row>
    <row r="2145" spans="1:8" hidden="1" x14ac:dyDescent="0.35">
      <c r="A2145" s="29" t="s">
        <v>21</v>
      </c>
      <c r="B2145" s="29" t="str">
        <f t="shared" si="33"/>
        <v>PLM-01</v>
      </c>
      <c r="C2145" s="29" t="s">
        <v>7405</v>
      </c>
      <c r="D2145" s="67" t="s">
        <v>7406</v>
      </c>
      <c r="E2145" s="96" t="s">
        <v>62</v>
      </c>
      <c r="F2145" s="29" t="s">
        <v>61</v>
      </c>
      <c r="G2145" s="29"/>
      <c r="H2145" s="103">
        <f>_xlfn.XLOOKUP(B2145,GM!$Q$5:$Q$756,GM!$J$5:$J$756)</f>
        <v>44739</v>
      </c>
    </row>
    <row r="2146" spans="1:8" hidden="1" x14ac:dyDescent="0.35">
      <c r="A2146" s="29" t="s">
        <v>21</v>
      </c>
      <c r="B2146" s="29" t="str">
        <f t="shared" si="33"/>
        <v>PLM-01</v>
      </c>
      <c r="C2146" s="29" t="s">
        <v>7407</v>
      </c>
      <c r="D2146" s="67" t="s">
        <v>7408</v>
      </c>
      <c r="E2146" s="96" t="s">
        <v>62</v>
      </c>
      <c r="F2146" s="29" t="s">
        <v>61</v>
      </c>
      <c r="G2146" s="29"/>
      <c r="H2146" s="103">
        <f>_xlfn.XLOOKUP(B2146,GM!$Q$5:$Q$756,GM!$J$5:$J$756)</f>
        <v>44739</v>
      </c>
    </row>
    <row r="2147" spans="1:8" hidden="1" x14ac:dyDescent="0.35">
      <c r="A2147" s="29" t="s">
        <v>21</v>
      </c>
      <c r="B2147" s="29" t="str">
        <f t="shared" si="33"/>
        <v>PLM-01</v>
      </c>
      <c r="C2147" s="29" t="s">
        <v>7409</v>
      </c>
      <c r="D2147" s="67" t="s">
        <v>7410</v>
      </c>
      <c r="E2147" s="96" t="s">
        <v>62</v>
      </c>
      <c r="F2147" s="29" t="s">
        <v>61</v>
      </c>
      <c r="G2147" s="29"/>
      <c r="H2147" s="103">
        <f>_xlfn.XLOOKUP(B2147,GM!$Q$5:$Q$756,GM!$J$5:$J$756)</f>
        <v>44739</v>
      </c>
    </row>
    <row r="2148" spans="1:8" hidden="1" x14ac:dyDescent="0.35">
      <c r="A2148" s="29" t="s">
        <v>21</v>
      </c>
      <c r="B2148" s="29" t="str">
        <f t="shared" si="33"/>
        <v>PLM-01</v>
      </c>
      <c r="C2148" s="29" t="s">
        <v>7411</v>
      </c>
      <c r="D2148" s="67" t="s">
        <v>7412</v>
      </c>
      <c r="E2148" s="96" t="s">
        <v>62</v>
      </c>
      <c r="F2148" s="29" t="s">
        <v>61</v>
      </c>
      <c r="G2148" s="29"/>
      <c r="H2148" s="103">
        <f>_xlfn.XLOOKUP(B2148,GM!$Q$5:$Q$756,GM!$J$5:$J$756)</f>
        <v>44739</v>
      </c>
    </row>
    <row r="2149" spans="1:8" hidden="1" x14ac:dyDescent="0.35">
      <c r="A2149" s="29" t="s">
        <v>21</v>
      </c>
      <c r="B2149" s="29" t="str">
        <f t="shared" si="33"/>
        <v>PLM-01</v>
      </c>
      <c r="C2149" s="29" t="s">
        <v>7413</v>
      </c>
      <c r="D2149" s="67" t="s">
        <v>7414</v>
      </c>
      <c r="E2149" s="96" t="s">
        <v>62</v>
      </c>
      <c r="F2149" s="29" t="s">
        <v>61</v>
      </c>
      <c r="G2149" s="29"/>
      <c r="H2149" s="103">
        <f>_xlfn.XLOOKUP(B2149,GM!$Q$5:$Q$756,GM!$J$5:$J$756)</f>
        <v>44739</v>
      </c>
    </row>
    <row r="2150" spans="1:8" hidden="1" x14ac:dyDescent="0.35">
      <c r="A2150" s="29" t="s">
        <v>21</v>
      </c>
      <c r="B2150" s="29" t="str">
        <f t="shared" si="33"/>
        <v>PLM-01</v>
      </c>
      <c r="C2150" s="29" t="s">
        <v>7415</v>
      </c>
      <c r="D2150" s="67" t="s">
        <v>7416</v>
      </c>
      <c r="E2150" s="96" t="s">
        <v>62</v>
      </c>
      <c r="F2150" s="29" t="s">
        <v>61</v>
      </c>
      <c r="G2150" s="29"/>
      <c r="H2150" s="103">
        <f>_xlfn.XLOOKUP(B2150,GM!$Q$5:$Q$756,GM!$J$5:$J$756)</f>
        <v>44739</v>
      </c>
    </row>
    <row r="2151" spans="1:8" hidden="1" x14ac:dyDescent="0.35">
      <c r="A2151" s="29" t="s">
        <v>21</v>
      </c>
      <c r="B2151" s="29" t="str">
        <f t="shared" si="33"/>
        <v>PLM-01</v>
      </c>
      <c r="C2151" s="29" t="s">
        <v>7417</v>
      </c>
      <c r="D2151" s="67" t="s">
        <v>7418</v>
      </c>
      <c r="E2151" s="96" t="s">
        <v>62</v>
      </c>
      <c r="F2151" s="29" t="s">
        <v>61</v>
      </c>
      <c r="G2151" s="29"/>
      <c r="H2151" s="103">
        <f>_xlfn.XLOOKUP(B2151,GM!$Q$5:$Q$756,GM!$J$5:$J$756)</f>
        <v>44739</v>
      </c>
    </row>
    <row r="2152" spans="1:8" hidden="1" x14ac:dyDescent="0.35">
      <c r="A2152" s="29" t="s">
        <v>21</v>
      </c>
      <c r="B2152" s="29" t="str">
        <f t="shared" si="33"/>
        <v>PLM-01</v>
      </c>
      <c r="C2152" s="29" t="s">
        <v>7419</v>
      </c>
      <c r="D2152" s="67" t="s">
        <v>7420</v>
      </c>
      <c r="E2152" s="96" t="s">
        <v>62</v>
      </c>
      <c r="F2152" s="29" t="s">
        <v>61</v>
      </c>
      <c r="G2152" s="29"/>
      <c r="H2152" s="103">
        <f>_xlfn.XLOOKUP(B2152,GM!$Q$5:$Q$756,GM!$J$5:$J$756)</f>
        <v>44739</v>
      </c>
    </row>
    <row r="2153" spans="1:8" hidden="1" x14ac:dyDescent="0.35">
      <c r="A2153" s="29" t="s">
        <v>21</v>
      </c>
      <c r="B2153" s="29" t="str">
        <f t="shared" si="33"/>
        <v>PLM-01</v>
      </c>
      <c r="C2153" s="29" t="s">
        <v>7421</v>
      </c>
      <c r="D2153" s="67" t="s">
        <v>7422</v>
      </c>
      <c r="E2153" s="96" t="s">
        <v>62</v>
      </c>
      <c r="F2153" s="29" t="s">
        <v>61</v>
      </c>
      <c r="G2153" s="29"/>
      <c r="H2153" s="103">
        <f>_xlfn.XLOOKUP(B2153,GM!$Q$5:$Q$756,GM!$J$5:$J$756)</f>
        <v>44739</v>
      </c>
    </row>
    <row r="2154" spans="1:8" hidden="1" x14ac:dyDescent="0.35">
      <c r="A2154" s="29" t="s">
        <v>21</v>
      </c>
      <c r="B2154" s="29" t="str">
        <f t="shared" si="33"/>
        <v>PLM-01</v>
      </c>
      <c r="C2154" s="29" t="s">
        <v>7423</v>
      </c>
      <c r="D2154" s="67" t="s">
        <v>7424</v>
      </c>
      <c r="E2154" s="96" t="s">
        <v>62</v>
      </c>
      <c r="F2154" s="29" t="s">
        <v>61</v>
      </c>
      <c r="G2154" s="29"/>
      <c r="H2154" s="103">
        <f>_xlfn.XLOOKUP(B2154,GM!$Q$5:$Q$756,GM!$J$5:$J$756)</f>
        <v>44739</v>
      </c>
    </row>
    <row r="2155" spans="1:8" hidden="1" x14ac:dyDescent="0.35">
      <c r="A2155" s="29" t="s">
        <v>21</v>
      </c>
      <c r="B2155" s="29" t="str">
        <f t="shared" si="33"/>
        <v>PLM-01</v>
      </c>
      <c r="C2155" s="29" t="s">
        <v>7425</v>
      </c>
      <c r="D2155" s="67" t="s">
        <v>7426</v>
      </c>
      <c r="E2155" s="96" t="s">
        <v>62</v>
      </c>
      <c r="F2155" s="29" t="s">
        <v>61</v>
      </c>
      <c r="G2155" s="29"/>
      <c r="H2155" s="103">
        <f>_xlfn.XLOOKUP(B2155,GM!$Q$5:$Q$756,GM!$J$5:$J$756)</f>
        <v>44739</v>
      </c>
    </row>
    <row r="2156" spans="1:8" hidden="1" x14ac:dyDescent="0.35">
      <c r="A2156" s="29" t="s">
        <v>21</v>
      </c>
      <c r="B2156" s="29" t="str">
        <f t="shared" si="33"/>
        <v>PLM-01</v>
      </c>
      <c r="C2156" s="29" t="s">
        <v>7427</v>
      </c>
      <c r="D2156" s="67" t="s">
        <v>7428</v>
      </c>
      <c r="E2156" s="96" t="s">
        <v>62</v>
      </c>
      <c r="F2156" s="29" t="s">
        <v>61</v>
      </c>
      <c r="G2156" s="29"/>
      <c r="H2156" s="103">
        <f>_xlfn.XLOOKUP(B2156,GM!$Q$5:$Q$756,GM!$J$5:$J$756)</f>
        <v>44739</v>
      </c>
    </row>
    <row r="2157" spans="1:8" hidden="1" x14ac:dyDescent="0.35">
      <c r="A2157" s="29" t="s">
        <v>21</v>
      </c>
      <c r="B2157" s="29" t="str">
        <f t="shared" si="33"/>
        <v>PLM-01</v>
      </c>
      <c r="C2157" s="29" t="s">
        <v>7429</v>
      </c>
      <c r="D2157" s="67" t="s">
        <v>7430</v>
      </c>
      <c r="E2157" s="96" t="s">
        <v>62</v>
      </c>
      <c r="F2157" s="29" t="s">
        <v>61</v>
      </c>
      <c r="G2157" s="29"/>
      <c r="H2157" s="103">
        <f>_xlfn.XLOOKUP(B2157,GM!$Q$5:$Q$756,GM!$J$5:$J$756)</f>
        <v>44739</v>
      </c>
    </row>
    <row r="2158" spans="1:8" hidden="1" x14ac:dyDescent="0.35">
      <c r="A2158" s="29" t="s">
        <v>21</v>
      </c>
      <c r="B2158" s="29" t="str">
        <f t="shared" si="33"/>
        <v>PLM-01</v>
      </c>
      <c r="C2158" s="29" t="s">
        <v>7431</v>
      </c>
      <c r="D2158" s="67" t="s">
        <v>7432</v>
      </c>
      <c r="E2158" s="96" t="s">
        <v>62</v>
      </c>
      <c r="F2158" s="29" t="s">
        <v>61</v>
      </c>
      <c r="G2158" s="29"/>
      <c r="H2158" s="103">
        <f>_xlfn.XLOOKUP(B2158,GM!$Q$5:$Q$756,GM!$J$5:$J$756)</f>
        <v>44739</v>
      </c>
    </row>
    <row r="2159" spans="1:8" hidden="1" x14ac:dyDescent="0.35">
      <c r="A2159" s="29" t="s">
        <v>21</v>
      </c>
      <c r="B2159" s="29" t="str">
        <f t="shared" si="33"/>
        <v>PLM-01</v>
      </c>
      <c r="C2159" s="29" t="s">
        <v>7433</v>
      </c>
      <c r="D2159" s="67" t="s">
        <v>7434</v>
      </c>
      <c r="E2159" s="96" t="s">
        <v>62</v>
      </c>
      <c r="F2159" s="29" t="s">
        <v>61</v>
      </c>
      <c r="G2159" s="29"/>
      <c r="H2159" s="103">
        <f>_xlfn.XLOOKUP(B2159,GM!$Q$5:$Q$756,GM!$J$5:$J$756)</f>
        <v>44739</v>
      </c>
    </row>
    <row r="2160" spans="1:8" hidden="1" x14ac:dyDescent="0.35">
      <c r="A2160" s="29" t="s">
        <v>21</v>
      </c>
      <c r="B2160" s="29" t="str">
        <f t="shared" si="33"/>
        <v>PLM-01</v>
      </c>
      <c r="C2160" s="29" t="s">
        <v>7435</v>
      </c>
      <c r="D2160" s="67" t="s">
        <v>7436</v>
      </c>
      <c r="E2160" s="96" t="s">
        <v>62</v>
      </c>
      <c r="F2160" s="29" t="s">
        <v>61</v>
      </c>
      <c r="G2160" s="29"/>
      <c r="H2160" s="103">
        <f>_xlfn.XLOOKUP(B2160,GM!$Q$5:$Q$756,GM!$J$5:$J$756)</f>
        <v>44739</v>
      </c>
    </row>
    <row r="2161" spans="1:8" hidden="1" x14ac:dyDescent="0.35">
      <c r="A2161" s="29" t="s">
        <v>21</v>
      </c>
      <c r="B2161" s="29" t="str">
        <f t="shared" si="33"/>
        <v>PLM-01</v>
      </c>
      <c r="C2161" s="29" t="s">
        <v>7437</v>
      </c>
      <c r="D2161" s="67" t="s">
        <v>7438</v>
      </c>
      <c r="E2161" s="96" t="s">
        <v>62</v>
      </c>
      <c r="F2161" s="29" t="s">
        <v>61</v>
      </c>
      <c r="G2161" s="29"/>
      <c r="H2161" s="103">
        <f>_xlfn.XLOOKUP(B2161,GM!$Q$5:$Q$756,GM!$J$5:$J$756)</f>
        <v>44739</v>
      </c>
    </row>
    <row r="2162" spans="1:8" hidden="1" x14ac:dyDescent="0.35">
      <c r="A2162" s="29" t="s">
        <v>21</v>
      </c>
      <c r="B2162" s="29" t="str">
        <f t="shared" si="33"/>
        <v>PLM-01</v>
      </c>
      <c r="C2162" s="29" t="s">
        <v>7439</v>
      </c>
      <c r="D2162" s="67" t="s">
        <v>7440</v>
      </c>
      <c r="E2162" s="96" t="s">
        <v>62</v>
      </c>
      <c r="F2162" s="29" t="s">
        <v>61</v>
      </c>
      <c r="G2162" s="29"/>
      <c r="H2162" s="103">
        <f>_xlfn.XLOOKUP(B2162,GM!$Q$5:$Q$756,GM!$J$5:$J$756)</f>
        <v>44739</v>
      </c>
    </row>
    <row r="2163" spans="1:8" hidden="1" x14ac:dyDescent="0.35">
      <c r="A2163" s="29" t="s">
        <v>21</v>
      </c>
      <c r="B2163" s="29" t="str">
        <f t="shared" si="33"/>
        <v>PLM-01</v>
      </c>
      <c r="C2163" s="29" t="s">
        <v>7441</v>
      </c>
      <c r="D2163" s="67" t="s">
        <v>7442</v>
      </c>
      <c r="E2163" s="96" t="s">
        <v>62</v>
      </c>
      <c r="F2163" s="29" t="s">
        <v>61</v>
      </c>
      <c r="G2163" s="29"/>
      <c r="H2163" s="103">
        <f>_xlfn.XLOOKUP(B2163,GM!$Q$5:$Q$756,GM!$J$5:$J$756)</f>
        <v>44739</v>
      </c>
    </row>
    <row r="2164" spans="1:8" hidden="1" x14ac:dyDescent="0.35">
      <c r="A2164" s="29" t="s">
        <v>21</v>
      </c>
      <c r="B2164" s="29" t="str">
        <f t="shared" si="33"/>
        <v>PLM-01</v>
      </c>
      <c r="C2164" s="29" t="s">
        <v>7443</v>
      </c>
      <c r="D2164" s="67" t="s">
        <v>7444</v>
      </c>
      <c r="E2164" s="96" t="s">
        <v>62</v>
      </c>
      <c r="F2164" s="29" t="s">
        <v>61</v>
      </c>
      <c r="G2164" s="29"/>
      <c r="H2164" s="103">
        <f>_xlfn.XLOOKUP(B2164,GM!$Q$5:$Q$756,GM!$J$5:$J$756)</f>
        <v>44739</v>
      </c>
    </row>
    <row r="2165" spans="1:8" hidden="1" x14ac:dyDescent="0.35">
      <c r="A2165" s="29" t="s">
        <v>21</v>
      </c>
      <c r="B2165" s="29" t="str">
        <f t="shared" si="33"/>
        <v>PLM-02</v>
      </c>
      <c r="C2165" s="29" t="s">
        <v>7445</v>
      </c>
      <c r="D2165" s="67" t="s">
        <v>7446</v>
      </c>
      <c r="E2165" s="96" t="s">
        <v>62</v>
      </c>
      <c r="F2165" s="29" t="s">
        <v>61</v>
      </c>
      <c r="G2165" s="29"/>
      <c r="H2165" s="103">
        <f>_xlfn.XLOOKUP(B2165,GM!$Q$5:$Q$756,GM!$J$5:$J$756)</f>
        <v>44739</v>
      </c>
    </row>
    <row r="2166" spans="1:8" hidden="1" x14ac:dyDescent="0.35">
      <c r="A2166" s="29" t="s">
        <v>21</v>
      </c>
      <c r="B2166" s="29" t="str">
        <f t="shared" si="33"/>
        <v>PLM-02</v>
      </c>
      <c r="C2166" s="29" t="s">
        <v>7447</v>
      </c>
      <c r="D2166" s="67" t="s">
        <v>7448</v>
      </c>
      <c r="E2166" s="96" t="s">
        <v>62</v>
      </c>
      <c r="F2166" s="29" t="s">
        <v>61</v>
      </c>
      <c r="G2166" s="29"/>
      <c r="H2166" s="103">
        <f>_xlfn.XLOOKUP(B2166,GM!$Q$5:$Q$756,GM!$J$5:$J$756)</f>
        <v>44739</v>
      </c>
    </row>
    <row r="2167" spans="1:8" hidden="1" x14ac:dyDescent="0.35">
      <c r="A2167" s="29" t="s">
        <v>21</v>
      </c>
      <c r="B2167" s="29" t="str">
        <f t="shared" si="33"/>
        <v>PLM-02</v>
      </c>
      <c r="C2167" s="29" t="s">
        <v>7449</v>
      </c>
      <c r="D2167" s="67" t="s">
        <v>7450</v>
      </c>
      <c r="E2167" s="96" t="s">
        <v>62</v>
      </c>
      <c r="F2167" s="29" t="s">
        <v>61</v>
      </c>
      <c r="G2167" s="29"/>
      <c r="H2167" s="103">
        <f>_xlfn.XLOOKUP(B2167,GM!$Q$5:$Q$756,GM!$J$5:$J$756)</f>
        <v>44739</v>
      </c>
    </row>
    <row r="2168" spans="1:8" hidden="1" x14ac:dyDescent="0.35">
      <c r="A2168" s="29" t="s">
        <v>21</v>
      </c>
      <c r="B2168" s="29" t="str">
        <f t="shared" si="33"/>
        <v>PLM-02</v>
      </c>
      <c r="C2168" s="29" t="s">
        <v>7451</v>
      </c>
      <c r="D2168" s="67" t="s">
        <v>7452</v>
      </c>
      <c r="E2168" s="96" t="s">
        <v>62</v>
      </c>
      <c r="F2168" s="29" t="s">
        <v>61</v>
      </c>
      <c r="G2168" s="29"/>
      <c r="H2168" s="103">
        <f>_xlfn.XLOOKUP(B2168,GM!$Q$5:$Q$756,GM!$J$5:$J$756)</f>
        <v>44739</v>
      </c>
    </row>
    <row r="2169" spans="1:8" hidden="1" x14ac:dyDescent="0.35">
      <c r="A2169" s="29" t="s">
        <v>21</v>
      </c>
      <c r="B2169" s="29" t="str">
        <f t="shared" si="33"/>
        <v>PLM-02</v>
      </c>
      <c r="C2169" s="29" t="s">
        <v>7453</v>
      </c>
      <c r="D2169" s="67" t="s">
        <v>7454</v>
      </c>
      <c r="E2169" s="96" t="s">
        <v>62</v>
      </c>
      <c r="F2169" s="29" t="s">
        <v>61</v>
      </c>
      <c r="G2169" s="29"/>
      <c r="H2169" s="103">
        <f>_xlfn.XLOOKUP(B2169,GM!$Q$5:$Q$756,GM!$J$5:$J$756)</f>
        <v>44739</v>
      </c>
    </row>
    <row r="2170" spans="1:8" hidden="1" x14ac:dyDescent="0.35">
      <c r="A2170" s="29" t="s">
        <v>21</v>
      </c>
      <c r="B2170" s="29" t="str">
        <f t="shared" si="33"/>
        <v>PLM-02</v>
      </c>
      <c r="C2170" s="29" t="s">
        <v>7455</v>
      </c>
      <c r="D2170" s="67" t="s">
        <v>7456</v>
      </c>
      <c r="E2170" s="96" t="s">
        <v>62</v>
      </c>
      <c r="F2170" s="29" t="s">
        <v>61</v>
      </c>
      <c r="G2170" s="29"/>
      <c r="H2170" s="103">
        <f>_xlfn.XLOOKUP(B2170,GM!$Q$5:$Q$756,GM!$J$5:$J$756)</f>
        <v>44739</v>
      </c>
    </row>
    <row r="2171" spans="1:8" hidden="1" x14ac:dyDescent="0.35">
      <c r="A2171" s="29" t="s">
        <v>21</v>
      </c>
      <c r="B2171" s="29" t="str">
        <f t="shared" si="33"/>
        <v>PLM-02</v>
      </c>
      <c r="C2171" s="29" t="s">
        <v>7457</v>
      </c>
      <c r="D2171" s="67" t="s">
        <v>7458</v>
      </c>
      <c r="E2171" s="96" t="s">
        <v>62</v>
      </c>
      <c r="F2171" s="29" t="s">
        <v>61</v>
      </c>
      <c r="G2171" s="29"/>
      <c r="H2171" s="103">
        <f>_xlfn.XLOOKUP(B2171,GM!$Q$5:$Q$756,GM!$J$5:$J$756)</f>
        <v>44739</v>
      </c>
    </row>
    <row r="2172" spans="1:8" hidden="1" x14ac:dyDescent="0.35">
      <c r="A2172" s="29" t="s">
        <v>21</v>
      </c>
      <c r="B2172" s="29" t="str">
        <f t="shared" si="33"/>
        <v>PLM-03</v>
      </c>
      <c r="C2172" s="29" t="s">
        <v>7459</v>
      </c>
      <c r="D2172" s="67" t="s">
        <v>7460</v>
      </c>
      <c r="E2172" s="96" t="s">
        <v>62</v>
      </c>
      <c r="F2172" s="29" t="s">
        <v>61</v>
      </c>
      <c r="G2172" s="29"/>
      <c r="H2172" s="103">
        <f>_xlfn.XLOOKUP(B2172,GM!$Q$5:$Q$756,GM!$J$5:$J$756)</f>
        <v>45506</v>
      </c>
    </row>
    <row r="2173" spans="1:8" hidden="1" x14ac:dyDescent="0.35">
      <c r="A2173" s="29" t="s">
        <v>21</v>
      </c>
      <c r="B2173" s="29" t="str">
        <f t="shared" si="33"/>
        <v>PLM-03</v>
      </c>
      <c r="C2173" s="29" t="s">
        <v>7461</v>
      </c>
      <c r="D2173" s="67" t="s">
        <v>7462</v>
      </c>
      <c r="E2173" s="96" t="s">
        <v>62</v>
      </c>
      <c r="F2173" s="29" t="s">
        <v>61</v>
      </c>
      <c r="G2173" s="29"/>
      <c r="H2173" s="103">
        <f>_xlfn.XLOOKUP(B2173,GM!$Q$5:$Q$756,GM!$J$5:$J$756)</f>
        <v>45506</v>
      </c>
    </row>
    <row r="2174" spans="1:8" hidden="1" x14ac:dyDescent="0.35">
      <c r="A2174" s="29" t="s">
        <v>21</v>
      </c>
      <c r="B2174" s="29" t="str">
        <f t="shared" si="33"/>
        <v>PLM-03</v>
      </c>
      <c r="C2174" s="29" t="s">
        <v>7463</v>
      </c>
      <c r="D2174" s="67" t="s">
        <v>7464</v>
      </c>
      <c r="E2174" s="96" t="s">
        <v>62</v>
      </c>
      <c r="F2174" s="29" t="s">
        <v>61</v>
      </c>
      <c r="G2174" s="29"/>
      <c r="H2174" s="103">
        <f>_xlfn.XLOOKUP(B2174,GM!$Q$5:$Q$756,GM!$J$5:$J$756)</f>
        <v>45506</v>
      </c>
    </row>
    <row r="2175" spans="1:8" hidden="1" x14ac:dyDescent="0.35">
      <c r="A2175" s="29" t="s">
        <v>21</v>
      </c>
      <c r="B2175" s="29" t="str">
        <f t="shared" si="33"/>
        <v>PLM-03</v>
      </c>
      <c r="C2175" s="29" t="s">
        <v>7465</v>
      </c>
      <c r="D2175" s="67" t="s">
        <v>7466</v>
      </c>
      <c r="E2175" s="96" t="s">
        <v>62</v>
      </c>
      <c r="F2175" s="29" t="s">
        <v>61</v>
      </c>
      <c r="G2175" s="29"/>
      <c r="H2175" s="103">
        <f>_xlfn.XLOOKUP(B2175,GM!$Q$5:$Q$756,GM!$J$5:$J$756)</f>
        <v>45506</v>
      </c>
    </row>
    <row r="2176" spans="1:8" hidden="1" x14ac:dyDescent="0.35">
      <c r="A2176" s="29" t="s">
        <v>21</v>
      </c>
      <c r="B2176" s="29" t="str">
        <f t="shared" si="33"/>
        <v>PLM-03</v>
      </c>
      <c r="C2176" s="29" t="s">
        <v>7467</v>
      </c>
      <c r="D2176" s="67" t="s">
        <v>7468</v>
      </c>
      <c r="E2176" s="96" t="s">
        <v>62</v>
      </c>
      <c r="F2176" s="29" t="s">
        <v>61</v>
      </c>
      <c r="G2176" s="29"/>
      <c r="H2176" s="103">
        <f>_xlfn.XLOOKUP(B2176,GM!$Q$5:$Q$756,GM!$J$5:$J$756)</f>
        <v>45506</v>
      </c>
    </row>
    <row r="2177" spans="1:8" hidden="1" x14ac:dyDescent="0.35">
      <c r="A2177" s="29" t="s">
        <v>21</v>
      </c>
      <c r="B2177" s="29" t="str">
        <f t="shared" si="33"/>
        <v>PLM-03</v>
      </c>
      <c r="C2177" s="29" t="s">
        <v>7469</v>
      </c>
      <c r="D2177" s="67" t="s">
        <v>7470</v>
      </c>
      <c r="E2177" s="96" t="s">
        <v>62</v>
      </c>
      <c r="F2177" s="29" t="s">
        <v>61</v>
      </c>
      <c r="G2177" s="29"/>
      <c r="H2177" s="103">
        <f>_xlfn.XLOOKUP(B2177,GM!$Q$5:$Q$756,GM!$J$5:$J$756)</f>
        <v>45506</v>
      </c>
    </row>
    <row r="2178" spans="1:8" hidden="1" x14ac:dyDescent="0.35">
      <c r="A2178" s="29" t="s">
        <v>21</v>
      </c>
      <c r="B2178" s="29" t="str">
        <f t="shared" si="33"/>
        <v>PLM-03</v>
      </c>
      <c r="C2178" s="29" t="s">
        <v>7471</v>
      </c>
      <c r="D2178" s="67" t="s">
        <v>7472</v>
      </c>
      <c r="E2178" s="96" t="s">
        <v>62</v>
      </c>
      <c r="F2178" s="29" t="s">
        <v>61</v>
      </c>
      <c r="G2178" s="29"/>
      <c r="H2178" s="103">
        <f>_xlfn.XLOOKUP(B2178,GM!$Q$5:$Q$756,GM!$J$5:$J$756)</f>
        <v>45506</v>
      </c>
    </row>
    <row r="2179" spans="1:8" hidden="1" x14ac:dyDescent="0.35">
      <c r="A2179" s="29" t="s">
        <v>21</v>
      </c>
      <c r="B2179" s="29" t="str">
        <f t="shared" si="33"/>
        <v>PLM-03</v>
      </c>
      <c r="C2179" s="29" t="s">
        <v>7473</v>
      </c>
      <c r="D2179" s="67" t="s">
        <v>7474</v>
      </c>
      <c r="E2179" s="96" t="s">
        <v>62</v>
      </c>
      <c r="F2179" s="29" t="s">
        <v>61</v>
      </c>
      <c r="G2179" s="29"/>
      <c r="H2179" s="103">
        <f>_xlfn.XLOOKUP(B2179,GM!$Q$5:$Q$756,GM!$J$5:$J$756)</f>
        <v>45506</v>
      </c>
    </row>
    <row r="2180" spans="1:8" hidden="1" x14ac:dyDescent="0.35">
      <c r="A2180" s="29" t="s">
        <v>21</v>
      </c>
      <c r="B2180" s="29" t="str">
        <f t="shared" si="33"/>
        <v>PLM-03</v>
      </c>
      <c r="C2180" s="29" t="s">
        <v>7475</v>
      </c>
      <c r="D2180" s="67" t="s">
        <v>7476</v>
      </c>
      <c r="E2180" s="96" t="s">
        <v>62</v>
      </c>
      <c r="F2180" s="29" t="s">
        <v>61</v>
      </c>
      <c r="G2180" s="29"/>
      <c r="H2180" s="103">
        <f>_xlfn.XLOOKUP(B2180,GM!$Q$5:$Q$756,GM!$J$5:$J$756)</f>
        <v>45506</v>
      </c>
    </row>
    <row r="2181" spans="1:8" hidden="1" x14ac:dyDescent="0.35">
      <c r="A2181" s="29" t="s">
        <v>21</v>
      </c>
      <c r="B2181" s="29" t="str">
        <f t="shared" ref="B2181:B2244" si="34">IF(OR(A2181="ARN",A2181="SDP"),MID(C2181,4,7),MID(C2181,4,6))</f>
        <v>PLM-03</v>
      </c>
      <c r="C2181" s="29" t="s">
        <v>7477</v>
      </c>
      <c r="D2181" s="67" t="s">
        <v>7478</v>
      </c>
      <c r="E2181" s="96" t="s">
        <v>62</v>
      </c>
      <c r="F2181" s="29" t="s">
        <v>61</v>
      </c>
      <c r="G2181" s="29"/>
      <c r="H2181" s="103">
        <f>_xlfn.XLOOKUP(B2181,GM!$Q$5:$Q$756,GM!$J$5:$J$756)</f>
        <v>45506</v>
      </c>
    </row>
    <row r="2182" spans="1:8" hidden="1" x14ac:dyDescent="0.35">
      <c r="A2182" s="29" t="s">
        <v>21</v>
      </c>
      <c r="B2182" s="29" t="str">
        <f t="shared" si="34"/>
        <v>PLM-03</v>
      </c>
      <c r="C2182" s="29" t="s">
        <v>7479</v>
      </c>
      <c r="D2182" s="67" t="s">
        <v>7480</v>
      </c>
      <c r="E2182" s="96" t="s">
        <v>62</v>
      </c>
      <c r="F2182" s="29" t="s">
        <v>61</v>
      </c>
      <c r="G2182" s="29"/>
      <c r="H2182" s="103">
        <f>_xlfn.XLOOKUP(B2182,GM!$Q$5:$Q$756,GM!$J$5:$J$756)</f>
        <v>45506</v>
      </c>
    </row>
    <row r="2183" spans="1:8" hidden="1" x14ac:dyDescent="0.35">
      <c r="A2183" s="29" t="s">
        <v>21</v>
      </c>
      <c r="B2183" s="29" t="str">
        <f t="shared" si="34"/>
        <v>PLM-03</v>
      </c>
      <c r="C2183" s="29" t="s">
        <v>7481</v>
      </c>
      <c r="D2183" s="67" t="s">
        <v>7482</v>
      </c>
      <c r="E2183" s="96" t="s">
        <v>62</v>
      </c>
      <c r="F2183" s="29" t="s">
        <v>61</v>
      </c>
      <c r="G2183" s="29"/>
      <c r="H2183" s="103">
        <f>_xlfn.XLOOKUP(B2183,GM!$Q$5:$Q$756,GM!$J$5:$J$756)</f>
        <v>45506</v>
      </c>
    </row>
    <row r="2184" spans="1:8" hidden="1" x14ac:dyDescent="0.35">
      <c r="A2184" s="29" t="s">
        <v>21</v>
      </c>
      <c r="B2184" s="29" t="str">
        <f t="shared" si="34"/>
        <v>PLM-03</v>
      </c>
      <c r="C2184" s="29" t="s">
        <v>7483</v>
      </c>
      <c r="D2184" s="67" t="s">
        <v>7484</v>
      </c>
      <c r="E2184" s="96" t="s">
        <v>62</v>
      </c>
      <c r="F2184" s="29" t="s">
        <v>61</v>
      </c>
      <c r="G2184" s="29"/>
      <c r="H2184" s="103">
        <f>_xlfn.XLOOKUP(B2184,GM!$Q$5:$Q$756,GM!$J$5:$J$756)</f>
        <v>45506</v>
      </c>
    </row>
    <row r="2185" spans="1:8" hidden="1" x14ac:dyDescent="0.35">
      <c r="A2185" s="29" t="s">
        <v>21</v>
      </c>
      <c r="B2185" s="29" t="str">
        <f t="shared" si="34"/>
        <v>PLM-03</v>
      </c>
      <c r="C2185" s="29" t="s">
        <v>7485</v>
      </c>
      <c r="D2185" s="67" t="s">
        <v>7486</v>
      </c>
      <c r="E2185" s="96" t="s">
        <v>62</v>
      </c>
      <c r="F2185" s="29" t="s">
        <v>61</v>
      </c>
      <c r="G2185" s="29"/>
      <c r="H2185" s="103">
        <f>_xlfn.XLOOKUP(B2185,GM!$Q$5:$Q$756,GM!$J$5:$J$756)</f>
        <v>45506</v>
      </c>
    </row>
    <row r="2186" spans="1:8" hidden="1" x14ac:dyDescent="0.35">
      <c r="A2186" s="29" t="s">
        <v>21</v>
      </c>
      <c r="B2186" s="29" t="str">
        <f t="shared" si="34"/>
        <v>PLM-03</v>
      </c>
      <c r="C2186" s="29" t="s">
        <v>7487</v>
      </c>
      <c r="D2186" s="67" t="s">
        <v>7488</v>
      </c>
      <c r="E2186" s="96" t="s">
        <v>62</v>
      </c>
      <c r="F2186" s="29" t="s">
        <v>61</v>
      </c>
      <c r="G2186" s="29"/>
      <c r="H2186" s="103">
        <f>_xlfn.XLOOKUP(B2186,GM!$Q$5:$Q$756,GM!$J$5:$J$756)</f>
        <v>45506</v>
      </c>
    </row>
    <row r="2187" spans="1:8" hidden="1" x14ac:dyDescent="0.35">
      <c r="A2187" s="29" t="s">
        <v>21</v>
      </c>
      <c r="B2187" s="29" t="str">
        <f t="shared" si="34"/>
        <v>PLM-04</v>
      </c>
      <c r="C2187" s="29" t="s">
        <v>7489</v>
      </c>
      <c r="D2187" s="67" t="s">
        <v>7490</v>
      </c>
      <c r="E2187" s="96" t="s">
        <v>62</v>
      </c>
      <c r="F2187" s="29" t="s">
        <v>61</v>
      </c>
      <c r="G2187" s="29"/>
      <c r="H2187" s="103">
        <f>_xlfn.XLOOKUP(B2187,GM!$Q$5:$Q$756,GM!$J$5:$J$756)</f>
        <v>46104</v>
      </c>
    </row>
    <row r="2188" spans="1:8" hidden="1" x14ac:dyDescent="0.35">
      <c r="A2188" s="29" t="s">
        <v>21</v>
      </c>
      <c r="B2188" s="29" t="str">
        <f t="shared" si="34"/>
        <v>PLM-04</v>
      </c>
      <c r="C2188" s="29" t="s">
        <v>7491</v>
      </c>
      <c r="D2188" s="67" t="s">
        <v>7492</v>
      </c>
      <c r="E2188" s="96" t="s">
        <v>62</v>
      </c>
      <c r="F2188" s="29" t="s">
        <v>61</v>
      </c>
      <c r="G2188" s="29"/>
      <c r="H2188" s="103">
        <f>_xlfn.XLOOKUP(B2188,GM!$Q$5:$Q$756,GM!$J$5:$J$756)</f>
        <v>46104</v>
      </c>
    </row>
    <row r="2189" spans="1:8" hidden="1" x14ac:dyDescent="0.35">
      <c r="A2189" s="29" t="s">
        <v>21</v>
      </c>
      <c r="B2189" s="29" t="str">
        <f t="shared" si="34"/>
        <v>PLM-04</v>
      </c>
      <c r="C2189" s="29" t="s">
        <v>7493</v>
      </c>
      <c r="D2189" s="67" t="s">
        <v>7494</v>
      </c>
      <c r="E2189" s="96" t="s">
        <v>62</v>
      </c>
      <c r="F2189" s="29" t="s">
        <v>61</v>
      </c>
      <c r="G2189" s="29"/>
      <c r="H2189" s="103">
        <f>_xlfn.XLOOKUP(B2189,GM!$Q$5:$Q$756,GM!$J$5:$J$756)</f>
        <v>46104</v>
      </c>
    </row>
    <row r="2190" spans="1:8" hidden="1" x14ac:dyDescent="0.35">
      <c r="A2190" s="29" t="s">
        <v>21</v>
      </c>
      <c r="B2190" s="29" t="str">
        <f t="shared" si="34"/>
        <v>PLM-04</v>
      </c>
      <c r="C2190" s="29" t="s">
        <v>7495</v>
      </c>
      <c r="D2190" s="67" t="s">
        <v>7496</v>
      </c>
      <c r="E2190" s="96" t="s">
        <v>62</v>
      </c>
      <c r="F2190" s="29" t="s">
        <v>61</v>
      </c>
      <c r="G2190" s="29"/>
      <c r="H2190" s="103">
        <f>_xlfn.XLOOKUP(B2190,GM!$Q$5:$Q$756,GM!$J$5:$J$756)</f>
        <v>46104</v>
      </c>
    </row>
    <row r="2191" spans="1:8" hidden="1" x14ac:dyDescent="0.35">
      <c r="A2191" s="29" t="s">
        <v>21</v>
      </c>
      <c r="B2191" s="29" t="str">
        <f t="shared" si="34"/>
        <v>PLM-04</v>
      </c>
      <c r="C2191" s="29" t="s">
        <v>7497</v>
      </c>
      <c r="D2191" s="67" t="s">
        <v>7498</v>
      </c>
      <c r="E2191" s="96" t="s">
        <v>62</v>
      </c>
      <c r="F2191" s="29" t="s">
        <v>61</v>
      </c>
      <c r="G2191" s="29"/>
      <c r="H2191" s="103">
        <f>_xlfn.XLOOKUP(B2191,GM!$Q$5:$Q$756,GM!$J$5:$J$756)</f>
        <v>46104</v>
      </c>
    </row>
    <row r="2192" spans="1:8" hidden="1" x14ac:dyDescent="0.35">
      <c r="A2192" s="29" t="s">
        <v>21</v>
      </c>
      <c r="B2192" s="29" t="str">
        <f t="shared" si="34"/>
        <v>PLM-04</v>
      </c>
      <c r="C2192" s="29" t="s">
        <v>7499</v>
      </c>
      <c r="D2192" s="67" t="s">
        <v>7500</v>
      </c>
      <c r="E2192" s="96" t="s">
        <v>62</v>
      </c>
      <c r="F2192" s="29" t="s">
        <v>61</v>
      </c>
      <c r="G2192" s="29"/>
      <c r="H2192" s="103">
        <f>_xlfn.XLOOKUP(B2192,GM!$Q$5:$Q$756,GM!$J$5:$J$756)</f>
        <v>46104</v>
      </c>
    </row>
    <row r="2193" spans="1:8" hidden="1" x14ac:dyDescent="0.35">
      <c r="A2193" s="29" t="s">
        <v>21</v>
      </c>
      <c r="B2193" s="29" t="str">
        <f t="shared" si="34"/>
        <v>PLM-04</v>
      </c>
      <c r="C2193" s="29" t="s">
        <v>7501</v>
      </c>
      <c r="D2193" s="67" t="s">
        <v>7502</v>
      </c>
      <c r="E2193" s="96" t="s">
        <v>62</v>
      </c>
      <c r="F2193" s="29" t="s">
        <v>61</v>
      </c>
      <c r="G2193" s="29"/>
      <c r="H2193" s="103">
        <f>_xlfn.XLOOKUP(B2193,GM!$Q$5:$Q$756,GM!$J$5:$J$756)</f>
        <v>46104</v>
      </c>
    </row>
    <row r="2194" spans="1:8" hidden="1" x14ac:dyDescent="0.35">
      <c r="A2194" s="29" t="s">
        <v>21</v>
      </c>
      <c r="B2194" s="29" t="str">
        <f t="shared" si="34"/>
        <v>PLM-04</v>
      </c>
      <c r="C2194" s="29" t="s">
        <v>7503</v>
      </c>
      <c r="D2194" s="67" t="s">
        <v>7504</v>
      </c>
      <c r="E2194" s="96" t="s">
        <v>62</v>
      </c>
      <c r="F2194" s="29" t="s">
        <v>61</v>
      </c>
      <c r="G2194" s="29"/>
      <c r="H2194" s="103">
        <f>_xlfn.XLOOKUP(B2194,GM!$Q$5:$Q$756,GM!$J$5:$J$756)</f>
        <v>46104</v>
      </c>
    </row>
    <row r="2195" spans="1:8" hidden="1" x14ac:dyDescent="0.35">
      <c r="A2195" s="29" t="s">
        <v>21</v>
      </c>
      <c r="B2195" s="29" t="str">
        <f t="shared" si="34"/>
        <v>PLM-04</v>
      </c>
      <c r="C2195" s="29" t="s">
        <v>7505</v>
      </c>
      <c r="D2195" s="67" t="s">
        <v>7506</v>
      </c>
      <c r="E2195" s="96" t="s">
        <v>62</v>
      </c>
      <c r="F2195" s="29" t="s">
        <v>61</v>
      </c>
      <c r="G2195" s="29"/>
      <c r="H2195" s="103">
        <f>_xlfn.XLOOKUP(B2195,GM!$Q$5:$Q$756,GM!$J$5:$J$756)</f>
        <v>46104</v>
      </c>
    </row>
    <row r="2196" spans="1:8" hidden="1" x14ac:dyDescent="0.35">
      <c r="A2196" s="29" t="s">
        <v>21</v>
      </c>
      <c r="B2196" s="29" t="str">
        <f t="shared" si="34"/>
        <v>PLM-04</v>
      </c>
      <c r="C2196" s="29" t="s">
        <v>7507</v>
      </c>
      <c r="D2196" s="67" t="s">
        <v>7508</v>
      </c>
      <c r="E2196" s="96" t="s">
        <v>62</v>
      </c>
      <c r="F2196" s="29" t="s">
        <v>61</v>
      </c>
      <c r="G2196" s="29"/>
      <c r="H2196" s="103">
        <f>_xlfn.XLOOKUP(B2196,GM!$Q$5:$Q$756,GM!$J$5:$J$756)</f>
        <v>46104</v>
      </c>
    </row>
    <row r="2197" spans="1:8" hidden="1" x14ac:dyDescent="0.35">
      <c r="A2197" s="29" t="s">
        <v>21</v>
      </c>
      <c r="B2197" s="29" t="str">
        <f t="shared" si="34"/>
        <v>PLM-04</v>
      </c>
      <c r="C2197" s="29" t="s">
        <v>7509</v>
      </c>
      <c r="D2197" s="67" t="s">
        <v>7510</v>
      </c>
      <c r="E2197" s="96" t="s">
        <v>62</v>
      </c>
      <c r="F2197" s="29" t="s">
        <v>61</v>
      </c>
      <c r="G2197" s="29"/>
      <c r="H2197" s="103">
        <f>_xlfn.XLOOKUP(B2197,GM!$Q$5:$Q$756,GM!$J$5:$J$756)</f>
        <v>46104</v>
      </c>
    </row>
    <row r="2198" spans="1:8" hidden="1" x14ac:dyDescent="0.35">
      <c r="A2198" s="29" t="s">
        <v>21</v>
      </c>
      <c r="B2198" s="29" t="str">
        <f t="shared" si="34"/>
        <v>PLM-04</v>
      </c>
      <c r="C2198" s="29" t="s">
        <v>7511</v>
      </c>
      <c r="D2198" s="67" t="s">
        <v>7512</v>
      </c>
      <c r="E2198" s="96" t="s">
        <v>62</v>
      </c>
      <c r="F2198" s="29" t="s">
        <v>61</v>
      </c>
      <c r="G2198" s="29"/>
      <c r="H2198" s="103">
        <f>_xlfn.XLOOKUP(B2198,GM!$Q$5:$Q$756,GM!$J$5:$J$756)</f>
        <v>46104</v>
      </c>
    </row>
    <row r="2199" spans="1:8" hidden="1" x14ac:dyDescent="0.35">
      <c r="A2199" s="29" t="s">
        <v>21</v>
      </c>
      <c r="B2199" s="29" t="str">
        <f t="shared" si="34"/>
        <v>PLM-04</v>
      </c>
      <c r="C2199" s="29" t="s">
        <v>7513</v>
      </c>
      <c r="D2199" s="67" t="s">
        <v>7514</v>
      </c>
      <c r="E2199" s="96" t="s">
        <v>62</v>
      </c>
      <c r="F2199" s="29" t="s">
        <v>61</v>
      </c>
      <c r="G2199" s="29"/>
      <c r="H2199" s="103">
        <f>_xlfn.XLOOKUP(B2199,GM!$Q$5:$Q$756,GM!$J$5:$J$756)</f>
        <v>46104</v>
      </c>
    </row>
    <row r="2200" spans="1:8" hidden="1" x14ac:dyDescent="0.35">
      <c r="A2200" s="29" t="s">
        <v>21</v>
      </c>
      <c r="B2200" s="29" t="str">
        <f t="shared" si="34"/>
        <v>PLM-04</v>
      </c>
      <c r="C2200" s="29" t="s">
        <v>7515</v>
      </c>
      <c r="D2200" s="67" t="s">
        <v>7516</v>
      </c>
      <c r="E2200" s="96" t="s">
        <v>62</v>
      </c>
      <c r="F2200" s="29" t="s">
        <v>61</v>
      </c>
      <c r="G2200" s="29"/>
      <c r="H2200" s="103">
        <f>_xlfn.XLOOKUP(B2200,GM!$Q$5:$Q$756,GM!$J$5:$J$756)</f>
        <v>46104</v>
      </c>
    </row>
    <row r="2201" spans="1:8" hidden="1" x14ac:dyDescent="0.35">
      <c r="A2201" s="29" t="s">
        <v>21</v>
      </c>
      <c r="B2201" s="29" t="str">
        <f t="shared" si="34"/>
        <v>PLM-04</v>
      </c>
      <c r="C2201" s="29" t="s">
        <v>7517</v>
      </c>
      <c r="D2201" s="67" t="s">
        <v>7518</v>
      </c>
      <c r="E2201" s="96" t="s">
        <v>62</v>
      </c>
      <c r="F2201" s="29" t="s">
        <v>61</v>
      </c>
      <c r="G2201" s="29"/>
      <c r="H2201" s="103">
        <f>_xlfn.XLOOKUP(B2201,GM!$Q$5:$Q$756,GM!$J$5:$J$756)</f>
        <v>46104</v>
      </c>
    </row>
    <row r="2202" spans="1:8" hidden="1" x14ac:dyDescent="0.35">
      <c r="A2202" s="29" t="s">
        <v>21</v>
      </c>
      <c r="B2202" s="29" t="str">
        <f t="shared" si="34"/>
        <v>PLM-04</v>
      </c>
      <c r="C2202" s="29" t="s">
        <v>7519</v>
      </c>
      <c r="D2202" s="67" t="s">
        <v>7520</v>
      </c>
      <c r="E2202" s="96" t="s">
        <v>62</v>
      </c>
      <c r="F2202" s="29" t="s">
        <v>61</v>
      </c>
      <c r="G2202" s="29"/>
      <c r="H2202" s="103">
        <f>_xlfn.XLOOKUP(B2202,GM!$Q$5:$Q$756,GM!$J$5:$J$756)</f>
        <v>46104</v>
      </c>
    </row>
    <row r="2203" spans="1:8" hidden="1" x14ac:dyDescent="0.35">
      <c r="A2203" s="29" t="s">
        <v>21</v>
      </c>
      <c r="B2203" s="29" t="str">
        <f t="shared" si="34"/>
        <v>PLM-04</v>
      </c>
      <c r="C2203" s="29" t="s">
        <v>7521</v>
      </c>
      <c r="D2203" s="67" t="s">
        <v>7522</v>
      </c>
      <c r="E2203" s="96" t="s">
        <v>62</v>
      </c>
      <c r="F2203" s="29" t="s">
        <v>61</v>
      </c>
      <c r="G2203" s="29"/>
      <c r="H2203" s="103">
        <f>_xlfn.XLOOKUP(B2203,GM!$Q$5:$Q$756,GM!$J$5:$J$756)</f>
        <v>46104</v>
      </c>
    </row>
    <row r="2204" spans="1:8" hidden="1" x14ac:dyDescent="0.35">
      <c r="A2204" s="29" t="s">
        <v>21</v>
      </c>
      <c r="B2204" s="29" t="str">
        <f t="shared" si="34"/>
        <v>PLM-04</v>
      </c>
      <c r="C2204" s="29" t="s">
        <v>7523</v>
      </c>
      <c r="D2204" s="67" t="s">
        <v>7524</v>
      </c>
      <c r="E2204" s="96" t="s">
        <v>62</v>
      </c>
      <c r="F2204" s="29" t="s">
        <v>61</v>
      </c>
      <c r="G2204" s="29"/>
      <c r="H2204" s="103">
        <f>_xlfn.XLOOKUP(B2204,GM!$Q$5:$Q$756,GM!$J$5:$J$756)</f>
        <v>46104</v>
      </c>
    </row>
    <row r="2205" spans="1:8" hidden="1" x14ac:dyDescent="0.35">
      <c r="A2205" s="29" t="s">
        <v>21</v>
      </c>
      <c r="B2205" s="29" t="str">
        <f t="shared" si="34"/>
        <v>PLM-04</v>
      </c>
      <c r="C2205" s="29" t="s">
        <v>7525</v>
      </c>
      <c r="D2205" s="67" t="s">
        <v>7526</v>
      </c>
      <c r="E2205" s="96" t="s">
        <v>62</v>
      </c>
      <c r="F2205" s="29" t="s">
        <v>61</v>
      </c>
      <c r="G2205" s="29"/>
      <c r="H2205" s="103">
        <f>_xlfn.XLOOKUP(B2205,GM!$Q$5:$Q$756,GM!$J$5:$J$756)</f>
        <v>46104</v>
      </c>
    </row>
    <row r="2206" spans="1:8" hidden="1" x14ac:dyDescent="0.35">
      <c r="A2206" s="29" t="s">
        <v>21</v>
      </c>
      <c r="B2206" s="29" t="str">
        <f t="shared" si="34"/>
        <v>PLM-04</v>
      </c>
      <c r="C2206" s="29" t="s">
        <v>7527</v>
      </c>
      <c r="D2206" s="67" t="s">
        <v>7528</v>
      </c>
      <c r="E2206" s="96" t="s">
        <v>62</v>
      </c>
      <c r="F2206" s="29" t="s">
        <v>61</v>
      </c>
      <c r="G2206" s="29"/>
      <c r="H2206" s="103">
        <f>_xlfn.XLOOKUP(B2206,GM!$Q$5:$Q$756,GM!$J$5:$J$756)</f>
        <v>46104</v>
      </c>
    </row>
    <row r="2207" spans="1:8" hidden="1" x14ac:dyDescent="0.35">
      <c r="A2207" s="29" t="s">
        <v>21</v>
      </c>
      <c r="B2207" s="29" t="str">
        <f t="shared" si="34"/>
        <v>PLM-04</v>
      </c>
      <c r="C2207" s="29" t="s">
        <v>7529</v>
      </c>
      <c r="D2207" s="67" t="s">
        <v>7530</v>
      </c>
      <c r="E2207" s="96" t="s">
        <v>62</v>
      </c>
      <c r="F2207" s="29" t="s">
        <v>61</v>
      </c>
      <c r="G2207" s="29"/>
      <c r="H2207" s="103">
        <f>_xlfn.XLOOKUP(B2207,GM!$Q$5:$Q$756,GM!$J$5:$J$756)</f>
        <v>46104</v>
      </c>
    </row>
    <row r="2208" spans="1:8" hidden="1" x14ac:dyDescent="0.35">
      <c r="A2208" s="29" t="s">
        <v>21</v>
      </c>
      <c r="B2208" s="29" t="str">
        <f t="shared" si="34"/>
        <v>PLM-04</v>
      </c>
      <c r="C2208" s="29" t="s">
        <v>7531</v>
      </c>
      <c r="D2208" s="67" t="s">
        <v>7532</v>
      </c>
      <c r="E2208" s="96" t="s">
        <v>62</v>
      </c>
      <c r="F2208" s="29" t="s">
        <v>61</v>
      </c>
      <c r="G2208" s="29"/>
      <c r="H2208" s="103">
        <f>_xlfn.XLOOKUP(B2208,GM!$Q$5:$Q$756,GM!$J$5:$J$756)</f>
        <v>46104</v>
      </c>
    </row>
    <row r="2209" spans="1:8" hidden="1" x14ac:dyDescent="0.35">
      <c r="A2209" s="29" t="s">
        <v>21</v>
      </c>
      <c r="B2209" s="29" t="str">
        <f t="shared" si="34"/>
        <v>PLM-05</v>
      </c>
      <c r="C2209" s="29" t="s">
        <v>7533</v>
      </c>
      <c r="D2209" s="67" t="s">
        <v>7534</v>
      </c>
      <c r="E2209" s="96" t="s">
        <v>62</v>
      </c>
      <c r="F2209" s="29" t="s">
        <v>61</v>
      </c>
      <c r="G2209" s="29"/>
      <c r="H2209" s="103">
        <f>_xlfn.XLOOKUP(B2209,GM!$Q$5:$Q$756,GM!$J$5:$J$756)</f>
        <v>46104</v>
      </c>
    </row>
    <row r="2210" spans="1:8" hidden="1" x14ac:dyDescent="0.35">
      <c r="A2210" s="29" t="s">
        <v>21</v>
      </c>
      <c r="B2210" s="29" t="str">
        <f t="shared" si="34"/>
        <v>PLM-05</v>
      </c>
      <c r="C2210" s="29" t="s">
        <v>7535</v>
      </c>
      <c r="D2210" s="67" t="s">
        <v>7536</v>
      </c>
      <c r="E2210" s="96" t="s">
        <v>62</v>
      </c>
      <c r="F2210" s="29" t="s">
        <v>61</v>
      </c>
      <c r="G2210" s="29"/>
      <c r="H2210" s="103">
        <f>_xlfn.XLOOKUP(B2210,GM!$Q$5:$Q$756,GM!$J$5:$J$756)</f>
        <v>46104</v>
      </c>
    </row>
    <row r="2211" spans="1:8" hidden="1" x14ac:dyDescent="0.35">
      <c r="A2211" s="29" t="s">
        <v>21</v>
      </c>
      <c r="B2211" s="29" t="str">
        <f t="shared" si="34"/>
        <v>PLM-05</v>
      </c>
      <c r="C2211" s="29" t="s">
        <v>7537</v>
      </c>
      <c r="D2211" s="67" t="s">
        <v>7538</v>
      </c>
      <c r="E2211" s="96" t="s">
        <v>62</v>
      </c>
      <c r="F2211" s="29" t="s">
        <v>61</v>
      </c>
      <c r="G2211" s="29"/>
      <c r="H2211" s="103">
        <f>_xlfn.XLOOKUP(B2211,GM!$Q$5:$Q$756,GM!$J$5:$J$756)</f>
        <v>46104</v>
      </c>
    </row>
    <row r="2212" spans="1:8" hidden="1" x14ac:dyDescent="0.35">
      <c r="A2212" s="29" t="s">
        <v>21</v>
      </c>
      <c r="B2212" s="29" t="str">
        <f t="shared" si="34"/>
        <v>PLM-05</v>
      </c>
      <c r="C2212" s="29" t="s">
        <v>7539</v>
      </c>
      <c r="D2212" s="67" t="s">
        <v>7540</v>
      </c>
      <c r="E2212" s="96" t="s">
        <v>62</v>
      </c>
      <c r="F2212" s="29" t="s">
        <v>61</v>
      </c>
      <c r="G2212" s="29"/>
      <c r="H2212" s="103">
        <f>_xlfn.XLOOKUP(B2212,GM!$Q$5:$Q$756,GM!$J$5:$J$756)</f>
        <v>46104</v>
      </c>
    </row>
    <row r="2213" spans="1:8" hidden="1" x14ac:dyDescent="0.35">
      <c r="A2213" s="29" t="s">
        <v>21</v>
      </c>
      <c r="B2213" s="29" t="str">
        <f t="shared" si="34"/>
        <v>PLM-05</v>
      </c>
      <c r="C2213" s="29" t="s">
        <v>7541</v>
      </c>
      <c r="D2213" s="67" t="s">
        <v>7542</v>
      </c>
      <c r="E2213" s="96" t="s">
        <v>62</v>
      </c>
      <c r="F2213" s="29" t="s">
        <v>61</v>
      </c>
      <c r="G2213" s="29"/>
      <c r="H2213" s="103">
        <f>_xlfn.XLOOKUP(B2213,GM!$Q$5:$Q$756,GM!$J$5:$J$756)</f>
        <v>46104</v>
      </c>
    </row>
    <row r="2214" spans="1:8" hidden="1" x14ac:dyDescent="0.35">
      <c r="A2214" s="29" t="s">
        <v>21</v>
      </c>
      <c r="B2214" s="29" t="str">
        <f t="shared" si="34"/>
        <v>PLM-05</v>
      </c>
      <c r="C2214" s="29" t="s">
        <v>7543</v>
      </c>
      <c r="D2214" s="67" t="s">
        <v>7544</v>
      </c>
      <c r="E2214" s="96" t="s">
        <v>62</v>
      </c>
      <c r="F2214" s="29" t="s">
        <v>61</v>
      </c>
      <c r="G2214" s="29"/>
      <c r="H2214" s="103">
        <f>_xlfn.XLOOKUP(B2214,GM!$Q$5:$Q$756,GM!$J$5:$J$756)</f>
        <v>46104</v>
      </c>
    </row>
    <row r="2215" spans="1:8" hidden="1" x14ac:dyDescent="0.35">
      <c r="A2215" s="29" t="s">
        <v>21</v>
      </c>
      <c r="B2215" s="29" t="str">
        <f t="shared" si="34"/>
        <v>PLM-06</v>
      </c>
      <c r="C2215" s="29" t="s">
        <v>7545</v>
      </c>
      <c r="D2215" s="67" t="s">
        <v>7546</v>
      </c>
      <c r="E2215" s="96" t="s">
        <v>62</v>
      </c>
      <c r="F2215" s="29" t="s">
        <v>61</v>
      </c>
      <c r="G2215" s="29"/>
      <c r="H2215" s="103">
        <f>_xlfn.XLOOKUP(B2215,GM!$Q$5:$Q$756,GM!$J$5:$J$756)</f>
        <v>46104</v>
      </c>
    </row>
    <row r="2216" spans="1:8" hidden="1" x14ac:dyDescent="0.35">
      <c r="A2216" s="29" t="s">
        <v>21</v>
      </c>
      <c r="B2216" s="29" t="str">
        <f t="shared" si="34"/>
        <v>PLM-06</v>
      </c>
      <c r="C2216" s="29" t="s">
        <v>7547</v>
      </c>
      <c r="D2216" s="67" t="s">
        <v>7548</v>
      </c>
      <c r="E2216" s="96" t="s">
        <v>62</v>
      </c>
      <c r="F2216" s="29" t="s">
        <v>61</v>
      </c>
      <c r="G2216" s="29"/>
      <c r="H2216" s="103">
        <f>_xlfn.XLOOKUP(B2216,GM!$Q$5:$Q$756,GM!$J$5:$J$756)</f>
        <v>46104</v>
      </c>
    </row>
    <row r="2217" spans="1:8" hidden="1" x14ac:dyDescent="0.35">
      <c r="A2217" s="29" t="s">
        <v>21</v>
      </c>
      <c r="B2217" s="29" t="str">
        <f t="shared" si="34"/>
        <v>PLM-06</v>
      </c>
      <c r="C2217" s="29" t="s">
        <v>7549</v>
      </c>
      <c r="D2217" s="67" t="s">
        <v>7550</v>
      </c>
      <c r="E2217" s="96" t="s">
        <v>62</v>
      </c>
      <c r="F2217" s="29" t="s">
        <v>61</v>
      </c>
      <c r="G2217" s="29"/>
      <c r="H2217" s="103">
        <f>_xlfn.XLOOKUP(B2217,GM!$Q$5:$Q$756,GM!$J$5:$J$756)</f>
        <v>46104</v>
      </c>
    </row>
    <row r="2218" spans="1:8" hidden="1" x14ac:dyDescent="0.35">
      <c r="A2218" s="29" t="s">
        <v>21</v>
      </c>
      <c r="B2218" s="29" t="str">
        <f t="shared" si="34"/>
        <v>PLM-06</v>
      </c>
      <c r="C2218" s="29" t="s">
        <v>7551</v>
      </c>
      <c r="D2218" s="67" t="s">
        <v>7552</v>
      </c>
      <c r="E2218" s="96" t="s">
        <v>62</v>
      </c>
      <c r="F2218" s="29" t="s">
        <v>61</v>
      </c>
      <c r="G2218" s="29"/>
      <c r="H2218" s="103">
        <f>_xlfn.XLOOKUP(B2218,GM!$Q$5:$Q$756,GM!$J$5:$J$756)</f>
        <v>46104</v>
      </c>
    </row>
    <row r="2219" spans="1:8" hidden="1" x14ac:dyDescent="0.35">
      <c r="A2219" s="29" t="s">
        <v>21</v>
      </c>
      <c r="B2219" s="29" t="str">
        <f t="shared" si="34"/>
        <v>PLM-06</v>
      </c>
      <c r="C2219" s="29" t="s">
        <v>7553</v>
      </c>
      <c r="D2219" s="67" t="s">
        <v>7554</v>
      </c>
      <c r="E2219" s="96" t="s">
        <v>62</v>
      </c>
      <c r="F2219" s="29" t="s">
        <v>61</v>
      </c>
      <c r="G2219" s="29"/>
      <c r="H2219" s="103">
        <f>_xlfn.XLOOKUP(B2219,GM!$Q$5:$Q$756,GM!$J$5:$J$756)</f>
        <v>46104</v>
      </c>
    </row>
    <row r="2220" spans="1:8" hidden="1" x14ac:dyDescent="0.35">
      <c r="A2220" s="29" t="s">
        <v>21</v>
      </c>
      <c r="B2220" s="29" t="str">
        <f t="shared" si="34"/>
        <v>PLM-06</v>
      </c>
      <c r="C2220" s="29" t="s">
        <v>7555</v>
      </c>
      <c r="D2220" s="67" t="s">
        <v>7556</v>
      </c>
      <c r="E2220" s="96" t="s">
        <v>62</v>
      </c>
      <c r="F2220" s="29" t="s">
        <v>61</v>
      </c>
      <c r="G2220" s="29"/>
      <c r="H2220" s="103">
        <f>_xlfn.XLOOKUP(B2220,GM!$Q$5:$Q$756,GM!$J$5:$J$756)</f>
        <v>46104</v>
      </c>
    </row>
    <row r="2221" spans="1:8" hidden="1" x14ac:dyDescent="0.35">
      <c r="A2221" s="29" t="s">
        <v>21</v>
      </c>
      <c r="B2221" s="29" t="str">
        <f t="shared" si="34"/>
        <v>PLM-06</v>
      </c>
      <c r="C2221" s="29" t="s">
        <v>7557</v>
      </c>
      <c r="D2221" s="67" t="s">
        <v>7558</v>
      </c>
      <c r="E2221" s="96" t="s">
        <v>62</v>
      </c>
      <c r="F2221" s="29" t="s">
        <v>61</v>
      </c>
      <c r="G2221" s="29"/>
      <c r="H2221" s="103">
        <f>_xlfn.XLOOKUP(B2221,GM!$Q$5:$Q$756,GM!$J$5:$J$756)</f>
        <v>46104</v>
      </c>
    </row>
    <row r="2222" spans="1:8" hidden="1" x14ac:dyDescent="0.35">
      <c r="A2222" s="29" t="s">
        <v>21</v>
      </c>
      <c r="B2222" s="29" t="str">
        <f t="shared" si="34"/>
        <v>PLM-06</v>
      </c>
      <c r="C2222" s="29" t="s">
        <v>7559</v>
      </c>
      <c r="D2222" s="67" t="s">
        <v>7560</v>
      </c>
      <c r="E2222" s="96" t="s">
        <v>62</v>
      </c>
      <c r="F2222" s="29" t="s">
        <v>61</v>
      </c>
      <c r="G2222" s="29"/>
      <c r="H2222" s="103">
        <f>_xlfn.XLOOKUP(B2222,GM!$Q$5:$Q$756,GM!$J$5:$J$756)</f>
        <v>46104</v>
      </c>
    </row>
    <row r="2223" spans="1:8" hidden="1" x14ac:dyDescent="0.35">
      <c r="A2223" s="29" t="s">
        <v>21</v>
      </c>
      <c r="B2223" s="29" t="str">
        <f t="shared" si="34"/>
        <v>PLM-06</v>
      </c>
      <c r="C2223" s="29" t="s">
        <v>7561</v>
      </c>
      <c r="D2223" s="67" t="s">
        <v>7562</v>
      </c>
      <c r="E2223" s="96" t="s">
        <v>62</v>
      </c>
      <c r="F2223" s="29" t="s">
        <v>61</v>
      </c>
      <c r="G2223" s="29"/>
      <c r="H2223" s="103">
        <f>_xlfn.XLOOKUP(B2223,GM!$Q$5:$Q$756,GM!$J$5:$J$756)</f>
        <v>46104</v>
      </c>
    </row>
    <row r="2224" spans="1:8" hidden="1" x14ac:dyDescent="0.35">
      <c r="A2224" s="29" t="s">
        <v>21</v>
      </c>
      <c r="B2224" s="29" t="str">
        <f t="shared" si="34"/>
        <v>PLM-06</v>
      </c>
      <c r="C2224" s="29" t="s">
        <v>7563</v>
      </c>
      <c r="D2224" s="67" t="s">
        <v>7564</v>
      </c>
      <c r="E2224" s="96" t="s">
        <v>62</v>
      </c>
      <c r="F2224" s="29" t="s">
        <v>61</v>
      </c>
      <c r="G2224" s="29"/>
      <c r="H2224" s="103">
        <f>_xlfn.XLOOKUP(B2224,GM!$Q$5:$Q$756,GM!$J$5:$J$756)</f>
        <v>46104</v>
      </c>
    </row>
    <row r="2225" spans="1:8" hidden="1" x14ac:dyDescent="0.35">
      <c r="A2225" s="29" t="s">
        <v>21</v>
      </c>
      <c r="B2225" s="29" t="str">
        <f t="shared" si="34"/>
        <v>PLM-06</v>
      </c>
      <c r="C2225" s="29" t="s">
        <v>7565</v>
      </c>
      <c r="D2225" s="67" t="s">
        <v>7566</v>
      </c>
      <c r="E2225" s="96" t="s">
        <v>62</v>
      </c>
      <c r="F2225" s="29" t="s">
        <v>61</v>
      </c>
      <c r="G2225" s="29"/>
      <c r="H2225" s="103">
        <f>_xlfn.XLOOKUP(B2225,GM!$Q$5:$Q$756,GM!$J$5:$J$756)</f>
        <v>46104</v>
      </c>
    </row>
    <row r="2226" spans="1:8" hidden="1" x14ac:dyDescent="0.35">
      <c r="A2226" s="29" t="s">
        <v>21</v>
      </c>
      <c r="B2226" s="29" t="str">
        <f t="shared" si="34"/>
        <v>PLM-06</v>
      </c>
      <c r="C2226" s="29" t="s">
        <v>7567</v>
      </c>
      <c r="D2226" s="67" t="s">
        <v>7568</v>
      </c>
      <c r="E2226" s="96" t="s">
        <v>62</v>
      </c>
      <c r="F2226" s="29" t="s">
        <v>61</v>
      </c>
      <c r="G2226" s="29"/>
      <c r="H2226" s="103">
        <f>_xlfn.XLOOKUP(B2226,GM!$Q$5:$Q$756,GM!$J$5:$J$756)</f>
        <v>46104</v>
      </c>
    </row>
    <row r="2227" spans="1:8" hidden="1" x14ac:dyDescent="0.35">
      <c r="A2227" s="29" t="s">
        <v>21</v>
      </c>
      <c r="B2227" s="29" t="str">
        <f t="shared" si="34"/>
        <v>PLM-06</v>
      </c>
      <c r="C2227" s="29" t="s">
        <v>7569</v>
      </c>
      <c r="D2227" s="67" t="s">
        <v>7570</v>
      </c>
      <c r="E2227" s="96" t="s">
        <v>62</v>
      </c>
      <c r="F2227" s="29" t="s">
        <v>61</v>
      </c>
      <c r="G2227" s="29"/>
      <c r="H2227" s="103">
        <f>_xlfn.XLOOKUP(B2227,GM!$Q$5:$Q$756,GM!$J$5:$J$756)</f>
        <v>46104</v>
      </c>
    </row>
    <row r="2228" spans="1:8" hidden="1" x14ac:dyDescent="0.35">
      <c r="A2228" s="29" t="s">
        <v>21</v>
      </c>
      <c r="B2228" s="29" t="str">
        <f t="shared" si="34"/>
        <v>PLM-06</v>
      </c>
      <c r="C2228" s="29" t="s">
        <v>7571</v>
      </c>
      <c r="D2228" s="67" t="s">
        <v>7572</v>
      </c>
      <c r="E2228" s="96" t="s">
        <v>62</v>
      </c>
      <c r="F2228" s="29" t="s">
        <v>61</v>
      </c>
      <c r="G2228" s="29"/>
      <c r="H2228" s="103">
        <f>_xlfn.XLOOKUP(B2228,GM!$Q$5:$Q$756,GM!$J$5:$J$756)</f>
        <v>46104</v>
      </c>
    </row>
    <row r="2229" spans="1:8" hidden="1" x14ac:dyDescent="0.35">
      <c r="A2229" s="29" t="s">
        <v>21</v>
      </c>
      <c r="B2229" s="29" t="str">
        <f t="shared" si="34"/>
        <v>PLM-06</v>
      </c>
      <c r="C2229" s="29" t="s">
        <v>7573</v>
      </c>
      <c r="D2229" s="67" t="s">
        <v>7574</v>
      </c>
      <c r="E2229" s="96" t="s">
        <v>62</v>
      </c>
      <c r="F2229" s="29" t="s">
        <v>61</v>
      </c>
      <c r="G2229" s="29"/>
      <c r="H2229" s="103">
        <f>_xlfn.XLOOKUP(B2229,GM!$Q$5:$Q$756,GM!$J$5:$J$756)</f>
        <v>46104</v>
      </c>
    </row>
    <row r="2230" spans="1:8" hidden="1" x14ac:dyDescent="0.35">
      <c r="A2230" s="29" t="s">
        <v>21</v>
      </c>
      <c r="B2230" s="29" t="str">
        <f t="shared" si="34"/>
        <v>PLM-06</v>
      </c>
      <c r="C2230" s="29" t="s">
        <v>7575</v>
      </c>
      <c r="D2230" s="67" t="s">
        <v>7576</v>
      </c>
      <c r="E2230" s="96" t="s">
        <v>62</v>
      </c>
      <c r="F2230" s="29" t="s">
        <v>61</v>
      </c>
      <c r="G2230" s="29"/>
      <c r="H2230" s="103">
        <f>_xlfn.XLOOKUP(B2230,GM!$Q$5:$Q$756,GM!$J$5:$J$756)</f>
        <v>46104</v>
      </c>
    </row>
    <row r="2231" spans="1:8" hidden="1" x14ac:dyDescent="0.35">
      <c r="A2231" s="29" t="s">
        <v>21</v>
      </c>
      <c r="B2231" s="29" t="str">
        <f t="shared" si="34"/>
        <v>PLM-06</v>
      </c>
      <c r="C2231" s="29" t="s">
        <v>7575</v>
      </c>
      <c r="D2231" s="67" t="s">
        <v>7577</v>
      </c>
      <c r="E2231" s="96" t="s">
        <v>62</v>
      </c>
      <c r="F2231" s="29" t="s">
        <v>61</v>
      </c>
      <c r="G2231" s="29"/>
      <c r="H2231" s="103">
        <f>_xlfn.XLOOKUP(B2231,GM!$Q$5:$Q$756,GM!$J$5:$J$756)</f>
        <v>46104</v>
      </c>
    </row>
    <row r="2232" spans="1:8" hidden="1" x14ac:dyDescent="0.35">
      <c r="A2232" s="29" t="s">
        <v>21</v>
      </c>
      <c r="B2232" s="29" t="str">
        <f t="shared" si="34"/>
        <v>PLM-06</v>
      </c>
      <c r="C2232" s="29" t="s">
        <v>7578</v>
      </c>
      <c r="D2232" s="67" t="s">
        <v>7579</v>
      </c>
      <c r="E2232" s="96" t="s">
        <v>62</v>
      </c>
      <c r="F2232" s="29" t="s">
        <v>61</v>
      </c>
      <c r="G2232" s="29"/>
      <c r="H2232" s="103">
        <f>_xlfn.XLOOKUP(B2232,GM!$Q$5:$Q$756,GM!$J$5:$J$756)</f>
        <v>46104</v>
      </c>
    </row>
    <row r="2233" spans="1:8" hidden="1" x14ac:dyDescent="0.35">
      <c r="A2233" s="29" t="s">
        <v>21</v>
      </c>
      <c r="B2233" s="29" t="str">
        <f t="shared" si="34"/>
        <v>PLM-07</v>
      </c>
      <c r="C2233" s="29" t="s">
        <v>7580</v>
      </c>
      <c r="D2233" s="67" t="s">
        <v>7581</v>
      </c>
      <c r="E2233" s="96" t="s">
        <v>62</v>
      </c>
      <c r="F2233" s="29" t="s">
        <v>61</v>
      </c>
      <c r="G2233" s="29"/>
      <c r="H2233" s="103">
        <f>_xlfn.XLOOKUP(B2233,GM!$Q$5:$Q$756,GM!$J$5:$J$756)</f>
        <v>45959</v>
      </c>
    </row>
    <row r="2234" spans="1:8" hidden="1" x14ac:dyDescent="0.35">
      <c r="A2234" s="29" t="s">
        <v>21</v>
      </c>
      <c r="B2234" s="29" t="str">
        <f t="shared" si="34"/>
        <v>PLM-07</v>
      </c>
      <c r="C2234" s="29" t="s">
        <v>7582</v>
      </c>
      <c r="D2234" s="67" t="s">
        <v>7583</v>
      </c>
      <c r="E2234" s="96" t="s">
        <v>62</v>
      </c>
      <c r="F2234" s="29" t="s">
        <v>61</v>
      </c>
      <c r="G2234" s="29"/>
      <c r="H2234" s="103">
        <f>_xlfn.XLOOKUP(B2234,GM!$Q$5:$Q$756,GM!$J$5:$J$756)</f>
        <v>45959</v>
      </c>
    </row>
    <row r="2235" spans="1:8" hidden="1" x14ac:dyDescent="0.35">
      <c r="A2235" s="29" t="s">
        <v>21</v>
      </c>
      <c r="B2235" s="29" t="str">
        <f t="shared" si="34"/>
        <v>PLM-07</v>
      </c>
      <c r="C2235" s="29" t="s">
        <v>7584</v>
      </c>
      <c r="D2235" s="67" t="s">
        <v>7585</v>
      </c>
      <c r="E2235" s="96" t="s">
        <v>62</v>
      </c>
      <c r="F2235" s="29" t="s">
        <v>61</v>
      </c>
      <c r="G2235" s="29"/>
      <c r="H2235" s="103">
        <f>_xlfn.XLOOKUP(B2235,GM!$Q$5:$Q$756,GM!$J$5:$J$756)</f>
        <v>45959</v>
      </c>
    </row>
    <row r="2236" spans="1:8" hidden="1" x14ac:dyDescent="0.35">
      <c r="A2236" s="29" t="s">
        <v>21</v>
      </c>
      <c r="B2236" s="29" t="str">
        <f t="shared" si="34"/>
        <v>PLM-07</v>
      </c>
      <c r="C2236" s="29" t="s">
        <v>7586</v>
      </c>
      <c r="D2236" s="67" t="s">
        <v>7587</v>
      </c>
      <c r="E2236" s="96" t="s">
        <v>62</v>
      </c>
      <c r="F2236" s="29" t="s">
        <v>61</v>
      </c>
      <c r="G2236" s="29"/>
      <c r="H2236" s="103">
        <f>_xlfn.XLOOKUP(B2236,GM!$Q$5:$Q$756,GM!$J$5:$J$756)</f>
        <v>45959</v>
      </c>
    </row>
    <row r="2237" spans="1:8" hidden="1" x14ac:dyDescent="0.35">
      <c r="A2237" s="29" t="s">
        <v>21</v>
      </c>
      <c r="B2237" s="29" t="str">
        <f t="shared" si="34"/>
        <v>PLM-07</v>
      </c>
      <c r="C2237" s="29" t="s">
        <v>7588</v>
      </c>
      <c r="D2237" s="67" t="s">
        <v>7589</v>
      </c>
      <c r="E2237" s="96" t="s">
        <v>62</v>
      </c>
      <c r="F2237" s="29" t="s">
        <v>61</v>
      </c>
      <c r="G2237" s="29"/>
      <c r="H2237" s="103">
        <f>_xlfn.XLOOKUP(B2237,GM!$Q$5:$Q$756,GM!$J$5:$J$756)</f>
        <v>45959</v>
      </c>
    </row>
    <row r="2238" spans="1:8" hidden="1" x14ac:dyDescent="0.35">
      <c r="A2238" s="29" t="s">
        <v>21</v>
      </c>
      <c r="B2238" s="29" t="str">
        <f t="shared" si="34"/>
        <v>PLM-09</v>
      </c>
      <c r="C2238" s="29" t="s">
        <v>7590</v>
      </c>
      <c r="D2238" s="67" t="s">
        <v>7591</v>
      </c>
      <c r="E2238" s="96" t="s">
        <v>62</v>
      </c>
      <c r="F2238" s="29" t="s">
        <v>61</v>
      </c>
      <c r="G2238" s="29"/>
      <c r="H2238" s="103">
        <f>_xlfn.XLOOKUP(B2238,GM!$Q$5:$Q$756,GM!$J$5:$J$756)</f>
        <v>45959</v>
      </c>
    </row>
    <row r="2239" spans="1:8" hidden="1" x14ac:dyDescent="0.35">
      <c r="A2239" s="29" t="s">
        <v>21</v>
      </c>
      <c r="B2239" s="29" t="str">
        <f t="shared" si="34"/>
        <v>PLM-09</v>
      </c>
      <c r="C2239" s="29" t="s">
        <v>7592</v>
      </c>
      <c r="D2239" s="67" t="s">
        <v>7593</v>
      </c>
      <c r="E2239" s="96" t="s">
        <v>62</v>
      </c>
      <c r="F2239" s="29" t="s">
        <v>61</v>
      </c>
      <c r="G2239" s="29"/>
      <c r="H2239" s="103">
        <f>_xlfn.XLOOKUP(B2239,GM!$Q$5:$Q$756,GM!$J$5:$J$756)</f>
        <v>45959</v>
      </c>
    </row>
    <row r="2240" spans="1:8" hidden="1" x14ac:dyDescent="0.35">
      <c r="A2240" s="29" t="s">
        <v>21</v>
      </c>
      <c r="B2240" s="29" t="str">
        <f t="shared" si="34"/>
        <v>PLM-09</v>
      </c>
      <c r="C2240" s="29" t="s">
        <v>7594</v>
      </c>
      <c r="D2240" s="67" t="s">
        <v>7595</v>
      </c>
      <c r="E2240" s="96" t="s">
        <v>62</v>
      </c>
      <c r="F2240" s="29" t="s">
        <v>61</v>
      </c>
      <c r="G2240" s="29"/>
      <c r="H2240" s="103">
        <f>_xlfn.XLOOKUP(B2240,GM!$Q$5:$Q$756,GM!$J$5:$J$756)</f>
        <v>45959</v>
      </c>
    </row>
    <row r="2241" spans="1:8" hidden="1" x14ac:dyDescent="0.35">
      <c r="A2241" s="29" t="s">
        <v>21</v>
      </c>
      <c r="B2241" s="29" t="str">
        <f t="shared" si="34"/>
        <v>PLM-09</v>
      </c>
      <c r="C2241" s="29" t="s">
        <v>7596</v>
      </c>
      <c r="D2241" s="67" t="s">
        <v>7597</v>
      </c>
      <c r="E2241" s="96" t="s">
        <v>62</v>
      </c>
      <c r="F2241" s="29" t="s">
        <v>61</v>
      </c>
      <c r="G2241" s="29"/>
      <c r="H2241" s="103">
        <f>_xlfn.XLOOKUP(B2241,GM!$Q$5:$Q$756,GM!$J$5:$J$756)</f>
        <v>45959</v>
      </c>
    </row>
    <row r="2242" spans="1:8" hidden="1" x14ac:dyDescent="0.35">
      <c r="A2242" s="29" t="s">
        <v>21</v>
      </c>
      <c r="B2242" s="29" t="str">
        <f t="shared" si="34"/>
        <v>PLM-09</v>
      </c>
      <c r="C2242" s="29" t="s">
        <v>7598</v>
      </c>
      <c r="D2242" s="67" t="s">
        <v>7599</v>
      </c>
      <c r="E2242" s="96" t="s">
        <v>62</v>
      </c>
      <c r="F2242" s="29" t="s">
        <v>61</v>
      </c>
      <c r="G2242" s="29"/>
      <c r="H2242" s="103">
        <f>_xlfn.XLOOKUP(B2242,GM!$Q$5:$Q$756,GM!$J$5:$J$756)</f>
        <v>45959</v>
      </c>
    </row>
    <row r="2243" spans="1:8" hidden="1" x14ac:dyDescent="0.35">
      <c r="A2243" s="29" t="s">
        <v>21</v>
      </c>
      <c r="B2243" s="29" t="str">
        <f t="shared" si="34"/>
        <v>PLM-09</v>
      </c>
      <c r="C2243" s="29" t="s">
        <v>7600</v>
      </c>
      <c r="D2243" s="67" t="s">
        <v>7601</v>
      </c>
      <c r="E2243" s="96" t="s">
        <v>62</v>
      </c>
      <c r="F2243" s="29" t="s">
        <v>61</v>
      </c>
      <c r="G2243" s="29"/>
      <c r="H2243" s="103">
        <f>_xlfn.XLOOKUP(B2243,GM!$Q$5:$Q$756,GM!$J$5:$J$756)</f>
        <v>45959</v>
      </c>
    </row>
    <row r="2244" spans="1:8" hidden="1" x14ac:dyDescent="0.35">
      <c r="A2244" s="29" t="s">
        <v>21</v>
      </c>
      <c r="B2244" s="29" t="str">
        <f t="shared" si="34"/>
        <v>PLM-09</v>
      </c>
      <c r="C2244" s="29" t="s">
        <v>7602</v>
      </c>
      <c r="D2244" s="67" t="s">
        <v>7603</v>
      </c>
      <c r="E2244" s="96" t="s">
        <v>62</v>
      </c>
      <c r="F2244" s="29" t="s">
        <v>61</v>
      </c>
      <c r="G2244" s="29"/>
      <c r="H2244" s="103">
        <f>_xlfn.XLOOKUP(B2244,GM!$Q$5:$Q$756,GM!$J$5:$J$756)</f>
        <v>45959</v>
      </c>
    </row>
    <row r="2245" spans="1:8" hidden="1" x14ac:dyDescent="0.35">
      <c r="A2245" s="29" t="s">
        <v>21</v>
      </c>
      <c r="B2245" s="29" t="str">
        <f t="shared" ref="B2245:B2308" si="35">IF(OR(A2245="ARN",A2245="SDP"),MID(C2245,4,7),MID(C2245,4,6))</f>
        <v>PLM-09</v>
      </c>
      <c r="C2245" s="29" t="s">
        <v>7604</v>
      </c>
      <c r="D2245" s="67" t="s">
        <v>7605</v>
      </c>
      <c r="E2245" s="96" t="s">
        <v>62</v>
      </c>
      <c r="F2245" s="29" t="s">
        <v>61</v>
      </c>
      <c r="G2245" s="29"/>
      <c r="H2245" s="103">
        <f>_xlfn.XLOOKUP(B2245,GM!$Q$5:$Q$756,GM!$J$5:$J$756)</f>
        <v>45959</v>
      </c>
    </row>
    <row r="2246" spans="1:8" hidden="1" x14ac:dyDescent="0.35">
      <c r="A2246" s="29" t="s">
        <v>21</v>
      </c>
      <c r="B2246" s="29" t="str">
        <f t="shared" si="35"/>
        <v>PLM-09</v>
      </c>
      <c r="C2246" s="29" t="s">
        <v>7606</v>
      </c>
      <c r="D2246" s="67" t="s">
        <v>7607</v>
      </c>
      <c r="E2246" s="96" t="s">
        <v>62</v>
      </c>
      <c r="F2246" s="29" t="s">
        <v>61</v>
      </c>
      <c r="G2246" s="29"/>
      <c r="H2246" s="103">
        <f>_xlfn.XLOOKUP(B2246,GM!$Q$5:$Q$756,GM!$J$5:$J$756)</f>
        <v>45959</v>
      </c>
    </row>
    <row r="2247" spans="1:8" hidden="1" x14ac:dyDescent="0.35">
      <c r="A2247" s="29" t="s">
        <v>21</v>
      </c>
      <c r="B2247" s="29" t="str">
        <f t="shared" si="35"/>
        <v>PLM-10</v>
      </c>
      <c r="C2247" s="29" t="s">
        <v>7608</v>
      </c>
      <c r="D2247" s="67" t="s">
        <v>7609</v>
      </c>
      <c r="E2247" s="96" t="s">
        <v>62</v>
      </c>
      <c r="F2247" s="29" t="s">
        <v>61</v>
      </c>
      <c r="G2247" s="29"/>
      <c r="H2247" s="103">
        <f>_xlfn.XLOOKUP(B2247,GM!$Q$5:$Q$756,GM!$J$5:$J$756)</f>
        <v>45959</v>
      </c>
    </row>
    <row r="2248" spans="1:8" hidden="1" x14ac:dyDescent="0.35">
      <c r="A2248" s="29" t="s">
        <v>21</v>
      </c>
      <c r="B2248" s="29" t="str">
        <f t="shared" si="35"/>
        <v>PLM-10</v>
      </c>
      <c r="C2248" s="29" t="s">
        <v>7610</v>
      </c>
      <c r="D2248" s="67" t="s">
        <v>7611</v>
      </c>
      <c r="E2248" s="96" t="s">
        <v>62</v>
      </c>
      <c r="F2248" s="29" t="s">
        <v>61</v>
      </c>
      <c r="G2248" s="29"/>
      <c r="H2248" s="103">
        <f>_xlfn.XLOOKUP(B2248,GM!$Q$5:$Q$756,GM!$J$5:$J$756)</f>
        <v>45959</v>
      </c>
    </row>
    <row r="2249" spans="1:8" hidden="1" x14ac:dyDescent="0.35">
      <c r="A2249" s="29" t="s">
        <v>21</v>
      </c>
      <c r="B2249" s="29" t="str">
        <f t="shared" si="35"/>
        <v>PLM-10</v>
      </c>
      <c r="C2249" s="29" t="s">
        <v>7612</v>
      </c>
      <c r="D2249" s="67" t="s">
        <v>7613</v>
      </c>
      <c r="E2249" s="96" t="s">
        <v>62</v>
      </c>
      <c r="F2249" s="29" t="s">
        <v>61</v>
      </c>
      <c r="G2249" s="29"/>
      <c r="H2249" s="103">
        <f>_xlfn.XLOOKUP(B2249,GM!$Q$5:$Q$756,GM!$J$5:$J$756)</f>
        <v>45959</v>
      </c>
    </row>
    <row r="2250" spans="1:8" hidden="1" x14ac:dyDescent="0.35">
      <c r="A2250" s="29" t="s">
        <v>21</v>
      </c>
      <c r="B2250" s="29" t="str">
        <f t="shared" si="35"/>
        <v>PLM-10</v>
      </c>
      <c r="C2250" s="29" t="s">
        <v>7614</v>
      </c>
      <c r="D2250" s="67" t="s">
        <v>7615</v>
      </c>
      <c r="E2250" s="96" t="s">
        <v>62</v>
      </c>
      <c r="F2250" s="29" t="s">
        <v>61</v>
      </c>
      <c r="G2250" s="29"/>
      <c r="H2250" s="103">
        <f>_xlfn.XLOOKUP(B2250,GM!$Q$5:$Q$756,GM!$J$5:$J$756)</f>
        <v>45959</v>
      </c>
    </row>
    <row r="2251" spans="1:8" hidden="1" x14ac:dyDescent="0.35">
      <c r="A2251" s="29" t="s">
        <v>21</v>
      </c>
      <c r="B2251" s="29" t="str">
        <f t="shared" si="35"/>
        <v>PLM-10</v>
      </c>
      <c r="C2251" s="29" t="s">
        <v>7616</v>
      </c>
      <c r="D2251" s="67" t="s">
        <v>7617</v>
      </c>
      <c r="E2251" s="96" t="s">
        <v>62</v>
      </c>
      <c r="F2251" s="29" t="s">
        <v>61</v>
      </c>
      <c r="G2251" s="29"/>
      <c r="H2251" s="103">
        <f>_xlfn.XLOOKUP(B2251,GM!$Q$5:$Q$756,GM!$J$5:$J$756)</f>
        <v>45959</v>
      </c>
    </row>
    <row r="2252" spans="1:8" hidden="1" x14ac:dyDescent="0.35">
      <c r="A2252" s="29" t="s">
        <v>21</v>
      </c>
      <c r="B2252" s="29" t="str">
        <f t="shared" si="35"/>
        <v>PLM-10</v>
      </c>
      <c r="C2252" s="29" t="s">
        <v>7618</v>
      </c>
      <c r="D2252" s="67" t="s">
        <v>7619</v>
      </c>
      <c r="E2252" s="96" t="s">
        <v>62</v>
      </c>
      <c r="F2252" s="29" t="s">
        <v>61</v>
      </c>
      <c r="G2252" s="29"/>
      <c r="H2252" s="103">
        <f>_xlfn.XLOOKUP(B2252,GM!$Q$5:$Q$756,GM!$J$5:$J$756)</f>
        <v>45959</v>
      </c>
    </row>
    <row r="2253" spans="1:8" hidden="1" x14ac:dyDescent="0.35">
      <c r="A2253" s="29" t="s">
        <v>21</v>
      </c>
      <c r="B2253" s="29" t="str">
        <f t="shared" si="35"/>
        <v>PLM-10</v>
      </c>
      <c r="C2253" s="29" t="s">
        <v>7620</v>
      </c>
      <c r="D2253" s="67" t="s">
        <v>7621</v>
      </c>
      <c r="E2253" s="96" t="s">
        <v>62</v>
      </c>
      <c r="F2253" s="29" t="s">
        <v>61</v>
      </c>
      <c r="G2253" s="29"/>
      <c r="H2253" s="103">
        <f>_xlfn.XLOOKUP(B2253,GM!$Q$5:$Q$756,GM!$J$5:$J$756)</f>
        <v>45959</v>
      </c>
    </row>
    <row r="2254" spans="1:8" hidden="1" x14ac:dyDescent="0.35">
      <c r="A2254" s="29" t="s">
        <v>21</v>
      </c>
      <c r="B2254" s="29" t="str">
        <f t="shared" si="35"/>
        <v>PLM-10</v>
      </c>
      <c r="C2254" s="29" t="s">
        <v>7622</v>
      </c>
      <c r="D2254" s="67" t="s">
        <v>7623</v>
      </c>
      <c r="E2254" s="96" t="s">
        <v>62</v>
      </c>
      <c r="F2254" s="29" t="s">
        <v>61</v>
      </c>
      <c r="G2254" s="29"/>
      <c r="H2254" s="103">
        <f>_xlfn.XLOOKUP(B2254,GM!$Q$5:$Q$756,GM!$J$5:$J$756)</f>
        <v>45959</v>
      </c>
    </row>
    <row r="2255" spans="1:8" hidden="1" x14ac:dyDescent="0.35">
      <c r="A2255" s="29" t="s">
        <v>21</v>
      </c>
      <c r="B2255" s="29" t="str">
        <f t="shared" si="35"/>
        <v>PLM-11</v>
      </c>
      <c r="C2255" s="29" t="s">
        <v>7624</v>
      </c>
      <c r="D2255" s="67" t="s">
        <v>7625</v>
      </c>
      <c r="E2255" s="96" t="s">
        <v>62</v>
      </c>
      <c r="F2255" s="29" t="s">
        <v>61</v>
      </c>
      <c r="G2255" s="29"/>
      <c r="H2255" s="103">
        <f>_xlfn.XLOOKUP(B2255,GM!$Q$5:$Q$756,GM!$J$5:$J$756)</f>
        <v>46104</v>
      </c>
    </row>
    <row r="2256" spans="1:8" hidden="1" x14ac:dyDescent="0.35">
      <c r="A2256" s="29" t="s">
        <v>21</v>
      </c>
      <c r="B2256" s="29" t="str">
        <f t="shared" si="35"/>
        <v>PLM-11</v>
      </c>
      <c r="C2256" s="29" t="s">
        <v>7626</v>
      </c>
      <c r="D2256" s="67" t="s">
        <v>7627</v>
      </c>
      <c r="E2256" s="96" t="s">
        <v>62</v>
      </c>
      <c r="F2256" s="29" t="s">
        <v>61</v>
      </c>
      <c r="G2256" s="29"/>
      <c r="H2256" s="103">
        <f>_xlfn.XLOOKUP(B2256,GM!$Q$5:$Q$756,GM!$J$5:$J$756)</f>
        <v>46104</v>
      </c>
    </row>
    <row r="2257" spans="1:8" hidden="1" x14ac:dyDescent="0.35">
      <c r="A2257" s="29" t="s">
        <v>21</v>
      </c>
      <c r="B2257" s="29" t="str">
        <f t="shared" si="35"/>
        <v>PLM-11</v>
      </c>
      <c r="C2257" s="29" t="s">
        <v>7628</v>
      </c>
      <c r="D2257" s="67" t="s">
        <v>7629</v>
      </c>
      <c r="E2257" s="96" t="s">
        <v>62</v>
      </c>
      <c r="F2257" s="29" t="s">
        <v>61</v>
      </c>
      <c r="G2257" s="29"/>
      <c r="H2257" s="103">
        <f>_xlfn.XLOOKUP(B2257,GM!$Q$5:$Q$756,GM!$J$5:$J$756)</f>
        <v>46104</v>
      </c>
    </row>
    <row r="2258" spans="1:8" hidden="1" x14ac:dyDescent="0.35">
      <c r="A2258" s="29" t="s">
        <v>21</v>
      </c>
      <c r="B2258" s="29" t="str">
        <f t="shared" si="35"/>
        <v>PLM-11</v>
      </c>
      <c r="C2258" s="29" t="s">
        <v>7630</v>
      </c>
      <c r="D2258" s="67" t="s">
        <v>7631</v>
      </c>
      <c r="E2258" s="96" t="s">
        <v>62</v>
      </c>
      <c r="F2258" s="29" t="s">
        <v>61</v>
      </c>
      <c r="G2258" s="29"/>
      <c r="H2258" s="103">
        <f>_xlfn.XLOOKUP(B2258,GM!$Q$5:$Q$756,GM!$J$5:$J$756)</f>
        <v>46104</v>
      </c>
    </row>
    <row r="2259" spans="1:8" hidden="1" x14ac:dyDescent="0.35">
      <c r="A2259" s="29" t="s">
        <v>21</v>
      </c>
      <c r="B2259" s="29" t="str">
        <f t="shared" si="35"/>
        <v>PLM-12</v>
      </c>
      <c r="C2259" s="29" t="s">
        <v>7632</v>
      </c>
      <c r="D2259" s="67" t="s">
        <v>7633</v>
      </c>
      <c r="E2259" s="96" t="s">
        <v>62</v>
      </c>
      <c r="F2259" s="29" t="s">
        <v>61</v>
      </c>
      <c r="G2259" s="29"/>
      <c r="H2259" s="103">
        <f>_xlfn.XLOOKUP(B2259,GM!$Q$5:$Q$756,GM!$J$5:$J$756)</f>
        <v>46104</v>
      </c>
    </row>
    <row r="2260" spans="1:8" hidden="1" x14ac:dyDescent="0.35">
      <c r="A2260" s="29" t="s">
        <v>21</v>
      </c>
      <c r="B2260" s="29" t="str">
        <f t="shared" si="35"/>
        <v>PLM-13</v>
      </c>
      <c r="C2260" s="29" t="s">
        <v>7634</v>
      </c>
      <c r="D2260" s="67" t="s">
        <v>7635</v>
      </c>
      <c r="E2260" s="96" t="s">
        <v>62</v>
      </c>
      <c r="F2260" s="29" t="s">
        <v>61</v>
      </c>
      <c r="G2260" s="29"/>
      <c r="H2260" s="103">
        <f>_xlfn.XLOOKUP(B2260,GM!$Q$5:$Q$756,GM!$J$5:$J$756)</f>
        <v>46104</v>
      </c>
    </row>
    <row r="2261" spans="1:8" hidden="1" x14ac:dyDescent="0.35">
      <c r="A2261" s="29" t="s">
        <v>21</v>
      </c>
      <c r="B2261" s="29" t="str">
        <f t="shared" si="35"/>
        <v>PLM-13</v>
      </c>
      <c r="C2261" s="29" t="s">
        <v>7636</v>
      </c>
      <c r="D2261" s="67" t="s">
        <v>7637</v>
      </c>
      <c r="E2261" s="96" t="s">
        <v>62</v>
      </c>
      <c r="F2261" s="29" t="s">
        <v>61</v>
      </c>
      <c r="G2261" s="29"/>
      <c r="H2261" s="103">
        <f>_xlfn.XLOOKUP(B2261,GM!$Q$5:$Q$756,GM!$J$5:$J$756)</f>
        <v>46104</v>
      </c>
    </row>
    <row r="2262" spans="1:8" hidden="1" x14ac:dyDescent="0.35">
      <c r="A2262" s="29" t="s">
        <v>21</v>
      </c>
      <c r="B2262" s="29" t="str">
        <f t="shared" si="35"/>
        <v>PLM-13</v>
      </c>
      <c r="C2262" s="29" t="s">
        <v>7638</v>
      </c>
      <c r="D2262" s="67" t="s">
        <v>7639</v>
      </c>
      <c r="E2262" s="96" t="s">
        <v>62</v>
      </c>
      <c r="F2262" s="29" t="s">
        <v>61</v>
      </c>
      <c r="G2262" s="29"/>
      <c r="H2262" s="103">
        <f>_xlfn.XLOOKUP(B2262,GM!$Q$5:$Q$756,GM!$J$5:$J$756)</f>
        <v>46104</v>
      </c>
    </row>
    <row r="2263" spans="1:8" hidden="1" x14ac:dyDescent="0.35">
      <c r="A2263" s="29" t="s">
        <v>21</v>
      </c>
      <c r="B2263" s="29" t="str">
        <f t="shared" si="35"/>
        <v>PLM-13</v>
      </c>
      <c r="C2263" s="29" t="s">
        <v>7640</v>
      </c>
      <c r="D2263" s="67" t="s">
        <v>7641</v>
      </c>
      <c r="E2263" s="96" t="s">
        <v>62</v>
      </c>
      <c r="F2263" s="29" t="s">
        <v>61</v>
      </c>
      <c r="G2263" s="29"/>
      <c r="H2263" s="103">
        <f>_xlfn.XLOOKUP(B2263,GM!$Q$5:$Q$756,GM!$J$5:$J$756)</f>
        <v>46104</v>
      </c>
    </row>
    <row r="2264" spans="1:8" hidden="1" x14ac:dyDescent="0.35">
      <c r="A2264" s="29" t="s">
        <v>21</v>
      </c>
      <c r="B2264" s="29" t="str">
        <f t="shared" si="35"/>
        <v>PLM-13</v>
      </c>
      <c r="C2264" s="29" t="s">
        <v>7642</v>
      </c>
      <c r="D2264" s="67" t="s">
        <v>7643</v>
      </c>
      <c r="E2264" s="96" t="s">
        <v>62</v>
      </c>
      <c r="F2264" s="29" t="s">
        <v>61</v>
      </c>
      <c r="G2264" s="29"/>
      <c r="H2264" s="103">
        <f>_xlfn.XLOOKUP(B2264,GM!$Q$5:$Q$756,GM!$J$5:$J$756)</f>
        <v>46104</v>
      </c>
    </row>
    <row r="2265" spans="1:8" hidden="1" x14ac:dyDescent="0.35">
      <c r="A2265" s="29" t="s">
        <v>21</v>
      </c>
      <c r="B2265" s="29" t="str">
        <f t="shared" si="35"/>
        <v>PLM-13</v>
      </c>
      <c r="C2265" s="29" t="s">
        <v>7644</v>
      </c>
      <c r="D2265" s="67" t="s">
        <v>7645</v>
      </c>
      <c r="E2265" s="96" t="s">
        <v>62</v>
      </c>
      <c r="F2265" s="29" t="s">
        <v>61</v>
      </c>
      <c r="G2265" s="29"/>
      <c r="H2265" s="103">
        <f>_xlfn.XLOOKUP(B2265,GM!$Q$5:$Q$756,GM!$J$5:$J$756)</f>
        <v>46104</v>
      </c>
    </row>
    <row r="2266" spans="1:8" hidden="1" x14ac:dyDescent="0.35">
      <c r="A2266" s="29" t="s">
        <v>21</v>
      </c>
      <c r="B2266" s="29" t="str">
        <f t="shared" si="35"/>
        <v>PLM-14</v>
      </c>
      <c r="C2266" s="29" t="s">
        <v>7646</v>
      </c>
      <c r="D2266" s="67" t="s">
        <v>7647</v>
      </c>
      <c r="E2266" s="96" t="s">
        <v>62</v>
      </c>
      <c r="F2266" s="29" t="s">
        <v>61</v>
      </c>
      <c r="G2266" s="29"/>
      <c r="H2266" s="103">
        <f>_xlfn.XLOOKUP(B2266,GM!$Q$5:$Q$756,GM!$J$5:$J$756)</f>
        <v>45202</v>
      </c>
    </row>
    <row r="2267" spans="1:8" hidden="1" x14ac:dyDescent="0.35">
      <c r="A2267" s="29" t="s">
        <v>21</v>
      </c>
      <c r="B2267" s="29" t="str">
        <f t="shared" si="35"/>
        <v>PLM-15</v>
      </c>
      <c r="C2267" s="29" t="s">
        <v>7648</v>
      </c>
      <c r="D2267" s="67" t="s">
        <v>7649</v>
      </c>
      <c r="E2267" s="96" t="s">
        <v>62</v>
      </c>
      <c r="F2267" s="29" t="s">
        <v>61</v>
      </c>
      <c r="G2267" s="29"/>
      <c r="H2267" s="103">
        <f>_xlfn.XLOOKUP(B2267,GM!$Q$5:$Q$756,GM!$J$5:$J$756)</f>
        <v>46104</v>
      </c>
    </row>
    <row r="2268" spans="1:8" hidden="1" x14ac:dyDescent="0.35">
      <c r="A2268" s="29" t="s">
        <v>21</v>
      </c>
      <c r="B2268" s="29" t="str">
        <f t="shared" si="35"/>
        <v>PLM-15</v>
      </c>
      <c r="C2268" s="29" t="s">
        <v>7650</v>
      </c>
      <c r="D2268" s="67" t="s">
        <v>7651</v>
      </c>
      <c r="E2268" s="96" t="s">
        <v>62</v>
      </c>
      <c r="F2268" s="29" t="s">
        <v>61</v>
      </c>
      <c r="G2268" s="29"/>
      <c r="H2268" s="103">
        <f>_xlfn.XLOOKUP(B2268,GM!$Q$5:$Q$756,GM!$J$5:$J$756)</f>
        <v>46104</v>
      </c>
    </row>
    <row r="2269" spans="1:8" hidden="1" x14ac:dyDescent="0.35">
      <c r="A2269" s="29" t="s">
        <v>21</v>
      </c>
      <c r="B2269" s="29" t="str">
        <f t="shared" si="35"/>
        <v>PLM-15</v>
      </c>
      <c r="C2269" s="29" t="s">
        <v>7652</v>
      </c>
      <c r="D2269" s="67" t="s">
        <v>7653</v>
      </c>
      <c r="E2269" s="96" t="s">
        <v>62</v>
      </c>
      <c r="F2269" s="29" t="s">
        <v>61</v>
      </c>
      <c r="G2269" s="29"/>
      <c r="H2269" s="103">
        <f>_xlfn.XLOOKUP(B2269,GM!$Q$5:$Q$756,GM!$J$5:$J$756)</f>
        <v>46104</v>
      </c>
    </row>
    <row r="2270" spans="1:8" hidden="1" x14ac:dyDescent="0.35">
      <c r="A2270" s="29" t="s">
        <v>21</v>
      </c>
      <c r="B2270" s="29" t="str">
        <f t="shared" si="35"/>
        <v>PLM-15</v>
      </c>
      <c r="C2270" s="29" t="s">
        <v>7654</v>
      </c>
      <c r="D2270" s="67" t="s">
        <v>7655</v>
      </c>
      <c r="E2270" s="96" t="s">
        <v>62</v>
      </c>
      <c r="F2270" s="29" t="s">
        <v>61</v>
      </c>
      <c r="G2270" s="29"/>
      <c r="H2270" s="103">
        <f>_xlfn.XLOOKUP(B2270,GM!$Q$5:$Q$756,GM!$J$5:$J$756)</f>
        <v>46104</v>
      </c>
    </row>
    <row r="2271" spans="1:8" hidden="1" x14ac:dyDescent="0.35">
      <c r="A2271" s="29" t="s">
        <v>21</v>
      </c>
      <c r="B2271" s="29" t="str">
        <f t="shared" si="35"/>
        <v>PLM-15</v>
      </c>
      <c r="C2271" s="29" t="s">
        <v>7656</v>
      </c>
      <c r="D2271" s="67" t="s">
        <v>7657</v>
      </c>
      <c r="E2271" s="96" t="s">
        <v>62</v>
      </c>
      <c r="F2271" s="29" t="s">
        <v>61</v>
      </c>
      <c r="G2271" s="29"/>
      <c r="H2271" s="103">
        <f>_xlfn.XLOOKUP(B2271,GM!$Q$5:$Q$756,GM!$J$5:$J$756)</f>
        <v>46104</v>
      </c>
    </row>
    <row r="2272" spans="1:8" hidden="1" x14ac:dyDescent="0.35">
      <c r="A2272" s="29" t="s">
        <v>21</v>
      </c>
      <c r="B2272" s="29" t="str">
        <f t="shared" si="35"/>
        <v>PLM-15</v>
      </c>
      <c r="C2272" s="29" t="s">
        <v>7658</v>
      </c>
      <c r="D2272" s="67" t="s">
        <v>7659</v>
      </c>
      <c r="E2272" s="96" t="s">
        <v>62</v>
      </c>
      <c r="F2272" s="29" t="s">
        <v>61</v>
      </c>
      <c r="G2272" s="29"/>
      <c r="H2272" s="103">
        <f>_xlfn.XLOOKUP(B2272,GM!$Q$5:$Q$756,GM!$J$5:$J$756)</f>
        <v>46104</v>
      </c>
    </row>
    <row r="2273" spans="1:8" hidden="1" x14ac:dyDescent="0.35">
      <c r="A2273" s="29" t="s">
        <v>21</v>
      </c>
      <c r="B2273" s="29" t="str">
        <f t="shared" si="35"/>
        <v>PLM-15</v>
      </c>
      <c r="C2273" s="29" t="s">
        <v>7660</v>
      </c>
      <c r="D2273" s="67" t="s">
        <v>7661</v>
      </c>
      <c r="E2273" s="96" t="s">
        <v>62</v>
      </c>
      <c r="F2273" s="29" t="s">
        <v>61</v>
      </c>
      <c r="G2273" s="29"/>
      <c r="H2273" s="103">
        <f>_xlfn.XLOOKUP(B2273,GM!$Q$5:$Q$756,GM!$J$5:$J$756)</f>
        <v>46104</v>
      </c>
    </row>
    <row r="2274" spans="1:8" hidden="1" x14ac:dyDescent="0.35">
      <c r="A2274" s="29" t="s">
        <v>21</v>
      </c>
      <c r="B2274" s="29" t="str">
        <f t="shared" si="35"/>
        <v>PLM-15</v>
      </c>
      <c r="C2274" s="29" t="s">
        <v>7662</v>
      </c>
      <c r="D2274" s="67" t="s">
        <v>7663</v>
      </c>
      <c r="E2274" s="96" t="s">
        <v>62</v>
      </c>
      <c r="F2274" s="29" t="s">
        <v>61</v>
      </c>
      <c r="G2274" s="29"/>
      <c r="H2274" s="103">
        <f>_xlfn.XLOOKUP(B2274,GM!$Q$5:$Q$756,GM!$J$5:$J$756)</f>
        <v>46104</v>
      </c>
    </row>
    <row r="2275" spans="1:8" hidden="1" x14ac:dyDescent="0.35">
      <c r="A2275" s="29" t="s">
        <v>21</v>
      </c>
      <c r="B2275" s="29" t="str">
        <f t="shared" si="35"/>
        <v>PLM-15</v>
      </c>
      <c r="C2275" s="29" t="s">
        <v>7664</v>
      </c>
      <c r="D2275" s="67" t="s">
        <v>7665</v>
      </c>
      <c r="E2275" s="96" t="s">
        <v>62</v>
      </c>
      <c r="F2275" s="29" t="s">
        <v>61</v>
      </c>
      <c r="G2275" s="29"/>
      <c r="H2275" s="103">
        <f>_xlfn.XLOOKUP(B2275,GM!$Q$5:$Q$756,GM!$J$5:$J$756)</f>
        <v>46104</v>
      </c>
    </row>
    <row r="2276" spans="1:8" hidden="1" x14ac:dyDescent="0.35">
      <c r="A2276" s="29" t="s">
        <v>21</v>
      </c>
      <c r="B2276" s="29" t="str">
        <f t="shared" si="35"/>
        <v>PLM-15</v>
      </c>
      <c r="C2276" s="29" t="s">
        <v>7666</v>
      </c>
      <c r="D2276" s="67" t="s">
        <v>7667</v>
      </c>
      <c r="E2276" s="96" t="s">
        <v>62</v>
      </c>
      <c r="F2276" s="29" t="s">
        <v>61</v>
      </c>
      <c r="G2276" s="29"/>
      <c r="H2276" s="103">
        <f>_xlfn.XLOOKUP(B2276,GM!$Q$5:$Q$756,GM!$J$5:$J$756)</f>
        <v>46104</v>
      </c>
    </row>
    <row r="2277" spans="1:8" hidden="1" x14ac:dyDescent="0.35">
      <c r="A2277" s="29" t="s">
        <v>21</v>
      </c>
      <c r="B2277" s="29" t="str">
        <f t="shared" si="35"/>
        <v>PLM-15</v>
      </c>
      <c r="C2277" s="29" t="s">
        <v>7668</v>
      </c>
      <c r="D2277" s="67" t="s">
        <v>7669</v>
      </c>
      <c r="E2277" s="96" t="s">
        <v>62</v>
      </c>
      <c r="F2277" s="29" t="s">
        <v>61</v>
      </c>
      <c r="G2277" s="29"/>
      <c r="H2277" s="103">
        <f>_xlfn.XLOOKUP(B2277,GM!$Q$5:$Q$756,GM!$J$5:$J$756)</f>
        <v>46104</v>
      </c>
    </row>
    <row r="2278" spans="1:8" hidden="1" x14ac:dyDescent="0.35">
      <c r="A2278" s="29" t="s">
        <v>21</v>
      </c>
      <c r="B2278" s="29" t="str">
        <f t="shared" si="35"/>
        <v>PLM-15</v>
      </c>
      <c r="C2278" s="29" t="s">
        <v>7670</v>
      </c>
      <c r="D2278" s="67" t="s">
        <v>7671</v>
      </c>
      <c r="E2278" s="96" t="s">
        <v>62</v>
      </c>
      <c r="F2278" s="29" t="s">
        <v>61</v>
      </c>
      <c r="G2278" s="29"/>
      <c r="H2278" s="103">
        <f>_xlfn.XLOOKUP(B2278,GM!$Q$5:$Q$756,GM!$J$5:$J$756)</f>
        <v>46104</v>
      </c>
    </row>
    <row r="2279" spans="1:8" hidden="1" x14ac:dyDescent="0.35">
      <c r="A2279" s="29" t="s">
        <v>21</v>
      </c>
      <c r="B2279" s="29" t="str">
        <f t="shared" si="35"/>
        <v>PLM-15</v>
      </c>
      <c r="C2279" s="29" t="s">
        <v>7672</v>
      </c>
      <c r="D2279" s="67" t="s">
        <v>7673</v>
      </c>
      <c r="E2279" s="96" t="s">
        <v>62</v>
      </c>
      <c r="F2279" s="29" t="s">
        <v>61</v>
      </c>
      <c r="G2279" s="29"/>
      <c r="H2279" s="103">
        <f>_xlfn.XLOOKUP(B2279,GM!$Q$5:$Q$756,GM!$J$5:$J$756)</f>
        <v>46104</v>
      </c>
    </row>
    <row r="2280" spans="1:8" hidden="1" x14ac:dyDescent="0.35">
      <c r="A2280" s="29" t="s">
        <v>21</v>
      </c>
      <c r="B2280" s="29" t="str">
        <f t="shared" si="35"/>
        <v>PLM-15</v>
      </c>
      <c r="C2280" s="29" t="s">
        <v>7674</v>
      </c>
      <c r="D2280" s="67" t="s">
        <v>7675</v>
      </c>
      <c r="E2280" s="96" t="s">
        <v>62</v>
      </c>
      <c r="F2280" s="29" t="s">
        <v>61</v>
      </c>
      <c r="G2280" s="29"/>
      <c r="H2280" s="103">
        <f>_xlfn.XLOOKUP(B2280,GM!$Q$5:$Q$756,GM!$J$5:$J$756)</f>
        <v>46104</v>
      </c>
    </row>
    <row r="2281" spans="1:8" hidden="1" x14ac:dyDescent="0.35">
      <c r="A2281" s="29" t="s">
        <v>21</v>
      </c>
      <c r="B2281" s="29" t="str">
        <f t="shared" si="35"/>
        <v>PLM-15</v>
      </c>
      <c r="C2281" s="29" t="s">
        <v>7676</v>
      </c>
      <c r="D2281" s="67" t="s">
        <v>7677</v>
      </c>
      <c r="E2281" s="96" t="s">
        <v>62</v>
      </c>
      <c r="F2281" s="29" t="s">
        <v>61</v>
      </c>
      <c r="G2281" s="29"/>
      <c r="H2281" s="103">
        <f>_xlfn.XLOOKUP(B2281,GM!$Q$5:$Q$756,GM!$J$5:$J$756)</f>
        <v>46104</v>
      </c>
    </row>
    <row r="2282" spans="1:8" hidden="1" x14ac:dyDescent="0.35">
      <c r="A2282" s="29" t="s">
        <v>21</v>
      </c>
      <c r="B2282" s="29" t="str">
        <f t="shared" si="35"/>
        <v>PLM-15</v>
      </c>
      <c r="C2282" s="29" t="s">
        <v>7678</v>
      </c>
      <c r="D2282" s="67" t="s">
        <v>7679</v>
      </c>
      <c r="E2282" s="96" t="s">
        <v>62</v>
      </c>
      <c r="F2282" s="29" t="s">
        <v>61</v>
      </c>
      <c r="G2282" s="29"/>
      <c r="H2282" s="103">
        <f>_xlfn.XLOOKUP(B2282,GM!$Q$5:$Q$756,GM!$J$5:$J$756)</f>
        <v>46104</v>
      </c>
    </row>
    <row r="2283" spans="1:8" hidden="1" x14ac:dyDescent="0.35">
      <c r="A2283" s="29" t="s">
        <v>21</v>
      </c>
      <c r="B2283" s="29" t="str">
        <f t="shared" si="35"/>
        <v>PLM-15</v>
      </c>
      <c r="C2283" s="29" t="s">
        <v>7680</v>
      </c>
      <c r="D2283" s="67" t="s">
        <v>7681</v>
      </c>
      <c r="E2283" s="96" t="s">
        <v>62</v>
      </c>
      <c r="F2283" s="29" t="s">
        <v>61</v>
      </c>
      <c r="G2283" s="29"/>
      <c r="H2283" s="103">
        <f>_xlfn.XLOOKUP(B2283,GM!$Q$5:$Q$756,GM!$J$5:$J$756)</f>
        <v>46104</v>
      </c>
    </row>
    <row r="2284" spans="1:8" hidden="1" x14ac:dyDescent="0.35">
      <c r="A2284" s="29" t="s">
        <v>21</v>
      </c>
      <c r="B2284" s="29" t="str">
        <f t="shared" si="35"/>
        <v>PLM-15</v>
      </c>
      <c r="C2284" s="29" t="s">
        <v>7682</v>
      </c>
      <c r="D2284" s="67" t="s">
        <v>7683</v>
      </c>
      <c r="E2284" s="96" t="s">
        <v>62</v>
      </c>
      <c r="F2284" s="29" t="s">
        <v>61</v>
      </c>
      <c r="G2284" s="29"/>
      <c r="H2284" s="103">
        <f>_xlfn.XLOOKUP(B2284,GM!$Q$5:$Q$756,GM!$J$5:$J$756)</f>
        <v>46104</v>
      </c>
    </row>
    <row r="2285" spans="1:8" hidden="1" x14ac:dyDescent="0.35">
      <c r="A2285" s="29" t="s">
        <v>21</v>
      </c>
      <c r="B2285" s="29" t="str">
        <f t="shared" si="35"/>
        <v>PLM-15</v>
      </c>
      <c r="C2285" s="29" t="s">
        <v>7684</v>
      </c>
      <c r="D2285" s="67" t="s">
        <v>7685</v>
      </c>
      <c r="E2285" s="96" t="s">
        <v>62</v>
      </c>
      <c r="F2285" s="29" t="s">
        <v>61</v>
      </c>
      <c r="G2285" s="29"/>
      <c r="H2285" s="103">
        <f>_xlfn.XLOOKUP(B2285,GM!$Q$5:$Q$756,GM!$J$5:$J$756)</f>
        <v>46104</v>
      </c>
    </row>
    <row r="2286" spans="1:8" hidden="1" x14ac:dyDescent="0.35">
      <c r="A2286" s="29" t="s">
        <v>21</v>
      </c>
      <c r="B2286" s="29" t="str">
        <f t="shared" si="35"/>
        <v>PLM-15</v>
      </c>
      <c r="C2286" s="29" t="s">
        <v>7686</v>
      </c>
      <c r="D2286" s="67" t="s">
        <v>7687</v>
      </c>
      <c r="E2286" s="96" t="s">
        <v>62</v>
      </c>
      <c r="F2286" s="29" t="s">
        <v>61</v>
      </c>
      <c r="G2286" s="29"/>
      <c r="H2286" s="103">
        <f>_xlfn.XLOOKUP(B2286,GM!$Q$5:$Q$756,GM!$J$5:$J$756)</f>
        <v>46104</v>
      </c>
    </row>
    <row r="2287" spans="1:8" hidden="1" x14ac:dyDescent="0.35">
      <c r="A2287" s="29" t="s">
        <v>21</v>
      </c>
      <c r="B2287" s="29" t="str">
        <f t="shared" si="35"/>
        <v>PLM-15</v>
      </c>
      <c r="C2287" s="29" t="s">
        <v>7688</v>
      </c>
      <c r="D2287" s="67" t="s">
        <v>7689</v>
      </c>
      <c r="E2287" s="96" t="s">
        <v>62</v>
      </c>
      <c r="F2287" s="29" t="s">
        <v>61</v>
      </c>
      <c r="G2287" s="29"/>
      <c r="H2287" s="103">
        <f>_xlfn.XLOOKUP(B2287,GM!$Q$5:$Q$756,GM!$J$5:$J$756)</f>
        <v>46104</v>
      </c>
    </row>
    <row r="2288" spans="1:8" hidden="1" x14ac:dyDescent="0.35">
      <c r="A2288" s="29" t="s">
        <v>21</v>
      </c>
      <c r="B2288" s="29" t="str">
        <f t="shared" si="35"/>
        <v>PLM-15</v>
      </c>
      <c r="C2288" s="29" t="s">
        <v>7690</v>
      </c>
      <c r="D2288" s="67" t="s">
        <v>7691</v>
      </c>
      <c r="E2288" s="96" t="s">
        <v>62</v>
      </c>
      <c r="F2288" s="29" t="s">
        <v>61</v>
      </c>
      <c r="G2288" s="29"/>
      <c r="H2288" s="103">
        <f>_xlfn.XLOOKUP(B2288,GM!$Q$5:$Q$756,GM!$J$5:$J$756)</f>
        <v>46104</v>
      </c>
    </row>
    <row r="2289" spans="1:8" hidden="1" x14ac:dyDescent="0.35">
      <c r="A2289" s="29" t="s">
        <v>21</v>
      </c>
      <c r="B2289" s="29" t="str">
        <f t="shared" si="35"/>
        <v>PLM-15</v>
      </c>
      <c r="C2289" s="29" t="s">
        <v>7692</v>
      </c>
      <c r="D2289" s="67" t="s">
        <v>7693</v>
      </c>
      <c r="E2289" s="96" t="s">
        <v>62</v>
      </c>
      <c r="F2289" s="29" t="s">
        <v>61</v>
      </c>
      <c r="G2289" s="29"/>
      <c r="H2289" s="103">
        <f>_xlfn.XLOOKUP(B2289,GM!$Q$5:$Q$756,GM!$J$5:$J$756)</f>
        <v>46104</v>
      </c>
    </row>
    <row r="2290" spans="1:8" hidden="1" x14ac:dyDescent="0.35">
      <c r="A2290" s="29" t="s">
        <v>21</v>
      </c>
      <c r="B2290" s="29" t="str">
        <f t="shared" si="35"/>
        <v>PLM-15</v>
      </c>
      <c r="C2290" s="29" t="s">
        <v>7694</v>
      </c>
      <c r="D2290" s="67" t="s">
        <v>7695</v>
      </c>
      <c r="E2290" s="96" t="s">
        <v>62</v>
      </c>
      <c r="F2290" s="29" t="s">
        <v>61</v>
      </c>
      <c r="G2290" s="29"/>
      <c r="H2290" s="103">
        <f>_xlfn.XLOOKUP(B2290,GM!$Q$5:$Q$756,GM!$J$5:$J$756)</f>
        <v>46104</v>
      </c>
    </row>
    <row r="2291" spans="1:8" hidden="1" x14ac:dyDescent="0.35">
      <c r="A2291" s="29" t="s">
        <v>21</v>
      </c>
      <c r="B2291" s="29" t="str">
        <f t="shared" si="35"/>
        <v>PLM-17</v>
      </c>
      <c r="C2291" s="29" t="s">
        <v>7696</v>
      </c>
      <c r="D2291" s="67" t="s">
        <v>7697</v>
      </c>
      <c r="E2291" s="96" t="s">
        <v>62</v>
      </c>
      <c r="F2291" s="29" t="s">
        <v>61</v>
      </c>
      <c r="G2291" s="29"/>
      <c r="H2291" s="103">
        <f>_xlfn.XLOOKUP(B2291,GM!$Q$5:$Q$756,GM!$J$5:$J$756)</f>
        <v>45202</v>
      </c>
    </row>
    <row r="2292" spans="1:8" hidden="1" x14ac:dyDescent="0.35">
      <c r="A2292" s="29" t="s">
        <v>21</v>
      </c>
      <c r="B2292" s="29" t="str">
        <f t="shared" si="35"/>
        <v>PLM-17</v>
      </c>
      <c r="C2292" s="29" t="s">
        <v>7698</v>
      </c>
      <c r="D2292" s="67" t="s">
        <v>7699</v>
      </c>
      <c r="E2292" s="96" t="s">
        <v>62</v>
      </c>
      <c r="F2292" s="29" t="s">
        <v>61</v>
      </c>
      <c r="G2292" s="29"/>
      <c r="H2292" s="103">
        <f>_xlfn.XLOOKUP(B2292,GM!$Q$5:$Q$756,GM!$J$5:$J$756)</f>
        <v>45202</v>
      </c>
    </row>
    <row r="2293" spans="1:8" hidden="1" x14ac:dyDescent="0.35">
      <c r="A2293" s="29" t="s">
        <v>21</v>
      </c>
      <c r="B2293" s="29" t="str">
        <f t="shared" si="35"/>
        <v>PLM-17</v>
      </c>
      <c r="C2293" s="29" t="s">
        <v>7700</v>
      </c>
      <c r="D2293" s="67" t="s">
        <v>7701</v>
      </c>
      <c r="E2293" s="96" t="s">
        <v>62</v>
      </c>
      <c r="F2293" s="29" t="s">
        <v>61</v>
      </c>
      <c r="G2293" s="29"/>
      <c r="H2293" s="103">
        <f>_xlfn.XLOOKUP(B2293,GM!$Q$5:$Q$756,GM!$J$5:$J$756)</f>
        <v>45202</v>
      </c>
    </row>
    <row r="2294" spans="1:8" hidden="1" x14ac:dyDescent="0.35">
      <c r="A2294" s="29" t="s">
        <v>21</v>
      </c>
      <c r="B2294" s="29" t="str">
        <f t="shared" si="35"/>
        <v>PLM-17</v>
      </c>
      <c r="C2294" s="29" t="s">
        <v>7702</v>
      </c>
      <c r="D2294" s="67" t="s">
        <v>7703</v>
      </c>
      <c r="E2294" s="96" t="s">
        <v>62</v>
      </c>
      <c r="F2294" s="29" t="s">
        <v>61</v>
      </c>
      <c r="G2294" s="29"/>
      <c r="H2294" s="103">
        <f>_xlfn.XLOOKUP(B2294,GM!$Q$5:$Q$756,GM!$J$5:$J$756)</f>
        <v>45202</v>
      </c>
    </row>
    <row r="2295" spans="1:8" hidden="1" x14ac:dyDescent="0.35">
      <c r="A2295" s="29" t="s">
        <v>21</v>
      </c>
      <c r="B2295" s="29" t="str">
        <f t="shared" si="35"/>
        <v>PLM-17</v>
      </c>
      <c r="C2295" s="29" t="s">
        <v>7704</v>
      </c>
      <c r="D2295" s="67" t="s">
        <v>7705</v>
      </c>
      <c r="E2295" s="96" t="s">
        <v>62</v>
      </c>
      <c r="F2295" s="29" t="s">
        <v>61</v>
      </c>
      <c r="G2295" s="29"/>
      <c r="H2295" s="103">
        <f>_xlfn.XLOOKUP(B2295,GM!$Q$5:$Q$756,GM!$J$5:$J$756)</f>
        <v>45202</v>
      </c>
    </row>
    <row r="2296" spans="1:8" hidden="1" x14ac:dyDescent="0.35">
      <c r="A2296" s="29" t="s">
        <v>21</v>
      </c>
      <c r="B2296" s="29" t="str">
        <f t="shared" si="35"/>
        <v>PLM-17</v>
      </c>
      <c r="C2296" s="29" t="s">
        <v>7706</v>
      </c>
      <c r="D2296" s="67" t="s">
        <v>7707</v>
      </c>
      <c r="E2296" s="96" t="s">
        <v>62</v>
      </c>
      <c r="F2296" s="29" t="s">
        <v>61</v>
      </c>
      <c r="G2296" s="29"/>
      <c r="H2296" s="103">
        <f>_xlfn.XLOOKUP(B2296,GM!$Q$5:$Q$756,GM!$J$5:$J$756)</f>
        <v>45202</v>
      </c>
    </row>
    <row r="2297" spans="1:8" hidden="1" x14ac:dyDescent="0.35">
      <c r="A2297" s="29" t="s">
        <v>21</v>
      </c>
      <c r="B2297" s="29" t="str">
        <f t="shared" si="35"/>
        <v>PLM-18</v>
      </c>
      <c r="C2297" s="29" t="s">
        <v>7708</v>
      </c>
      <c r="D2297" s="67" t="s">
        <v>7709</v>
      </c>
      <c r="E2297" s="96" t="s">
        <v>62</v>
      </c>
      <c r="F2297" s="29" t="s">
        <v>61</v>
      </c>
      <c r="G2297" s="29"/>
      <c r="H2297" s="103">
        <f>_xlfn.XLOOKUP(B2297,GM!$Q$5:$Q$756,GM!$J$5:$J$756)</f>
        <v>45645</v>
      </c>
    </row>
    <row r="2298" spans="1:8" hidden="1" x14ac:dyDescent="0.35">
      <c r="A2298" s="29" t="s">
        <v>21</v>
      </c>
      <c r="B2298" s="29" t="str">
        <f t="shared" si="35"/>
        <v>PLM-18</v>
      </c>
      <c r="C2298" s="29" t="s">
        <v>7710</v>
      </c>
      <c r="D2298" s="67" t="s">
        <v>7711</v>
      </c>
      <c r="E2298" s="96" t="s">
        <v>62</v>
      </c>
      <c r="F2298" s="29" t="s">
        <v>61</v>
      </c>
      <c r="G2298" s="29"/>
      <c r="H2298" s="103">
        <f>_xlfn.XLOOKUP(B2298,GM!$Q$5:$Q$756,GM!$J$5:$J$756)</f>
        <v>45645</v>
      </c>
    </row>
    <row r="2299" spans="1:8" hidden="1" x14ac:dyDescent="0.35">
      <c r="A2299" s="29" t="s">
        <v>21</v>
      </c>
      <c r="B2299" s="29" t="str">
        <f t="shared" si="35"/>
        <v>PLM-18</v>
      </c>
      <c r="C2299" s="29" t="s">
        <v>7712</v>
      </c>
      <c r="D2299" s="67" t="s">
        <v>7713</v>
      </c>
      <c r="E2299" s="96" t="s">
        <v>62</v>
      </c>
      <c r="F2299" s="29" t="s">
        <v>61</v>
      </c>
      <c r="G2299" s="29"/>
      <c r="H2299" s="103">
        <f>_xlfn.XLOOKUP(B2299,GM!$Q$5:$Q$756,GM!$J$5:$J$756)</f>
        <v>45645</v>
      </c>
    </row>
    <row r="2300" spans="1:8" hidden="1" x14ac:dyDescent="0.35">
      <c r="A2300" s="29" t="s">
        <v>21</v>
      </c>
      <c r="B2300" s="29" t="str">
        <f t="shared" si="35"/>
        <v>PLM-18</v>
      </c>
      <c r="C2300" s="29" t="s">
        <v>7714</v>
      </c>
      <c r="D2300" s="67" t="s">
        <v>7715</v>
      </c>
      <c r="E2300" s="96" t="s">
        <v>62</v>
      </c>
      <c r="F2300" s="29" t="s">
        <v>61</v>
      </c>
      <c r="G2300" s="29"/>
      <c r="H2300" s="103">
        <f>_xlfn.XLOOKUP(B2300,GM!$Q$5:$Q$756,GM!$J$5:$J$756)</f>
        <v>45645</v>
      </c>
    </row>
    <row r="2301" spans="1:8" hidden="1" x14ac:dyDescent="0.35">
      <c r="A2301" s="29" t="s">
        <v>21</v>
      </c>
      <c r="B2301" s="29" t="str">
        <f t="shared" si="35"/>
        <v>PLM-18</v>
      </c>
      <c r="C2301" s="29" t="s">
        <v>7716</v>
      </c>
      <c r="D2301" s="67" t="s">
        <v>7717</v>
      </c>
      <c r="E2301" s="96" t="s">
        <v>62</v>
      </c>
      <c r="F2301" s="29" t="s">
        <v>61</v>
      </c>
      <c r="G2301" s="29"/>
      <c r="H2301" s="103">
        <f>_xlfn.XLOOKUP(B2301,GM!$Q$5:$Q$756,GM!$J$5:$J$756)</f>
        <v>45645</v>
      </c>
    </row>
    <row r="2302" spans="1:8" hidden="1" x14ac:dyDescent="0.35">
      <c r="A2302" s="29" t="s">
        <v>21</v>
      </c>
      <c r="B2302" s="29" t="str">
        <f t="shared" si="35"/>
        <v>PLM-18</v>
      </c>
      <c r="C2302" s="29" t="s">
        <v>7718</v>
      </c>
      <c r="D2302" s="67" t="s">
        <v>7719</v>
      </c>
      <c r="E2302" s="96" t="s">
        <v>62</v>
      </c>
      <c r="F2302" s="29" t="s">
        <v>61</v>
      </c>
      <c r="G2302" s="29"/>
      <c r="H2302" s="103">
        <f>_xlfn.XLOOKUP(B2302,GM!$Q$5:$Q$756,GM!$J$5:$J$756)</f>
        <v>45645</v>
      </c>
    </row>
    <row r="2303" spans="1:8" hidden="1" x14ac:dyDescent="0.35">
      <c r="A2303" s="29" t="s">
        <v>21</v>
      </c>
      <c r="B2303" s="29" t="str">
        <f t="shared" si="35"/>
        <v>PLM-18</v>
      </c>
      <c r="C2303" s="29" t="s">
        <v>7720</v>
      </c>
      <c r="D2303" s="67" t="s">
        <v>7721</v>
      </c>
      <c r="E2303" s="96" t="s">
        <v>62</v>
      </c>
      <c r="F2303" s="29" t="s">
        <v>61</v>
      </c>
      <c r="G2303" s="29"/>
      <c r="H2303" s="103">
        <f>_xlfn.XLOOKUP(B2303,GM!$Q$5:$Q$756,GM!$J$5:$J$756)</f>
        <v>45645</v>
      </c>
    </row>
    <row r="2304" spans="1:8" hidden="1" x14ac:dyDescent="0.35">
      <c r="A2304" s="29" t="s">
        <v>21</v>
      </c>
      <c r="B2304" s="29" t="str">
        <f t="shared" si="35"/>
        <v>PLM-18</v>
      </c>
      <c r="C2304" s="29" t="s">
        <v>7722</v>
      </c>
      <c r="D2304" s="67" t="s">
        <v>7723</v>
      </c>
      <c r="E2304" s="96" t="s">
        <v>62</v>
      </c>
      <c r="F2304" s="29" t="s">
        <v>61</v>
      </c>
      <c r="G2304" s="29"/>
      <c r="H2304" s="103">
        <f>_xlfn.XLOOKUP(B2304,GM!$Q$5:$Q$756,GM!$J$5:$J$756)</f>
        <v>45645</v>
      </c>
    </row>
    <row r="2305" spans="1:8" hidden="1" x14ac:dyDescent="0.35">
      <c r="A2305" s="29" t="s">
        <v>21</v>
      </c>
      <c r="B2305" s="29" t="str">
        <f t="shared" si="35"/>
        <v>PLM-19</v>
      </c>
      <c r="C2305" s="29" t="s">
        <v>7724</v>
      </c>
      <c r="D2305" s="67" t="s">
        <v>7725</v>
      </c>
      <c r="E2305" s="96" t="s">
        <v>62</v>
      </c>
      <c r="F2305" s="29" t="s">
        <v>61</v>
      </c>
      <c r="G2305" s="29"/>
      <c r="H2305" s="103">
        <f>_xlfn.XLOOKUP(B2305,GM!$Q$5:$Q$756,GM!$J$5:$J$756)</f>
        <v>45959</v>
      </c>
    </row>
    <row r="2306" spans="1:8" hidden="1" x14ac:dyDescent="0.35">
      <c r="A2306" s="29" t="s">
        <v>21</v>
      </c>
      <c r="B2306" s="29" t="str">
        <f t="shared" si="35"/>
        <v>PLM-19</v>
      </c>
      <c r="C2306" s="29" t="s">
        <v>7726</v>
      </c>
      <c r="D2306" s="67" t="s">
        <v>7727</v>
      </c>
      <c r="E2306" s="96" t="s">
        <v>62</v>
      </c>
      <c r="F2306" s="29" t="s">
        <v>61</v>
      </c>
      <c r="G2306" s="29"/>
      <c r="H2306" s="103">
        <f>_xlfn.XLOOKUP(B2306,GM!$Q$5:$Q$756,GM!$J$5:$J$756)</f>
        <v>45959</v>
      </c>
    </row>
    <row r="2307" spans="1:8" hidden="1" x14ac:dyDescent="0.35">
      <c r="A2307" s="29" t="s">
        <v>21</v>
      </c>
      <c r="B2307" s="29" t="str">
        <f t="shared" si="35"/>
        <v>PLM-19</v>
      </c>
      <c r="C2307" s="29" t="s">
        <v>7728</v>
      </c>
      <c r="D2307" s="67" t="s">
        <v>7729</v>
      </c>
      <c r="E2307" s="96" t="s">
        <v>62</v>
      </c>
      <c r="F2307" s="29" t="s">
        <v>61</v>
      </c>
      <c r="G2307" s="29"/>
      <c r="H2307" s="103">
        <f>_xlfn.XLOOKUP(B2307,GM!$Q$5:$Q$756,GM!$J$5:$J$756)</f>
        <v>45959</v>
      </c>
    </row>
    <row r="2308" spans="1:8" hidden="1" x14ac:dyDescent="0.35">
      <c r="A2308" s="29" t="s">
        <v>21</v>
      </c>
      <c r="B2308" s="29" t="str">
        <f t="shared" si="35"/>
        <v>PLM-19</v>
      </c>
      <c r="C2308" s="29" t="s">
        <v>7730</v>
      </c>
      <c r="D2308" s="67" t="s">
        <v>7731</v>
      </c>
      <c r="E2308" s="96" t="s">
        <v>62</v>
      </c>
      <c r="F2308" s="29" t="s">
        <v>61</v>
      </c>
      <c r="G2308" s="29"/>
      <c r="H2308" s="103">
        <f>_xlfn.XLOOKUP(B2308,GM!$Q$5:$Q$756,GM!$J$5:$J$756)</f>
        <v>45959</v>
      </c>
    </row>
    <row r="2309" spans="1:8" hidden="1" x14ac:dyDescent="0.35">
      <c r="A2309" s="29" t="s">
        <v>21</v>
      </c>
      <c r="B2309" s="29" t="str">
        <f t="shared" ref="B2309:B2372" si="36">IF(OR(A2309="ARN",A2309="SDP"),MID(C2309,4,7),MID(C2309,4,6))</f>
        <v>PLM-20</v>
      </c>
      <c r="C2309" s="29" t="s">
        <v>7732</v>
      </c>
      <c r="D2309" s="67" t="s">
        <v>7733</v>
      </c>
      <c r="E2309" s="96" t="s">
        <v>62</v>
      </c>
      <c r="F2309" s="29" t="s">
        <v>61</v>
      </c>
      <c r="G2309" s="29"/>
      <c r="H2309" s="103">
        <f>_xlfn.XLOOKUP(B2309,GM!$Q$5:$Q$756,GM!$J$5:$J$756)</f>
        <v>44889</v>
      </c>
    </row>
    <row r="2310" spans="1:8" hidden="1" x14ac:dyDescent="0.35">
      <c r="A2310" s="29" t="s">
        <v>21</v>
      </c>
      <c r="B2310" s="29" t="str">
        <f t="shared" si="36"/>
        <v>PLM-20</v>
      </c>
      <c r="C2310" s="29" t="s">
        <v>7734</v>
      </c>
      <c r="D2310" s="67" t="s">
        <v>7735</v>
      </c>
      <c r="E2310" s="96" t="s">
        <v>62</v>
      </c>
      <c r="F2310" s="29" t="s">
        <v>61</v>
      </c>
      <c r="G2310" s="29"/>
      <c r="H2310" s="103">
        <f>_xlfn.XLOOKUP(B2310,GM!$Q$5:$Q$756,GM!$J$5:$J$756)</f>
        <v>44889</v>
      </c>
    </row>
    <row r="2311" spans="1:8" hidden="1" x14ac:dyDescent="0.35">
      <c r="A2311" s="29" t="s">
        <v>21</v>
      </c>
      <c r="B2311" s="29" t="str">
        <f t="shared" si="36"/>
        <v>PLM-20</v>
      </c>
      <c r="C2311" s="29" t="s">
        <v>7736</v>
      </c>
      <c r="D2311" s="67" t="s">
        <v>7737</v>
      </c>
      <c r="E2311" s="96" t="s">
        <v>62</v>
      </c>
      <c r="F2311" s="29" t="s">
        <v>61</v>
      </c>
      <c r="G2311" s="29"/>
      <c r="H2311" s="103">
        <f>_xlfn.XLOOKUP(B2311,GM!$Q$5:$Q$756,GM!$J$5:$J$756)</f>
        <v>44889</v>
      </c>
    </row>
    <row r="2312" spans="1:8" hidden="1" x14ac:dyDescent="0.35">
      <c r="A2312" s="29" t="s">
        <v>21</v>
      </c>
      <c r="B2312" s="29" t="str">
        <f t="shared" si="36"/>
        <v>PLM-20</v>
      </c>
      <c r="C2312" s="29" t="s">
        <v>7738</v>
      </c>
      <c r="D2312" s="67" t="s">
        <v>7739</v>
      </c>
      <c r="E2312" s="96" t="s">
        <v>62</v>
      </c>
      <c r="F2312" s="29" t="s">
        <v>61</v>
      </c>
      <c r="G2312" s="29"/>
      <c r="H2312" s="103">
        <f>_xlfn.XLOOKUP(B2312,GM!$Q$5:$Q$756,GM!$J$5:$J$756)</f>
        <v>44889</v>
      </c>
    </row>
    <row r="2313" spans="1:8" hidden="1" x14ac:dyDescent="0.35">
      <c r="A2313" s="29" t="s">
        <v>21</v>
      </c>
      <c r="B2313" s="29" t="str">
        <f t="shared" si="36"/>
        <v>PLM-20</v>
      </c>
      <c r="C2313" s="29" t="s">
        <v>7740</v>
      </c>
      <c r="D2313" s="67" t="s">
        <v>7741</v>
      </c>
      <c r="E2313" s="96" t="s">
        <v>62</v>
      </c>
      <c r="F2313" s="29" t="s">
        <v>61</v>
      </c>
      <c r="G2313" s="29"/>
      <c r="H2313" s="103">
        <f>_xlfn.XLOOKUP(B2313,GM!$Q$5:$Q$756,GM!$J$5:$J$756)</f>
        <v>44889</v>
      </c>
    </row>
    <row r="2314" spans="1:8" hidden="1" x14ac:dyDescent="0.35">
      <c r="A2314" s="29" t="s">
        <v>21</v>
      </c>
      <c r="B2314" s="29" t="str">
        <f t="shared" si="36"/>
        <v>PLM-20</v>
      </c>
      <c r="C2314" s="29" t="s">
        <v>7742</v>
      </c>
      <c r="D2314" s="67" t="s">
        <v>7743</v>
      </c>
      <c r="E2314" s="96" t="s">
        <v>62</v>
      </c>
      <c r="F2314" s="29" t="s">
        <v>61</v>
      </c>
      <c r="G2314" s="29"/>
      <c r="H2314" s="103">
        <f>_xlfn.XLOOKUP(B2314,GM!$Q$5:$Q$756,GM!$J$5:$J$756)</f>
        <v>44889</v>
      </c>
    </row>
    <row r="2315" spans="1:8" hidden="1" x14ac:dyDescent="0.35">
      <c r="A2315" s="29" t="s">
        <v>21</v>
      </c>
      <c r="B2315" s="29" t="str">
        <f t="shared" si="36"/>
        <v>PLM-20</v>
      </c>
      <c r="C2315" s="29" t="s">
        <v>7744</v>
      </c>
      <c r="D2315" s="67" t="s">
        <v>7745</v>
      </c>
      <c r="E2315" s="96" t="s">
        <v>62</v>
      </c>
      <c r="F2315" s="29" t="s">
        <v>61</v>
      </c>
      <c r="G2315" s="29"/>
      <c r="H2315" s="103">
        <f>_xlfn.XLOOKUP(B2315,GM!$Q$5:$Q$756,GM!$J$5:$J$756)</f>
        <v>44889</v>
      </c>
    </row>
    <row r="2316" spans="1:8" hidden="1" x14ac:dyDescent="0.35">
      <c r="A2316" s="29" t="s">
        <v>21</v>
      </c>
      <c r="B2316" s="29" t="str">
        <f t="shared" si="36"/>
        <v>PLM-21</v>
      </c>
      <c r="C2316" s="29" t="s">
        <v>7746</v>
      </c>
      <c r="D2316" s="67" t="s">
        <v>7747</v>
      </c>
      <c r="E2316" s="96" t="s">
        <v>62</v>
      </c>
      <c r="F2316" s="29" t="s">
        <v>61</v>
      </c>
      <c r="G2316" s="29"/>
      <c r="H2316" s="103">
        <f>_xlfn.XLOOKUP(B2316,GM!$Q$5:$Q$756,GM!$J$5:$J$756)</f>
        <v>45645</v>
      </c>
    </row>
    <row r="2317" spans="1:8" hidden="1" x14ac:dyDescent="0.35">
      <c r="A2317" s="29" t="s">
        <v>21</v>
      </c>
      <c r="B2317" s="29" t="str">
        <f t="shared" si="36"/>
        <v>PLM-21</v>
      </c>
      <c r="C2317" s="29" t="s">
        <v>7748</v>
      </c>
      <c r="D2317" s="67" t="s">
        <v>7749</v>
      </c>
      <c r="E2317" s="96" t="s">
        <v>62</v>
      </c>
      <c r="F2317" s="29" t="s">
        <v>61</v>
      </c>
      <c r="G2317" s="29"/>
      <c r="H2317" s="103">
        <f>_xlfn.XLOOKUP(B2317,GM!$Q$5:$Q$756,GM!$J$5:$J$756)</f>
        <v>45645</v>
      </c>
    </row>
    <row r="2318" spans="1:8" hidden="1" x14ac:dyDescent="0.35">
      <c r="A2318" s="29" t="s">
        <v>21</v>
      </c>
      <c r="B2318" s="29" t="str">
        <f t="shared" si="36"/>
        <v>PLM-21</v>
      </c>
      <c r="C2318" s="29" t="s">
        <v>7750</v>
      </c>
      <c r="D2318" s="67" t="s">
        <v>7751</v>
      </c>
      <c r="E2318" s="96" t="s">
        <v>62</v>
      </c>
      <c r="F2318" s="29" t="s">
        <v>61</v>
      </c>
      <c r="G2318" s="29"/>
      <c r="H2318" s="103">
        <f>_xlfn.XLOOKUP(B2318,GM!$Q$5:$Q$756,GM!$J$5:$J$756)</f>
        <v>45645</v>
      </c>
    </row>
    <row r="2319" spans="1:8" hidden="1" x14ac:dyDescent="0.35">
      <c r="A2319" s="29" t="s">
        <v>21</v>
      </c>
      <c r="B2319" s="29" t="str">
        <f t="shared" si="36"/>
        <v>PLM-21</v>
      </c>
      <c r="C2319" s="29" t="s">
        <v>7752</v>
      </c>
      <c r="D2319" s="67" t="s">
        <v>7753</v>
      </c>
      <c r="E2319" s="96" t="s">
        <v>62</v>
      </c>
      <c r="F2319" s="29" t="s">
        <v>61</v>
      </c>
      <c r="G2319" s="29"/>
      <c r="H2319" s="103">
        <f>_xlfn.XLOOKUP(B2319,GM!$Q$5:$Q$756,GM!$J$5:$J$756)</f>
        <v>45645</v>
      </c>
    </row>
    <row r="2320" spans="1:8" hidden="1" x14ac:dyDescent="0.35">
      <c r="A2320" s="29" t="s">
        <v>21</v>
      </c>
      <c r="B2320" s="29" t="str">
        <f t="shared" si="36"/>
        <v>PLM-21</v>
      </c>
      <c r="C2320" s="29" t="s">
        <v>7754</v>
      </c>
      <c r="D2320" s="67" t="s">
        <v>7755</v>
      </c>
      <c r="E2320" s="96" t="s">
        <v>62</v>
      </c>
      <c r="F2320" s="29" t="s">
        <v>61</v>
      </c>
      <c r="G2320" s="29"/>
      <c r="H2320" s="103">
        <f>_xlfn.XLOOKUP(B2320,GM!$Q$5:$Q$756,GM!$J$5:$J$756)</f>
        <v>45645</v>
      </c>
    </row>
    <row r="2321" spans="1:8" hidden="1" x14ac:dyDescent="0.35">
      <c r="A2321" s="29" t="s">
        <v>21</v>
      </c>
      <c r="B2321" s="29" t="str">
        <f t="shared" si="36"/>
        <v>PLM-21</v>
      </c>
      <c r="C2321" s="29" t="s">
        <v>7756</v>
      </c>
      <c r="D2321" s="67" t="s">
        <v>7757</v>
      </c>
      <c r="E2321" s="96" t="s">
        <v>62</v>
      </c>
      <c r="F2321" s="29" t="s">
        <v>61</v>
      </c>
      <c r="G2321" s="29"/>
      <c r="H2321" s="103">
        <f>_xlfn.XLOOKUP(B2321,GM!$Q$5:$Q$756,GM!$J$5:$J$756)</f>
        <v>45645</v>
      </c>
    </row>
    <row r="2322" spans="1:8" hidden="1" x14ac:dyDescent="0.35">
      <c r="A2322" s="29" t="s">
        <v>21</v>
      </c>
      <c r="B2322" s="29" t="str">
        <f t="shared" si="36"/>
        <v>PLM-22</v>
      </c>
      <c r="C2322" s="29" t="s">
        <v>7758</v>
      </c>
      <c r="D2322" s="67" t="s">
        <v>7759</v>
      </c>
      <c r="E2322" s="96" t="s">
        <v>62</v>
      </c>
      <c r="F2322" s="29" t="s">
        <v>61</v>
      </c>
      <c r="G2322" s="29" t="s">
        <v>371</v>
      </c>
      <c r="H2322" s="103">
        <f>_xlfn.XLOOKUP(B2322,GM!$Q$5:$Q$756,GM!$J$5:$J$756)</f>
        <v>44739</v>
      </c>
    </row>
    <row r="2323" spans="1:8" hidden="1" x14ac:dyDescent="0.35">
      <c r="A2323" s="29" t="s">
        <v>21</v>
      </c>
      <c r="B2323" s="29" t="str">
        <f t="shared" si="36"/>
        <v>PLM-23</v>
      </c>
      <c r="C2323" s="29" t="s">
        <v>7760</v>
      </c>
      <c r="D2323" s="67" t="s">
        <v>7761</v>
      </c>
      <c r="E2323" s="96" t="s">
        <v>62</v>
      </c>
      <c r="F2323" s="29" t="s">
        <v>61</v>
      </c>
      <c r="G2323" s="29" t="s">
        <v>371</v>
      </c>
      <c r="H2323" s="103">
        <f>_xlfn.XLOOKUP(B2323,GM!$Q$5:$Q$756,GM!$J$5:$J$756)</f>
        <v>44739</v>
      </c>
    </row>
    <row r="2324" spans="1:8" hidden="1" x14ac:dyDescent="0.35">
      <c r="A2324" s="29" t="s">
        <v>21</v>
      </c>
      <c r="B2324" s="29" t="str">
        <f t="shared" si="36"/>
        <v>PLM-24</v>
      </c>
      <c r="C2324" s="29" t="s">
        <v>7762</v>
      </c>
      <c r="D2324" s="67" t="s">
        <v>7763</v>
      </c>
      <c r="E2324" s="96" t="s">
        <v>62</v>
      </c>
      <c r="F2324" s="29" t="s">
        <v>61</v>
      </c>
      <c r="G2324" s="29" t="s">
        <v>371</v>
      </c>
      <c r="H2324" s="103">
        <f>_xlfn.XLOOKUP(B2324,GM!$Q$5:$Q$756,GM!$J$5:$J$756)</f>
        <v>44739</v>
      </c>
    </row>
    <row r="2325" spans="1:8" hidden="1" x14ac:dyDescent="0.35">
      <c r="A2325" s="29" t="s">
        <v>21</v>
      </c>
      <c r="B2325" s="29" t="str">
        <f t="shared" si="36"/>
        <v>PLM-25</v>
      </c>
      <c r="C2325" s="29" t="s">
        <v>7764</v>
      </c>
      <c r="D2325" s="67" t="s">
        <v>7765</v>
      </c>
      <c r="E2325" s="96" t="s">
        <v>62</v>
      </c>
      <c r="F2325" s="29" t="s">
        <v>61</v>
      </c>
      <c r="G2325" s="29"/>
      <c r="H2325" s="103">
        <f>_xlfn.XLOOKUP(B2325,GM!$Q$5:$Q$756,GM!$J$5:$J$756)</f>
        <v>46009</v>
      </c>
    </row>
    <row r="2326" spans="1:8" hidden="1" x14ac:dyDescent="0.35">
      <c r="A2326" s="29" t="s">
        <v>21</v>
      </c>
      <c r="B2326" s="29" t="str">
        <f t="shared" si="36"/>
        <v>PLM-25</v>
      </c>
      <c r="C2326" s="29" t="s">
        <v>7766</v>
      </c>
      <c r="D2326" s="67" t="s">
        <v>7767</v>
      </c>
      <c r="E2326" s="96" t="s">
        <v>62</v>
      </c>
      <c r="F2326" s="29" t="s">
        <v>61</v>
      </c>
      <c r="G2326" s="29"/>
      <c r="H2326" s="103">
        <f>_xlfn.XLOOKUP(B2326,GM!$Q$5:$Q$756,GM!$J$5:$J$756)</f>
        <v>46009</v>
      </c>
    </row>
    <row r="2327" spans="1:8" hidden="1" x14ac:dyDescent="0.35">
      <c r="A2327" s="29" t="s">
        <v>21</v>
      </c>
      <c r="B2327" s="29" t="str">
        <f t="shared" si="36"/>
        <v>PLM-26</v>
      </c>
      <c r="C2327" s="29" t="s">
        <v>7768</v>
      </c>
      <c r="D2327" s="67" t="s">
        <v>7769</v>
      </c>
      <c r="E2327" s="96" t="s">
        <v>62</v>
      </c>
      <c r="F2327" s="29" t="s">
        <v>61</v>
      </c>
      <c r="G2327" s="29" t="s">
        <v>371</v>
      </c>
      <c r="H2327" s="103">
        <f>_xlfn.XLOOKUP(B2327,GM!$Q$5:$Q$756,GM!$J$5:$J$756)</f>
        <v>44739</v>
      </c>
    </row>
    <row r="2328" spans="1:8" hidden="1" x14ac:dyDescent="0.35">
      <c r="A2328" s="29" t="s">
        <v>21</v>
      </c>
      <c r="B2328" s="29" t="str">
        <f t="shared" si="36"/>
        <v>PLM-27</v>
      </c>
      <c r="C2328" s="29" t="s">
        <v>7770</v>
      </c>
      <c r="D2328" s="67" t="s">
        <v>7771</v>
      </c>
      <c r="E2328" s="96" t="s">
        <v>62</v>
      </c>
      <c r="F2328" s="29" t="s">
        <v>61</v>
      </c>
      <c r="G2328" s="29" t="s">
        <v>371</v>
      </c>
      <c r="H2328" s="103">
        <f>_xlfn.XLOOKUP(B2328,GM!$Q$5:$Q$756,GM!$J$5:$J$756)</f>
        <v>44739</v>
      </c>
    </row>
    <row r="2329" spans="1:8" hidden="1" x14ac:dyDescent="0.35">
      <c r="A2329" s="29" t="s">
        <v>21</v>
      </c>
      <c r="B2329" s="29" t="str">
        <f t="shared" si="36"/>
        <v>PLM-28</v>
      </c>
      <c r="C2329" s="29" t="s">
        <v>7772</v>
      </c>
      <c r="D2329" s="67" t="s">
        <v>7773</v>
      </c>
      <c r="E2329" s="96" t="s">
        <v>62</v>
      </c>
      <c r="F2329" s="29" t="s">
        <v>61</v>
      </c>
      <c r="G2329" s="29"/>
      <c r="H2329" s="103">
        <f>_xlfn.XLOOKUP(B2329,GM!$Q$5:$Q$756,GM!$J$5:$J$756)</f>
        <v>45202</v>
      </c>
    </row>
    <row r="2330" spans="1:8" hidden="1" x14ac:dyDescent="0.35">
      <c r="A2330" s="29" t="s">
        <v>21</v>
      </c>
      <c r="B2330" s="29" t="str">
        <f t="shared" si="36"/>
        <v>PLM-29</v>
      </c>
      <c r="C2330" s="29" t="s">
        <v>7774</v>
      </c>
      <c r="D2330" s="67" t="s">
        <v>7775</v>
      </c>
      <c r="E2330" s="96" t="s">
        <v>62</v>
      </c>
      <c r="F2330" s="29" t="s">
        <v>61</v>
      </c>
      <c r="G2330" s="29"/>
      <c r="H2330" s="103">
        <f>_xlfn.XLOOKUP(B2330,GM!$Q$5:$Q$756,GM!$J$5:$J$756)</f>
        <v>45202</v>
      </c>
    </row>
    <row r="2331" spans="1:8" hidden="1" x14ac:dyDescent="0.35">
      <c r="A2331" s="29" t="s">
        <v>21</v>
      </c>
      <c r="B2331" s="29" t="str">
        <f t="shared" si="36"/>
        <v>PLM-30</v>
      </c>
      <c r="C2331" s="29" t="s">
        <v>7776</v>
      </c>
      <c r="D2331" s="67" t="s">
        <v>7777</v>
      </c>
      <c r="E2331" s="96" t="s">
        <v>62</v>
      </c>
      <c r="F2331" s="29" t="s">
        <v>61</v>
      </c>
      <c r="G2331" s="29"/>
      <c r="H2331" s="103">
        <f>_xlfn.XLOOKUP(B2331,GM!$Q$5:$Q$756,GM!$J$5:$J$756)</f>
        <v>44838</v>
      </c>
    </row>
    <row r="2332" spans="1:8" hidden="1" x14ac:dyDescent="0.35">
      <c r="A2332" s="29" t="s">
        <v>21</v>
      </c>
      <c r="B2332" s="29" t="str">
        <f t="shared" si="36"/>
        <v>PLM-30</v>
      </c>
      <c r="C2332" s="29" t="s">
        <v>7778</v>
      </c>
      <c r="D2332" s="67" t="s">
        <v>7779</v>
      </c>
      <c r="E2332" s="96" t="s">
        <v>62</v>
      </c>
      <c r="F2332" s="29" t="s">
        <v>61</v>
      </c>
      <c r="G2332" s="29"/>
      <c r="H2332" s="103">
        <f>_xlfn.XLOOKUP(B2332,GM!$Q$5:$Q$756,GM!$J$5:$J$756)</f>
        <v>44838</v>
      </c>
    </row>
    <row r="2333" spans="1:8" hidden="1" x14ac:dyDescent="0.35">
      <c r="A2333" s="29" t="s">
        <v>21</v>
      </c>
      <c r="B2333" s="29" t="str">
        <f t="shared" si="36"/>
        <v>PLM-33</v>
      </c>
      <c r="C2333" s="29" t="s">
        <v>7780</v>
      </c>
      <c r="D2333" s="67" t="s">
        <v>7781</v>
      </c>
      <c r="E2333" s="96" t="s">
        <v>62</v>
      </c>
      <c r="F2333" s="29" t="s">
        <v>61</v>
      </c>
      <c r="G2333" s="29" t="s">
        <v>371</v>
      </c>
      <c r="H2333" s="103" t="e">
        <f>_xlfn.XLOOKUP(B2333,GM!$Q$5:$Q$756,GM!$J$5:$J$756)</f>
        <v>#N/A</v>
      </c>
    </row>
    <row r="2334" spans="1:8" hidden="1" x14ac:dyDescent="0.35">
      <c r="A2334" s="29" t="s">
        <v>21</v>
      </c>
      <c r="B2334" s="29" t="str">
        <f t="shared" si="36"/>
        <v>PLM-40</v>
      </c>
      <c r="C2334" s="29" t="s">
        <v>7782</v>
      </c>
      <c r="D2334" s="67" t="s">
        <v>7783</v>
      </c>
      <c r="E2334" s="96" t="s">
        <v>62</v>
      </c>
      <c r="F2334" s="29" t="s">
        <v>61</v>
      </c>
      <c r="G2334" s="29"/>
      <c r="H2334" s="103">
        <f>_xlfn.XLOOKUP(B2334,GM!$Q$5:$Q$756,GM!$J$5:$J$756)</f>
        <v>45202</v>
      </c>
    </row>
    <row r="2335" spans="1:8" hidden="1" x14ac:dyDescent="0.35">
      <c r="A2335" s="29" t="s">
        <v>21</v>
      </c>
      <c r="B2335" s="29" t="str">
        <f t="shared" si="36"/>
        <v>PLM-40</v>
      </c>
      <c r="C2335" s="29" t="s">
        <v>7784</v>
      </c>
      <c r="D2335" s="67" t="s">
        <v>7785</v>
      </c>
      <c r="E2335" s="96" t="s">
        <v>62</v>
      </c>
      <c r="F2335" s="29" t="s">
        <v>61</v>
      </c>
      <c r="G2335" s="29"/>
      <c r="H2335" s="103">
        <f>_xlfn.XLOOKUP(B2335,GM!$Q$5:$Q$756,GM!$J$5:$J$756)</f>
        <v>45202</v>
      </c>
    </row>
    <row r="2336" spans="1:8" hidden="1" x14ac:dyDescent="0.35">
      <c r="A2336" s="29" t="s">
        <v>21</v>
      </c>
      <c r="B2336" s="29" t="str">
        <f t="shared" si="36"/>
        <v>PLM-41</v>
      </c>
      <c r="C2336" s="29" t="s">
        <v>7786</v>
      </c>
      <c r="D2336" s="67" t="s">
        <v>7787</v>
      </c>
      <c r="E2336" s="96" t="s">
        <v>62</v>
      </c>
      <c r="F2336" s="29" t="s">
        <v>61</v>
      </c>
      <c r="G2336" s="29"/>
      <c r="H2336" s="103">
        <f>_xlfn.XLOOKUP(B2336,GM!$Q$5:$Q$756,GM!$J$5:$J$756)</f>
        <v>45202</v>
      </c>
    </row>
    <row r="2337" spans="1:8" hidden="1" x14ac:dyDescent="0.35">
      <c r="A2337" s="29" t="s">
        <v>21</v>
      </c>
      <c r="B2337" s="29" t="str">
        <f t="shared" si="36"/>
        <v>PLM-41</v>
      </c>
      <c r="C2337" s="29" t="s">
        <v>7788</v>
      </c>
      <c r="D2337" s="67" t="s">
        <v>7789</v>
      </c>
      <c r="E2337" s="96" t="s">
        <v>62</v>
      </c>
      <c r="F2337" s="29" t="s">
        <v>61</v>
      </c>
      <c r="G2337" s="29"/>
      <c r="H2337" s="103">
        <f>_xlfn.XLOOKUP(B2337,GM!$Q$5:$Q$756,GM!$J$5:$J$756)</f>
        <v>45202</v>
      </c>
    </row>
    <row r="2338" spans="1:8" hidden="1" x14ac:dyDescent="0.35">
      <c r="A2338" s="29" t="s">
        <v>21</v>
      </c>
      <c r="B2338" s="29" t="str">
        <f t="shared" si="36"/>
        <v>PLM-41</v>
      </c>
      <c r="C2338" s="29" t="s">
        <v>7790</v>
      </c>
      <c r="D2338" s="67" t="s">
        <v>7791</v>
      </c>
      <c r="E2338" s="96" t="s">
        <v>62</v>
      </c>
      <c r="F2338" s="29" t="s">
        <v>61</v>
      </c>
      <c r="G2338" s="29"/>
      <c r="H2338" s="103">
        <f>_xlfn.XLOOKUP(B2338,GM!$Q$5:$Q$756,GM!$J$5:$J$756)</f>
        <v>45202</v>
      </c>
    </row>
    <row r="2339" spans="1:8" hidden="1" x14ac:dyDescent="0.35">
      <c r="A2339" s="29" t="s">
        <v>21</v>
      </c>
      <c r="B2339" s="29" t="str">
        <f t="shared" si="36"/>
        <v>PLM-58</v>
      </c>
      <c r="C2339" s="29" t="s">
        <v>7792</v>
      </c>
      <c r="D2339" s="67" t="s">
        <v>7793</v>
      </c>
      <c r="E2339" s="96" t="s">
        <v>62</v>
      </c>
      <c r="F2339" s="29" t="s">
        <v>61</v>
      </c>
      <c r="G2339" s="29" t="s">
        <v>371</v>
      </c>
      <c r="H2339" s="103" t="e">
        <f>_xlfn.XLOOKUP(B2339,GM!$Q$5:$Q$756,GM!$J$5:$J$756)</f>
        <v>#N/A</v>
      </c>
    </row>
    <row r="2340" spans="1:8" hidden="1" x14ac:dyDescent="0.35">
      <c r="A2340" s="29" t="s">
        <v>21</v>
      </c>
      <c r="B2340" s="29" t="str">
        <f t="shared" si="36"/>
        <v>PLM-59</v>
      </c>
      <c r="C2340" s="29" t="s">
        <v>7794</v>
      </c>
      <c r="D2340" s="67" t="s">
        <v>7795</v>
      </c>
      <c r="E2340" s="96" t="s">
        <v>62</v>
      </c>
      <c r="F2340" s="29" t="s">
        <v>61</v>
      </c>
      <c r="G2340" s="29"/>
      <c r="H2340" s="103">
        <f>_xlfn.XLOOKUP(B2340,GM!$Q$5:$Q$756,GM!$J$5:$J$756)</f>
        <v>45462</v>
      </c>
    </row>
    <row r="2341" spans="1:8" hidden="1" x14ac:dyDescent="0.35">
      <c r="A2341" s="29" t="s">
        <v>21</v>
      </c>
      <c r="B2341" s="29" t="str">
        <f t="shared" si="36"/>
        <v>PLM-59</v>
      </c>
      <c r="C2341" s="29" t="s">
        <v>7796</v>
      </c>
      <c r="D2341" s="67" t="s">
        <v>7797</v>
      </c>
      <c r="E2341" s="96" t="s">
        <v>62</v>
      </c>
      <c r="F2341" s="29" t="s">
        <v>61</v>
      </c>
      <c r="G2341" s="29"/>
      <c r="H2341" s="103">
        <f>_xlfn.XLOOKUP(B2341,GM!$Q$5:$Q$756,GM!$J$5:$J$756)</f>
        <v>45462</v>
      </c>
    </row>
    <row r="2342" spans="1:8" hidden="1" x14ac:dyDescent="0.35">
      <c r="A2342" s="29" t="s">
        <v>21</v>
      </c>
      <c r="B2342" s="29" t="str">
        <f t="shared" si="36"/>
        <v>PLM-60</v>
      </c>
      <c r="C2342" s="29" t="s">
        <v>7798</v>
      </c>
      <c r="D2342" s="67" t="s">
        <v>7799</v>
      </c>
      <c r="E2342" s="96" t="s">
        <v>62</v>
      </c>
      <c r="F2342" s="29" t="s">
        <v>61</v>
      </c>
      <c r="G2342" s="29" t="s">
        <v>371</v>
      </c>
      <c r="H2342" s="103">
        <f>_xlfn.XLOOKUP(B2342,GM!$Q$5:$Q$756,GM!$J$5:$J$756)</f>
        <v>44819</v>
      </c>
    </row>
    <row r="2343" spans="1:8" hidden="1" x14ac:dyDescent="0.35">
      <c r="A2343" s="29" t="s">
        <v>21</v>
      </c>
      <c r="B2343" s="29" t="str">
        <f t="shared" si="36"/>
        <v>PLM-61</v>
      </c>
      <c r="C2343" s="29" t="s">
        <v>7800</v>
      </c>
      <c r="D2343" s="67" t="s">
        <v>7801</v>
      </c>
      <c r="E2343" s="96" t="s">
        <v>62</v>
      </c>
      <c r="F2343" s="29" t="s">
        <v>61</v>
      </c>
      <c r="G2343" s="29"/>
      <c r="H2343" s="103">
        <f>_xlfn.XLOOKUP(B2343,GM!$Q$5:$Q$756,GM!$J$5:$J$756)</f>
        <v>44926</v>
      </c>
    </row>
    <row r="2344" spans="1:8" hidden="1" x14ac:dyDescent="0.35">
      <c r="A2344" s="29" t="s">
        <v>21</v>
      </c>
      <c r="B2344" s="29" t="str">
        <f t="shared" si="36"/>
        <v>PLM-62</v>
      </c>
      <c r="C2344" s="29" t="s">
        <v>7802</v>
      </c>
      <c r="D2344" s="67" t="s">
        <v>7803</v>
      </c>
      <c r="E2344" s="96" t="s">
        <v>62</v>
      </c>
      <c r="F2344" s="29" t="s">
        <v>61</v>
      </c>
      <c r="G2344" s="29"/>
      <c r="H2344" s="103">
        <f>_xlfn.XLOOKUP(B2344,GM!$Q$5:$Q$756,GM!$J$5:$J$756)</f>
        <v>44926</v>
      </c>
    </row>
    <row r="2345" spans="1:8" hidden="1" x14ac:dyDescent="0.35">
      <c r="A2345" s="29" t="s">
        <v>21</v>
      </c>
      <c r="B2345" s="29" t="str">
        <f t="shared" si="36"/>
        <v>PLM-64</v>
      </c>
      <c r="C2345" s="29" t="s">
        <v>7804</v>
      </c>
      <c r="D2345" s="67" t="s">
        <v>7805</v>
      </c>
      <c r="E2345" s="96" t="s">
        <v>62</v>
      </c>
      <c r="F2345" s="29" t="s">
        <v>61</v>
      </c>
      <c r="G2345" s="29"/>
      <c r="H2345" s="103" t="e">
        <f>_xlfn.XLOOKUP(B2345,GM!$Q$5:$Q$756,GM!$J$5:$J$756)</f>
        <v>#N/A</v>
      </c>
    </row>
    <row r="2346" spans="1:8" hidden="1" x14ac:dyDescent="0.35">
      <c r="A2346" s="29" t="s">
        <v>21</v>
      </c>
      <c r="B2346" s="29" t="str">
        <f t="shared" si="36"/>
        <v>PLM-65</v>
      </c>
      <c r="C2346" s="29" t="s">
        <v>7806</v>
      </c>
      <c r="D2346" s="67" t="s">
        <v>7807</v>
      </c>
      <c r="E2346" s="96" t="s">
        <v>62</v>
      </c>
      <c r="F2346" s="29" t="s">
        <v>61</v>
      </c>
      <c r="G2346" s="29"/>
      <c r="H2346" s="103">
        <f>_xlfn.XLOOKUP(B2346,GM!$Q$5:$Q$756,GM!$J$5:$J$756)</f>
        <v>45202</v>
      </c>
    </row>
    <row r="2347" spans="1:8" hidden="1" x14ac:dyDescent="0.35">
      <c r="A2347" s="29" t="s">
        <v>21</v>
      </c>
      <c r="B2347" s="29" t="str">
        <f t="shared" si="36"/>
        <v>PLM-66</v>
      </c>
      <c r="C2347" s="29" t="s">
        <v>7808</v>
      </c>
      <c r="D2347" s="67" t="s">
        <v>7809</v>
      </c>
      <c r="E2347" s="96" t="s">
        <v>62</v>
      </c>
      <c r="F2347" s="29" t="s">
        <v>61</v>
      </c>
      <c r="G2347" s="29"/>
      <c r="H2347" s="103" t="e">
        <f>_xlfn.XLOOKUP(B2347,GM!$Q$5:$Q$756,GM!$J$5:$J$756)</f>
        <v>#N/A</v>
      </c>
    </row>
    <row r="2348" spans="1:8" hidden="1" x14ac:dyDescent="0.35">
      <c r="A2348" s="29" t="s">
        <v>21</v>
      </c>
      <c r="B2348" s="29" t="str">
        <f t="shared" si="36"/>
        <v>PLM-67</v>
      </c>
      <c r="C2348" s="29" t="s">
        <v>7810</v>
      </c>
      <c r="D2348" s="67" t="s">
        <v>7811</v>
      </c>
      <c r="E2348" s="96" t="s">
        <v>62</v>
      </c>
      <c r="F2348" s="29" t="s">
        <v>61</v>
      </c>
      <c r="G2348" s="29"/>
      <c r="H2348" s="103" t="e">
        <f>_xlfn.XLOOKUP(B2348,GM!$Q$5:$Q$756,GM!$J$5:$J$756)</f>
        <v>#N/A</v>
      </c>
    </row>
    <row r="2349" spans="1:8" hidden="1" x14ac:dyDescent="0.35">
      <c r="A2349" s="29" t="s">
        <v>21</v>
      </c>
      <c r="B2349" s="29" t="str">
        <f t="shared" si="36"/>
        <v>PLM-68</v>
      </c>
      <c r="C2349" s="29" t="s">
        <v>7812</v>
      </c>
      <c r="D2349" s="67" t="s">
        <v>7813</v>
      </c>
      <c r="E2349" s="96" t="s">
        <v>62</v>
      </c>
      <c r="F2349" s="29" t="s">
        <v>61</v>
      </c>
      <c r="G2349" s="29"/>
      <c r="H2349" s="103" t="e">
        <f>_xlfn.XLOOKUP(B2349,GM!$Q$5:$Q$756,GM!$J$5:$J$756)</f>
        <v>#N/A</v>
      </c>
    </row>
    <row r="2350" spans="1:8" hidden="1" x14ac:dyDescent="0.35">
      <c r="A2350" s="29" t="s">
        <v>22</v>
      </c>
      <c r="B2350" s="29" t="str">
        <f t="shared" si="36"/>
        <v>RET-00</v>
      </c>
      <c r="C2350" s="29" t="s">
        <v>7814</v>
      </c>
      <c r="D2350" s="67" t="s">
        <v>7815</v>
      </c>
      <c r="E2350" s="96" t="s">
        <v>62</v>
      </c>
      <c r="F2350" s="29" t="s">
        <v>61</v>
      </c>
      <c r="G2350" s="29"/>
      <c r="H2350" s="103">
        <f>_xlfn.XLOOKUP(B2350,GM!$Q$5:$Q$756,GM!$J$5:$J$756)</f>
        <v>45202</v>
      </c>
    </row>
    <row r="2351" spans="1:8" hidden="1" x14ac:dyDescent="0.35">
      <c r="A2351" s="29" t="s">
        <v>22</v>
      </c>
      <c r="B2351" s="29" t="str">
        <f t="shared" si="36"/>
        <v>RET-00</v>
      </c>
      <c r="C2351" s="29" t="s">
        <v>7816</v>
      </c>
      <c r="D2351" s="67" t="s">
        <v>7817</v>
      </c>
      <c r="E2351" s="96" t="s">
        <v>62</v>
      </c>
      <c r="F2351" s="29" t="s">
        <v>61</v>
      </c>
      <c r="G2351" s="29"/>
      <c r="H2351" s="103">
        <f>_xlfn.XLOOKUP(B2351,GM!$Q$5:$Q$756,GM!$J$5:$J$756)</f>
        <v>45202</v>
      </c>
    </row>
    <row r="2352" spans="1:8" hidden="1" x14ac:dyDescent="0.35">
      <c r="A2352" s="29" t="s">
        <v>22</v>
      </c>
      <c r="B2352" s="29" t="str">
        <f t="shared" si="36"/>
        <v>RET-00</v>
      </c>
      <c r="C2352" s="29" t="s">
        <v>7818</v>
      </c>
      <c r="D2352" s="67" t="s">
        <v>7819</v>
      </c>
      <c r="E2352" s="96" t="s">
        <v>62</v>
      </c>
      <c r="F2352" s="29" t="s">
        <v>61</v>
      </c>
      <c r="G2352" s="29"/>
      <c r="H2352" s="103">
        <f>_xlfn.XLOOKUP(B2352,GM!$Q$5:$Q$756,GM!$J$5:$J$756)</f>
        <v>45202</v>
      </c>
    </row>
    <row r="2353" spans="1:8" hidden="1" x14ac:dyDescent="0.35">
      <c r="A2353" s="29" t="s">
        <v>22</v>
      </c>
      <c r="B2353" s="29" t="str">
        <f t="shared" si="36"/>
        <v>RET-00</v>
      </c>
      <c r="C2353" s="29" t="s">
        <v>7820</v>
      </c>
      <c r="D2353" s="67" t="s">
        <v>7821</v>
      </c>
      <c r="E2353" s="96" t="s">
        <v>62</v>
      </c>
      <c r="F2353" s="29" t="s">
        <v>61</v>
      </c>
      <c r="G2353" s="29"/>
      <c r="H2353" s="103">
        <f>_xlfn.XLOOKUP(B2353,GM!$Q$5:$Q$756,GM!$J$5:$J$756)</f>
        <v>45202</v>
      </c>
    </row>
    <row r="2354" spans="1:8" hidden="1" x14ac:dyDescent="0.35">
      <c r="A2354" s="29" t="s">
        <v>22</v>
      </c>
      <c r="B2354" s="29" t="str">
        <f t="shared" si="36"/>
        <v>RET-00</v>
      </c>
      <c r="C2354" s="29" t="s">
        <v>7822</v>
      </c>
      <c r="D2354" s="67" t="s">
        <v>7823</v>
      </c>
      <c r="E2354" s="96" t="s">
        <v>62</v>
      </c>
      <c r="F2354" s="29" t="s">
        <v>61</v>
      </c>
      <c r="G2354" s="29"/>
      <c r="H2354" s="103">
        <f>_xlfn.XLOOKUP(B2354,GM!$Q$5:$Q$756,GM!$J$5:$J$756)</f>
        <v>45202</v>
      </c>
    </row>
    <row r="2355" spans="1:8" hidden="1" x14ac:dyDescent="0.35">
      <c r="A2355" s="29" t="s">
        <v>22</v>
      </c>
      <c r="B2355" s="29" t="str">
        <f t="shared" si="36"/>
        <v>RET-00</v>
      </c>
      <c r="C2355" s="29" t="s">
        <v>7824</v>
      </c>
      <c r="D2355" s="67" t="s">
        <v>7825</v>
      </c>
      <c r="E2355" s="96" t="s">
        <v>62</v>
      </c>
      <c r="F2355" s="29" t="s">
        <v>61</v>
      </c>
      <c r="G2355" s="29"/>
      <c r="H2355" s="103">
        <f>_xlfn.XLOOKUP(B2355,GM!$Q$5:$Q$756,GM!$J$5:$J$756)</f>
        <v>45202</v>
      </c>
    </row>
    <row r="2356" spans="1:8" hidden="1" x14ac:dyDescent="0.35">
      <c r="A2356" s="29" t="s">
        <v>22</v>
      </c>
      <c r="B2356" s="29" t="str">
        <f t="shared" si="36"/>
        <v>RET-00</v>
      </c>
      <c r="C2356" s="29" t="s">
        <v>7826</v>
      </c>
      <c r="D2356" s="67" t="s">
        <v>7827</v>
      </c>
      <c r="E2356" s="96" t="s">
        <v>62</v>
      </c>
      <c r="F2356" s="29" t="s">
        <v>61</v>
      </c>
      <c r="G2356" s="29"/>
      <c r="H2356" s="103">
        <f>_xlfn.XLOOKUP(B2356,GM!$Q$5:$Q$756,GM!$J$5:$J$756)</f>
        <v>45202</v>
      </c>
    </row>
    <row r="2357" spans="1:8" hidden="1" x14ac:dyDescent="0.35">
      <c r="A2357" s="29" t="s">
        <v>22</v>
      </c>
      <c r="B2357" s="29" t="str">
        <f t="shared" si="36"/>
        <v>RET-00</v>
      </c>
      <c r="C2357" s="29" t="s">
        <v>7828</v>
      </c>
      <c r="D2357" s="67" t="s">
        <v>7829</v>
      </c>
      <c r="E2357" s="96" t="s">
        <v>62</v>
      </c>
      <c r="F2357" s="29" t="s">
        <v>61</v>
      </c>
      <c r="G2357" s="29"/>
      <c r="H2357" s="103">
        <f>_xlfn.XLOOKUP(B2357,GM!$Q$5:$Q$756,GM!$J$5:$J$756)</f>
        <v>45202</v>
      </c>
    </row>
    <row r="2358" spans="1:8" hidden="1" x14ac:dyDescent="0.35">
      <c r="A2358" s="29" t="s">
        <v>22</v>
      </c>
      <c r="B2358" s="29" t="str">
        <f t="shared" si="36"/>
        <v>RET-00</v>
      </c>
      <c r="C2358" s="29" t="s">
        <v>7830</v>
      </c>
      <c r="D2358" s="67" t="s">
        <v>7831</v>
      </c>
      <c r="E2358" s="96" t="s">
        <v>62</v>
      </c>
      <c r="F2358" s="29" t="s">
        <v>61</v>
      </c>
      <c r="G2358" s="29"/>
      <c r="H2358" s="103">
        <f>_xlfn.XLOOKUP(B2358,GM!$Q$5:$Q$756,GM!$J$5:$J$756)</f>
        <v>45202</v>
      </c>
    </row>
    <row r="2359" spans="1:8" hidden="1" x14ac:dyDescent="0.35">
      <c r="A2359" s="29" t="s">
        <v>22</v>
      </c>
      <c r="B2359" s="29" t="str">
        <f t="shared" si="36"/>
        <v>RET-01</v>
      </c>
      <c r="C2359" s="29" t="s">
        <v>7832</v>
      </c>
      <c r="D2359" s="67" t="s">
        <v>7833</v>
      </c>
      <c r="E2359" s="96" t="s">
        <v>62</v>
      </c>
      <c r="F2359" s="29" t="s">
        <v>61</v>
      </c>
      <c r="G2359" s="29"/>
      <c r="H2359" s="103">
        <f>_xlfn.XLOOKUP(B2359,GM!$Q$5:$Q$756,GM!$J$5:$J$756)</f>
        <v>44739</v>
      </c>
    </row>
    <row r="2360" spans="1:8" hidden="1" x14ac:dyDescent="0.35">
      <c r="A2360" s="29" t="s">
        <v>22</v>
      </c>
      <c r="B2360" s="29" t="str">
        <f t="shared" si="36"/>
        <v>RET-01</v>
      </c>
      <c r="C2360" s="29" t="s">
        <v>7834</v>
      </c>
      <c r="D2360" s="67" t="s">
        <v>7835</v>
      </c>
      <c r="E2360" s="96" t="s">
        <v>62</v>
      </c>
      <c r="F2360" s="29" t="s">
        <v>61</v>
      </c>
      <c r="G2360" s="29"/>
      <c r="H2360" s="103">
        <f>_xlfn.XLOOKUP(B2360,GM!$Q$5:$Q$756,GM!$J$5:$J$756)</f>
        <v>44739</v>
      </c>
    </row>
    <row r="2361" spans="1:8" hidden="1" x14ac:dyDescent="0.35">
      <c r="A2361" s="29" t="s">
        <v>22</v>
      </c>
      <c r="B2361" s="29" t="str">
        <f t="shared" si="36"/>
        <v>RET-01</v>
      </c>
      <c r="C2361" s="29" t="s">
        <v>7836</v>
      </c>
      <c r="D2361" s="67" t="s">
        <v>7837</v>
      </c>
      <c r="E2361" s="96" t="s">
        <v>62</v>
      </c>
      <c r="F2361" s="29" t="s">
        <v>61</v>
      </c>
      <c r="G2361" s="29"/>
      <c r="H2361" s="103">
        <f>_xlfn.XLOOKUP(B2361,GM!$Q$5:$Q$756,GM!$J$5:$J$756)</f>
        <v>44739</v>
      </c>
    </row>
    <row r="2362" spans="1:8" hidden="1" x14ac:dyDescent="0.35">
      <c r="A2362" s="29" t="s">
        <v>22</v>
      </c>
      <c r="B2362" s="29" t="str">
        <f t="shared" si="36"/>
        <v>RET-01</v>
      </c>
      <c r="C2362" s="29" t="s">
        <v>7838</v>
      </c>
      <c r="D2362" s="67" t="s">
        <v>7839</v>
      </c>
      <c r="E2362" s="96" t="s">
        <v>62</v>
      </c>
      <c r="F2362" s="29" t="s">
        <v>61</v>
      </c>
      <c r="G2362" s="29"/>
      <c r="H2362" s="103">
        <f>_xlfn.XLOOKUP(B2362,GM!$Q$5:$Q$756,GM!$J$5:$J$756)</f>
        <v>44739</v>
      </c>
    </row>
    <row r="2363" spans="1:8" hidden="1" x14ac:dyDescent="0.35">
      <c r="A2363" s="29" t="s">
        <v>22</v>
      </c>
      <c r="B2363" s="29" t="str">
        <f t="shared" si="36"/>
        <v>RET-01</v>
      </c>
      <c r="C2363" s="29" t="s">
        <v>7840</v>
      </c>
      <c r="D2363" s="67" t="s">
        <v>7841</v>
      </c>
      <c r="E2363" s="96" t="s">
        <v>62</v>
      </c>
      <c r="F2363" s="29" t="s">
        <v>61</v>
      </c>
      <c r="G2363" s="29"/>
      <c r="H2363" s="103">
        <f>_xlfn.XLOOKUP(B2363,GM!$Q$5:$Q$756,GM!$J$5:$J$756)</f>
        <v>44739</v>
      </c>
    </row>
    <row r="2364" spans="1:8" hidden="1" x14ac:dyDescent="0.35">
      <c r="A2364" s="29" t="s">
        <v>22</v>
      </c>
      <c r="B2364" s="29" t="str">
        <f t="shared" si="36"/>
        <v>RET-01</v>
      </c>
      <c r="C2364" s="29" t="s">
        <v>7842</v>
      </c>
      <c r="D2364" s="67" t="s">
        <v>7843</v>
      </c>
      <c r="E2364" s="96" t="s">
        <v>62</v>
      </c>
      <c r="F2364" s="29" t="s">
        <v>61</v>
      </c>
      <c r="G2364" s="29"/>
      <c r="H2364" s="103">
        <f>_xlfn.XLOOKUP(B2364,GM!$Q$5:$Q$756,GM!$J$5:$J$756)</f>
        <v>44739</v>
      </c>
    </row>
    <row r="2365" spans="1:8" hidden="1" x14ac:dyDescent="0.35">
      <c r="A2365" s="29" t="s">
        <v>22</v>
      </c>
      <c r="B2365" s="29" t="str">
        <f t="shared" si="36"/>
        <v>RET-01</v>
      </c>
      <c r="C2365" s="29" t="s">
        <v>7844</v>
      </c>
      <c r="D2365" s="67" t="s">
        <v>7845</v>
      </c>
      <c r="E2365" s="96" t="s">
        <v>62</v>
      </c>
      <c r="F2365" s="29" t="s">
        <v>61</v>
      </c>
      <c r="G2365" s="29"/>
      <c r="H2365" s="103">
        <f>_xlfn.XLOOKUP(B2365,GM!$Q$5:$Q$756,GM!$J$5:$J$756)</f>
        <v>44739</v>
      </c>
    </row>
    <row r="2366" spans="1:8" hidden="1" x14ac:dyDescent="0.35">
      <c r="A2366" s="29" t="s">
        <v>22</v>
      </c>
      <c r="B2366" s="29" t="str">
        <f t="shared" si="36"/>
        <v>RET-01</v>
      </c>
      <c r="C2366" s="29" t="s">
        <v>7846</v>
      </c>
      <c r="D2366" s="67" t="s">
        <v>7847</v>
      </c>
      <c r="E2366" s="96" t="s">
        <v>62</v>
      </c>
      <c r="F2366" s="29" t="s">
        <v>61</v>
      </c>
      <c r="G2366" s="29"/>
      <c r="H2366" s="103">
        <f>_xlfn.XLOOKUP(B2366,GM!$Q$5:$Q$756,GM!$J$5:$J$756)</f>
        <v>44739</v>
      </c>
    </row>
    <row r="2367" spans="1:8" hidden="1" x14ac:dyDescent="0.35">
      <c r="A2367" s="29" t="s">
        <v>22</v>
      </c>
      <c r="B2367" s="29" t="str">
        <f t="shared" si="36"/>
        <v>RET-01</v>
      </c>
      <c r="C2367" s="29" t="s">
        <v>7848</v>
      </c>
      <c r="D2367" s="67" t="s">
        <v>7849</v>
      </c>
      <c r="E2367" s="96" t="s">
        <v>62</v>
      </c>
      <c r="F2367" s="29" t="s">
        <v>61</v>
      </c>
      <c r="G2367" s="29"/>
      <c r="H2367" s="103">
        <f>_xlfn.XLOOKUP(B2367,GM!$Q$5:$Q$756,GM!$J$5:$J$756)</f>
        <v>44739</v>
      </c>
    </row>
    <row r="2368" spans="1:8" hidden="1" x14ac:dyDescent="0.35">
      <c r="A2368" s="29" t="s">
        <v>22</v>
      </c>
      <c r="B2368" s="29" t="str">
        <f t="shared" si="36"/>
        <v>RET-01</v>
      </c>
      <c r="C2368" s="29" t="s">
        <v>7850</v>
      </c>
      <c r="D2368" s="67" t="s">
        <v>7851</v>
      </c>
      <c r="E2368" s="96" t="s">
        <v>62</v>
      </c>
      <c r="F2368" s="29" t="s">
        <v>61</v>
      </c>
      <c r="G2368" s="29"/>
      <c r="H2368" s="103">
        <f>_xlfn.XLOOKUP(B2368,GM!$Q$5:$Q$756,GM!$J$5:$J$756)</f>
        <v>44739</v>
      </c>
    </row>
    <row r="2369" spans="1:8" hidden="1" x14ac:dyDescent="0.35">
      <c r="A2369" s="29" t="s">
        <v>22</v>
      </c>
      <c r="B2369" s="29" t="str">
        <f t="shared" si="36"/>
        <v>RET-01</v>
      </c>
      <c r="C2369" s="29" t="s">
        <v>7852</v>
      </c>
      <c r="D2369" s="67" t="s">
        <v>7853</v>
      </c>
      <c r="E2369" s="96" t="s">
        <v>62</v>
      </c>
      <c r="F2369" s="29" t="s">
        <v>61</v>
      </c>
      <c r="G2369" s="29"/>
      <c r="H2369" s="103">
        <f>_xlfn.XLOOKUP(B2369,GM!$Q$5:$Q$756,GM!$J$5:$J$756)</f>
        <v>44739</v>
      </c>
    </row>
    <row r="2370" spans="1:8" hidden="1" x14ac:dyDescent="0.35">
      <c r="A2370" s="29" t="s">
        <v>22</v>
      </c>
      <c r="B2370" s="29" t="str">
        <f t="shared" si="36"/>
        <v>RET-01</v>
      </c>
      <c r="C2370" s="29" t="s">
        <v>7854</v>
      </c>
      <c r="D2370" s="67" t="s">
        <v>7855</v>
      </c>
      <c r="E2370" s="96" t="s">
        <v>62</v>
      </c>
      <c r="F2370" s="29" t="s">
        <v>61</v>
      </c>
      <c r="G2370" s="29"/>
      <c r="H2370" s="103">
        <f>_xlfn.XLOOKUP(B2370,GM!$Q$5:$Q$756,GM!$J$5:$J$756)</f>
        <v>44739</v>
      </c>
    </row>
    <row r="2371" spans="1:8" hidden="1" x14ac:dyDescent="0.35">
      <c r="A2371" s="29" t="s">
        <v>22</v>
      </c>
      <c r="B2371" s="29" t="str">
        <f t="shared" si="36"/>
        <v>RET-01</v>
      </c>
      <c r="C2371" s="29" t="s">
        <v>7856</v>
      </c>
      <c r="D2371" s="67" t="s">
        <v>7857</v>
      </c>
      <c r="E2371" s="96" t="s">
        <v>62</v>
      </c>
      <c r="F2371" s="29" t="s">
        <v>61</v>
      </c>
      <c r="G2371" s="29"/>
      <c r="H2371" s="103">
        <f>_xlfn.XLOOKUP(B2371,GM!$Q$5:$Q$756,GM!$J$5:$J$756)</f>
        <v>44739</v>
      </c>
    </row>
    <row r="2372" spans="1:8" hidden="1" x14ac:dyDescent="0.35">
      <c r="A2372" s="29" t="s">
        <v>22</v>
      </c>
      <c r="B2372" s="29" t="str">
        <f t="shared" si="36"/>
        <v>RET-01</v>
      </c>
      <c r="C2372" s="29" t="s">
        <v>7858</v>
      </c>
      <c r="D2372" s="67" t="s">
        <v>7859</v>
      </c>
      <c r="E2372" s="96" t="s">
        <v>62</v>
      </c>
      <c r="F2372" s="29" t="s">
        <v>61</v>
      </c>
      <c r="G2372" s="29"/>
      <c r="H2372" s="103">
        <f>_xlfn.XLOOKUP(B2372,GM!$Q$5:$Q$756,GM!$J$5:$J$756)</f>
        <v>44739</v>
      </c>
    </row>
    <row r="2373" spans="1:8" hidden="1" x14ac:dyDescent="0.35">
      <c r="A2373" s="29" t="s">
        <v>22</v>
      </c>
      <c r="B2373" s="29" t="str">
        <f t="shared" ref="B2373:B2436" si="37">IF(OR(A2373="ARN",A2373="SDP"),MID(C2373,4,7),MID(C2373,4,6))</f>
        <v>RET-01</v>
      </c>
      <c r="C2373" s="29" t="s">
        <v>7860</v>
      </c>
      <c r="D2373" s="67" t="s">
        <v>7861</v>
      </c>
      <c r="E2373" s="96" t="s">
        <v>62</v>
      </c>
      <c r="F2373" s="29" t="s">
        <v>61</v>
      </c>
      <c r="G2373" s="29"/>
      <c r="H2373" s="103">
        <f>_xlfn.XLOOKUP(B2373,GM!$Q$5:$Q$756,GM!$J$5:$J$756)</f>
        <v>44739</v>
      </c>
    </row>
    <row r="2374" spans="1:8" hidden="1" x14ac:dyDescent="0.35">
      <c r="A2374" s="29" t="s">
        <v>22</v>
      </c>
      <c r="B2374" s="29" t="str">
        <f t="shared" si="37"/>
        <v>RET-01</v>
      </c>
      <c r="C2374" s="29" t="s">
        <v>7862</v>
      </c>
      <c r="D2374" s="67" t="s">
        <v>7863</v>
      </c>
      <c r="E2374" s="96" t="s">
        <v>62</v>
      </c>
      <c r="F2374" s="29" t="s">
        <v>61</v>
      </c>
      <c r="G2374" s="29"/>
      <c r="H2374" s="103">
        <f>_xlfn.XLOOKUP(B2374,GM!$Q$5:$Q$756,GM!$J$5:$J$756)</f>
        <v>44739</v>
      </c>
    </row>
    <row r="2375" spans="1:8" hidden="1" x14ac:dyDescent="0.35">
      <c r="A2375" s="29" t="s">
        <v>22</v>
      </c>
      <c r="B2375" s="29" t="str">
        <f t="shared" si="37"/>
        <v>RET-01</v>
      </c>
      <c r="C2375" s="29" t="s">
        <v>7864</v>
      </c>
      <c r="D2375" s="67" t="s">
        <v>7865</v>
      </c>
      <c r="E2375" s="96" t="s">
        <v>62</v>
      </c>
      <c r="F2375" s="29" t="s">
        <v>61</v>
      </c>
      <c r="G2375" s="29"/>
      <c r="H2375" s="103">
        <f>_xlfn.XLOOKUP(B2375,GM!$Q$5:$Q$756,GM!$J$5:$J$756)</f>
        <v>44739</v>
      </c>
    </row>
    <row r="2376" spans="1:8" hidden="1" x14ac:dyDescent="0.35">
      <c r="A2376" s="29" t="s">
        <v>22</v>
      </c>
      <c r="B2376" s="29" t="str">
        <f t="shared" si="37"/>
        <v>RET-01</v>
      </c>
      <c r="C2376" s="29" t="s">
        <v>7866</v>
      </c>
      <c r="D2376" s="67" t="s">
        <v>7867</v>
      </c>
      <c r="E2376" s="96" t="s">
        <v>62</v>
      </c>
      <c r="F2376" s="29" t="s">
        <v>61</v>
      </c>
      <c r="G2376" s="29"/>
      <c r="H2376" s="103">
        <f>_xlfn.XLOOKUP(B2376,GM!$Q$5:$Q$756,GM!$J$5:$J$756)</f>
        <v>44739</v>
      </c>
    </row>
    <row r="2377" spans="1:8" hidden="1" x14ac:dyDescent="0.35">
      <c r="A2377" s="29" t="s">
        <v>22</v>
      </c>
      <c r="B2377" s="29" t="str">
        <f t="shared" si="37"/>
        <v>RET-01</v>
      </c>
      <c r="C2377" s="29" t="s">
        <v>7868</v>
      </c>
      <c r="D2377" s="67" t="s">
        <v>7869</v>
      </c>
      <c r="E2377" s="96" t="s">
        <v>62</v>
      </c>
      <c r="F2377" s="29" t="s">
        <v>61</v>
      </c>
      <c r="G2377" s="29"/>
      <c r="H2377" s="103">
        <f>_xlfn.XLOOKUP(B2377,GM!$Q$5:$Q$756,GM!$J$5:$J$756)</f>
        <v>44739</v>
      </c>
    </row>
    <row r="2378" spans="1:8" hidden="1" x14ac:dyDescent="0.35">
      <c r="A2378" s="29" t="s">
        <v>22</v>
      </c>
      <c r="B2378" s="29" t="str">
        <f t="shared" si="37"/>
        <v>RET-01</v>
      </c>
      <c r="C2378" s="29" t="s">
        <v>7870</v>
      </c>
      <c r="D2378" s="67" t="s">
        <v>7871</v>
      </c>
      <c r="E2378" s="96" t="s">
        <v>62</v>
      </c>
      <c r="F2378" s="29" t="s">
        <v>61</v>
      </c>
      <c r="G2378" s="29"/>
      <c r="H2378" s="103">
        <f>_xlfn.XLOOKUP(B2378,GM!$Q$5:$Q$756,GM!$J$5:$J$756)</f>
        <v>44739</v>
      </c>
    </row>
    <row r="2379" spans="1:8" hidden="1" x14ac:dyDescent="0.35">
      <c r="A2379" s="29" t="s">
        <v>22</v>
      </c>
      <c r="B2379" s="29" t="str">
        <f t="shared" si="37"/>
        <v>RET-01</v>
      </c>
      <c r="C2379" s="29" t="s">
        <v>7872</v>
      </c>
      <c r="D2379" s="67" t="s">
        <v>7873</v>
      </c>
      <c r="E2379" s="96" t="s">
        <v>62</v>
      </c>
      <c r="F2379" s="29" t="s">
        <v>61</v>
      </c>
      <c r="G2379" s="29"/>
      <c r="H2379" s="103">
        <f>_xlfn.XLOOKUP(B2379,GM!$Q$5:$Q$756,GM!$J$5:$J$756)</f>
        <v>44739</v>
      </c>
    </row>
    <row r="2380" spans="1:8" hidden="1" x14ac:dyDescent="0.35">
      <c r="A2380" s="29" t="s">
        <v>22</v>
      </c>
      <c r="B2380" s="29" t="str">
        <f t="shared" si="37"/>
        <v>RET-01</v>
      </c>
      <c r="C2380" s="29" t="s">
        <v>7874</v>
      </c>
      <c r="D2380" s="67" t="s">
        <v>7875</v>
      </c>
      <c r="E2380" s="96" t="s">
        <v>62</v>
      </c>
      <c r="F2380" s="29" t="s">
        <v>61</v>
      </c>
      <c r="G2380" s="29"/>
      <c r="H2380" s="103">
        <f>_xlfn.XLOOKUP(B2380,GM!$Q$5:$Q$756,GM!$J$5:$J$756)</f>
        <v>44739</v>
      </c>
    </row>
    <row r="2381" spans="1:8" hidden="1" x14ac:dyDescent="0.35">
      <c r="A2381" s="29" t="s">
        <v>22</v>
      </c>
      <c r="B2381" s="29" t="str">
        <f t="shared" si="37"/>
        <v>RET-01</v>
      </c>
      <c r="C2381" s="29" t="s">
        <v>7876</v>
      </c>
      <c r="D2381" s="67" t="s">
        <v>7877</v>
      </c>
      <c r="E2381" s="96" t="s">
        <v>62</v>
      </c>
      <c r="F2381" s="29" t="s">
        <v>61</v>
      </c>
      <c r="G2381" s="29"/>
      <c r="H2381" s="103">
        <f>_xlfn.XLOOKUP(B2381,GM!$Q$5:$Q$756,GM!$J$5:$J$756)</f>
        <v>44739</v>
      </c>
    </row>
    <row r="2382" spans="1:8" hidden="1" x14ac:dyDescent="0.35">
      <c r="A2382" s="29" t="s">
        <v>22</v>
      </c>
      <c r="B2382" s="29" t="str">
        <f t="shared" si="37"/>
        <v>RET-01</v>
      </c>
      <c r="C2382" s="29" t="s">
        <v>7878</v>
      </c>
      <c r="D2382" s="67" t="s">
        <v>7879</v>
      </c>
      <c r="E2382" s="96" t="s">
        <v>62</v>
      </c>
      <c r="F2382" s="29" t="s">
        <v>61</v>
      </c>
      <c r="G2382" s="29"/>
      <c r="H2382" s="103">
        <f>_xlfn.XLOOKUP(B2382,GM!$Q$5:$Q$756,GM!$J$5:$J$756)</f>
        <v>44739</v>
      </c>
    </row>
    <row r="2383" spans="1:8" hidden="1" x14ac:dyDescent="0.35">
      <c r="A2383" s="29" t="s">
        <v>22</v>
      </c>
      <c r="B2383" s="29" t="str">
        <f t="shared" si="37"/>
        <v>RET-01</v>
      </c>
      <c r="C2383" s="29" t="s">
        <v>7880</v>
      </c>
      <c r="D2383" s="67" t="s">
        <v>7881</v>
      </c>
      <c r="E2383" s="96" t="s">
        <v>62</v>
      </c>
      <c r="F2383" s="29" t="s">
        <v>61</v>
      </c>
      <c r="G2383" s="29"/>
      <c r="H2383" s="103">
        <f>_xlfn.XLOOKUP(B2383,GM!$Q$5:$Q$756,GM!$J$5:$J$756)</f>
        <v>44739</v>
      </c>
    </row>
    <row r="2384" spans="1:8" hidden="1" x14ac:dyDescent="0.35">
      <c r="A2384" s="29" t="s">
        <v>22</v>
      </c>
      <c r="B2384" s="29" t="str">
        <f t="shared" si="37"/>
        <v>RET-01</v>
      </c>
      <c r="C2384" s="29" t="s">
        <v>7882</v>
      </c>
      <c r="D2384" s="67" t="s">
        <v>7883</v>
      </c>
      <c r="E2384" s="96" t="s">
        <v>62</v>
      </c>
      <c r="F2384" s="29" t="s">
        <v>61</v>
      </c>
      <c r="G2384" s="29"/>
      <c r="H2384" s="103">
        <f>_xlfn.XLOOKUP(B2384,GM!$Q$5:$Q$756,GM!$J$5:$J$756)</f>
        <v>44739</v>
      </c>
    </row>
    <row r="2385" spans="1:8" hidden="1" x14ac:dyDescent="0.35">
      <c r="A2385" s="29" t="s">
        <v>22</v>
      </c>
      <c r="B2385" s="29" t="str">
        <f t="shared" si="37"/>
        <v>RET-02</v>
      </c>
      <c r="C2385" s="29" t="s">
        <v>7884</v>
      </c>
      <c r="D2385" s="67" t="s">
        <v>7885</v>
      </c>
      <c r="E2385" s="96" t="s">
        <v>62</v>
      </c>
      <c r="F2385" s="29" t="s">
        <v>61</v>
      </c>
      <c r="G2385" s="29"/>
      <c r="H2385" s="103">
        <f>_xlfn.XLOOKUP(B2385,GM!$Q$5:$Q$756,GM!$J$5:$J$756)</f>
        <v>44739</v>
      </c>
    </row>
    <row r="2386" spans="1:8" hidden="1" x14ac:dyDescent="0.35">
      <c r="A2386" s="29" t="s">
        <v>22</v>
      </c>
      <c r="B2386" s="29" t="str">
        <f t="shared" si="37"/>
        <v>RET-02</v>
      </c>
      <c r="C2386" s="29" t="s">
        <v>7886</v>
      </c>
      <c r="D2386" s="67" t="s">
        <v>7887</v>
      </c>
      <c r="E2386" s="96" t="s">
        <v>62</v>
      </c>
      <c r="F2386" s="29" t="s">
        <v>61</v>
      </c>
      <c r="G2386" s="29"/>
      <c r="H2386" s="103">
        <f>_xlfn.XLOOKUP(B2386,GM!$Q$5:$Q$756,GM!$J$5:$J$756)</f>
        <v>44739</v>
      </c>
    </row>
    <row r="2387" spans="1:8" hidden="1" x14ac:dyDescent="0.35">
      <c r="A2387" s="29" t="s">
        <v>22</v>
      </c>
      <c r="B2387" s="29" t="str">
        <f t="shared" si="37"/>
        <v>RET-02</v>
      </c>
      <c r="C2387" s="29" t="s">
        <v>7888</v>
      </c>
      <c r="D2387" s="67" t="s">
        <v>7889</v>
      </c>
      <c r="E2387" s="96" t="s">
        <v>62</v>
      </c>
      <c r="F2387" s="29" t="s">
        <v>61</v>
      </c>
      <c r="G2387" s="29"/>
      <c r="H2387" s="103">
        <f>_xlfn.XLOOKUP(B2387,GM!$Q$5:$Q$756,GM!$J$5:$J$756)</f>
        <v>44739</v>
      </c>
    </row>
    <row r="2388" spans="1:8" hidden="1" x14ac:dyDescent="0.35">
      <c r="A2388" s="29" t="s">
        <v>22</v>
      </c>
      <c r="B2388" s="29" t="str">
        <f t="shared" si="37"/>
        <v>RET-02</v>
      </c>
      <c r="C2388" s="29" t="s">
        <v>7890</v>
      </c>
      <c r="D2388" s="67" t="s">
        <v>7891</v>
      </c>
      <c r="E2388" s="96" t="s">
        <v>62</v>
      </c>
      <c r="F2388" s="29" t="s">
        <v>61</v>
      </c>
      <c r="G2388" s="29"/>
      <c r="H2388" s="103">
        <f>_xlfn.XLOOKUP(B2388,GM!$Q$5:$Q$756,GM!$J$5:$J$756)</f>
        <v>44739</v>
      </c>
    </row>
    <row r="2389" spans="1:8" hidden="1" x14ac:dyDescent="0.35">
      <c r="A2389" s="29" t="s">
        <v>22</v>
      </c>
      <c r="B2389" s="29" t="str">
        <f t="shared" si="37"/>
        <v>RET-02</v>
      </c>
      <c r="C2389" s="29" t="s">
        <v>7892</v>
      </c>
      <c r="D2389" s="67" t="s">
        <v>7893</v>
      </c>
      <c r="E2389" s="96" t="s">
        <v>62</v>
      </c>
      <c r="F2389" s="29" t="s">
        <v>61</v>
      </c>
      <c r="G2389" s="29"/>
      <c r="H2389" s="103">
        <f>_xlfn.XLOOKUP(B2389,GM!$Q$5:$Q$756,GM!$J$5:$J$756)</f>
        <v>44739</v>
      </c>
    </row>
    <row r="2390" spans="1:8" hidden="1" x14ac:dyDescent="0.35">
      <c r="A2390" s="29" t="s">
        <v>22</v>
      </c>
      <c r="B2390" s="29" t="str">
        <f t="shared" si="37"/>
        <v>RET-02</v>
      </c>
      <c r="C2390" s="29" t="s">
        <v>7894</v>
      </c>
      <c r="D2390" s="67" t="s">
        <v>7895</v>
      </c>
      <c r="E2390" s="96" t="s">
        <v>62</v>
      </c>
      <c r="F2390" s="29" t="s">
        <v>61</v>
      </c>
      <c r="G2390" s="29"/>
      <c r="H2390" s="103">
        <f>_xlfn.XLOOKUP(B2390,GM!$Q$5:$Q$756,GM!$J$5:$J$756)</f>
        <v>44739</v>
      </c>
    </row>
    <row r="2391" spans="1:8" hidden="1" x14ac:dyDescent="0.35">
      <c r="A2391" s="29" t="s">
        <v>22</v>
      </c>
      <c r="B2391" s="29" t="str">
        <f t="shared" si="37"/>
        <v>RET-02</v>
      </c>
      <c r="C2391" s="29" t="s">
        <v>7896</v>
      </c>
      <c r="D2391" s="67" t="s">
        <v>7897</v>
      </c>
      <c r="E2391" s="96" t="s">
        <v>62</v>
      </c>
      <c r="F2391" s="29" t="s">
        <v>61</v>
      </c>
      <c r="G2391" s="29"/>
      <c r="H2391" s="103">
        <f>_xlfn.XLOOKUP(B2391,GM!$Q$5:$Q$756,GM!$J$5:$J$756)</f>
        <v>44739</v>
      </c>
    </row>
    <row r="2392" spans="1:8" hidden="1" x14ac:dyDescent="0.35">
      <c r="A2392" s="29" t="s">
        <v>22</v>
      </c>
      <c r="B2392" s="29" t="str">
        <f t="shared" si="37"/>
        <v>RET-03</v>
      </c>
      <c r="C2392" s="29" t="s">
        <v>7898</v>
      </c>
      <c r="D2392" s="67" t="s">
        <v>7899</v>
      </c>
      <c r="E2392" s="96" t="s">
        <v>62</v>
      </c>
      <c r="F2392" s="29" t="s">
        <v>61</v>
      </c>
      <c r="G2392" s="29"/>
      <c r="H2392" s="103">
        <f>_xlfn.XLOOKUP(B2392,GM!$Q$5:$Q$756,GM!$J$5:$J$756)</f>
        <v>45506</v>
      </c>
    </row>
    <row r="2393" spans="1:8" hidden="1" x14ac:dyDescent="0.35">
      <c r="A2393" s="29" t="s">
        <v>22</v>
      </c>
      <c r="B2393" s="29" t="str">
        <f t="shared" si="37"/>
        <v>RET-03</v>
      </c>
      <c r="C2393" s="29" t="s">
        <v>7900</v>
      </c>
      <c r="D2393" s="67" t="s">
        <v>7901</v>
      </c>
      <c r="E2393" s="96" t="s">
        <v>62</v>
      </c>
      <c r="F2393" s="29" t="s">
        <v>61</v>
      </c>
      <c r="G2393" s="29"/>
      <c r="H2393" s="103">
        <f>_xlfn.XLOOKUP(B2393,GM!$Q$5:$Q$756,GM!$J$5:$J$756)</f>
        <v>45506</v>
      </c>
    </row>
    <row r="2394" spans="1:8" hidden="1" x14ac:dyDescent="0.35">
      <c r="A2394" s="29" t="s">
        <v>22</v>
      </c>
      <c r="B2394" s="29" t="str">
        <f t="shared" si="37"/>
        <v>RET-03</v>
      </c>
      <c r="C2394" s="29" t="s">
        <v>7902</v>
      </c>
      <c r="D2394" s="67" t="s">
        <v>7903</v>
      </c>
      <c r="E2394" s="96" t="s">
        <v>62</v>
      </c>
      <c r="F2394" s="29" t="s">
        <v>61</v>
      </c>
      <c r="G2394" s="29"/>
      <c r="H2394" s="103">
        <f>_xlfn.XLOOKUP(B2394,GM!$Q$5:$Q$756,GM!$J$5:$J$756)</f>
        <v>45506</v>
      </c>
    </row>
    <row r="2395" spans="1:8" hidden="1" x14ac:dyDescent="0.35">
      <c r="A2395" s="29" t="s">
        <v>22</v>
      </c>
      <c r="B2395" s="29" t="str">
        <f t="shared" si="37"/>
        <v>RET-03</v>
      </c>
      <c r="C2395" s="29" t="s">
        <v>7904</v>
      </c>
      <c r="D2395" s="67" t="s">
        <v>7905</v>
      </c>
      <c r="E2395" s="96" t="s">
        <v>62</v>
      </c>
      <c r="F2395" s="29" t="s">
        <v>61</v>
      </c>
      <c r="G2395" s="29"/>
      <c r="H2395" s="103">
        <f>_xlfn.XLOOKUP(B2395,GM!$Q$5:$Q$756,GM!$J$5:$J$756)</f>
        <v>45506</v>
      </c>
    </row>
    <row r="2396" spans="1:8" hidden="1" x14ac:dyDescent="0.35">
      <c r="A2396" s="29" t="s">
        <v>22</v>
      </c>
      <c r="B2396" s="29" t="str">
        <f t="shared" si="37"/>
        <v>RET-03</v>
      </c>
      <c r="C2396" s="29" t="s">
        <v>7906</v>
      </c>
      <c r="D2396" s="67" t="s">
        <v>7907</v>
      </c>
      <c r="E2396" s="96" t="s">
        <v>62</v>
      </c>
      <c r="F2396" s="29" t="s">
        <v>61</v>
      </c>
      <c r="G2396" s="29"/>
      <c r="H2396" s="103">
        <f>_xlfn.XLOOKUP(B2396,GM!$Q$5:$Q$756,GM!$J$5:$J$756)</f>
        <v>45506</v>
      </c>
    </row>
    <row r="2397" spans="1:8" hidden="1" x14ac:dyDescent="0.35">
      <c r="A2397" s="29" t="s">
        <v>22</v>
      </c>
      <c r="B2397" s="29" t="str">
        <f t="shared" si="37"/>
        <v>RET-03</v>
      </c>
      <c r="C2397" s="29" t="s">
        <v>7908</v>
      </c>
      <c r="D2397" s="67" t="s">
        <v>7909</v>
      </c>
      <c r="E2397" s="96" t="s">
        <v>62</v>
      </c>
      <c r="F2397" s="29" t="s">
        <v>61</v>
      </c>
      <c r="G2397" s="29"/>
      <c r="H2397" s="103">
        <f>_xlfn.XLOOKUP(B2397,GM!$Q$5:$Q$756,GM!$J$5:$J$756)</f>
        <v>45506</v>
      </c>
    </row>
    <row r="2398" spans="1:8" hidden="1" x14ac:dyDescent="0.35">
      <c r="A2398" s="29" t="s">
        <v>22</v>
      </c>
      <c r="B2398" s="29" t="str">
        <f t="shared" si="37"/>
        <v>RET-03</v>
      </c>
      <c r="C2398" s="29" t="s">
        <v>7910</v>
      </c>
      <c r="D2398" s="67" t="s">
        <v>7911</v>
      </c>
      <c r="E2398" s="96" t="s">
        <v>62</v>
      </c>
      <c r="F2398" s="29" t="s">
        <v>61</v>
      </c>
      <c r="G2398" s="29"/>
      <c r="H2398" s="103">
        <f>_xlfn.XLOOKUP(B2398,GM!$Q$5:$Q$756,GM!$J$5:$J$756)</f>
        <v>45506</v>
      </c>
    </row>
    <row r="2399" spans="1:8" hidden="1" x14ac:dyDescent="0.35">
      <c r="A2399" s="29" t="s">
        <v>22</v>
      </c>
      <c r="B2399" s="29" t="str">
        <f t="shared" si="37"/>
        <v>RET-03</v>
      </c>
      <c r="C2399" s="29" t="s">
        <v>7912</v>
      </c>
      <c r="D2399" s="67" t="s">
        <v>7913</v>
      </c>
      <c r="E2399" s="96" t="s">
        <v>62</v>
      </c>
      <c r="F2399" s="29" t="s">
        <v>61</v>
      </c>
      <c r="G2399" s="29"/>
      <c r="H2399" s="103">
        <f>_xlfn.XLOOKUP(B2399,GM!$Q$5:$Q$756,GM!$J$5:$J$756)</f>
        <v>45506</v>
      </c>
    </row>
    <row r="2400" spans="1:8" hidden="1" x14ac:dyDescent="0.35">
      <c r="A2400" s="29" t="s">
        <v>22</v>
      </c>
      <c r="B2400" s="29" t="str">
        <f t="shared" si="37"/>
        <v>RET-03</v>
      </c>
      <c r="C2400" s="29" t="s">
        <v>7914</v>
      </c>
      <c r="D2400" s="67" t="s">
        <v>7915</v>
      </c>
      <c r="E2400" s="96" t="s">
        <v>62</v>
      </c>
      <c r="F2400" s="29" t="s">
        <v>61</v>
      </c>
      <c r="G2400" s="29"/>
      <c r="H2400" s="103">
        <f>_xlfn.XLOOKUP(B2400,GM!$Q$5:$Q$756,GM!$J$5:$J$756)</f>
        <v>45506</v>
      </c>
    </row>
    <row r="2401" spans="1:8" hidden="1" x14ac:dyDescent="0.35">
      <c r="A2401" s="29" t="s">
        <v>22</v>
      </c>
      <c r="B2401" s="29" t="str">
        <f t="shared" si="37"/>
        <v>RET-03</v>
      </c>
      <c r="C2401" s="29" t="s">
        <v>7916</v>
      </c>
      <c r="D2401" s="67" t="s">
        <v>7917</v>
      </c>
      <c r="E2401" s="96" t="s">
        <v>62</v>
      </c>
      <c r="F2401" s="29" t="s">
        <v>61</v>
      </c>
      <c r="G2401" s="29"/>
      <c r="H2401" s="103">
        <f>_xlfn.XLOOKUP(B2401,GM!$Q$5:$Q$756,GM!$J$5:$J$756)</f>
        <v>45506</v>
      </c>
    </row>
    <row r="2402" spans="1:8" hidden="1" x14ac:dyDescent="0.35">
      <c r="A2402" s="29" t="s">
        <v>22</v>
      </c>
      <c r="B2402" s="29" t="str">
        <f t="shared" si="37"/>
        <v>RET-03</v>
      </c>
      <c r="C2402" s="29" t="s">
        <v>7918</v>
      </c>
      <c r="D2402" s="67" t="s">
        <v>7919</v>
      </c>
      <c r="E2402" s="96" t="s">
        <v>62</v>
      </c>
      <c r="F2402" s="29" t="s">
        <v>61</v>
      </c>
      <c r="G2402" s="29"/>
      <c r="H2402" s="103">
        <f>_xlfn.XLOOKUP(B2402,GM!$Q$5:$Q$756,GM!$J$5:$J$756)</f>
        <v>45506</v>
      </c>
    </row>
    <row r="2403" spans="1:8" hidden="1" x14ac:dyDescent="0.35">
      <c r="A2403" s="29" t="s">
        <v>22</v>
      </c>
      <c r="B2403" s="29" t="str">
        <f t="shared" si="37"/>
        <v>RET-03</v>
      </c>
      <c r="C2403" s="29" t="s">
        <v>7920</v>
      </c>
      <c r="D2403" s="67" t="s">
        <v>7921</v>
      </c>
      <c r="E2403" s="96" t="s">
        <v>62</v>
      </c>
      <c r="F2403" s="29" t="s">
        <v>61</v>
      </c>
      <c r="G2403" s="29"/>
      <c r="H2403" s="103">
        <f>_xlfn.XLOOKUP(B2403,GM!$Q$5:$Q$756,GM!$J$5:$J$756)</f>
        <v>45506</v>
      </c>
    </row>
    <row r="2404" spans="1:8" hidden="1" x14ac:dyDescent="0.35">
      <c r="A2404" s="29" t="s">
        <v>22</v>
      </c>
      <c r="B2404" s="29" t="str">
        <f t="shared" si="37"/>
        <v>RET-03</v>
      </c>
      <c r="C2404" s="29" t="s">
        <v>7922</v>
      </c>
      <c r="D2404" s="67" t="s">
        <v>7923</v>
      </c>
      <c r="E2404" s="96" t="s">
        <v>62</v>
      </c>
      <c r="F2404" s="29" t="s">
        <v>61</v>
      </c>
      <c r="G2404" s="29"/>
      <c r="H2404" s="103">
        <f>_xlfn.XLOOKUP(B2404,GM!$Q$5:$Q$756,GM!$J$5:$J$756)</f>
        <v>45506</v>
      </c>
    </row>
    <row r="2405" spans="1:8" hidden="1" x14ac:dyDescent="0.35">
      <c r="A2405" s="29" t="s">
        <v>22</v>
      </c>
      <c r="B2405" s="29" t="str">
        <f t="shared" si="37"/>
        <v>RET-03</v>
      </c>
      <c r="C2405" s="29" t="s">
        <v>7924</v>
      </c>
      <c r="D2405" s="67" t="s">
        <v>7925</v>
      </c>
      <c r="E2405" s="96" t="s">
        <v>62</v>
      </c>
      <c r="F2405" s="29" t="s">
        <v>61</v>
      </c>
      <c r="G2405" s="29"/>
      <c r="H2405" s="103">
        <f>_xlfn.XLOOKUP(B2405,GM!$Q$5:$Q$756,GM!$J$5:$J$756)</f>
        <v>45506</v>
      </c>
    </row>
    <row r="2406" spans="1:8" hidden="1" x14ac:dyDescent="0.35">
      <c r="A2406" s="29" t="s">
        <v>22</v>
      </c>
      <c r="B2406" s="29" t="str">
        <f t="shared" si="37"/>
        <v>RET-03</v>
      </c>
      <c r="C2406" s="29" t="s">
        <v>7926</v>
      </c>
      <c r="D2406" s="67" t="s">
        <v>7927</v>
      </c>
      <c r="E2406" s="96" t="s">
        <v>62</v>
      </c>
      <c r="F2406" s="29" t="s">
        <v>61</v>
      </c>
      <c r="G2406" s="29"/>
      <c r="H2406" s="103">
        <f>_xlfn.XLOOKUP(B2406,GM!$Q$5:$Q$756,GM!$J$5:$J$756)</f>
        <v>45506</v>
      </c>
    </row>
    <row r="2407" spans="1:8" hidden="1" x14ac:dyDescent="0.35">
      <c r="A2407" s="29" t="s">
        <v>22</v>
      </c>
      <c r="B2407" s="29" t="str">
        <f t="shared" si="37"/>
        <v>RET-04</v>
      </c>
      <c r="C2407" s="29" t="s">
        <v>7928</v>
      </c>
      <c r="D2407" s="67" t="s">
        <v>7929</v>
      </c>
      <c r="E2407" s="96" t="s">
        <v>62</v>
      </c>
      <c r="F2407" s="29" t="s">
        <v>61</v>
      </c>
      <c r="G2407" s="29"/>
      <c r="H2407" s="103">
        <f>_xlfn.XLOOKUP(B2407,GM!$Q$5:$Q$756,GM!$J$5:$J$756)</f>
        <v>46107</v>
      </c>
    </row>
    <row r="2408" spans="1:8" hidden="1" x14ac:dyDescent="0.35">
      <c r="A2408" s="29" t="s">
        <v>22</v>
      </c>
      <c r="B2408" s="29" t="str">
        <f t="shared" si="37"/>
        <v>RET-04</v>
      </c>
      <c r="C2408" s="29" t="s">
        <v>7930</v>
      </c>
      <c r="D2408" s="67" t="s">
        <v>7931</v>
      </c>
      <c r="E2408" s="96" t="s">
        <v>62</v>
      </c>
      <c r="F2408" s="29" t="s">
        <v>61</v>
      </c>
      <c r="G2408" s="29"/>
      <c r="H2408" s="103">
        <f>_xlfn.XLOOKUP(B2408,GM!$Q$5:$Q$756,GM!$J$5:$J$756)</f>
        <v>46107</v>
      </c>
    </row>
    <row r="2409" spans="1:8" hidden="1" x14ac:dyDescent="0.35">
      <c r="A2409" s="29" t="s">
        <v>22</v>
      </c>
      <c r="B2409" s="29" t="str">
        <f t="shared" si="37"/>
        <v>RET-04</v>
      </c>
      <c r="C2409" s="29" t="s">
        <v>7932</v>
      </c>
      <c r="D2409" s="67" t="s">
        <v>7933</v>
      </c>
      <c r="E2409" s="96" t="s">
        <v>62</v>
      </c>
      <c r="F2409" s="29" t="s">
        <v>61</v>
      </c>
      <c r="G2409" s="29"/>
      <c r="H2409" s="103">
        <f>_xlfn.XLOOKUP(B2409,GM!$Q$5:$Q$756,GM!$J$5:$J$756)</f>
        <v>46107</v>
      </c>
    </row>
    <row r="2410" spans="1:8" hidden="1" x14ac:dyDescent="0.35">
      <c r="A2410" s="29" t="s">
        <v>22</v>
      </c>
      <c r="B2410" s="29" t="str">
        <f t="shared" si="37"/>
        <v>RET-04</v>
      </c>
      <c r="C2410" s="29" t="s">
        <v>7934</v>
      </c>
      <c r="D2410" s="67" t="s">
        <v>7935</v>
      </c>
      <c r="E2410" s="96" t="s">
        <v>62</v>
      </c>
      <c r="F2410" s="29" t="s">
        <v>61</v>
      </c>
      <c r="G2410" s="29"/>
      <c r="H2410" s="103">
        <f>_xlfn.XLOOKUP(B2410,GM!$Q$5:$Q$756,GM!$J$5:$J$756)</f>
        <v>46107</v>
      </c>
    </row>
    <row r="2411" spans="1:8" hidden="1" x14ac:dyDescent="0.35">
      <c r="A2411" s="29" t="s">
        <v>22</v>
      </c>
      <c r="B2411" s="29" t="str">
        <f t="shared" si="37"/>
        <v>RET-04</v>
      </c>
      <c r="C2411" s="29" t="s">
        <v>7936</v>
      </c>
      <c r="D2411" s="67" t="s">
        <v>7937</v>
      </c>
      <c r="E2411" s="96" t="s">
        <v>62</v>
      </c>
      <c r="F2411" s="29" t="s">
        <v>61</v>
      </c>
      <c r="G2411" s="29"/>
      <c r="H2411" s="103">
        <f>_xlfn.XLOOKUP(B2411,GM!$Q$5:$Q$756,GM!$J$5:$J$756)</f>
        <v>46107</v>
      </c>
    </row>
    <row r="2412" spans="1:8" hidden="1" x14ac:dyDescent="0.35">
      <c r="A2412" s="29" t="s">
        <v>22</v>
      </c>
      <c r="B2412" s="29" t="str">
        <f t="shared" si="37"/>
        <v>RET-04</v>
      </c>
      <c r="C2412" s="29" t="s">
        <v>7938</v>
      </c>
      <c r="D2412" s="67" t="s">
        <v>7939</v>
      </c>
      <c r="E2412" s="96" t="s">
        <v>62</v>
      </c>
      <c r="F2412" s="29" t="s">
        <v>61</v>
      </c>
      <c r="G2412" s="29"/>
      <c r="H2412" s="103">
        <f>_xlfn.XLOOKUP(B2412,GM!$Q$5:$Q$756,GM!$J$5:$J$756)</f>
        <v>46107</v>
      </c>
    </row>
    <row r="2413" spans="1:8" hidden="1" x14ac:dyDescent="0.35">
      <c r="A2413" s="29" t="s">
        <v>22</v>
      </c>
      <c r="B2413" s="29" t="str">
        <f t="shared" si="37"/>
        <v>RET-04</v>
      </c>
      <c r="C2413" s="29" t="s">
        <v>7940</v>
      </c>
      <c r="D2413" s="67" t="s">
        <v>7941</v>
      </c>
      <c r="E2413" s="96" t="s">
        <v>62</v>
      </c>
      <c r="F2413" s="29" t="s">
        <v>61</v>
      </c>
      <c r="G2413" s="29"/>
      <c r="H2413" s="103">
        <f>_xlfn.XLOOKUP(B2413,GM!$Q$5:$Q$756,GM!$J$5:$J$756)</f>
        <v>46107</v>
      </c>
    </row>
    <row r="2414" spans="1:8" hidden="1" x14ac:dyDescent="0.35">
      <c r="A2414" s="29" t="s">
        <v>22</v>
      </c>
      <c r="B2414" s="29" t="str">
        <f t="shared" si="37"/>
        <v>RET-04</v>
      </c>
      <c r="C2414" s="29" t="s">
        <v>7942</v>
      </c>
      <c r="D2414" s="67" t="s">
        <v>7943</v>
      </c>
      <c r="E2414" s="96" t="s">
        <v>62</v>
      </c>
      <c r="F2414" s="29" t="s">
        <v>61</v>
      </c>
      <c r="G2414" s="29"/>
      <c r="H2414" s="103">
        <f>_xlfn.XLOOKUP(B2414,GM!$Q$5:$Q$756,GM!$J$5:$J$756)</f>
        <v>46107</v>
      </c>
    </row>
    <row r="2415" spans="1:8" hidden="1" x14ac:dyDescent="0.35">
      <c r="A2415" s="29" t="s">
        <v>22</v>
      </c>
      <c r="B2415" s="29" t="str">
        <f t="shared" si="37"/>
        <v>RET-04</v>
      </c>
      <c r="C2415" s="29" t="s">
        <v>7944</v>
      </c>
      <c r="D2415" s="67" t="s">
        <v>7945</v>
      </c>
      <c r="E2415" s="96" t="s">
        <v>62</v>
      </c>
      <c r="F2415" s="29" t="s">
        <v>61</v>
      </c>
      <c r="G2415" s="29"/>
      <c r="H2415" s="103">
        <f>_xlfn.XLOOKUP(B2415,GM!$Q$5:$Q$756,GM!$J$5:$J$756)</f>
        <v>46107</v>
      </c>
    </row>
    <row r="2416" spans="1:8" hidden="1" x14ac:dyDescent="0.35">
      <c r="A2416" s="29" t="s">
        <v>22</v>
      </c>
      <c r="B2416" s="29" t="str">
        <f t="shared" si="37"/>
        <v>RET-04</v>
      </c>
      <c r="C2416" s="29" t="s">
        <v>7946</v>
      </c>
      <c r="D2416" s="67" t="s">
        <v>7947</v>
      </c>
      <c r="E2416" s="96" t="s">
        <v>62</v>
      </c>
      <c r="F2416" s="29" t="s">
        <v>61</v>
      </c>
      <c r="G2416" s="29"/>
      <c r="H2416" s="103">
        <f>_xlfn.XLOOKUP(B2416,GM!$Q$5:$Q$756,GM!$J$5:$J$756)</f>
        <v>46107</v>
      </c>
    </row>
    <row r="2417" spans="1:8" hidden="1" x14ac:dyDescent="0.35">
      <c r="A2417" s="29" t="s">
        <v>22</v>
      </c>
      <c r="B2417" s="29" t="str">
        <f t="shared" si="37"/>
        <v>RET-04</v>
      </c>
      <c r="C2417" s="29" t="s">
        <v>7948</v>
      </c>
      <c r="D2417" s="67" t="s">
        <v>7949</v>
      </c>
      <c r="E2417" s="96" t="s">
        <v>62</v>
      </c>
      <c r="F2417" s="29" t="s">
        <v>61</v>
      </c>
      <c r="G2417" s="29"/>
      <c r="H2417" s="103">
        <f>_xlfn.XLOOKUP(B2417,GM!$Q$5:$Q$756,GM!$J$5:$J$756)</f>
        <v>46107</v>
      </c>
    </row>
    <row r="2418" spans="1:8" hidden="1" x14ac:dyDescent="0.35">
      <c r="A2418" s="29" t="s">
        <v>22</v>
      </c>
      <c r="B2418" s="29" t="str">
        <f t="shared" si="37"/>
        <v>RET-04</v>
      </c>
      <c r="C2418" s="29" t="s">
        <v>7950</v>
      </c>
      <c r="D2418" s="67" t="s">
        <v>7951</v>
      </c>
      <c r="E2418" s="96" t="s">
        <v>62</v>
      </c>
      <c r="F2418" s="29" t="s">
        <v>61</v>
      </c>
      <c r="G2418" s="29"/>
      <c r="H2418" s="103">
        <f>_xlfn.XLOOKUP(B2418,GM!$Q$5:$Q$756,GM!$J$5:$J$756)</f>
        <v>46107</v>
      </c>
    </row>
    <row r="2419" spans="1:8" hidden="1" x14ac:dyDescent="0.35">
      <c r="A2419" s="29" t="s">
        <v>22</v>
      </c>
      <c r="B2419" s="29" t="str">
        <f t="shared" si="37"/>
        <v>RET-04</v>
      </c>
      <c r="C2419" s="29" t="s">
        <v>7952</v>
      </c>
      <c r="D2419" s="67" t="s">
        <v>7953</v>
      </c>
      <c r="E2419" s="96" t="s">
        <v>62</v>
      </c>
      <c r="F2419" s="29" t="s">
        <v>61</v>
      </c>
      <c r="G2419" s="29"/>
      <c r="H2419" s="103">
        <f>_xlfn.XLOOKUP(B2419,GM!$Q$5:$Q$756,GM!$J$5:$J$756)</f>
        <v>46107</v>
      </c>
    </row>
    <row r="2420" spans="1:8" hidden="1" x14ac:dyDescent="0.35">
      <c r="A2420" s="29" t="s">
        <v>22</v>
      </c>
      <c r="B2420" s="29" t="str">
        <f t="shared" si="37"/>
        <v>RET-04</v>
      </c>
      <c r="C2420" s="29" t="s">
        <v>7954</v>
      </c>
      <c r="D2420" s="67" t="s">
        <v>7955</v>
      </c>
      <c r="E2420" s="96" t="s">
        <v>62</v>
      </c>
      <c r="F2420" s="29" t="s">
        <v>61</v>
      </c>
      <c r="G2420" s="29"/>
      <c r="H2420" s="103">
        <f>_xlfn.XLOOKUP(B2420,GM!$Q$5:$Q$756,GM!$J$5:$J$756)</f>
        <v>46107</v>
      </c>
    </row>
    <row r="2421" spans="1:8" hidden="1" x14ac:dyDescent="0.35">
      <c r="A2421" s="29" t="s">
        <v>22</v>
      </c>
      <c r="B2421" s="29" t="str">
        <f t="shared" si="37"/>
        <v>RET-04</v>
      </c>
      <c r="C2421" s="29" t="s">
        <v>7956</v>
      </c>
      <c r="D2421" s="67" t="s">
        <v>7957</v>
      </c>
      <c r="E2421" s="96" t="s">
        <v>62</v>
      </c>
      <c r="F2421" s="29" t="s">
        <v>61</v>
      </c>
      <c r="G2421" s="29"/>
      <c r="H2421" s="103">
        <f>_xlfn.XLOOKUP(B2421,GM!$Q$5:$Q$756,GM!$J$5:$J$756)</f>
        <v>46107</v>
      </c>
    </row>
    <row r="2422" spans="1:8" hidden="1" x14ac:dyDescent="0.35">
      <c r="A2422" s="29" t="s">
        <v>22</v>
      </c>
      <c r="B2422" s="29" t="str">
        <f t="shared" si="37"/>
        <v>RET-04</v>
      </c>
      <c r="C2422" s="29" t="s">
        <v>7958</v>
      </c>
      <c r="D2422" s="67" t="s">
        <v>7959</v>
      </c>
      <c r="E2422" s="96" t="s">
        <v>62</v>
      </c>
      <c r="F2422" s="29" t="s">
        <v>61</v>
      </c>
      <c r="G2422" s="29"/>
      <c r="H2422" s="103">
        <f>_xlfn.XLOOKUP(B2422,GM!$Q$5:$Q$756,GM!$J$5:$J$756)</f>
        <v>46107</v>
      </c>
    </row>
    <row r="2423" spans="1:8" hidden="1" x14ac:dyDescent="0.35">
      <c r="A2423" s="29" t="s">
        <v>22</v>
      </c>
      <c r="B2423" s="29" t="str">
        <f t="shared" si="37"/>
        <v>RET-04</v>
      </c>
      <c r="C2423" s="29" t="s">
        <v>7960</v>
      </c>
      <c r="D2423" s="67" t="s">
        <v>7961</v>
      </c>
      <c r="E2423" s="96" t="s">
        <v>62</v>
      </c>
      <c r="F2423" s="29" t="s">
        <v>61</v>
      </c>
      <c r="G2423" s="29"/>
      <c r="H2423" s="103">
        <f>_xlfn.XLOOKUP(B2423,GM!$Q$5:$Q$756,GM!$J$5:$J$756)</f>
        <v>46107</v>
      </c>
    </row>
    <row r="2424" spans="1:8" hidden="1" x14ac:dyDescent="0.35">
      <c r="A2424" s="29" t="s">
        <v>22</v>
      </c>
      <c r="B2424" s="29" t="str">
        <f t="shared" si="37"/>
        <v>RET-04</v>
      </c>
      <c r="C2424" s="29" t="s">
        <v>7962</v>
      </c>
      <c r="D2424" s="67" t="s">
        <v>7963</v>
      </c>
      <c r="E2424" s="96" t="s">
        <v>62</v>
      </c>
      <c r="F2424" s="29" t="s">
        <v>61</v>
      </c>
      <c r="G2424" s="29"/>
      <c r="H2424" s="103">
        <f>_xlfn.XLOOKUP(B2424,GM!$Q$5:$Q$756,GM!$J$5:$J$756)</f>
        <v>46107</v>
      </c>
    </row>
    <row r="2425" spans="1:8" hidden="1" x14ac:dyDescent="0.35">
      <c r="A2425" s="29" t="s">
        <v>22</v>
      </c>
      <c r="B2425" s="29" t="str">
        <f t="shared" si="37"/>
        <v>RET-04</v>
      </c>
      <c r="C2425" s="29" t="s">
        <v>7964</v>
      </c>
      <c r="D2425" s="67" t="s">
        <v>7965</v>
      </c>
      <c r="E2425" s="96" t="s">
        <v>62</v>
      </c>
      <c r="F2425" s="29" t="s">
        <v>61</v>
      </c>
      <c r="G2425" s="29"/>
      <c r="H2425" s="103">
        <f>_xlfn.XLOOKUP(B2425,GM!$Q$5:$Q$756,GM!$J$5:$J$756)</f>
        <v>46107</v>
      </c>
    </row>
    <row r="2426" spans="1:8" hidden="1" x14ac:dyDescent="0.35">
      <c r="A2426" s="29" t="s">
        <v>22</v>
      </c>
      <c r="B2426" s="29" t="str">
        <f t="shared" si="37"/>
        <v>RET-04</v>
      </c>
      <c r="C2426" s="29" t="s">
        <v>7966</v>
      </c>
      <c r="D2426" s="67" t="s">
        <v>7967</v>
      </c>
      <c r="E2426" s="96" t="s">
        <v>62</v>
      </c>
      <c r="F2426" s="29" t="s">
        <v>61</v>
      </c>
      <c r="G2426" s="29"/>
      <c r="H2426" s="103">
        <f>_xlfn.XLOOKUP(B2426,GM!$Q$5:$Q$756,GM!$J$5:$J$756)</f>
        <v>46107</v>
      </c>
    </row>
    <row r="2427" spans="1:8" hidden="1" x14ac:dyDescent="0.35">
      <c r="A2427" s="29" t="s">
        <v>22</v>
      </c>
      <c r="B2427" s="29" t="str">
        <f t="shared" si="37"/>
        <v>RET-04</v>
      </c>
      <c r="C2427" s="29" t="s">
        <v>7968</v>
      </c>
      <c r="D2427" s="67" t="s">
        <v>7969</v>
      </c>
      <c r="E2427" s="96" t="s">
        <v>62</v>
      </c>
      <c r="F2427" s="29" t="s">
        <v>61</v>
      </c>
      <c r="G2427" s="29"/>
      <c r="H2427" s="103">
        <f>_xlfn.XLOOKUP(B2427,GM!$Q$5:$Q$756,GM!$J$5:$J$756)</f>
        <v>46107</v>
      </c>
    </row>
    <row r="2428" spans="1:8" hidden="1" x14ac:dyDescent="0.35">
      <c r="A2428" s="29" t="s">
        <v>22</v>
      </c>
      <c r="B2428" s="29" t="str">
        <f t="shared" si="37"/>
        <v>RET-04</v>
      </c>
      <c r="C2428" s="29" t="s">
        <v>7970</v>
      </c>
      <c r="D2428" s="67" t="s">
        <v>7971</v>
      </c>
      <c r="E2428" s="96" t="s">
        <v>62</v>
      </c>
      <c r="F2428" s="29" t="s">
        <v>61</v>
      </c>
      <c r="G2428" s="29"/>
      <c r="H2428" s="103">
        <f>_xlfn.XLOOKUP(B2428,GM!$Q$5:$Q$756,GM!$J$5:$J$756)</f>
        <v>46107</v>
      </c>
    </row>
    <row r="2429" spans="1:8" hidden="1" x14ac:dyDescent="0.35">
      <c r="A2429" s="29" t="s">
        <v>22</v>
      </c>
      <c r="B2429" s="29" t="str">
        <f t="shared" si="37"/>
        <v>RET-05</v>
      </c>
      <c r="C2429" s="29" t="s">
        <v>7972</v>
      </c>
      <c r="D2429" s="67" t="s">
        <v>7973</v>
      </c>
      <c r="E2429" s="96" t="s">
        <v>62</v>
      </c>
      <c r="F2429" s="29" t="s">
        <v>61</v>
      </c>
      <c r="G2429" s="29"/>
      <c r="H2429" s="103">
        <f>_xlfn.XLOOKUP(B2429,GM!$Q$5:$Q$756,GM!$J$5:$J$756)</f>
        <v>46107</v>
      </c>
    </row>
    <row r="2430" spans="1:8" hidden="1" x14ac:dyDescent="0.35">
      <c r="A2430" s="29" t="s">
        <v>22</v>
      </c>
      <c r="B2430" s="29" t="str">
        <f t="shared" si="37"/>
        <v>RET-05</v>
      </c>
      <c r="C2430" s="29" t="s">
        <v>7974</v>
      </c>
      <c r="D2430" s="67" t="s">
        <v>7975</v>
      </c>
      <c r="E2430" s="96" t="s">
        <v>62</v>
      </c>
      <c r="F2430" s="29" t="s">
        <v>61</v>
      </c>
      <c r="G2430" s="29"/>
      <c r="H2430" s="103">
        <f>_xlfn.XLOOKUP(B2430,GM!$Q$5:$Q$756,GM!$J$5:$J$756)</f>
        <v>46107</v>
      </c>
    </row>
    <row r="2431" spans="1:8" hidden="1" x14ac:dyDescent="0.35">
      <c r="A2431" s="29" t="s">
        <v>22</v>
      </c>
      <c r="B2431" s="29" t="str">
        <f t="shared" si="37"/>
        <v>RET-05</v>
      </c>
      <c r="C2431" s="29" t="s">
        <v>7976</v>
      </c>
      <c r="D2431" s="67" t="s">
        <v>7977</v>
      </c>
      <c r="E2431" s="96" t="s">
        <v>62</v>
      </c>
      <c r="F2431" s="29" t="s">
        <v>61</v>
      </c>
      <c r="G2431" s="29"/>
      <c r="H2431" s="103">
        <f>_xlfn.XLOOKUP(B2431,GM!$Q$5:$Q$756,GM!$J$5:$J$756)</f>
        <v>46107</v>
      </c>
    </row>
    <row r="2432" spans="1:8" hidden="1" x14ac:dyDescent="0.35">
      <c r="A2432" s="29" t="s">
        <v>22</v>
      </c>
      <c r="B2432" s="29" t="str">
        <f t="shared" si="37"/>
        <v>RET-05</v>
      </c>
      <c r="C2432" s="29" t="s">
        <v>7978</v>
      </c>
      <c r="D2432" s="67" t="s">
        <v>7979</v>
      </c>
      <c r="E2432" s="96" t="s">
        <v>62</v>
      </c>
      <c r="F2432" s="29" t="s">
        <v>61</v>
      </c>
      <c r="G2432" s="29"/>
      <c r="H2432" s="103">
        <f>_xlfn.XLOOKUP(B2432,GM!$Q$5:$Q$756,GM!$J$5:$J$756)</f>
        <v>46107</v>
      </c>
    </row>
    <row r="2433" spans="1:8" hidden="1" x14ac:dyDescent="0.35">
      <c r="A2433" s="29" t="s">
        <v>22</v>
      </c>
      <c r="B2433" s="29" t="str">
        <f t="shared" si="37"/>
        <v>RET-05</v>
      </c>
      <c r="C2433" s="29" t="s">
        <v>7980</v>
      </c>
      <c r="D2433" s="67" t="s">
        <v>7981</v>
      </c>
      <c r="E2433" s="96" t="s">
        <v>62</v>
      </c>
      <c r="F2433" s="29" t="s">
        <v>61</v>
      </c>
      <c r="G2433" s="29"/>
      <c r="H2433" s="103">
        <f>_xlfn.XLOOKUP(B2433,GM!$Q$5:$Q$756,GM!$J$5:$J$756)</f>
        <v>46107</v>
      </c>
    </row>
    <row r="2434" spans="1:8" hidden="1" x14ac:dyDescent="0.35">
      <c r="A2434" s="29" t="s">
        <v>22</v>
      </c>
      <c r="B2434" s="29" t="str">
        <f t="shared" si="37"/>
        <v>RET-05</v>
      </c>
      <c r="C2434" s="29" t="s">
        <v>7982</v>
      </c>
      <c r="D2434" s="67" t="s">
        <v>7983</v>
      </c>
      <c r="E2434" s="96" t="s">
        <v>62</v>
      </c>
      <c r="F2434" s="29" t="s">
        <v>61</v>
      </c>
      <c r="G2434" s="29"/>
      <c r="H2434" s="103">
        <f>_xlfn.XLOOKUP(B2434,GM!$Q$5:$Q$756,GM!$J$5:$J$756)</f>
        <v>46107</v>
      </c>
    </row>
    <row r="2435" spans="1:8" hidden="1" x14ac:dyDescent="0.35">
      <c r="A2435" s="29" t="s">
        <v>22</v>
      </c>
      <c r="B2435" s="29" t="str">
        <f t="shared" si="37"/>
        <v>RET-06</v>
      </c>
      <c r="C2435" s="29" t="s">
        <v>7984</v>
      </c>
      <c r="D2435" s="67" t="s">
        <v>7985</v>
      </c>
      <c r="E2435" s="96" t="s">
        <v>62</v>
      </c>
      <c r="F2435" s="29" t="s">
        <v>61</v>
      </c>
      <c r="G2435" s="29"/>
      <c r="H2435" s="103">
        <f>_xlfn.XLOOKUP(B2435,GM!$Q$5:$Q$756,GM!$J$5:$J$756)</f>
        <v>46107</v>
      </c>
    </row>
    <row r="2436" spans="1:8" hidden="1" x14ac:dyDescent="0.35">
      <c r="A2436" s="29" t="s">
        <v>22</v>
      </c>
      <c r="B2436" s="29" t="str">
        <f t="shared" si="37"/>
        <v>RET-06</v>
      </c>
      <c r="C2436" s="29" t="s">
        <v>7986</v>
      </c>
      <c r="D2436" s="67" t="s">
        <v>7987</v>
      </c>
      <c r="E2436" s="96" t="s">
        <v>62</v>
      </c>
      <c r="F2436" s="29" t="s">
        <v>61</v>
      </c>
      <c r="G2436" s="29"/>
      <c r="H2436" s="103">
        <f>_xlfn.XLOOKUP(B2436,GM!$Q$5:$Q$756,GM!$J$5:$J$756)</f>
        <v>46107</v>
      </c>
    </row>
    <row r="2437" spans="1:8" hidden="1" x14ac:dyDescent="0.35">
      <c r="A2437" s="29" t="s">
        <v>22</v>
      </c>
      <c r="B2437" s="29" t="str">
        <f t="shared" ref="B2437:B2500" si="38">IF(OR(A2437="ARN",A2437="SDP"),MID(C2437,4,7),MID(C2437,4,6))</f>
        <v>RET-06</v>
      </c>
      <c r="C2437" s="29" t="s">
        <v>7988</v>
      </c>
      <c r="D2437" s="67" t="s">
        <v>7989</v>
      </c>
      <c r="E2437" s="96" t="s">
        <v>62</v>
      </c>
      <c r="F2437" s="29" t="s">
        <v>61</v>
      </c>
      <c r="G2437" s="29"/>
      <c r="H2437" s="103">
        <f>_xlfn.XLOOKUP(B2437,GM!$Q$5:$Q$756,GM!$J$5:$J$756)</f>
        <v>46107</v>
      </c>
    </row>
    <row r="2438" spans="1:8" hidden="1" x14ac:dyDescent="0.35">
      <c r="A2438" s="29" t="s">
        <v>22</v>
      </c>
      <c r="B2438" s="29" t="str">
        <f t="shared" si="38"/>
        <v>RET-06</v>
      </c>
      <c r="C2438" s="29" t="s">
        <v>7990</v>
      </c>
      <c r="D2438" s="67" t="s">
        <v>7991</v>
      </c>
      <c r="E2438" s="96" t="s">
        <v>62</v>
      </c>
      <c r="F2438" s="29" t="s">
        <v>61</v>
      </c>
      <c r="G2438" s="29"/>
      <c r="H2438" s="103">
        <f>_xlfn.XLOOKUP(B2438,GM!$Q$5:$Q$756,GM!$J$5:$J$756)</f>
        <v>46107</v>
      </c>
    </row>
    <row r="2439" spans="1:8" hidden="1" x14ac:dyDescent="0.35">
      <c r="A2439" s="29" t="s">
        <v>22</v>
      </c>
      <c r="B2439" s="29" t="str">
        <f t="shared" si="38"/>
        <v>RET-06</v>
      </c>
      <c r="C2439" s="29" t="s">
        <v>7992</v>
      </c>
      <c r="D2439" s="67" t="s">
        <v>7993</v>
      </c>
      <c r="E2439" s="96" t="s">
        <v>62</v>
      </c>
      <c r="F2439" s="29" t="s">
        <v>61</v>
      </c>
      <c r="G2439" s="29"/>
      <c r="H2439" s="103">
        <f>_xlfn.XLOOKUP(B2439,GM!$Q$5:$Q$756,GM!$J$5:$J$756)</f>
        <v>46107</v>
      </c>
    </row>
    <row r="2440" spans="1:8" hidden="1" x14ac:dyDescent="0.35">
      <c r="A2440" s="29" t="s">
        <v>22</v>
      </c>
      <c r="B2440" s="29" t="str">
        <f t="shared" si="38"/>
        <v>RET-06</v>
      </c>
      <c r="C2440" s="29" t="s">
        <v>7994</v>
      </c>
      <c r="D2440" s="67" t="s">
        <v>7995</v>
      </c>
      <c r="E2440" s="96" t="s">
        <v>62</v>
      </c>
      <c r="F2440" s="29" t="s">
        <v>61</v>
      </c>
      <c r="G2440" s="29"/>
      <c r="H2440" s="103">
        <f>_xlfn.XLOOKUP(B2440,GM!$Q$5:$Q$756,GM!$J$5:$J$756)</f>
        <v>46107</v>
      </c>
    </row>
    <row r="2441" spans="1:8" hidden="1" x14ac:dyDescent="0.35">
      <c r="A2441" s="29" t="s">
        <v>22</v>
      </c>
      <c r="B2441" s="29" t="str">
        <f t="shared" si="38"/>
        <v>RET-06</v>
      </c>
      <c r="C2441" s="29" t="s">
        <v>7996</v>
      </c>
      <c r="D2441" s="67" t="s">
        <v>7997</v>
      </c>
      <c r="E2441" s="96" t="s">
        <v>62</v>
      </c>
      <c r="F2441" s="29" t="s">
        <v>61</v>
      </c>
      <c r="G2441" s="29"/>
      <c r="H2441" s="103">
        <f>_xlfn.XLOOKUP(B2441,GM!$Q$5:$Q$756,GM!$J$5:$J$756)</f>
        <v>46107</v>
      </c>
    </row>
    <row r="2442" spans="1:8" hidden="1" x14ac:dyDescent="0.35">
      <c r="A2442" s="29" t="s">
        <v>22</v>
      </c>
      <c r="B2442" s="29" t="str">
        <f t="shared" si="38"/>
        <v>RET-06</v>
      </c>
      <c r="C2442" s="29" t="s">
        <v>7998</v>
      </c>
      <c r="D2442" s="67" t="s">
        <v>7999</v>
      </c>
      <c r="E2442" s="96" t="s">
        <v>62</v>
      </c>
      <c r="F2442" s="29" t="s">
        <v>61</v>
      </c>
      <c r="G2442" s="29"/>
      <c r="H2442" s="103">
        <f>_xlfn.XLOOKUP(B2442,GM!$Q$5:$Q$756,GM!$J$5:$J$756)</f>
        <v>46107</v>
      </c>
    </row>
    <row r="2443" spans="1:8" hidden="1" x14ac:dyDescent="0.35">
      <c r="A2443" s="29" t="s">
        <v>22</v>
      </c>
      <c r="B2443" s="29" t="str">
        <f t="shared" si="38"/>
        <v>RET-06</v>
      </c>
      <c r="C2443" s="29" t="s">
        <v>8000</v>
      </c>
      <c r="D2443" s="67" t="s">
        <v>8001</v>
      </c>
      <c r="E2443" s="96" t="s">
        <v>62</v>
      </c>
      <c r="F2443" s="29" t="s">
        <v>61</v>
      </c>
      <c r="G2443" s="29"/>
      <c r="H2443" s="103">
        <f>_xlfn.XLOOKUP(B2443,GM!$Q$5:$Q$756,GM!$J$5:$J$756)</f>
        <v>46107</v>
      </c>
    </row>
    <row r="2444" spans="1:8" hidden="1" x14ac:dyDescent="0.35">
      <c r="A2444" s="29" t="s">
        <v>22</v>
      </c>
      <c r="B2444" s="29" t="str">
        <f t="shared" si="38"/>
        <v>RET-06</v>
      </c>
      <c r="C2444" s="29" t="s">
        <v>8002</v>
      </c>
      <c r="D2444" s="67" t="s">
        <v>8003</v>
      </c>
      <c r="E2444" s="96" t="s">
        <v>62</v>
      </c>
      <c r="F2444" s="29" t="s">
        <v>61</v>
      </c>
      <c r="G2444" s="29"/>
      <c r="H2444" s="103">
        <f>_xlfn.XLOOKUP(B2444,GM!$Q$5:$Q$756,GM!$J$5:$J$756)</f>
        <v>46107</v>
      </c>
    </row>
    <row r="2445" spans="1:8" hidden="1" x14ac:dyDescent="0.35">
      <c r="A2445" s="29" t="s">
        <v>22</v>
      </c>
      <c r="B2445" s="29" t="str">
        <f t="shared" si="38"/>
        <v>RET-06</v>
      </c>
      <c r="C2445" s="29" t="s">
        <v>8004</v>
      </c>
      <c r="D2445" s="67" t="s">
        <v>8005</v>
      </c>
      <c r="E2445" s="96" t="s">
        <v>62</v>
      </c>
      <c r="F2445" s="29" t="s">
        <v>61</v>
      </c>
      <c r="G2445" s="29"/>
      <c r="H2445" s="103">
        <f>_xlfn.XLOOKUP(B2445,GM!$Q$5:$Q$756,GM!$J$5:$J$756)</f>
        <v>46107</v>
      </c>
    </row>
    <row r="2446" spans="1:8" hidden="1" x14ac:dyDescent="0.35">
      <c r="A2446" s="29" t="s">
        <v>22</v>
      </c>
      <c r="B2446" s="29" t="str">
        <f t="shared" si="38"/>
        <v>RET-06</v>
      </c>
      <c r="C2446" s="29" t="s">
        <v>8006</v>
      </c>
      <c r="D2446" s="67" t="s">
        <v>8007</v>
      </c>
      <c r="E2446" s="96" t="s">
        <v>62</v>
      </c>
      <c r="F2446" s="29" t="s">
        <v>61</v>
      </c>
      <c r="G2446" s="29"/>
      <c r="H2446" s="103">
        <f>_xlfn.XLOOKUP(B2446,GM!$Q$5:$Q$756,GM!$J$5:$J$756)</f>
        <v>46107</v>
      </c>
    </row>
    <row r="2447" spans="1:8" hidden="1" x14ac:dyDescent="0.35">
      <c r="A2447" s="29" t="s">
        <v>22</v>
      </c>
      <c r="B2447" s="29" t="str">
        <f t="shared" si="38"/>
        <v>RET-06</v>
      </c>
      <c r="C2447" s="29" t="s">
        <v>8008</v>
      </c>
      <c r="D2447" s="67" t="s">
        <v>8009</v>
      </c>
      <c r="E2447" s="96" t="s">
        <v>62</v>
      </c>
      <c r="F2447" s="29" t="s">
        <v>61</v>
      </c>
      <c r="G2447" s="29"/>
      <c r="H2447" s="103">
        <f>_xlfn.XLOOKUP(B2447,GM!$Q$5:$Q$756,GM!$J$5:$J$756)</f>
        <v>46107</v>
      </c>
    </row>
    <row r="2448" spans="1:8" hidden="1" x14ac:dyDescent="0.35">
      <c r="A2448" s="29" t="s">
        <v>22</v>
      </c>
      <c r="B2448" s="29" t="str">
        <f t="shared" si="38"/>
        <v>RET-06</v>
      </c>
      <c r="C2448" s="29" t="s">
        <v>8010</v>
      </c>
      <c r="D2448" s="67" t="s">
        <v>8011</v>
      </c>
      <c r="E2448" s="96" t="s">
        <v>62</v>
      </c>
      <c r="F2448" s="29" t="s">
        <v>61</v>
      </c>
      <c r="G2448" s="29"/>
      <c r="H2448" s="103">
        <f>_xlfn.XLOOKUP(B2448,GM!$Q$5:$Q$756,GM!$J$5:$J$756)</f>
        <v>46107</v>
      </c>
    </row>
    <row r="2449" spans="1:8" hidden="1" x14ac:dyDescent="0.35">
      <c r="A2449" s="29" t="s">
        <v>22</v>
      </c>
      <c r="B2449" s="29" t="str">
        <f t="shared" si="38"/>
        <v>RET-06</v>
      </c>
      <c r="C2449" s="29" t="s">
        <v>8012</v>
      </c>
      <c r="D2449" s="67" t="s">
        <v>8013</v>
      </c>
      <c r="E2449" s="96" t="s">
        <v>62</v>
      </c>
      <c r="F2449" s="29" t="s">
        <v>61</v>
      </c>
      <c r="G2449" s="29"/>
      <c r="H2449" s="103">
        <f>_xlfn.XLOOKUP(B2449,GM!$Q$5:$Q$756,GM!$J$5:$J$756)</f>
        <v>46107</v>
      </c>
    </row>
    <row r="2450" spans="1:8" hidden="1" x14ac:dyDescent="0.35">
      <c r="A2450" s="29" t="s">
        <v>22</v>
      </c>
      <c r="B2450" s="29" t="str">
        <f t="shared" si="38"/>
        <v>RET-06</v>
      </c>
      <c r="C2450" s="29" t="s">
        <v>8014</v>
      </c>
      <c r="D2450" s="67" t="s">
        <v>8015</v>
      </c>
      <c r="E2450" s="96" t="s">
        <v>62</v>
      </c>
      <c r="F2450" s="29" t="s">
        <v>61</v>
      </c>
      <c r="G2450" s="29"/>
      <c r="H2450" s="103">
        <f>_xlfn.XLOOKUP(B2450,GM!$Q$5:$Q$756,GM!$J$5:$J$756)</f>
        <v>46107</v>
      </c>
    </row>
    <row r="2451" spans="1:8" hidden="1" x14ac:dyDescent="0.35">
      <c r="A2451" s="29" t="s">
        <v>22</v>
      </c>
      <c r="B2451" s="29" t="str">
        <f t="shared" si="38"/>
        <v>RET-06</v>
      </c>
      <c r="C2451" s="29" t="s">
        <v>8016</v>
      </c>
      <c r="D2451" s="67" t="s">
        <v>8017</v>
      </c>
      <c r="E2451" s="96" t="s">
        <v>62</v>
      </c>
      <c r="F2451" s="29" t="s">
        <v>61</v>
      </c>
      <c r="G2451" s="29"/>
      <c r="H2451" s="103">
        <f>_xlfn.XLOOKUP(B2451,GM!$Q$5:$Q$756,GM!$J$5:$J$756)</f>
        <v>46107</v>
      </c>
    </row>
    <row r="2452" spans="1:8" hidden="1" x14ac:dyDescent="0.35">
      <c r="A2452" s="29" t="s">
        <v>22</v>
      </c>
      <c r="B2452" s="29" t="str">
        <f t="shared" si="38"/>
        <v>RET-07</v>
      </c>
      <c r="C2452" s="29" t="s">
        <v>8018</v>
      </c>
      <c r="D2452" s="67" t="s">
        <v>8019</v>
      </c>
      <c r="E2452" s="96" t="s">
        <v>62</v>
      </c>
      <c r="F2452" s="29" t="s">
        <v>61</v>
      </c>
      <c r="G2452" s="29"/>
      <c r="H2452" s="103">
        <f>_xlfn.XLOOKUP(B2452,GM!$Q$5:$Q$756,GM!$J$5:$J$756)</f>
        <v>45959</v>
      </c>
    </row>
    <row r="2453" spans="1:8" hidden="1" x14ac:dyDescent="0.35">
      <c r="A2453" s="29" t="s">
        <v>22</v>
      </c>
      <c r="B2453" s="29" t="str">
        <f t="shared" si="38"/>
        <v>RET-07</v>
      </c>
      <c r="C2453" s="29" t="s">
        <v>8020</v>
      </c>
      <c r="D2453" s="67" t="s">
        <v>8021</v>
      </c>
      <c r="E2453" s="96" t="s">
        <v>62</v>
      </c>
      <c r="F2453" s="29" t="s">
        <v>61</v>
      </c>
      <c r="G2453" s="29"/>
      <c r="H2453" s="103">
        <f>_xlfn.XLOOKUP(B2453,GM!$Q$5:$Q$756,GM!$J$5:$J$756)</f>
        <v>45959</v>
      </c>
    </row>
    <row r="2454" spans="1:8" hidden="1" x14ac:dyDescent="0.35">
      <c r="A2454" s="29" t="s">
        <v>22</v>
      </c>
      <c r="B2454" s="29" t="str">
        <f t="shared" si="38"/>
        <v>RET-07</v>
      </c>
      <c r="C2454" s="29" t="s">
        <v>8022</v>
      </c>
      <c r="D2454" s="67" t="s">
        <v>8023</v>
      </c>
      <c r="E2454" s="96" t="s">
        <v>62</v>
      </c>
      <c r="F2454" s="29" t="s">
        <v>61</v>
      </c>
      <c r="G2454" s="29"/>
      <c r="H2454" s="103">
        <f>_xlfn.XLOOKUP(B2454,GM!$Q$5:$Q$756,GM!$J$5:$J$756)</f>
        <v>45959</v>
      </c>
    </row>
    <row r="2455" spans="1:8" hidden="1" x14ac:dyDescent="0.35">
      <c r="A2455" s="29" t="s">
        <v>22</v>
      </c>
      <c r="B2455" s="29" t="str">
        <f t="shared" si="38"/>
        <v>RET-07</v>
      </c>
      <c r="C2455" s="29" t="s">
        <v>8024</v>
      </c>
      <c r="D2455" s="67" t="s">
        <v>8025</v>
      </c>
      <c r="E2455" s="96" t="s">
        <v>62</v>
      </c>
      <c r="F2455" s="29" t="s">
        <v>61</v>
      </c>
      <c r="G2455" s="29"/>
      <c r="H2455" s="103">
        <f>_xlfn.XLOOKUP(B2455,GM!$Q$5:$Q$756,GM!$J$5:$J$756)</f>
        <v>45959</v>
      </c>
    </row>
    <row r="2456" spans="1:8" hidden="1" x14ac:dyDescent="0.35">
      <c r="A2456" s="29" t="s">
        <v>22</v>
      </c>
      <c r="B2456" s="29" t="str">
        <f t="shared" si="38"/>
        <v>RET-07</v>
      </c>
      <c r="C2456" s="29" t="s">
        <v>8026</v>
      </c>
      <c r="D2456" s="67" t="s">
        <v>8027</v>
      </c>
      <c r="E2456" s="96" t="s">
        <v>62</v>
      </c>
      <c r="F2456" s="29" t="s">
        <v>61</v>
      </c>
      <c r="G2456" s="29"/>
      <c r="H2456" s="103">
        <f>_xlfn.XLOOKUP(B2456,GM!$Q$5:$Q$756,GM!$J$5:$J$756)</f>
        <v>45959</v>
      </c>
    </row>
    <row r="2457" spans="1:8" hidden="1" x14ac:dyDescent="0.35">
      <c r="A2457" s="29" t="s">
        <v>22</v>
      </c>
      <c r="B2457" s="29" t="str">
        <f t="shared" si="38"/>
        <v>RET-09</v>
      </c>
      <c r="C2457" s="29" t="s">
        <v>8028</v>
      </c>
      <c r="D2457" s="67" t="s">
        <v>8029</v>
      </c>
      <c r="E2457" s="96" t="s">
        <v>62</v>
      </c>
      <c r="F2457" s="29" t="s">
        <v>61</v>
      </c>
      <c r="G2457" s="29"/>
      <c r="H2457" s="103">
        <f>_xlfn.XLOOKUP(B2457,GM!$Q$5:$Q$756,GM!$J$5:$J$756)</f>
        <v>45959</v>
      </c>
    </row>
    <row r="2458" spans="1:8" hidden="1" x14ac:dyDescent="0.35">
      <c r="A2458" s="29" t="s">
        <v>22</v>
      </c>
      <c r="B2458" s="29" t="str">
        <f t="shared" si="38"/>
        <v>RET-09</v>
      </c>
      <c r="C2458" s="29" t="s">
        <v>8030</v>
      </c>
      <c r="D2458" s="67" t="s">
        <v>8031</v>
      </c>
      <c r="E2458" s="96" t="s">
        <v>62</v>
      </c>
      <c r="F2458" s="29" t="s">
        <v>61</v>
      </c>
      <c r="G2458" s="29"/>
      <c r="H2458" s="103">
        <f>_xlfn.XLOOKUP(B2458,GM!$Q$5:$Q$756,GM!$J$5:$J$756)</f>
        <v>45959</v>
      </c>
    </row>
    <row r="2459" spans="1:8" hidden="1" x14ac:dyDescent="0.35">
      <c r="A2459" s="29" t="s">
        <v>22</v>
      </c>
      <c r="B2459" s="29" t="str">
        <f t="shared" si="38"/>
        <v>RET-09</v>
      </c>
      <c r="C2459" s="29" t="s">
        <v>8032</v>
      </c>
      <c r="D2459" s="67" t="s">
        <v>8033</v>
      </c>
      <c r="E2459" s="96" t="s">
        <v>62</v>
      </c>
      <c r="F2459" s="29" t="s">
        <v>61</v>
      </c>
      <c r="G2459" s="29"/>
      <c r="H2459" s="103">
        <f>_xlfn.XLOOKUP(B2459,GM!$Q$5:$Q$756,GM!$J$5:$J$756)</f>
        <v>45959</v>
      </c>
    </row>
    <row r="2460" spans="1:8" hidden="1" x14ac:dyDescent="0.35">
      <c r="A2460" s="29" t="s">
        <v>22</v>
      </c>
      <c r="B2460" s="29" t="str">
        <f t="shared" si="38"/>
        <v>RET-09</v>
      </c>
      <c r="C2460" s="29" t="s">
        <v>8034</v>
      </c>
      <c r="D2460" s="67" t="s">
        <v>8035</v>
      </c>
      <c r="E2460" s="96" t="s">
        <v>62</v>
      </c>
      <c r="F2460" s="29" t="s">
        <v>61</v>
      </c>
      <c r="G2460" s="29"/>
      <c r="H2460" s="103">
        <f>_xlfn.XLOOKUP(B2460,GM!$Q$5:$Q$756,GM!$J$5:$J$756)</f>
        <v>45959</v>
      </c>
    </row>
    <row r="2461" spans="1:8" hidden="1" x14ac:dyDescent="0.35">
      <c r="A2461" s="29" t="s">
        <v>22</v>
      </c>
      <c r="B2461" s="29" t="str">
        <f t="shared" si="38"/>
        <v>RET-09</v>
      </c>
      <c r="C2461" s="29" t="s">
        <v>8036</v>
      </c>
      <c r="D2461" s="67" t="s">
        <v>8037</v>
      </c>
      <c r="E2461" s="96" t="s">
        <v>62</v>
      </c>
      <c r="F2461" s="29" t="s">
        <v>61</v>
      </c>
      <c r="G2461" s="29"/>
      <c r="H2461" s="103">
        <f>_xlfn.XLOOKUP(B2461,GM!$Q$5:$Q$756,GM!$J$5:$J$756)</f>
        <v>45959</v>
      </c>
    </row>
    <row r="2462" spans="1:8" hidden="1" x14ac:dyDescent="0.35">
      <c r="A2462" s="29" t="s">
        <v>22</v>
      </c>
      <c r="B2462" s="29" t="str">
        <f t="shared" si="38"/>
        <v>RET-09</v>
      </c>
      <c r="C2462" s="29" t="s">
        <v>8038</v>
      </c>
      <c r="D2462" s="67" t="s">
        <v>8039</v>
      </c>
      <c r="E2462" s="96" t="s">
        <v>62</v>
      </c>
      <c r="F2462" s="29" t="s">
        <v>61</v>
      </c>
      <c r="G2462" s="29"/>
      <c r="H2462" s="103">
        <f>_xlfn.XLOOKUP(B2462,GM!$Q$5:$Q$756,GM!$J$5:$J$756)</f>
        <v>45959</v>
      </c>
    </row>
    <row r="2463" spans="1:8" hidden="1" x14ac:dyDescent="0.35">
      <c r="A2463" s="29" t="s">
        <v>22</v>
      </c>
      <c r="B2463" s="29" t="str">
        <f t="shared" si="38"/>
        <v>RET-09</v>
      </c>
      <c r="C2463" s="29" t="s">
        <v>8040</v>
      </c>
      <c r="D2463" s="67" t="s">
        <v>8041</v>
      </c>
      <c r="E2463" s="96" t="s">
        <v>62</v>
      </c>
      <c r="F2463" s="29" t="s">
        <v>61</v>
      </c>
      <c r="G2463" s="29"/>
      <c r="H2463" s="103">
        <f>_xlfn.XLOOKUP(B2463,GM!$Q$5:$Q$756,GM!$J$5:$J$756)</f>
        <v>45959</v>
      </c>
    </row>
    <row r="2464" spans="1:8" hidden="1" x14ac:dyDescent="0.35">
      <c r="A2464" s="29" t="s">
        <v>22</v>
      </c>
      <c r="B2464" s="29" t="str">
        <f t="shared" si="38"/>
        <v>RET-09</v>
      </c>
      <c r="C2464" s="29" t="s">
        <v>8042</v>
      </c>
      <c r="D2464" s="67" t="s">
        <v>8043</v>
      </c>
      <c r="E2464" s="96" t="s">
        <v>62</v>
      </c>
      <c r="F2464" s="29" t="s">
        <v>61</v>
      </c>
      <c r="G2464" s="29"/>
      <c r="H2464" s="103">
        <f>_xlfn.XLOOKUP(B2464,GM!$Q$5:$Q$756,GM!$J$5:$J$756)</f>
        <v>45959</v>
      </c>
    </row>
    <row r="2465" spans="1:8" hidden="1" x14ac:dyDescent="0.35">
      <c r="A2465" s="29" t="s">
        <v>22</v>
      </c>
      <c r="B2465" s="29" t="str">
        <f t="shared" si="38"/>
        <v>RET-09</v>
      </c>
      <c r="C2465" s="29" t="s">
        <v>8044</v>
      </c>
      <c r="D2465" s="67" t="s">
        <v>8045</v>
      </c>
      <c r="E2465" s="96" t="s">
        <v>62</v>
      </c>
      <c r="F2465" s="29" t="s">
        <v>61</v>
      </c>
      <c r="G2465" s="29"/>
      <c r="H2465" s="103">
        <f>_xlfn.XLOOKUP(B2465,GM!$Q$5:$Q$756,GM!$J$5:$J$756)</f>
        <v>45959</v>
      </c>
    </row>
    <row r="2466" spans="1:8" hidden="1" x14ac:dyDescent="0.35">
      <c r="A2466" s="29" t="s">
        <v>22</v>
      </c>
      <c r="B2466" s="29" t="str">
        <f t="shared" si="38"/>
        <v>RET-10</v>
      </c>
      <c r="C2466" s="29" t="s">
        <v>8046</v>
      </c>
      <c r="D2466" s="67" t="s">
        <v>8047</v>
      </c>
      <c r="E2466" s="96" t="s">
        <v>62</v>
      </c>
      <c r="F2466" s="29" t="s">
        <v>61</v>
      </c>
      <c r="G2466" s="29"/>
      <c r="H2466" s="103">
        <f>_xlfn.XLOOKUP(B2466,GM!$Q$5:$Q$756,GM!$J$5:$J$756)</f>
        <v>45959</v>
      </c>
    </row>
    <row r="2467" spans="1:8" hidden="1" x14ac:dyDescent="0.35">
      <c r="A2467" s="29" t="s">
        <v>22</v>
      </c>
      <c r="B2467" s="29" t="str">
        <f t="shared" si="38"/>
        <v>RET-10</v>
      </c>
      <c r="C2467" s="29" t="s">
        <v>8048</v>
      </c>
      <c r="D2467" s="67" t="s">
        <v>8049</v>
      </c>
      <c r="E2467" s="96" t="s">
        <v>62</v>
      </c>
      <c r="F2467" s="29" t="s">
        <v>61</v>
      </c>
      <c r="G2467" s="29"/>
      <c r="H2467" s="103">
        <f>_xlfn.XLOOKUP(B2467,GM!$Q$5:$Q$756,GM!$J$5:$J$756)</f>
        <v>45959</v>
      </c>
    </row>
    <row r="2468" spans="1:8" hidden="1" x14ac:dyDescent="0.35">
      <c r="A2468" s="29" t="s">
        <v>22</v>
      </c>
      <c r="B2468" s="29" t="str">
        <f t="shared" si="38"/>
        <v>RET-10</v>
      </c>
      <c r="C2468" s="29" t="s">
        <v>8050</v>
      </c>
      <c r="D2468" s="67" t="s">
        <v>8051</v>
      </c>
      <c r="E2468" s="96" t="s">
        <v>62</v>
      </c>
      <c r="F2468" s="29" t="s">
        <v>61</v>
      </c>
      <c r="G2468" s="29"/>
      <c r="H2468" s="103">
        <f>_xlfn.XLOOKUP(B2468,GM!$Q$5:$Q$756,GM!$J$5:$J$756)</f>
        <v>45959</v>
      </c>
    </row>
    <row r="2469" spans="1:8" hidden="1" x14ac:dyDescent="0.35">
      <c r="A2469" s="29" t="s">
        <v>22</v>
      </c>
      <c r="B2469" s="29" t="str">
        <f t="shared" si="38"/>
        <v>RET-10</v>
      </c>
      <c r="C2469" s="29" t="s">
        <v>8052</v>
      </c>
      <c r="D2469" s="67" t="s">
        <v>8053</v>
      </c>
      <c r="E2469" s="96" t="s">
        <v>62</v>
      </c>
      <c r="F2469" s="29" t="s">
        <v>61</v>
      </c>
      <c r="G2469" s="29"/>
      <c r="H2469" s="103">
        <f>_xlfn.XLOOKUP(B2469,GM!$Q$5:$Q$756,GM!$J$5:$J$756)</f>
        <v>45959</v>
      </c>
    </row>
    <row r="2470" spans="1:8" hidden="1" x14ac:dyDescent="0.35">
      <c r="A2470" s="29" t="s">
        <v>22</v>
      </c>
      <c r="B2470" s="29" t="str">
        <f t="shared" si="38"/>
        <v>RET-10</v>
      </c>
      <c r="C2470" s="29" t="s">
        <v>8054</v>
      </c>
      <c r="D2470" s="67" t="s">
        <v>8055</v>
      </c>
      <c r="E2470" s="96" t="s">
        <v>62</v>
      </c>
      <c r="F2470" s="29" t="s">
        <v>61</v>
      </c>
      <c r="G2470" s="29"/>
      <c r="H2470" s="103">
        <f>_xlfn.XLOOKUP(B2470,GM!$Q$5:$Q$756,GM!$J$5:$J$756)</f>
        <v>45959</v>
      </c>
    </row>
    <row r="2471" spans="1:8" hidden="1" x14ac:dyDescent="0.35">
      <c r="A2471" s="29" t="s">
        <v>22</v>
      </c>
      <c r="B2471" s="29" t="str">
        <f t="shared" si="38"/>
        <v>RET-10</v>
      </c>
      <c r="C2471" s="29" t="s">
        <v>8056</v>
      </c>
      <c r="D2471" s="67" t="s">
        <v>8057</v>
      </c>
      <c r="E2471" s="96" t="s">
        <v>62</v>
      </c>
      <c r="F2471" s="29" t="s">
        <v>61</v>
      </c>
      <c r="G2471" s="29"/>
      <c r="H2471" s="103">
        <f>_xlfn.XLOOKUP(B2471,GM!$Q$5:$Q$756,GM!$J$5:$J$756)</f>
        <v>45959</v>
      </c>
    </row>
    <row r="2472" spans="1:8" hidden="1" x14ac:dyDescent="0.35">
      <c r="A2472" s="29" t="s">
        <v>22</v>
      </c>
      <c r="B2472" s="29" t="str">
        <f t="shared" si="38"/>
        <v>RET-10</v>
      </c>
      <c r="C2472" s="29" t="s">
        <v>8058</v>
      </c>
      <c r="D2472" s="67" t="s">
        <v>8059</v>
      </c>
      <c r="E2472" s="96" t="s">
        <v>62</v>
      </c>
      <c r="F2472" s="29" t="s">
        <v>61</v>
      </c>
      <c r="G2472" s="29"/>
      <c r="H2472" s="103">
        <f>_xlfn.XLOOKUP(B2472,GM!$Q$5:$Q$756,GM!$J$5:$J$756)</f>
        <v>45959</v>
      </c>
    </row>
    <row r="2473" spans="1:8" hidden="1" x14ac:dyDescent="0.35">
      <c r="A2473" s="29" t="s">
        <v>22</v>
      </c>
      <c r="B2473" s="29" t="str">
        <f t="shared" si="38"/>
        <v>RET-10</v>
      </c>
      <c r="C2473" s="29" t="s">
        <v>8060</v>
      </c>
      <c r="D2473" s="67" t="s">
        <v>8061</v>
      </c>
      <c r="E2473" s="96" t="s">
        <v>62</v>
      </c>
      <c r="F2473" s="29" t="s">
        <v>61</v>
      </c>
      <c r="G2473" s="29"/>
      <c r="H2473" s="103">
        <f>_xlfn.XLOOKUP(B2473,GM!$Q$5:$Q$756,GM!$J$5:$J$756)</f>
        <v>45959</v>
      </c>
    </row>
    <row r="2474" spans="1:8" hidden="1" x14ac:dyDescent="0.35">
      <c r="A2474" s="29" t="s">
        <v>22</v>
      </c>
      <c r="B2474" s="29" t="str">
        <f t="shared" si="38"/>
        <v>RET-11</v>
      </c>
      <c r="C2474" s="29" t="s">
        <v>8062</v>
      </c>
      <c r="D2474" s="67" t="s">
        <v>8063</v>
      </c>
      <c r="E2474" s="96" t="s">
        <v>62</v>
      </c>
      <c r="F2474" s="29" t="s">
        <v>61</v>
      </c>
      <c r="G2474" s="29"/>
      <c r="H2474" s="103">
        <f>_xlfn.XLOOKUP(B2474,GM!$Q$5:$Q$756,GM!$J$5:$J$756)</f>
        <v>46107</v>
      </c>
    </row>
    <row r="2475" spans="1:8" hidden="1" x14ac:dyDescent="0.35">
      <c r="A2475" s="29" t="s">
        <v>22</v>
      </c>
      <c r="B2475" s="29" t="str">
        <f t="shared" si="38"/>
        <v>RET-11</v>
      </c>
      <c r="C2475" s="29" t="s">
        <v>8064</v>
      </c>
      <c r="D2475" s="67" t="s">
        <v>8065</v>
      </c>
      <c r="E2475" s="96" t="s">
        <v>62</v>
      </c>
      <c r="F2475" s="29" t="s">
        <v>61</v>
      </c>
      <c r="G2475" s="29"/>
      <c r="H2475" s="103">
        <f>_xlfn.XLOOKUP(B2475,GM!$Q$5:$Q$756,GM!$J$5:$J$756)</f>
        <v>46107</v>
      </c>
    </row>
    <row r="2476" spans="1:8" hidden="1" x14ac:dyDescent="0.35">
      <c r="A2476" s="29" t="s">
        <v>22</v>
      </c>
      <c r="B2476" s="29" t="str">
        <f t="shared" si="38"/>
        <v>RET-11</v>
      </c>
      <c r="C2476" s="29" t="s">
        <v>8066</v>
      </c>
      <c r="D2476" s="67" t="s">
        <v>8067</v>
      </c>
      <c r="E2476" s="96" t="s">
        <v>62</v>
      </c>
      <c r="F2476" s="29" t="s">
        <v>61</v>
      </c>
      <c r="G2476" s="29"/>
      <c r="H2476" s="103">
        <f>_xlfn.XLOOKUP(B2476,GM!$Q$5:$Q$756,GM!$J$5:$J$756)</f>
        <v>46107</v>
      </c>
    </row>
    <row r="2477" spans="1:8" hidden="1" x14ac:dyDescent="0.35">
      <c r="A2477" s="29" t="s">
        <v>22</v>
      </c>
      <c r="B2477" s="29" t="str">
        <f t="shared" si="38"/>
        <v>RET-11</v>
      </c>
      <c r="C2477" s="29" t="s">
        <v>8068</v>
      </c>
      <c r="D2477" s="67" t="s">
        <v>8069</v>
      </c>
      <c r="E2477" s="96" t="s">
        <v>62</v>
      </c>
      <c r="F2477" s="29" t="s">
        <v>61</v>
      </c>
      <c r="G2477" s="29"/>
      <c r="H2477" s="103">
        <f>_xlfn.XLOOKUP(B2477,GM!$Q$5:$Q$756,GM!$J$5:$J$756)</f>
        <v>46107</v>
      </c>
    </row>
    <row r="2478" spans="1:8" hidden="1" x14ac:dyDescent="0.35">
      <c r="A2478" s="29" t="s">
        <v>22</v>
      </c>
      <c r="B2478" s="29" t="str">
        <f t="shared" si="38"/>
        <v>RET-12</v>
      </c>
      <c r="C2478" s="29" t="s">
        <v>8070</v>
      </c>
      <c r="D2478" s="67" t="s">
        <v>8071</v>
      </c>
      <c r="E2478" s="96" t="s">
        <v>62</v>
      </c>
      <c r="F2478" s="29" t="s">
        <v>61</v>
      </c>
      <c r="G2478" s="29"/>
      <c r="H2478" s="103">
        <f>_xlfn.XLOOKUP(B2478,GM!$Q$5:$Q$756,GM!$J$5:$J$756)</f>
        <v>46107</v>
      </c>
    </row>
    <row r="2479" spans="1:8" hidden="1" x14ac:dyDescent="0.35">
      <c r="A2479" s="29" t="s">
        <v>22</v>
      </c>
      <c r="B2479" s="29" t="str">
        <f t="shared" si="38"/>
        <v>RET-13</v>
      </c>
      <c r="C2479" s="29" t="s">
        <v>8072</v>
      </c>
      <c r="D2479" s="67" t="s">
        <v>8073</v>
      </c>
      <c r="E2479" s="96" t="s">
        <v>62</v>
      </c>
      <c r="F2479" s="29" t="s">
        <v>61</v>
      </c>
      <c r="G2479" s="29"/>
      <c r="H2479" s="103">
        <f>_xlfn.XLOOKUP(B2479,GM!$Q$5:$Q$756,GM!$J$5:$J$756)</f>
        <v>46107</v>
      </c>
    </row>
    <row r="2480" spans="1:8" hidden="1" x14ac:dyDescent="0.35">
      <c r="A2480" s="29" t="s">
        <v>22</v>
      </c>
      <c r="B2480" s="29" t="str">
        <f t="shared" si="38"/>
        <v>RET-13</v>
      </c>
      <c r="C2480" s="29" t="s">
        <v>8074</v>
      </c>
      <c r="D2480" s="67" t="s">
        <v>8075</v>
      </c>
      <c r="E2480" s="96" t="s">
        <v>62</v>
      </c>
      <c r="F2480" s="29" t="s">
        <v>61</v>
      </c>
      <c r="G2480" s="29"/>
      <c r="H2480" s="103">
        <f>_xlfn.XLOOKUP(B2480,GM!$Q$5:$Q$756,GM!$J$5:$J$756)</f>
        <v>46107</v>
      </c>
    </row>
    <row r="2481" spans="1:8" hidden="1" x14ac:dyDescent="0.35">
      <c r="A2481" s="29" t="s">
        <v>22</v>
      </c>
      <c r="B2481" s="29" t="str">
        <f t="shared" si="38"/>
        <v>RET-13</v>
      </c>
      <c r="C2481" s="29" t="s">
        <v>8076</v>
      </c>
      <c r="D2481" s="67" t="s">
        <v>8077</v>
      </c>
      <c r="E2481" s="96" t="s">
        <v>62</v>
      </c>
      <c r="F2481" s="29" t="s">
        <v>61</v>
      </c>
      <c r="G2481" s="29"/>
      <c r="H2481" s="103">
        <f>_xlfn.XLOOKUP(B2481,GM!$Q$5:$Q$756,GM!$J$5:$J$756)</f>
        <v>46107</v>
      </c>
    </row>
    <row r="2482" spans="1:8" hidden="1" x14ac:dyDescent="0.35">
      <c r="A2482" s="29" t="s">
        <v>22</v>
      </c>
      <c r="B2482" s="29" t="str">
        <f t="shared" si="38"/>
        <v>RET-13</v>
      </c>
      <c r="C2482" s="29" t="s">
        <v>8078</v>
      </c>
      <c r="D2482" s="67" t="s">
        <v>8079</v>
      </c>
      <c r="E2482" s="96" t="s">
        <v>62</v>
      </c>
      <c r="F2482" s="29" t="s">
        <v>61</v>
      </c>
      <c r="G2482" s="29"/>
      <c r="H2482" s="103">
        <f>_xlfn.XLOOKUP(B2482,GM!$Q$5:$Q$756,GM!$J$5:$J$756)</f>
        <v>46107</v>
      </c>
    </row>
    <row r="2483" spans="1:8" hidden="1" x14ac:dyDescent="0.35">
      <c r="A2483" s="29" t="s">
        <v>22</v>
      </c>
      <c r="B2483" s="29" t="str">
        <f t="shared" si="38"/>
        <v>RET-13</v>
      </c>
      <c r="C2483" s="29" t="s">
        <v>8080</v>
      </c>
      <c r="D2483" s="67" t="s">
        <v>8081</v>
      </c>
      <c r="E2483" s="96" t="s">
        <v>62</v>
      </c>
      <c r="F2483" s="29" t="s">
        <v>61</v>
      </c>
      <c r="G2483" s="29"/>
      <c r="H2483" s="103">
        <f>_xlfn.XLOOKUP(B2483,GM!$Q$5:$Q$756,GM!$J$5:$J$756)</f>
        <v>46107</v>
      </c>
    </row>
    <row r="2484" spans="1:8" hidden="1" x14ac:dyDescent="0.35">
      <c r="A2484" s="29" t="s">
        <v>22</v>
      </c>
      <c r="B2484" s="29" t="str">
        <f t="shared" si="38"/>
        <v>RET-13</v>
      </c>
      <c r="C2484" s="29" t="s">
        <v>8082</v>
      </c>
      <c r="D2484" s="67" t="s">
        <v>8083</v>
      </c>
      <c r="E2484" s="96" t="s">
        <v>62</v>
      </c>
      <c r="F2484" s="29" t="s">
        <v>61</v>
      </c>
      <c r="G2484" s="29"/>
      <c r="H2484" s="103">
        <f>_xlfn.XLOOKUP(B2484,GM!$Q$5:$Q$756,GM!$J$5:$J$756)</f>
        <v>46107</v>
      </c>
    </row>
    <row r="2485" spans="1:8" hidden="1" x14ac:dyDescent="0.35">
      <c r="A2485" s="29" t="s">
        <v>22</v>
      </c>
      <c r="B2485" s="29" t="str">
        <f t="shared" si="38"/>
        <v>RET-14</v>
      </c>
      <c r="C2485" s="29" t="s">
        <v>8084</v>
      </c>
      <c r="D2485" s="67" t="s">
        <v>8085</v>
      </c>
      <c r="E2485" s="96" t="s">
        <v>62</v>
      </c>
      <c r="F2485" s="29" t="s">
        <v>61</v>
      </c>
      <c r="G2485" s="29"/>
      <c r="H2485" s="103">
        <f>_xlfn.XLOOKUP(B2485,GM!$Q$5:$Q$756,GM!$J$5:$J$756)</f>
        <v>45202</v>
      </c>
    </row>
    <row r="2486" spans="1:8" hidden="1" x14ac:dyDescent="0.35">
      <c r="A2486" s="29" t="s">
        <v>22</v>
      </c>
      <c r="B2486" s="29" t="str">
        <f t="shared" si="38"/>
        <v>RET-15</v>
      </c>
      <c r="C2486" s="29" t="s">
        <v>8086</v>
      </c>
      <c r="D2486" s="67" t="s">
        <v>8087</v>
      </c>
      <c r="E2486" s="96" t="s">
        <v>62</v>
      </c>
      <c r="F2486" s="29" t="s">
        <v>61</v>
      </c>
      <c r="G2486" s="29"/>
      <c r="H2486" s="103">
        <f>_xlfn.XLOOKUP(B2486,GM!$Q$5:$Q$756,GM!$J$5:$J$756)</f>
        <v>46107</v>
      </c>
    </row>
    <row r="2487" spans="1:8" hidden="1" x14ac:dyDescent="0.35">
      <c r="A2487" s="29" t="s">
        <v>22</v>
      </c>
      <c r="B2487" s="29" t="str">
        <f t="shared" si="38"/>
        <v>RET-15</v>
      </c>
      <c r="C2487" s="29" t="s">
        <v>8088</v>
      </c>
      <c r="D2487" s="67" t="s">
        <v>8089</v>
      </c>
      <c r="E2487" s="96" t="s">
        <v>62</v>
      </c>
      <c r="F2487" s="29" t="s">
        <v>61</v>
      </c>
      <c r="G2487" s="29"/>
      <c r="H2487" s="103">
        <f>_xlfn.XLOOKUP(B2487,GM!$Q$5:$Q$756,GM!$J$5:$J$756)</f>
        <v>46107</v>
      </c>
    </row>
    <row r="2488" spans="1:8" hidden="1" x14ac:dyDescent="0.35">
      <c r="A2488" s="29" t="s">
        <v>22</v>
      </c>
      <c r="B2488" s="29" t="str">
        <f t="shared" si="38"/>
        <v>RET-15</v>
      </c>
      <c r="C2488" s="29" t="s">
        <v>8090</v>
      </c>
      <c r="D2488" s="67" t="s">
        <v>8091</v>
      </c>
      <c r="E2488" s="96" t="s">
        <v>62</v>
      </c>
      <c r="F2488" s="29" t="s">
        <v>61</v>
      </c>
      <c r="G2488" s="29"/>
      <c r="H2488" s="103">
        <f>_xlfn.XLOOKUP(B2488,GM!$Q$5:$Q$756,GM!$J$5:$J$756)</f>
        <v>46107</v>
      </c>
    </row>
    <row r="2489" spans="1:8" hidden="1" x14ac:dyDescent="0.35">
      <c r="A2489" s="29" t="s">
        <v>22</v>
      </c>
      <c r="B2489" s="29" t="str">
        <f t="shared" si="38"/>
        <v>RET-15</v>
      </c>
      <c r="C2489" s="29" t="s">
        <v>8092</v>
      </c>
      <c r="D2489" s="67" t="s">
        <v>8093</v>
      </c>
      <c r="E2489" s="96" t="s">
        <v>62</v>
      </c>
      <c r="F2489" s="29" t="s">
        <v>61</v>
      </c>
      <c r="G2489" s="29"/>
      <c r="H2489" s="103">
        <f>_xlfn.XLOOKUP(B2489,GM!$Q$5:$Q$756,GM!$J$5:$J$756)</f>
        <v>46107</v>
      </c>
    </row>
    <row r="2490" spans="1:8" hidden="1" x14ac:dyDescent="0.35">
      <c r="A2490" s="29" t="s">
        <v>22</v>
      </c>
      <c r="B2490" s="29" t="str">
        <f t="shared" si="38"/>
        <v>RET-15</v>
      </c>
      <c r="C2490" s="29" t="s">
        <v>8094</v>
      </c>
      <c r="D2490" s="67" t="s">
        <v>8095</v>
      </c>
      <c r="E2490" s="96" t="s">
        <v>62</v>
      </c>
      <c r="F2490" s="29" t="s">
        <v>61</v>
      </c>
      <c r="G2490" s="29"/>
      <c r="H2490" s="103">
        <f>_xlfn.XLOOKUP(B2490,GM!$Q$5:$Q$756,GM!$J$5:$J$756)</f>
        <v>46107</v>
      </c>
    </row>
    <row r="2491" spans="1:8" hidden="1" x14ac:dyDescent="0.35">
      <c r="A2491" s="29" t="s">
        <v>22</v>
      </c>
      <c r="B2491" s="29" t="str">
        <f t="shared" si="38"/>
        <v>RET-15</v>
      </c>
      <c r="C2491" s="29" t="s">
        <v>8096</v>
      </c>
      <c r="D2491" s="67" t="s">
        <v>8097</v>
      </c>
      <c r="E2491" s="96" t="s">
        <v>62</v>
      </c>
      <c r="F2491" s="29" t="s">
        <v>61</v>
      </c>
      <c r="G2491" s="29"/>
      <c r="H2491" s="103">
        <f>_xlfn.XLOOKUP(B2491,GM!$Q$5:$Q$756,GM!$J$5:$J$756)</f>
        <v>46107</v>
      </c>
    </row>
    <row r="2492" spans="1:8" hidden="1" x14ac:dyDescent="0.35">
      <c r="A2492" s="29" t="s">
        <v>22</v>
      </c>
      <c r="B2492" s="29" t="str">
        <f t="shared" si="38"/>
        <v>RET-15</v>
      </c>
      <c r="C2492" s="29" t="s">
        <v>8098</v>
      </c>
      <c r="D2492" s="67" t="s">
        <v>8099</v>
      </c>
      <c r="E2492" s="96" t="s">
        <v>62</v>
      </c>
      <c r="F2492" s="29" t="s">
        <v>61</v>
      </c>
      <c r="G2492" s="29"/>
      <c r="H2492" s="103">
        <f>_xlfn.XLOOKUP(B2492,GM!$Q$5:$Q$756,GM!$J$5:$J$756)</f>
        <v>46107</v>
      </c>
    </row>
    <row r="2493" spans="1:8" hidden="1" x14ac:dyDescent="0.35">
      <c r="A2493" s="29" t="s">
        <v>22</v>
      </c>
      <c r="B2493" s="29" t="str">
        <f t="shared" si="38"/>
        <v>RET-15</v>
      </c>
      <c r="C2493" s="29" t="s">
        <v>8100</v>
      </c>
      <c r="D2493" s="67" t="s">
        <v>8101</v>
      </c>
      <c r="E2493" s="96" t="s">
        <v>62</v>
      </c>
      <c r="F2493" s="29" t="s">
        <v>61</v>
      </c>
      <c r="G2493" s="29"/>
      <c r="H2493" s="103">
        <f>_xlfn.XLOOKUP(B2493,GM!$Q$5:$Q$756,GM!$J$5:$J$756)</f>
        <v>46107</v>
      </c>
    </row>
    <row r="2494" spans="1:8" hidden="1" x14ac:dyDescent="0.35">
      <c r="A2494" s="29" t="s">
        <v>22</v>
      </c>
      <c r="B2494" s="29" t="str">
        <f t="shared" si="38"/>
        <v>RET-15</v>
      </c>
      <c r="C2494" s="29" t="s">
        <v>8102</v>
      </c>
      <c r="D2494" s="67" t="s">
        <v>8103</v>
      </c>
      <c r="E2494" s="96" t="s">
        <v>62</v>
      </c>
      <c r="F2494" s="29" t="s">
        <v>61</v>
      </c>
      <c r="G2494" s="29"/>
      <c r="H2494" s="103">
        <f>_xlfn.XLOOKUP(B2494,GM!$Q$5:$Q$756,GM!$J$5:$J$756)</f>
        <v>46107</v>
      </c>
    </row>
    <row r="2495" spans="1:8" hidden="1" x14ac:dyDescent="0.35">
      <c r="A2495" s="29" t="s">
        <v>22</v>
      </c>
      <c r="B2495" s="29" t="str">
        <f t="shared" si="38"/>
        <v>RET-15</v>
      </c>
      <c r="C2495" s="29" t="s">
        <v>8104</v>
      </c>
      <c r="D2495" s="67" t="s">
        <v>8105</v>
      </c>
      <c r="E2495" s="96" t="s">
        <v>62</v>
      </c>
      <c r="F2495" s="29" t="s">
        <v>61</v>
      </c>
      <c r="G2495" s="29"/>
      <c r="H2495" s="103">
        <f>_xlfn.XLOOKUP(B2495,GM!$Q$5:$Q$756,GM!$J$5:$J$756)</f>
        <v>46107</v>
      </c>
    </row>
    <row r="2496" spans="1:8" hidden="1" x14ac:dyDescent="0.35">
      <c r="A2496" s="29" t="s">
        <v>22</v>
      </c>
      <c r="B2496" s="29" t="str">
        <f t="shared" si="38"/>
        <v>RET-15</v>
      </c>
      <c r="C2496" s="29" t="s">
        <v>8106</v>
      </c>
      <c r="D2496" s="67" t="s">
        <v>8107</v>
      </c>
      <c r="E2496" s="96" t="s">
        <v>62</v>
      </c>
      <c r="F2496" s="29" t="s">
        <v>61</v>
      </c>
      <c r="G2496" s="29"/>
      <c r="H2496" s="103">
        <f>_xlfn.XLOOKUP(B2496,GM!$Q$5:$Q$756,GM!$J$5:$J$756)</f>
        <v>46107</v>
      </c>
    </row>
    <row r="2497" spans="1:8" hidden="1" x14ac:dyDescent="0.35">
      <c r="A2497" s="29" t="s">
        <v>22</v>
      </c>
      <c r="B2497" s="29" t="str">
        <f t="shared" si="38"/>
        <v>RET-15</v>
      </c>
      <c r="C2497" s="29" t="s">
        <v>8108</v>
      </c>
      <c r="D2497" s="67" t="s">
        <v>8109</v>
      </c>
      <c r="E2497" s="96" t="s">
        <v>62</v>
      </c>
      <c r="F2497" s="29" t="s">
        <v>61</v>
      </c>
      <c r="G2497" s="29"/>
      <c r="H2497" s="103">
        <f>_xlfn.XLOOKUP(B2497,GM!$Q$5:$Q$756,GM!$J$5:$J$756)</f>
        <v>46107</v>
      </c>
    </row>
    <row r="2498" spans="1:8" hidden="1" x14ac:dyDescent="0.35">
      <c r="A2498" s="29" t="s">
        <v>22</v>
      </c>
      <c r="B2498" s="29" t="str">
        <f t="shared" si="38"/>
        <v>RET-15</v>
      </c>
      <c r="C2498" s="29" t="s">
        <v>8110</v>
      </c>
      <c r="D2498" s="67" t="s">
        <v>8111</v>
      </c>
      <c r="E2498" s="96" t="s">
        <v>62</v>
      </c>
      <c r="F2498" s="29" t="s">
        <v>61</v>
      </c>
      <c r="G2498" s="29"/>
      <c r="H2498" s="103">
        <f>_xlfn.XLOOKUP(B2498,GM!$Q$5:$Q$756,GM!$J$5:$J$756)</f>
        <v>46107</v>
      </c>
    </row>
    <row r="2499" spans="1:8" hidden="1" x14ac:dyDescent="0.35">
      <c r="A2499" s="29" t="s">
        <v>22</v>
      </c>
      <c r="B2499" s="29" t="str">
        <f t="shared" si="38"/>
        <v>RET-15</v>
      </c>
      <c r="C2499" s="29" t="s">
        <v>8112</v>
      </c>
      <c r="D2499" s="67" t="s">
        <v>8113</v>
      </c>
      <c r="E2499" s="96" t="s">
        <v>62</v>
      </c>
      <c r="F2499" s="29" t="s">
        <v>61</v>
      </c>
      <c r="G2499" s="29"/>
      <c r="H2499" s="103">
        <f>_xlfn.XLOOKUP(B2499,GM!$Q$5:$Q$756,GM!$J$5:$J$756)</f>
        <v>46107</v>
      </c>
    </row>
    <row r="2500" spans="1:8" hidden="1" x14ac:dyDescent="0.35">
      <c r="A2500" s="29" t="s">
        <v>22</v>
      </c>
      <c r="B2500" s="29" t="str">
        <f t="shared" si="38"/>
        <v>RET-15</v>
      </c>
      <c r="C2500" s="29" t="s">
        <v>8114</v>
      </c>
      <c r="D2500" s="67" t="s">
        <v>8115</v>
      </c>
      <c r="E2500" s="96" t="s">
        <v>62</v>
      </c>
      <c r="F2500" s="29" t="s">
        <v>61</v>
      </c>
      <c r="G2500" s="29"/>
      <c r="H2500" s="103">
        <f>_xlfn.XLOOKUP(B2500,GM!$Q$5:$Q$756,GM!$J$5:$J$756)</f>
        <v>46107</v>
      </c>
    </row>
    <row r="2501" spans="1:8" hidden="1" x14ac:dyDescent="0.35">
      <c r="A2501" s="29" t="s">
        <v>22</v>
      </c>
      <c r="B2501" s="29" t="str">
        <f t="shared" ref="B2501:B2564" si="39">IF(OR(A2501="ARN",A2501="SDP"),MID(C2501,4,7),MID(C2501,4,6))</f>
        <v>RET-15</v>
      </c>
      <c r="C2501" s="29" t="s">
        <v>8116</v>
      </c>
      <c r="D2501" s="67" t="s">
        <v>8117</v>
      </c>
      <c r="E2501" s="96" t="s">
        <v>62</v>
      </c>
      <c r="F2501" s="29" t="s">
        <v>61</v>
      </c>
      <c r="G2501" s="29"/>
      <c r="H2501" s="103">
        <f>_xlfn.XLOOKUP(B2501,GM!$Q$5:$Q$756,GM!$J$5:$J$756)</f>
        <v>46107</v>
      </c>
    </row>
    <row r="2502" spans="1:8" hidden="1" x14ac:dyDescent="0.35">
      <c r="A2502" s="29" t="s">
        <v>22</v>
      </c>
      <c r="B2502" s="29" t="str">
        <f t="shared" si="39"/>
        <v>RET-15</v>
      </c>
      <c r="C2502" s="29" t="s">
        <v>8118</v>
      </c>
      <c r="D2502" s="67" t="s">
        <v>8119</v>
      </c>
      <c r="E2502" s="96" t="s">
        <v>62</v>
      </c>
      <c r="F2502" s="29" t="s">
        <v>61</v>
      </c>
      <c r="G2502" s="29"/>
      <c r="H2502" s="103">
        <f>_xlfn.XLOOKUP(B2502,GM!$Q$5:$Q$756,GM!$J$5:$J$756)</f>
        <v>46107</v>
      </c>
    </row>
    <row r="2503" spans="1:8" hidden="1" x14ac:dyDescent="0.35">
      <c r="A2503" s="29" t="s">
        <v>22</v>
      </c>
      <c r="B2503" s="29" t="str">
        <f t="shared" si="39"/>
        <v>RET-15</v>
      </c>
      <c r="C2503" s="29" t="s">
        <v>8120</v>
      </c>
      <c r="D2503" s="67" t="s">
        <v>8121</v>
      </c>
      <c r="E2503" s="96" t="s">
        <v>62</v>
      </c>
      <c r="F2503" s="29" t="s">
        <v>61</v>
      </c>
      <c r="G2503" s="29"/>
      <c r="H2503" s="103">
        <f>_xlfn.XLOOKUP(B2503,GM!$Q$5:$Q$756,GM!$J$5:$J$756)</f>
        <v>46107</v>
      </c>
    </row>
    <row r="2504" spans="1:8" hidden="1" x14ac:dyDescent="0.35">
      <c r="A2504" s="29" t="s">
        <v>22</v>
      </c>
      <c r="B2504" s="29" t="str">
        <f t="shared" si="39"/>
        <v>RET-15</v>
      </c>
      <c r="C2504" s="29" t="s">
        <v>8122</v>
      </c>
      <c r="D2504" s="67" t="s">
        <v>8123</v>
      </c>
      <c r="E2504" s="96" t="s">
        <v>62</v>
      </c>
      <c r="F2504" s="29" t="s">
        <v>61</v>
      </c>
      <c r="G2504" s="29"/>
      <c r="H2504" s="103">
        <f>_xlfn.XLOOKUP(B2504,GM!$Q$5:$Q$756,GM!$J$5:$J$756)</f>
        <v>46107</v>
      </c>
    </row>
    <row r="2505" spans="1:8" hidden="1" x14ac:dyDescent="0.35">
      <c r="A2505" s="29" t="s">
        <v>22</v>
      </c>
      <c r="B2505" s="29" t="str">
        <f t="shared" si="39"/>
        <v>RET-15</v>
      </c>
      <c r="C2505" s="29" t="s">
        <v>8124</v>
      </c>
      <c r="D2505" s="67" t="s">
        <v>8125</v>
      </c>
      <c r="E2505" s="96" t="s">
        <v>62</v>
      </c>
      <c r="F2505" s="29" t="s">
        <v>61</v>
      </c>
      <c r="G2505" s="29"/>
      <c r="H2505" s="103">
        <f>_xlfn.XLOOKUP(B2505,GM!$Q$5:$Q$756,GM!$J$5:$J$756)</f>
        <v>46107</v>
      </c>
    </row>
    <row r="2506" spans="1:8" hidden="1" x14ac:dyDescent="0.35">
      <c r="A2506" s="29" t="s">
        <v>22</v>
      </c>
      <c r="B2506" s="29" t="str">
        <f t="shared" si="39"/>
        <v>RET-15</v>
      </c>
      <c r="C2506" s="29" t="s">
        <v>8126</v>
      </c>
      <c r="D2506" s="67" t="s">
        <v>8127</v>
      </c>
      <c r="E2506" s="96" t="s">
        <v>62</v>
      </c>
      <c r="F2506" s="29" t="s">
        <v>61</v>
      </c>
      <c r="G2506" s="29"/>
      <c r="H2506" s="103">
        <f>_xlfn.XLOOKUP(B2506,GM!$Q$5:$Q$756,GM!$J$5:$J$756)</f>
        <v>46107</v>
      </c>
    </row>
    <row r="2507" spans="1:8" hidden="1" x14ac:dyDescent="0.35">
      <c r="A2507" s="29" t="s">
        <v>22</v>
      </c>
      <c r="B2507" s="29" t="str">
        <f t="shared" si="39"/>
        <v>RET-15</v>
      </c>
      <c r="C2507" s="29" t="s">
        <v>8128</v>
      </c>
      <c r="D2507" s="67" t="s">
        <v>8129</v>
      </c>
      <c r="E2507" s="96" t="s">
        <v>62</v>
      </c>
      <c r="F2507" s="29" t="s">
        <v>61</v>
      </c>
      <c r="G2507" s="29"/>
      <c r="H2507" s="103">
        <f>_xlfn.XLOOKUP(B2507,GM!$Q$5:$Q$756,GM!$J$5:$J$756)</f>
        <v>46107</v>
      </c>
    </row>
    <row r="2508" spans="1:8" hidden="1" x14ac:dyDescent="0.35">
      <c r="A2508" s="29" t="s">
        <v>22</v>
      </c>
      <c r="B2508" s="29" t="str">
        <f t="shared" si="39"/>
        <v>RET-15</v>
      </c>
      <c r="C2508" s="29" t="s">
        <v>8130</v>
      </c>
      <c r="D2508" s="67" t="s">
        <v>8131</v>
      </c>
      <c r="E2508" s="96" t="s">
        <v>62</v>
      </c>
      <c r="F2508" s="29" t="s">
        <v>61</v>
      </c>
      <c r="G2508" s="29"/>
      <c r="H2508" s="103">
        <f>_xlfn.XLOOKUP(B2508,GM!$Q$5:$Q$756,GM!$J$5:$J$756)</f>
        <v>46107</v>
      </c>
    </row>
    <row r="2509" spans="1:8" hidden="1" x14ac:dyDescent="0.35">
      <c r="A2509" s="29" t="s">
        <v>22</v>
      </c>
      <c r="B2509" s="29" t="str">
        <f t="shared" si="39"/>
        <v>RET-15</v>
      </c>
      <c r="C2509" s="29" t="s">
        <v>8132</v>
      </c>
      <c r="D2509" s="67" t="s">
        <v>8133</v>
      </c>
      <c r="E2509" s="96" t="s">
        <v>62</v>
      </c>
      <c r="F2509" s="29" t="s">
        <v>61</v>
      </c>
      <c r="G2509" s="29"/>
      <c r="H2509" s="103">
        <f>_xlfn.XLOOKUP(B2509,GM!$Q$5:$Q$756,GM!$J$5:$J$756)</f>
        <v>46107</v>
      </c>
    </row>
    <row r="2510" spans="1:8" hidden="1" x14ac:dyDescent="0.35">
      <c r="A2510" s="29" t="s">
        <v>22</v>
      </c>
      <c r="B2510" s="29" t="str">
        <f t="shared" si="39"/>
        <v>RET-15</v>
      </c>
      <c r="C2510" s="29" t="s">
        <v>8134</v>
      </c>
      <c r="D2510" s="67" t="s">
        <v>8135</v>
      </c>
      <c r="E2510" s="96" t="s">
        <v>62</v>
      </c>
      <c r="F2510" s="29" t="s">
        <v>61</v>
      </c>
      <c r="G2510" s="29"/>
      <c r="H2510" s="103">
        <f>_xlfn.XLOOKUP(B2510,GM!$Q$5:$Q$756,GM!$J$5:$J$756)</f>
        <v>46107</v>
      </c>
    </row>
    <row r="2511" spans="1:8" hidden="1" x14ac:dyDescent="0.35">
      <c r="A2511" s="29" t="s">
        <v>22</v>
      </c>
      <c r="B2511" s="29" t="str">
        <f t="shared" si="39"/>
        <v>RET-17</v>
      </c>
      <c r="C2511" s="29" t="s">
        <v>8136</v>
      </c>
      <c r="D2511" s="67" t="s">
        <v>8137</v>
      </c>
      <c r="E2511" s="96" t="s">
        <v>62</v>
      </c>
      <c r="F2511" s="29" t="s">
        <v>61</v>
      </c>
      <c r="G2511" s="29"/>
      <c r="H2511" s="103">
        <f>_xlfn.XLOOKUP(B2511,GM!$Q$5:$Q$756,GM!$J$5:$J$756)</f>
        <v>45202</v>
      </c>
    </row>
    <row r="2512" spans="1:8" hidden="1" x14ac:dyDescent="0.35">
      <c r="A2512" s="29" t="s">
        <v>22</v>
      </c>
      <c r="B2512" s="29" t="str">
        <f t="shared" si="39"/>
        <v>RET-17</v>
      </c>
      <c r="C2512" s="29" t="s">
        <v>8138</v>
      </c>
      <c r="D2512" s="67" t="s">
        <v>8139</v>
      </c>
      <c r="E2512" s="96" t="s">
        <v>62</v>
      </c>
      <c r="F2512" s="29" t="s">
        <v>61</v>
      </c>
      <c r="G2512" s="29"/>
      <c r="H2512" s="103">
        <f>_xlfn.XLOOKUP(B2512,GM!$Q$5:$Q$756,GM!$J$5:$J$756)</f>
        <v>45202</v>
      </c>
    </row>
    <row r="2513" spans="1:8" hidden="1" x14ac:dyDescent="0.35">
      <c r="A2513" s="29" t="s">
        <v>22</v>
      </c>
      <c r="B2513" s="29" t="str">
        <f t="shared" si="39"/>
        <v>RET-17</v>
      </c>
      <c r="C2513" s="29" t="s">
        <v>8140</v>
      </c>
      <c r="D2513" s="67" t="s">
        <v>8141</v>
      </c>
      <c r="E2513" s="96" t="s">
        <v>62</v>
      </c>
      <c r="F2513" s="29" t="s">
        <v>61</v>
      </c>
      <c r="G2513" s="29"/>
      <c r="H2513" s="103">
        <f>_xlfn.XLOOKUP(B2513,GM!$Q$5:$Q$756,GM!$J$5:$J$756)</f>
        <v>45202</v>
      </c>
    </row>
    <row r="2514" spans="1:8" hidden="1" x14ac:dyDescent="0.35">
      <c r="A2514" s="29" t="s">
        <v>22</v>
      </c>
      <c r="B2514" s="29" t="str">
        <f t="shared" si="39"/>
        <v>RET-17</v>
      </c>
      <c r="C2514" s="29" t="s">
        <v>8142</v>
      </c>
      <c r="D2514" s="67" t="s">
        <v>8143</v>
      </c>
      <c r="E2514" s="96" t="s">
        <v>62</v>
      </c>
      <c r="F2514" s="29" t="s">
        <v>61</v>
      </c>
      <c r="G2514" s="29"/>
      <c r="H2514" s="103">
        <f>_xlfn.XLOOKUP(B2514,GM!$Q$5:$Q$756,GM!$J$5:$J$756)</f>
        <v>45202</v>
      </c>
    </row>
    <row r="2515" spans="1:8" hidden="1" x14ac:dyDescent="0.35">
      <c r="A2515" s="29" t="s">
        <v>22</v>
      </c>
      <c r="B2515" s="29" t="str">
        <f t="shared" si="39"/>
        <v>RET-17</v>
      </c>
      <c r="C2515" s="29" t="s">
        <v>8144</v>
      </c>
      <c r="D2515" s="67" t="s">
        <v>8145</v>
      </c>
      <c r="E2515" s="96" t="s">
        <v>62</v>
      </c>
      <c r="F2515" s="29" t="s">
        <v>61</v>
      </c>
      <c r="G2515" s="29"/>
      <c r="H2515" s="103">
        <f>_xlfn.XLOOKUP(B2515,GM!$Q$5:$Q$756,GM!$J$5:$J$756)</f>
        <v>45202</v>
      </c>
    </row>
    <row r="2516" spans="1:8" hidden="1" x14ac:dyDescent="0.35">
      <c r="A2516" s="29" t="s">
        <v>22</v>
      </c>
      <c r="B2516" s="29" t="str">
        <f t="shared" si="39"/>
        <v>RET-17</v>
      </c>
      <c r="C2516" s="29" t="s">
        <v>8146</v>
      </c>
      <c r="D2516" s="67" t="s">
        <v>8147</v>
      </c>
      <c r="E2516" s="96" t="s">
        <v>62</v>
      </c>
      <c r="F2516" s="29" t="s">
        <v>61</v>
      </c>
      <c r="G2516" s="29"/>
      <c r="H2516" s="103">
        <f>_xlfn.XLOOKUP(B2516,GM!$Q$5:$Q$756,GM!$J$5:$J$756)</f>
        <v>45202</v>
      </c>
    </row>
    <row r="2517" spans="1:8" hidden="1" x14ac:dyDescent="0.35">
      <c r="A2517" s="29" t="s">
        <v>22</v>
      </c>
      <c r="B2517" s="29" t="str">
        <f t="shared" si="39"/>
        <v>RET-18</v>
      </c>
      <c r="C2517" s="29" t="s">
        <v>8148</v>
      </c>
      <c r="D2517" s="67" t="s">
        <v>8149</v>
      </c>
      <c r="E2517" s="96" t="s">
        <v>62</v>
      </c>
      <c r="F2517" s="29" t="s">
        <v>61</v>
      </c>
      <c r="G2517" s="29"/>
      <c r="H2517" s="103">
        <f>_xlfn.XLOOKUP(B2517,GM!$Q$5:$Q$756,GM!$J$5:$J$756)</f>
        <v>45645</v>
      </c>
    </row>
    <row r="2518" spans="1:8" hidden="1" x14ac:dyDescent="0.35">
      <c r="A2518" s="29" t="s">
        <v>22</v>
      </c>
      <c r="B2518" s="29" t="str">
        <f t="shared" si="39"/>
        <v>RET-18</v>
      </c>
      <c r="C2518" s="29" t="s">
        <v>8150</v>
      </c>
      <c r="D2518" s="67" t="s">
        <v>8151</v>
      </c>
      <c r="E2518" s="96" t="s">
        <v>62</v>
      </c>
      <c r="F2518" s="29" t="s">
        <v>61</v>
      </c>
      <c r="G2518" s="29"/>
      <c r="H2518" s="103">
        <f>_xlfn.XLOOKUP(B2518,GM!$Q$5:$Q$756,GM!$J$5:$J$756)</f>
        <v>45645</v>
      </c>
    </row>
    <row r="2519" spans="1:8" hidden="1" x14ac:dyDescent="0.35">
      <c r="A2519" s="29" t="s">
        <v>22</v>
      </c>
      <c r="B2519" s="29" t="str">
        <f t="shared" si="39"/>
        <v>RET-18</v>
      </c>
      <c r="C2519" s="29" t="s">
        <v>8152</v>
      </c>
      <c r="D2519" s="67" t="s">
        <v>8153</v>
      </c>
      <c r="E2519" s="96" t="s">
        <v>62</v>
      </c>
      <c r="F2519" s="29" t="s">
        <v>61</v>
      </c>
      <c r="G2519" s="29"/>
      <c r="H2519" s="103">
        <f>_xlfn.XLOOKUP(B2519,GM!$Q$5:$Q$756,GM!$J$5:$J$756)</f>
        <v>45645</v>
      </c>
    </row>
    <row r="2520" spans="1:8" hidden="1" x14ac:dyDescent="0.35">
      <c r="A2520" s="29" t="s">
        <v>22</v>
      </c>
      <c r="B2520" s="29" t="str">
        <f t="shared" si="39"/>
        <v>RET-18</v>
      </c>
      <c r="C2520" s="29" t="s">
        <v>8154</v>
      </c>
      <c r="D2520" s="67" t="s">
        <v>8155</v>
      </c>
      <c r="E2520" s="96" t="s">
        <v>62</v>
      </c>
      <c r="F2520" s="29" t="s">
        <v>61</v>
      </c>
      <c r="G2520" s="29"/>
      <c r="H2520" s="103">
        <f>_xlfn.XLOOKUP(B2520,GM!$Q$5:$Q$756,GM!$J$5:$J$756)</f>
        <v>45645</v>
      </c>
    </row>
    <row r="2521" spans="1:8" hidden="1" x14ac:dyDescent="0.35">
      <c r="A2521" s="29" t="s">
        <v>22</v>
      </c>
      <c r="B2521" s="29" t="str">
        <f t="shared" si="39"/>
        <v>RET-18</v>
      </c>
      <c r="C2521" s="29" t="s">
        <v>8156</v>
      </c>
      <c r="D2521" s="67" t="s">
        <v>8157</v>
      </c>
      <c r="E2521" s="96" t="s">
        <v>62</v>
      </c>
      <c r="F2521" s="29" t="s">
        <v>61</v>
      </c>
      <c r="G2521" s="29"/>
      <c r="H2521" s="103">
        <f>_xlfn.XLOOKUP(B2521,GM!$Q$5:$Q$756,GM!$J$5:$J$756)</f>
        <v>45645</v>
      </c>
    </row>
    <row r="2522" spans="1:8" hidden="1" x14ac:dyDescent="0.35">
      <c r="A2522" s="29" t="s">
        <v>22</v>
      </c>
      <c r="B2522" s="29" t="str">
        <f t="shared" si="39"/>
        <v>RET-18</v>
      </c>
      <c r="C2522" s="29" t="s">
        <v>8158</v>
      </c>
      <c r="D2522" s="67" t="s">
        <v>8159</v>
      </c>
      <c r="E2522" s="96" t="s">
        <v>62</v>
      </c>
      <c r="F2522" s="29" t="s">
        <v>61</v>
      </c>
      <c r="G2522" s="29"/>
      <c r="H2522" s="103">
        <f>_xlfn.XLOOKUP(B2522,GM!$Q$5:$Q$756,GM!$J$5:$J$756)</f>
        <v>45645</v>
      </c>
    </row>
    <row r="2523" spans="1:8" hidden="1" x14ac:dyDescent="0.35">
      <c r="A2523" s="29" t="s">
        <v>22</v>
      </c>
      <c r="B2523" s="29" t="str">
        <f t="shared" si="39"/>
        <v>RET-18</v>
      </c>
      <c r="C2523" s="29" t="s">
        <v>8160</v>
      </c>
      <c r="D2523" s="67" t="s">
        <v>8161</v>
      </c>
      <c r="E2523" s="96" t="s">
        <v>62</v>
      </c>
      <c r="F2523" s="29" t="s">
        <v>61</v>
      </c>
      <c r="G2523" s="29"/>
      <c r="H2523" s="103">
        <f>_xlfn.XLOOKUP(B2523,GM!$Q$5:$Q$756,GM!$J$5:$J$756)</f>
        <v>45645</v>
      </c>
    </row>
    <row r="2524" spans="1:8" hidden="1" x14ac:dyDescent="0.35">
      <c r="A2524" s="29" t="s">
        <v>22</v>
      </c>
      <c r="B2524" s="29" t="str">
        <f t="shared" si="39"/>
        <v>RET-18</v>
      </c>
      <c r="C2524" s="29" t="s">
        <v>8162</v>
      </c>
      <c r="D2524" s="67" t="s">
        <v>8163</v>
      </c>
      <c r="E2524" s="96" t="s">
        <v>62</v>
      </c>
      <c r="F2524" s="29" t="s">
        <v>61</v>
      </c>
      <c r="G2524" s="29"/>
      <c r="H2524" s="103">
        <f>_xlfn.XLOOKUP(B2524,GM!$Q$5:$Q$756,GM!$J$5:$J$756)</f>
        <v>45645</v>
      </c>
    </row>
    <row r="2525" spans="1:8" hidden="1" x14ac:dyDescent="0.35">
      <c r="A2525" s="29" t="s">
        <v>22</v>
      </c>
      <c r="B2525" s="29" t="str">
        <f t="shared" si="39"/>
        <v>RET-19</v>
      </c>
      <c r="C2525" s="29" t="s">
        <v>8164</v>
      </c>
      <c r="D2525" s="67" t="s">
        <v>8165</v>
      </c>
      <c r="E2525" s="96" t="s">
        <v>62</v>
      </c>
      <c r="F2525" s="29" t="s">
        <v>61</v>
      </c>
      <c r="G2525" s="29"/>
      <c r="H2525" s="103">
        <f>_xlfn.XLOOKUP(B2525,GM!$Q$5:$Q$756,GM!$J$5:$J$756)</f>
        <v>45959</v>
      </c>
    </row>
    <row r="2526" spans="1:8" hidden="1" x14ac:dyDescent="0.35">
      <c r="A2526" s="29" t="s">
        <v>22</v>
      </c>
      <c r="B2526" s="29" t="str">
        <f t="shared" si="39"/>
        <v>RET-19</v>
      </c>
      <c r="C2526" s="29" t="s">
        <v>8166</v>
      </c>
      <c r="D2526" s="67" t="s">
        <v>8167</v>
      </c>
      <c r="E2526" s="96" t="s">
        <v>62</v>
      </c>
      <c r="F2526" s="29" t="s">
        <v>61</v>
      </c>
      <c r="G2526" s="29"/>
      <c r="H2526" s="103">
        <f>_xlfn.XLOOKUP(B2526,GM!$Q$5:$Q$756,GM!$J$5:$J$756)</f>
        <v>45959</v>
      </c>
    </row>
    <row r="2527" spans="1:8" hidden="1" x14ac:dyDescent="0.35">
      <c r="A2527" s="29" t="s">
        <v>22</v>
      </c>
      <c r="B2527" s="29" t="str">
        <f t="shared" si="39"/>
        <v>RET-19</v>
      </c>
      <c r="C2527" s="29" t="s">
        <v>8168</v>
      </c>
      <c r="D2527" s="67" t="s">
        <v>8169</v>
      </c>
      <c r="E2527" s="96" t="s">
        <v>62</v>
      </c>
      <c r="F2527" s="29" t="s">
        <v>61</v>
      </c>
      <c r="G2527" s="29"/>
      <c r="H2527" s="103">
        <f>_xlfn.XLOOKUP(B2527,GM!$Q$5:$Q$756,GM!$J$5:$J$756)</f>
        <v>45959</v>
      </c>
    </row>
    <row r="2528" spans="1:8" hidden="1" x14ac:dyDescent="0.35">
      <c r="A2528" s="29" t="s">
        <v>22</v>
      </c>
      <c r="B2528" s="29" t="str">
        <f t="shared" si="39"/>
        <v>RET-19</v>
      </c>
      <c r="C2528" s="29" t="s">
        <v>8170</v>
      </c>
      <c r="D2528" s="67" t="s">
        <v>8171</v>
      </c>
      <c r="E2528" s="96" t="s">
        <v>62</v>
      </c>
      <c r="F2528" s="29" t="s">
        <v>61</v>
      </c>
      <c r="G2528" s="29"/>
      <c r="H2528" s="103">
        <f>_xlfn.XLOOKUP(B2528,GM!$Q$5:$Q$756,GM!$J$5:$J$756)</f>
        <v>45959</v>
      </c>
    </row>
    <row r="2529" spans="1:8" hidden="1" x14ac:dyDescent="0.35">
      <c r="A2529" s="29" t="s">
        <v>22</v>
      </c>
      <c r="B2529" s="29" t="str">
        <f t="shared" si="39"/>
        <v>RET-20</v>
      </c>
      <c r="C2529" s="29" t="s">
        <v>8172</v>
      </c>
      <c r="D2529" s="67" t="s">
        <v>8173</v>
      </c>
      <c r="E2529" s="96" t="s">
        <v>62</v>
      </c>
      <c r="F2529" s="29" t="s">
        <v>61</v>
      </c>
      <c r="G2529" s="29"/>
      <c r="H2529" s="103">
        <f>_xlfn.XLOOKUP(B2529,GM!$Q$5:$Q$756,GM!$J$5:$J$756)</f>
        <v>44889</v>
      </c>
    </row>
    <row r="2530" spans="1:8" hidden="1" x14ac:dyDescent="0.35">
      <c r="A2530" s="29" t="s">
        <v>22</v>
      </c>
      <c r="B2530" s="29" t="str">
        <f t="shared" si="39"/>
        <v>RET-20</v>
      </c>
      <c r="C2530" s="29" t="s">
        <v>8174</v>
      </c>
      <c r="D2530" s="67" t="s">
        <v>8175</v>
      </c>
      <c r="E2530" s="96" t="s">
        <v>62</v>
      </c>
      <c r="F2530" s="29" t="s">
        <v>61</v>
      </c>
      <c r="G2530" s="29"/>
      <c r="H2530" s="103">
        <f>_xlfn.XLOOKUP(B2530,GM!$Q$5:$Q$756,GM!$J$5:$J$756)</f>
        <v>44889</v>
      </c>
    </row>
    <row r="2531" spans="1:8" hidden="1" x14ac:dyDescent="0.35">
      <c r="A2531" s="29" t="s">
        <v>22</v>
      </c>
      <c r="B2531" s="29" t="str">
        <f t="shared" si="39"/>
        <v>RET-20</v>
      </c>
      <c r="C2531" s="29" t="s">
        <v>8176</v>
      </c>
      <c r="D2531" s="67" t="s">
        <v>8177</v>
      </c>
      <c r="E2531" s="96" t="s">
        <v>62</v>
      </c>
      <c r="F2531" s="29" t="s">
        <v>61</v>
      </c>
      <c r="G2531" s="29"/>
      <c r="H2531" s="103">
        <f>_xlfn.XLOOKUP(B2531,GM!$Q$5:$Q$756,GM!$J$5:$J$756)</f>
        <v>44889</v>
      </c>
    </row>
    <row r="2532" spans="1:8" hidden="1" x14ac:dyDescent="0.35">
      <c r="A2532" s="29" t="s">
        <v>22</v>
      </c>
      <c r="B2532" s="29" t="str">
        <f t="shared" si="39"/>
        <v>RET-20</v>
      </c>
      <c r="C2532" s="29" t="s">
        <v>8178</v>
      </c>
      <c r="D2532" s="67" t="s">
        <v>8179</v>
      </c>
      <c r="E2532" s="96" t="s">
        <v>62</v>
      </c>
      <c r="F2532" s="29" t="s">
        <v>61</v>
      </c>
      <c r="G2532" s="29"/>
      <c r="H2532" s="103">
        <f>_xlfn.XLOOKUP(B2532,GM!$Q$5:$Q$756,GM!$J$5:$J$756)</f>
        <v>44889</v>
      </c>
    </row>
    <row r="2533" spans="1:8" hidden="1" x14ac:dyDescent="0.35">
      <c r="A2533" s="29" t="s">
        <v>22</v>
      </c>
      <c r="B2533" s="29" t="str">
        <f t="shared" si="39"/>
        <v>RET-20</v>
      </c>
      <c r="C2533" s="29" t="s">
        <v>8180</v>
      </c>
      <c r="D2533" s="67" t="s">
        <v>8181</v>
      </c>
      <c r="E2533" s="96" t="s">
        <v>62</v>
      </c>
      <c r="F2533" s="29" t="s">
        <v>61</v>
      </c>
      <c r="G2533" s="29"/>
      <c r="H2533" s="103">
        <f>_xlfn.XLOOKUP(B2533,GM!$Q$5:$Q$756,GM!$J$5:$J$756)</f>
        <v>44889</v>
      </c>
    </row>
    <row r="2534" spans="1:8" hidden="1" x14ac:dyDescent="0.35">
      <c r="A2534" s="29" t="s">
        <v>22</v>
      </c>
      <c r="B2534" s="29" t="str">
        <f t="shared" si="39"/>
        <v>RET-20</v>
      </c>
      <c r="C2534" s="29" t="s">
        <v>8182</v>
      </c>
      <c r="D2534" s="67" t="s">
        <v>8183</v>
      </c>
      <c r="E2534" s="96" t="s">
        <v>62</v>
      </c>
      <c r="F2534" s="29" t="s">
        <v>61</v>
      </c>
      <c r="G2534" s="29"/>
      <c r="H2534" s="103">
        <f>_xlfn.XLOOKUP(B2534,GM!$Q$5:$Q$756,GM!$J$5:$J$756)</f>
        <v>44889</v>
      </c>
    </row>
    <row r="2535" spans="1:8" hidden="1" x14ac:dyDescent="0.35">
      <c r="A2535" s="29" t="s">
        <v>22</v>
      </c>
      <c r="B2535" s="29" t="str">
        <f t="shared" si="39"/>
        <v>RET-20</v>
      </c>
      <c r="C2535" s="29" t="s">
        <v>8184</v>
      </c>
      <c r="D2535" s="67" t="s">
        <v>8185</v>
      </c>
      <c r="E2535" s="96" t="s">
        <v>62</v>
      </c>
      <c r="F2535" s="29" t="s">
        <v>61</v>
      </c>
      <c r="G2535" s="29"/>
      <c r="H2535" s="103">
        <f>_xlfn.XLOOKUP(B2535,GM!$Q$5:$Q$756,GM!$J$5:$J$756)</f>
        <v>44889</v>
      </c>
    </row>
    <row r="2536" spans="1:8" hidden="1" x14ac:dyDescent="0.35">
      <c r="A2536" s="29" t="s">
        <v>22</v>
      </c>
      <c r="B2536" s="29" t="str">
        <f t="shared" si="39"/>
        <v>RET-21</v>
      </c>
      <c r="C2536" s="29" t="s">
        <v>8186</v>
      </c>
      <c r="D2536" s="67" t="s">
        <v>8187</v>
      </c>
      <c r="E2536" s="96" t="s">
        <v>62</v>
      </c>
      <c r="F2536" s="29" t="s">
        <v>61</v>
      </c>
      <c r="G2536" s="29"/>
      <c r="H2536" s="103">
        <f>_xlfn.XLOOKUP(B2536,GM!$Q$5:$Q$756,GM!$J$5:$J$756)</f>
        <v>45645</v>
      </c>
    </row>
    <row r="2537" spans="1:8" hidden="1" x14ac:dyDescent="0.35">
      <c r="A2537" s="29" t="s">
        <v>22</v>
      </c>
      <c r="B2537" s="29" t="str">
        <f t="shared" si="39"/>
        <v>RET-21</v>
      </c>
      <c r="C2537" s="29" t="s">
        <v>8188</v>
      </c>
      <c r="D2537" s="67" t="s">
        <v>8189</v>
      </c>
      <c r="E2537" s="96" t="s">
        <v>62</v>
      </c>
      <c r="F2537" s="29" t="s">
        <v>61</v>
      </c>
      <c r="G2537" s="29"/>
      <c r="H2537" s="103">
        <f>_xlfn.XLOOKUP(B2537,GM!$Q$5:$Q$756,GM!$J$5:$J$756)</f>
        <v>45645</v>
      </c>
    </row>
    <row r="2538" spans="1:8" hidden="1" x14ac:dyDescent="0.35">
      <c r="A2538" s="29" t="s">
        <v>22</v>
      </c>
      <c r="B2538" s="29" t="str">
        <f t="shared" si="39"/>
        <v>RET-21</v>
      </c>
      <c r="C2538" s="29" t="s">
        <v>8190</v>
      </c>
      <c r="D2538" s="67" t="s">
        <v>8191</v>
      </c>
      <c r="E2538" s="96" t="s">
        <v>62</v>
      </c>
      <c r="F2538" s="29" t="s">
        <v>61</v>
      </c>
      <c r="G2538" s="29"/>
      <c r="H2538" s="103">
        <f>_xlfn.XLOOKUP(B2538,GM!$Q$5:$Q$756,GM!$J$5:$J$756)</f>
        <v>45645</v>
      </c>
    </row>
    <row r="2539" spans="1:8" hidden="1" x14ac:dyDescent="0.35">
      <c r="A2539" s="29" t="s">
        <v>22</v>
      </c>
      <c r="B2539" s="29" t="str">
        <f t="shared" si="39"/>
        <v>RET-21</v>
      </c>
      <c r="C2539" s="29" t="s">
        <v>8192</v>
      </c>
      <c r="D2539" s="67" t="s">
        <v>8193</v>
      </c>
      <c r="E2539" s="96" t="s">
        <v>62</v>
      </c>
      <c r="F2539" s="29" t="s">
        <v>61</v>
      </c>
      <c r="G2539" s="29"/>
      <c r="H2539" s="103">
        <f>_xlfn.XLOOKUP(B2539,GM!$Q$5:$Q$756,GM!$J$5:$J$756)</f>
        <v>45645</v>
      </c>
    </row>
    <row r="2540" spans="1:8" hidden="1" x14ac:dyDescent="0.35">
      <c r="A2540" s="29" t="s">
        <v>22</v>
      </c>
      <c r="B2540" s="29" t="str">
        <f t="shared" si="39"/>
        <v>RET-21</v>
      </c>
      <c r="C2540" s="29" t="s">
        <v>8194</v>
      </c>
      <c r="D2540" s="67" t="s">
        <v>8195</v>
      </c>
      <c r="E2540" s="96" t="s">
        <v>62</v>
      </c>
      <c r="F2540" s="29" t="s">
        <v>61</v>
      </c>
      <c r="G2540" s="29"/>
      <c r="H2540" s="103">
        <f>_xlfn.XLOOKUP(B2540,GM!$Q$5:$Q$756,GM!$J$5:$J$756)</f>
        <v>45645</v>
      </c>
    </row>
    <row r="2541" spans="1:8" hidden="1" x14ac:dyDescent="0.35">
      <c r="A2541" s="29" t="s">
        <v>22</v>
      </c>
      <c r="B2541" s="29" t="str">
        <f t="shared" si="39"/>
        <v>RET-21</v>
      </c>
      <c r="C2541" s="29" t="s">
        <v>8196</v>
      </c>
      <c r="D2541" s="67" t="s">
        <v>8197</v>
      </c>
      <c r="E2541" s="96" t="s">
        <v>62</v>
      </c>
      <c r="F2541" s="29" t="s">
        <v>61</v>
      </c>
      <c r="G2541" s="29"/>
      <c r="H2541" s="103">
        <f>_xlfn.XLOOKUP(B2541,GM!$Q$5:$Q$756,GM!$J$5:$J$756)</f>
        <v>45645</v>
      </c>
    </row>
    <row r="2542" spans="1:8" hidden="1" x14ac:dyDescent="0.35">
      <c r="A2542" s="29" t="s">
        <v>22</v>
      </c>
      <c r="B2542" s="29" t="str">
        <f t="shared" si="39"/>
        <v>RET-22</v>
      </c>
      <c r="C2542" s="29" t="s">
        <v>8198</v>
      </c>
      <c r="D2542" s="67" t="s">
        <v>8199</v>
      </c>
      <c r="E2542" s="96" t="s">
        <v>62</v>
      </c>
      <c r="F2542" s="29" t="s">
        <v>61</v>
      </c>
      <c r="G2542" s="29" t="s">
        <v>371</v>
      </c>
      <c r="H2542" s="103">
        <f>_xlfn.XLOOKUP(B2542,GM!$Q$5:$Q$756,GM!$J$5:$J$756)</f>
        <v>44739</v>
      </c>
    </row>
    <row r="2543" spans="1:8" hidden="1" x14ac:dyDescent="0.35">
      <c r="A2543" s="29" t="s">
        <v>22</v>
      </c>
      <c r="B2543" s="29" t="str">
        <f t="shared" si="39"/>
        <v>RET-23</v>
      </c>
      <c r="C2543" s="29" t="s">
        <v>8200</v>
      </c>
      <c r="D2543" s="67" t="s">
        <v>8201</v>
      </c>
      <c r="E2543" s="96" t="s">
        <v>62</v>
      </c>
      <c r="F2543" s="29" t="s">
        <v>61</v>
      </c>
      <c r="G2543" s="29" t="s">
        <v>371</v>
      </c>
      <c r="H2543" s="103">
        <f>_xlfn.XLOOKUP(B2543,GM!$Q$5:$Q$756,GM!$J$5:$J$756)</f>
        <v>44739</v>
      </c>
    </row>
    <row r="2544" spans="1:8" hidden="1" x14ac:dyDescent="0.35">
      <c r="A2544" s="29" t="s">
        <v>22</v>
      </c>
      <c r="B2544" s="29" t="str">
        <f t="shared" si="39"/>
        <v>RET-24</v>
      </c>
      <c r="C2544" s="29" t="s">
        <v>8202</v>
      </c>
      <c r="D2544" s="67" t="s">
        <v>8203</v>
      </c>
      <c r="E2544" s="96" t="s">
        <v>62</v>
      </c>
      <c r="F2544" s="29" t="s">
        <v>61</v>
      </c>
      <c r="G2544" s="29" t="s">
        <v>371</v>
      </c>
      <c r="H2544" s="103">
        <f>_xlfn.XLOOKUP(B2544,GM!$Q$5:$Q$756,GM!$J$5:$J$756)</f>
        <v>44739</v>
      </c>
    </row>
    <row r="2545" spans="1:8" hidden="1" x14ac:dyDescent="0.35">
      <c r="A2545" s="29" t="s">
        <v>22</v>
      </c>
      <c r="B2545" s="29" t="str">
        <f t="shared" si="39"/>
        <v>RET-25</v>
      </c>
      <c r="C2545" s="29" t="s">
        <v>8204</v>
      </c>
      <c r="D2545" s="67" t="s">
        <v>8205</v>
      </c>
      <c r="E2545" s="96" t="s">
        <v>62</v>
      </c>
      <c r="F2545" s="29" t="s">
        <v>61</v>
      </c>
      <c r="G2545" s="29"/>
      <c r="H2545" s="103">
        <f>_xlfn.XLOOKUP(B2545,GM!$Q$5:$Q$756,GM!$J$5:$J$756)</f>
        <v>46009</v>
      </c>
    </row>
    <row r="2546" spans="1:8" hidden="1" x14ac:dyDescent="0.35">
      <c r="A2546" s="29" t="s">
        <v>22</v>
      </c>
      <c r="B2546" s="29" t="str">
        <f t="shared" si="39"/>
        <v>RET-25</v>
      </c>
      <c r="C2546" s="29" t="s">
        <v>8206</v>
      </c>
      <c r="D2546" s="67" t="s">
        <v>8207</v>
      </c>
      <c r="E2546" s="96" t="s">
        <v>62</v>
      </c>
      <c r="F2546" s="29" t="s">
        <v>61</v>
      </c>
      <c r="G2546" s="29"/>
      <c r="H2546" s="103">
        <f>_xlfn.XLOOKUP(B2546,GM!$Q$5:$Q$756,GM!$J$5:$J$756)</f>
        <v>46009</v>
      </c>
    </row>
    <row r="2547" spans="1:8" hidden="1" x14ac:dyDescent="0.35">
      <c r="A2547" s="29" t="s">
        <v>22</v>
      </c>
      <c r="B2547" s="29" t="str">
        <f t="shared" si="39"/>
        <v>RET-26</v>
      </c>
      <c r="C2547" s="29" t="s">
        <v>8208</v>
      </c>
      <c r="D2547" s="67" t="s">
        <v>8209</v>
      </c>
      <c r="E2547" s="96" t="s">
        <v>62</v>
      </c>
      <c r="F2547" s="29" t="s">
        <v>61</v>
      </c>
      <c r="G2547" s="29" t="s">
        <v>371</v>
      </c>
      <c r="H2547" s="103">
        <f>_xlfn.XLOOKUP(B2547,GM!$Q$5:$Q$756,GM!$J$5:$J$756)</f>
        <v>44739</v>
      </c>
    </row>
    <row r="2548" spans="1:8" hidden="1" x14ac:dyDescent="0.35">
      <c r="A2548" s="29" t="s">
        <v>22</v>
      </c>
      <c r="B2548" s="29" t="str">
        <f t="shared" si="39"/>
        <v>RET-27</v>
      </c>
      <c r="C2548" s="29" t="s">
        <v>8210</v>
      </c>
      <c r="D2548" s="67" t="s">
        <v>8211</v>
      </c>
      <c r="E2548" s="96" t="s">
        <v>62</v>
      </c>
      <c r="F2548" s="29" t="s">
        <v>61</v>
      </c>
      <c r="G2548" s="29" t="s">
        <v>371</v>
      </c>
      <c r="H2548" s="103">
        <f>_xlfn.XLOOKUP(B2548,GM!$Q$5:$Q$756,GM!$J$5:$J$756)</f>
        <v>44739</v>
      </c>
    </row>
    <row r="2549" spans="1:8" hidden="1" x14ac:dyDescent="0.35">
      <c r="A2549" s="29" t="s">
        <v>22</v>
      </c>
      <c r="B2549" s="29" t="str">
        <f t="shared" si="39"/>
        <v>RET-28</v>
      </c>
      <c r="C2549" s="29" t="s">
        <v>8212</v>
      </c>
      <c r="D2549" s="67" t="s">
        <v>8213</v>
      </c>
      <c r="E2549" s="96" t="s">
        <v>62</v>
      </c>
      <c r="F2549" s="29" t="s">
        <v>61</v>
      </c>
      <c r="G2549" s="29"/>
      <c r="H2549" s="103">
        <f>_xlfn.XLOOKUP(B2549,GM!$Q$5:$Q$756,GM!$J$5:$J$756)</f>
        <v>45202</v>
      </c>
    </row>
    <row r="2550" spans="1:8" hidden="1" x14ac:dyDescent="0.35">
      <c r="A2550" s="29" t="s">
        <v>22</v>
      </c>
      <c r="B2550" s="29" t="str">
        <f t="shared" si="39"/>
        <v>RET-29</v>
      </c>
      <c r="C2550" s="29" t="s">
        <v>8214</v>
      </c>
      <c r="D2550" s="67" t="s">
        <v>8215</v>
      </c>
      <c r="E2550" s="96" t="s">
        <v>62</v>
      </c>
      <c r="F2550" s="29" t="s">
        <v>61</v>
      </c>
      <c r="G2550" s="29"/>
      <c r="H2550" s="103">
        <f>_xlfn.XLOOKUP(B2550,GM!$Q$5:$Q$756,GM!$J$5:$J$756)</f>
        <v>45202</v>
      </c>
    </row>
    <row r="2551" spans="1:8" hidden="1" x14ac:dyDescent="0.35">
      <c r="A2551" s="29" t="s">
        <v>22</v>
      </c>
      <c r="B2551" s="29" t="str">
        <f t="shared" si="39"/>
        <v>RET-30</v>
      </c>
      <c r="C2551" s="29" t="s">
        <v>8216</v>
      </c>
      <c r="D2551" s="67" t="s">
        <v>8217</v>
      </c>
      <c r="E2551" s="96" t="s">
        <v>62</v>
      </c>
      <c r="F2551" s="29" t="s">
        <v>61</v>
      </c>
      <c r="G2551" s="29"/>
      <c r="H2551" s="103">
        <f>_xlfn.XLOOKUP(B2551,GM!$Q$5:$Q$756,GM!$J$5:$J$756)</f>
        <v>44838</v>
      </c>
    </row>
    <row r="2552" spans="1:8" hidden="1" x14ac:dyDescent="0.35">
      <c r="A2552" s="29" t="s">
        <v>22</v>
      </c>
      <c r="B2552" s="29" t="str">
        <f t="shared" si="39"/>
        <v>RET-30</v>
      </c>
      <c r="C2552" s="29" t="s">
        <v>8218</v>
      </c>
      <c r="D2552" s="67" t="s">
        <v>8219</v>
      </c>
      <c r="E2552" s="96" t="s">
        <v>62</v>
      </c>
      <c r="F2552" s="29" t="s">
        <v>61</v>
      </c>
      <c r="G2552" s="29"/>
      <c r="H2552" s="103">
        <f>_xlfn.XLOOKUP(B2552,GM!$Q$5:$Q$756,GM!$J$5:$J$756)</f>
        <v>44838</v>
      </c>
    </row>
    <row r="2553" spans="1:8" hidden="1" x14ac:dyDescent="0.35">
      <c r="A2553" s="29" t="s">
        <v>22</v>
      </c>
      <c r="B2553" s="29" t="str">
        <f t="shared" si="39"/>
        <v>RET-33</v>
      </c>
      <c r="C2553" s="29" t="s">
        <v>8220</v>
      </c>
      <c r="D2553" s="67" t="s">
        <v>8221</v>
      </c>
      <c r="E2553" s="96" t="s">
        <v>62</v>
      </c>
      <c r="F2553" s="29" t="s">
        <v>61</v>
      </c>
      <c r="G2553" s="29" t="s">
        <v>371</v>
      </c>
      <c r="H2553" s="103" t="e">
        <f>_xlfn.XLOOKUP(B2553,GM!$Q$5:$Q$756,GM!$J$5:$J$756)</f>
        <v>#N/A</v>
      </c>
    </row>
    <row r="2554" spans="1:8" hidden="1" x14ac:dyDescent="0.35">
      <c r="A2554" s="29" t="s">
        <v>22</v>
      </c>
      <c r="B2554" s="29" t="str">
        <f t="shared" si="39"/>
        <v>RET-40</v>
      </c>
      <c r="C2554" s="29" t="s">
        <v>8222</v>
      </c>
      <c r="D2554" s="67" t="s">
        <v>8223</v>
      </c>
      <c r="E2554" s="96" t="s">
        <v>62</v>
      </c>
      <c r="F2554" s="29" t="s">
        <v>61</v>
      </c>
      <c r="G2554" s="29"/>
      <c r="H2554" s="103">
        <f>_xlfn.XLOOKUP(B2554,GM!$Q$5:$Q$756,GM!$J$5:$J$756)</f>
        <v>45202</v>
      </c>
    </row>
    <row r="2555" spans="1:8" hidden="1" x14ac:dyDescent="0.35">
      <c r="A2555" s="29" t="s">
        <v>22</v>
      </c>
      <c r="B2555" s="29" t="str">
        <f t="shared" si="39"/>
        <v>RET-40</v>
      </c>
      <c r="C2555" s="29" t="s">
        <v>8224</v>
      </c>
      <c r="D2555" s="67" t="s">
        <v>8225</v>
      </c>
      <c r="E2555" s="96" t="s">
        <v>62</v>
      </c>
      <c r="F2555" s="29" t="s">
        <v>61</v>
      </c>
      <c r="G2555" s="29"/>
      <c r="H2555" s="103">
        <f>_xlfn.XLOOKUP(B2555,GM!$Q$5:$Q$756,GM!$J$5:$J$756)</f>
        <v>45202</v>
      </c>
    </row>
    <row r="2556" spans="1:8" hidden="1" x14ac:dyDescent="0.35">
      <c r="A2556" s="29" t="s">
        <v>22</v>
      </c>
      <c r="B2556" s="29" t="str">
        <f t="shared" si="39"/>
        <v>RET-41</v>
      </c>
      <c r="C2556" s="29" t="s">
        <v>8226</v>
      </c>
      <c r="D2556" s="67" t="s">
        <v>8227</v>
      </c>
      <c r="E2556" s="96" t="s">
        <v>62</v>
      </c>
      <c r="F2556" s="29" t="s">
        <v>61</v>
      </c>
      <c r="G2556" s="29"/>
      <c r="H2556" s="103">
        <f>_xlfn.XLOOKUP(B2556,GM!$Q$5:$Q$756,GM!$J$5:$J$756)</f>
        <v>45202</v>
      </c>
    </row>
    <row r="2557" spans="1:8" hidden="1" x14ac:dyDescent="0.35">
      <c r="A2557" s="29" t="s">
        <v>22</v>
      </c>
      <c r="B2557" s="29" t="str">
        <f t="shared" si="39"/>
        <v>RET-41</v>
      </c>
      <c r="C2557" s="29" t="s">
        <v>8228</v>
      </c>
      <c r="D2557" s="67" t="s">
        <v>8229</v>
      </c>
      <c r="E2557" s="96" t="s">
        <v>62</v>
      </c>
      <c r="F2557" s="29" t="s">
        <v>61</v>
      </c>
      <c r="G2557" s="29"/>
      <c r="H2557" s="103">
        <f>_xlfn.XLOOKUP(B2557,GM!$Q$5:$Q$756,GM!$J$5:$J$756)</f>
        <v>45202</v>
      </c>
    </row>
    <row r="2558" spans="1:8" hidden="1" x14ac:dyDescent="0.35">
      <c r="A2558" s="29" t="s">
        <v>22</v>
      </c>
      <c r="B2558" s="29" t="str">
        <f t="shared" si="39"/>
        <v>RET-41</v>
      </c>
      <c r="C2558" s="29" t="s">
        <v>8230</v>
      </c>
      <c r="D2558" s="67" t="s">
        <v>8231</v>
      </c>
      <c r="E2558" s="96" t="s">
        <v>62</v>
      </c>
      <c r="F2558" s="29" t="s">
        <v>61</v>
      </c>
      <c r="G2558" s="29"/>
      <c r="H2558" s="103">
        <f>_xlfn.XLOOKUP(B2558,GM!$Q$5:$Q$756,GM!$J$5:$J$756)</f>
        <v>45202</v>
      </c>
    </row>
    <row r="2559" spans="1:8" hidden="1" x14ac:dyDescent="0.35">
      <c r="A2559" s="29" t="s">
        <v>22</v>
      </c>
      <c r="B2559" s="29" t="str">
        <f t="shared" si="39"/>
        <v>RET-58</v>
      </c>
      <c r="C2559" s="29" t="s">
        <v>8232</v>
      </c>
      <c r="D2559" s="67" t="s">
        <v>8233</v>
      </c>
      <c r="E2559" s="96" t="s">
        <v>62</v>
      </c>
      <c r="F2559" s="29" t="s">
        <v>61</v>
      </c>
      <c r="G2559" s="29" t="s">
        <v>371</v>
      </c>
      <c r="H2559" s="103" t="e">
        <f>_xlfn.XLOOKUP(B2559,GM!$Q$5:$Q$756,GM!$J$5:$J$756)</f>
        <v>#N/A</v>
      </c>
    </row>
    <row r="2560" spans="1:8" hidden="1" x14ac:dyDescent="0.35">
      <c r="A2560" s="29" t="s">
        <v>22</v>
      </c>
      <c r="B2560" s="29" t="str">
        <f t="shared" si="39"/>
        <v>RET-59</v>
      </c>
      <c r="C2560" s="29" t="s">
        <v>8234</v>
      </c>
      <c r="D2560" s="67" t="s">
        <v>8235</v>
      </c>
      <c r="E2560" s="96" t="s">
        <v>62</v>
      </c>
      <c r="F2560" s="29" t="s">
        <v>61</v>
      </c>
      <c r="G2560" s="29"/>
      <c r="H2560" s="103">
        <f>_xlfn.XLOOKUP(B2560,GM!$Q$5:$Q$756,GM!$J$5:$J$756)</f>
        <v>45462</v>
      </c>
    </row>
    <row r="2561" spans="1:8" hidden="1" x14ac:dyDescent="0.35">
      <c r="A2561" s="29" t="s">
        <v>22</v>
      </c>
      <c r="B2561" s="29" t="str">
        <f t="shared" si="39"/>
        <v>RET-59</v>
      </c>
      <c r="C2561" s="29" t="s">
        <v>8236</v>
      </c>
      <c r="D2561" s="67" t="s">
        <v>8237</v>
      </c>
      <c r="E2561" s="96" t="s">
        <v>62</v>
      </c>
      <c r="F2561" s="29" t="s">
        <v>61</v>
      </c>
      <c r="G2561" s="29"/>
      <c r="H2561" s="103">
        <f>_xlfn.XLOOKUP(B2561,GM!$Q$5:$Q$756,GM!$J$5:$J$756)</f>
        <v>45462</v>
      </c>
    </row>
    <row r="2562" spans="1:8" hidden="1" x14ac:dyDescent="0.35">
      <c r="A2562" s="29" t="s">
        <v>22</v>
      </c>
      <c r="B2562" s="29" t="str">
        <f t="shared" si="39"/>
        <v>RET-60</v>
      </c>
      <c r="C2562" s="29" t="s">
        <v>8238</v>
      </c>
      <c r="D2562" s="67" t="s">
        <v>8239</v>
      </c>
      <c r="E2562" s="96" t="s">
        <v>62</v>
      </c>
      <c r="F2562" s="29" t="s">
        <v>61</v>
      </c>
      <c r="G2562" s="29" t="s">
        <v>371</v>
      </c>
      <c r="H2562" s="103">
        <f>_xlfn.XLOOKUP(B2562,GM!$Q$5:$Q$756,GM!$J$5:$J$756)</f>
        <v>44819</v>
      </c>
    </row>
    <row r="2563" spans="1:8" hidden="1" x14ac:dyDescent="0.35">
      <c r="A2563" s="29" t="s">
        <v>22</v>
      </c>
      <c r="B2563" s="29" t="str">
        <f t="shared" si="39"/>
        <v>RET-61</v>
      </c>
      <c r="C2563" s="29" t="s">
        <v>8240</v>
      </c>
      <c r="D2563" s="67" t="s">
        <v>8241</v>
      </c>
      <c r="E2563" s="96" t="s">
        <v>62</v>
      </c>
      <c r="F2563" s="29" t="s">
        <v>61</v>
      </c>
      <c r="G2563" s="29"/>
      <c r="H2563" s="103">
        <f>_xlfn.XLOOKUP(B2563,GM!$Q$5:$Q$756,GM!$J$5:$J$756)</f>
        <v>44926</v>
      </c>
    </row>
    <row r="2564" spans="1:8" hidden="1" x14ac:dyDescent="0.35">
      <c r="A2564" s="29" t="s">
        <v>22</v>
      </c>
      <c r="B2564" s="29" t="str">
        <f t="shared" si="39"/>
        <v>RET-62</v>
      </c>
      <c r="C2564" s="29" t="s">
        <v>8242</v>
      </c>
      <c r="D2564" s="67" t="s">
        <v>8243</v>
      </c>
      <c r="E2564" s="96" t="s">
        <v>62</v>
      </c>
      <c r="F2564" s="29" t="s">
        <v>61</v>
      </c>
      <c r="G2564" s="29"/>
      <c r="H2564" s="103">
        <f>_xlfn.XLOOKUP(B2564,GM!$Q$5:$Q$756,GM!$J$5:$J$756)</f>
        <v>44926</v>
      </c>
    </row>
    <row r="2565" spans="1:8" hidden="1" x14ac:dyDescent="0.35">
      <c r="A2565" s="29" t="s">
        <v>22</v>
      </c>
      <c r="B2565" s="29" t="str">
        <f t="shared" ref="B2565:B2628" si="40">IF(OR(A2565="ARN",A2565="SDP"),MID(C2565,4,7),MID(C2565,4,6))</f>
        <v>RET-64</v>
      </c>
      <c r="C2565" s="29" t="s">
        <v>8244</v>
      </c>
      <c r="D2565" s="67" t="s">
        <v>8245</v>
      </c>
      <c r="E2565" s="96" t="s">
        <v>62</v>
      </c>
      <c r="F2565" s="29" t="s">
        <v>61</v>
      </c>
      <c r="G2565" s="29"/>
      <c r="H2565" s="103" t="e">
        <f>_xlfn.XLOOKUP(B2565,GM!$Q$5:$Q$756,GM!$J$5:$J$756)</f>
        <v>#N/A</v>
      </c>
    </row>
    <row r="2566" spans="1:8" hidden="1" x14ac:dyDescent="0.35">
      <c r="A2566" s="29" t="s">
        <v>22</v>
      </c>
      <c r="B2566" s="29" t="str">
        <f t="shared" si="40"/>
        <v>RET-65</v>
      </c>
      <c r="C2566" s="29" t="s">
        <v>8246</v>
      </c>
      <c r="D2566" s="67" t="s">
        <v>8247</v>
      </c>
      <c r="E2566" s="96" t="s">
        <v>62</v>
      </c>
      <c r="F2566" s="29" t="s">
        <v>61</v>
      </c>
      <c r="G2566" s="29"/>
      <c r="H2566" s="103">
        <f>_xlfn.XLOOKUP(B2566,GM!$Q$5:$Q$756,GM!$J$5:$J$756)</f>
        <v>45202</v>
      </c>
    </row>
    <row r="2567" spans="1:8" hidden="1" x14ac:dyDescent="0.35">
      <c r="A2567" s="29" t="s">
        <v>22</v>
      </c>
      <c r="B2567" s="29" t="str">
        <f t="shared" si="40"/>
        <v>RET-66</v>
      </c>
      <c r="C2567" s="29" t="s">
        <v>8248</v>
      </c>
      <c r="D2567" s="67" t="s">
        <v>8249</v>
      </c>
      <c r="E2567" s="96" t="s">
        <v>62</v>
      </c>
      <c r="F2567" s="29" t="s">
        <v>61</v>
      </c>
      <c r="G2567" s="29"/>
      <c r="H2567" s="103" t="e">
        <f>_xlfn.XLOOKUP(B2567,GM!$Q$5:$Q$756,GM!$J$5:$J$756)</f>
        <v>#N/A</v>
      </c>
    </row>
    <row r="2568" spans="1:8" hidden="1" x14ac:dyDescent="0.35">
      <c r="A2568" s="29" t="s">
        <v>22</v>
      </c>
      <c r="B2568" s="29" t="str">
        <f t="shared" si="40"/>
        <v>RET-67</v>
      </c>
      <c r="C2568" s="29" t="s">
        <v>8250</v>
      </c>
      <c r="D2568" s="67" t="s">
        <v>8251</v>
      </c>
      <c r="E2568" s="96" t="s">
        <v>62</v>
      </c>
      <c r="F2568" s="29" t="s">
        <v>61</v>
      </c>
      <c r="G2568" s="29"/>
      <c r="H2568" s="103" t="e">
        <f>_xlfn.XLOOKUP(B2568,GM!$Q$5:$Q$756,GM!$J$5:$J$756)</f>
        <v>#N/A</v>
      </c>
    </row>
    <row r="2569" spans="1:8" hidden="1" x14ac:dyDescent="0.35">
      <c r="A2569" s="29" t="s">
        <v>22</v>
      </c>
      <c r="B2569" s="29" t="str">
        <f t="shared" si="40"/>
        <v>RET-68</v>
      </c>
      <c r="C2569" s="29" t="s">
        <v>8252</v>
      </c>
      <c r="D2569" s="67" t="s">
        <v>8253</v>
      </c>
      <c r="E2569" s="96" t="s">
        <v>62</v>
      </c>
      <c r="F2569" s="29" t="s">
        <v>61</v>
      </c>
      <c r="G2569" s="29"/>
      <c r="H2569" s="103" t="e">
        <f>_xlfn.XLOOKUP(B2569,GM!$Q$5:$Q$756,GM!$J$5:$J$756)</f>
        <v>#N/A</v>
      </c>
    </row>
    <row r="2570" spans="1:8" hidden="1" x14ac:dyDescent="0.35">
      <c r="A2570" s="29" t="s">
        <v>20</v>
      </c>
      <c r="B2570" s="29" t="str">
        <f t="shared" si="40"/>
        <v>ROS-00</v>
      </c>
      <c r="C2570" s="29" t="s">
        <v>8254</v>
      </c>
      <c r="D2570" s="67" t="s">
        <v>8255</v>
      </c>
      <c r="E2570" s="96" t="s">
        <v>62</v>
      </c>
      <c r="F2570" s="29" t="s">
        <v>61</v>
      </c>
      <c r="G2570" s="29"/>
      <c r="H2570" s="103">
        <f>_xlfn.XLOOKUP(B2570,GM!$Q$5:$Q$756,GM!$J$5:$J$756)</f>
        <v>45202</v>
      </c>
    </row>
    <row r="2571" spans="1:8" hidden="1" x14ac:dyDescent="0.35">
      <c r="A2571" s="29" t="s">
        <v>20</v>
      </c>
      <c r="B2571" s="29" t="str">
        <f t="shared" si="40"/>
        <v>ROS-00</v>
      </c>
      <c r="C2571" s="29" t="s">
        <v>8256</v>
      </c>
      <c r="D2571" s="67" t="s">
        <v>8257</v>
      </c>
      <c r="E2571" s="96" t="s">
        <v>62</v>
      </c>
      <c r="F2571" s="29" t="s">
        <v>61</v>
      </c>
      <c r="G2571" s="29"/>
      <c r="H2571" s="103">
        <f>_xlfn.XLOOKUP(B2571,GM!$Q$5:$Q$756,GM!$J$5:$J$756)</f>
        <v>45202</v>
      </c>
    </row>
    <row r="2572" spans="1:8" hidden="1" x14ac:dyDescent="0.35">
      <c r="A2572" s="29" t="s">
        <v>20</v>
      </c>
      <c r="B2572" s="29" t="str">
        <f t="shared" si="40"/>
        <v>ROS-00</v>
      </c>
      <c r="C2572" s="29" t="s">
        <v>8258</v>
      </c>
      <c r="D2572" s="67" t="s">
        <v>8259</v>
      </c>
      <c r="E2572" s="96" t="s">
        <v>62</v>
      </c>
      <c r="F2572" s="29" t="s">
        <v>61</v>
      </c>
      <c r="G2572" s="29"/>
      <c r="H2572" s="103">
        <f>_xlfn.XLOOKUP(B2572,GM!$Q$5:$Q$756,GM!$J$5:$J$756)</f>
        <v>45202</v>
      </c>
    </row>
    <row r="2573" spans="1:8" hidden="1" x14ac:dyDescent="0.35">
      <c r="A2573" s="29" t="s">
        <v>20</v>
      </c>
      <c r="B2573" s="29" t="str">
        <f t="shared" si="40"/>
        <v>ROS-00</v>
      </c>
      <c r="C2573" s="29" t="s">
        <v>8260</v>
      </c>
      <c r="D2573" s="67" t="s">
        <v>8261</v>
      </c>
      <c r="E2573" s="96" t="s">
        <v>62</v>
      </c>
      <c r="F2573" s="29" t="s">
        <v>61</v>
      </c>
      <c r="G2573" s="29"/>
      <c r="H2573" s="103">
        <f>_xlfn.XLOOKUP(B2573,GM!$Q$5:$Q$756,GM!$J$5:$J$756)</f>
        <v>45202</v>
      </c>
    </row>
    <row r="2574" spans="1:8" hidden="1" x14ac:dyDescent="0.35">
      <c r="A2574" s="29" t="s">
        <v>20</v>
      </c>
      <c r="B2574" s="29" t="str">
        <f t="shared" si="40"/>
        <v>ROS-00</v>
      </c>
      <c r="C2574" s="29" t="s">
        <v>8262</v>
      </c>
      <c r="D2574" s="67" t="s">
        <v>8263</v>
      </c>
      <c r="E2574" s="96" t="s">
        <v>62</v>
      </c>
      <c r="F2574" s="29" t="s">
        <v>61</v>
      </c>
      <c r="G2574" s="29"/>
      <c r="H2574" s="103">
        <f>_xlfn.XLOOKUP(B2574,GM!$Q$5:$Q$756,GM!$J$5:$J$756)</f>
        <v>45202</v>
      </c>
    </row>
    <row r="2575" spans="1:8" hidden="1" x14ac:dyDescent="0.35">
      <c r="A2575" s="29" t="s">
        <v>20</v>
      </c>
      <c r="B2575" s="29" t="str">
        <f t="shared" si="40"/>
        <v>ROS-00</v>
      </c>
      <c r="C2575" s="29" t="s">
        <v>8264</v>
      </c>
      <c r="D2575" s="67" t="s">
        <v>8265</v>
      </c>
      <c r="E2575" s="96" t="s">
        <v>62</v>
      </c>
      <c r="F2575" s="29" t="s">
        <v>61</v>
      </c>
      <c r="G2575" s="29"/>
      <c r="H2575" s="103">
        <f>_xlfn.XLOOKUP(B2575,GM!$Q$5:$Q$756,GM!$J$5:$J$756)</f>
        <v>45202</v>
      </c>
    </row>
    <row r="2576" spans="1:8" hidden="1" x14ac:dyDescent="0.35">
      <c r="A2576" s="29" t="s">
        <v>20</v>
      </c>
      <c r="B2576" s="29" t="str">
        <f t="shared" si="40"/>
        <v>ROS-00</v>
      </c>
      <c r="C2576" s="29" t="s">
        <v>8266</v>
      </c>
      <c r="D2576" s="67" t="s">
        <v>8267</v>
      </c>
      <c r="E2576" s="96" t="s">
        <v>62</v>
      </c>
      <c r="F2576" s="29" t="s">
        <v>61</v>
      </c>
      <c r="G2576" s="29"/>
      <c r="H2576" s="103">
        <f>_xlfn.XLOOKUP(B2576,GM!$Q$5:$Q$756,GM!$J$5:$J$756)</f>
        <v>45202</v>
      </c>
    </row>
    <row r="2577" spans="1:8" hidden="1" x14ac:dyDescent="0.35">
      <c r="A2577" s="29" t="s">
        <v>20</v>
      </c>
      <c r="B2577" s="29" t="str">
        <f t="shared" si="40"/>
        <v>ROS-00</v>
      </c>
      <c r="C2577" s="29" t="s">
        <v>8268</v>
      </c>
      <c r="D2577" s="67" t="s">
        <v>8269</v>
      </c>
      <c r="E2577" s="96" t="s">
        <v>62</v>
      </c>
      <c r="F2577" s="29" t="s">
        <v>61</v>
      </c>
      <c r="G2577" s="29"/>
      <c r="H2577" s="103">
        <f>_xlfn.XLOOKUP(B2577,GM!$Q$5:$Q$756,GM!$J$5:$J$756)</f>
        <v>45202</v>
      </c>
    </row>
    <row r="2578" spans="1:8" hidden="1" x14ac:dyDescent="0.35">
      <c r="A2578" s="29" t="s">
        <v>20</v>
      </c>
      <c r="B2578" s="29" t="str">
        <f t="shared" si="40"/>
        <v>ROS-00</v>
      </c>
      <c r="C2578" s="29" t="s">
        <v>8270</v>
      </c>
      <c r="D2578" s="67" t="s">
        <v>8271</v>
      </c>
      <c r="E2578" s="96" t="s">
        <v>62</v>
      </c>
      <c r="F2578" s="29" t="s">
        <v>61</v>
      </c>
      <c r="G2578" s="29"/>
      <c r="H2578" s="103">
        <f>_xlfn.XLOOKUP(B2578,GM!$Q$5:$Q$756,GM!$J$5:$J$756)</f>
        <v>45202</v>
      </c>
    </row>
    <row r="2579" spans="1:8" hidden="1" x14ac:dyDescent="0.35">
      <c r="A2579" s="29" t="s">
        <v>20</v>
      </c>
      <c r="B2579" s="29" t="str">
        <f t="shared" si="40"/>
        <v>ROS-01</v>
      </c>
      <c r="C2579" s="29" t="s">
        <v>8272</v>
      </c>
      <c r="D2579" s="67" t="s">
        <v>8273</v>
      </c>
      <c r="E2579" s="96" t="s">
        <v>62</v>
      </c>
      <c r="F2579" s="29" t="s">
        <v>61</v>
      </c>
      <c r="G2579" s="29"/>
      <c r="H2579" s="103">
        <f>_xlfn.XLOOKUP(B2579,GM!$Q$5:$Q$756,GM!$J$5:$J$756)</f>
        <v>44739</v>
      </c>
    </row>
    <row r="2580" spans="1:8" hidden="1" x14ac:dyDescent="0.35">
      <c r="A2580" s="29" t="s">
        <v>20</v>
      </c>
      <c r="B2580" s="29" t="str">
        <f t="shared" si="40"/>
        <v>ROS-01</v>
      </c>
      <c r="C2580" s="29" t="s">
        <v>8274</v>
      </c>
      <c r="D2580" s="67" t="s">
        <v>8275</v>
      </c>
      <c r="E2580" s="96" t="s">
        <v>62</v>
      </c>
      <c r="F2580" s="29" t="s">
        <v>61</v>
      </c>
      <c r="G2580" s="29"/>
      <c r="H2580" s="103">
        <f>_xlfn.XLOOKUP(B2580,GM!$Q$5:$Q$756,GM!$J$5:$J$756)</f>
        <v>44739</v>
      </c>
    </row>
    <row r="2581" spans="1:8" hidden="1" x14ac:dyDescent="0.35">
      <c r="A2581" s="29" t="s">
        <v>20</v>
      </c>
      <c r="B2581" s="29" t="str">
        <f t="shared" si="40"/>
        <v>ROS-01</v>
      </c>
      <c r="C2581" s="29" t="s">
        <v>8276</v>
      </c>
      <c r="D2581" s="67" t="s">
        <v>8277</v>
      </c>
      <c r="E2581" s="96" t="s">
        <v>62</v>
      </c>
      <c r="F2581" s="29" t="s">
        <v>61</v>
      </c>
      <c r="G2581" s="29"/>
      <c r="H2581" s="103">
        <f>_xlfn.XLOOKUP(B2581,GM!$Q$5:$Q$756,GM!$J$5:$J$756)</f>
        <v>44739</v>
      </c>
    </row>
    <row r="2582" spans="1:8" hidden="1" x14ac:dyDescent="0.35">
      <c r="A2582" s="29" t="s">
        <v>20</v>
      </c>
      <c r="B2582" s="29" t="str">
        <f t="shared" si="40"/>
        <v>ROS-01</v>
      </c>
      <c r="C2582" s="29" t="s">
        <v>8278</v>
      </c>
      <c r="D2582" s="67" t="s">
        <v>8279</v>
      </c>
      <c r="E2582" s="96" t="s">
        <v>62</v>
      </c>
      <c r="F2582" s="29" t="s">
        <v>61</v>
      </c>
      <c r="G2582" s="29"/>
      <c r="H2582" s="103">
        <f>_xlfn.XLOOKUP(B2582,GM!$Q$5:$Q$756,GM!$J$5:$J$756)</f>
        <v>44739</v>
      </c>
    </row>
    <row r="2583" spans="1:8" hidden="1" x14ac:dyDescent="0.35">
      <c r="A2583" s="29" t="s">
        <v>20</v>
      </c>
      <c r="B2583" s="29" t="str">
        <f t="shared" si="40"/>
        <v>ROS-01</v>
      </c>
      <c r="C2583" s="29" t="s">
        <v>8280</v>
      </c>
      <c r="D2583" s="67" t="s">
        <v>8281</v>
      </c>
      <c r="E2583" s="96" t="s">
        <v>62</v>
      </c>
      <c r="F2583" s="29" t="s">
        <v>61</v>
      </c>
      <c r="G2583" s="29"/>
      <c r="H2583" s="103">
        <f>_xlfn.XLOOKUP(B2583,GM!$Q$5:$Q$756,GM!$J$5:$J$756)</f>
        <v>44739</v>
      </c>
    </row>
    <row r="2584" spans="1:8" hidden="1" x14ac:dyDescent="0.35">
      <c r="A2584" s="29" t="s">
        <v>20</v>
      </c>
      <c r="B2584" s="29" t="str">
        <f t="shared" si="40"/>
        <v>ROS-01</v>
      </c>
      <c r="C2584" s="29" t="s">
        <v>8282</v>
      </c>
      <c r="D2584" s="67" t="s">
        <v>8283</v>
      </c>
      <c r="E2584" s="96" t="s">
        <v>62</v>
      </c>
      <c r="F2584" s="29" t="s">
        <v>61</v>
      </c>
      <c r="G2584" s="29"/>
      <c r="H2584" s="103">
        <f>_xlfn.XLOOKUP(B2584,GM!$Q$5:$Q$756,GM!$J$5:$J$756)</f>
        <v>44739</v>
      </c>
    </row>
    <row r="2585" spans="1:8" hidden="1" x14ac:dyDescent="0.35">
      <c r="A2585" s="29" t="s">
        <v>20</v>
      </c>
      <c r="B2585" s="29" t="str">
        <f t="shared" si="40"/>
        <v>ROS-01</v>
      </c>
      <c r="C2585" s="29" t="s">
        <v>8284</v>
      </c>
      <c r="D2585" s="67" t="s">
        <v>8285</v>
      </c>
      <c r="E2585" s="96" t="s">
        <v>62</v>
      </c>
      <c r="F2585" s="29" t="s">
        <v>61</v>
      </c>
      <c r="G2585" s="29"/>
      <c r="H2585" s="103">
        <f>_xlfn.XLOOKUP(B2585,GM!$Q$5:$Q$756,GM!$J$5:$J$756)</f>
        <v>44739</v>
      </c>
    </row>
    <row r="2586" spans="1:8" hidden="1" x14ac:dyDescent="0.35">
      <c r="A2586" s="29" t="s">
        <v>20</v>
      </c>
      <c r="B2586" s="29" t="str">
        <f t="shared" si="40"/>
        <v>ROS-01</v>
      </c>
      <c r="C2586" s="29" t="s">
        <v>8286</v>
      </c>
      <c r="D2586" s="67" t="s">
        <v>8287</v>
      </c>
      <c r="E2586" s="96" t="s">
        <v>62</v>
      </c>
      <c r="F2586" s="29" t="s">
        <v>61</v>
      </c>
      <c r="G2586" s="29"/>
      <c r="H2586" s="103">
        <f>_xlfn.XLOOKUP(B2586,GM!$Q$5:$Q$756,GM!$J$5:$J$756)</f>
        <v>44739</v>
      </c>
    </row>
    <row r="2587" spans="1:8" hidden="1" x14ac:dyDescent="0.35">
      <c r="A2587" s="29" t="s">
        <v>20</v>
      </c>
      <c r="B2587" s="29" t="str">
        <f t="shared" si="40"/>
        <v>ROS-01</v>
      </c>
      <c r="C2587" s="29" t="s">
        <v>8288</v>
      </c>
      <c r="D2587" s="67" t="s">
        <v>8289</v>
      </c>
      <c r="E2587" s="96" t="s">
        <v>62</v>
      </c>
      <c r="F2587" s="29" t="s">
        <v>61</v>
      </c>
      <c r="G2587" s="29"/>
      <c r="H2587" s="103">
        <f>_xlfn.XLOOKUP(B2587,GM!$Q$5:$Q$756,GM!$J$5:$J$756)</f>
        <v>44739</v>
      </c>
    </row>
    <row r="2588" spans="1:8" hidden="1" x14ac:dyDescent="0.35">
      <c r="A2588" s="29" t="s">
        <v>20</v>
      </c>
      <c r="B2588" s="29" t="str">
        <f t="shared" si="40"/>
        <v>ROS-01</v>
      </c>
      <c r="C2588" s="29" t="s">
        <v>8290</v>
      </c>
      <c r="D2588" s="67" t="s">
        <v>8291</v>
      </c>
      <c r="E2588" s="96" t="s">
        <v>62</v>
      </c>
      <c r="F2588" s="29" t="s">
        <v>61</v>
      </c>
      <c r="G2588" s="29"/>
      <c r="H2588" s="103">
        <f>_xlfn.XLOOKUP(B2588,GM!$Q$5:$Q$756,GM!$J$5:$J$756)</f>
        <v>44739</v>
      </c>
    </row>
    <row r="2589" spans="1:8" hidden="1" x14ac:dyDescent="0.35">
      <c r="A2589" s="29" t="s">
        <v>20</v>
      </c>
      <c r="B2589" s="29" t="str">
        <f t="shared" si="40"/>
        <v>ROS-01</v>
      </c>
      <c r="C2589" s="29" t="s">
        <v>8292</v>
      </c>
      <c r="D2589" s="67" t="s">
        <v>8293</v>
      </c>
      <c r="E2589" s="96" t="s">
        <v>62</v>
      </c>
      <c r="F2589" s="29" t="s">
        <v>61</v>
      </c>
      <c r="G2589" s="29"/>
      <c r="H2589" s="103">
        <f>_xlfn.XLOOKUP(B2589,GM!$Q$5:$Q$756,GM!$J$5:$J$756)</f>
        <v>44739</v>
      </c>
    </row>
    <row r="2590" spans="1:8" hidden="1" x14ac:dyDescent="0.35">
      <c r="A2590" s="29" t="s">
        <v>20</v>
      </c>
      <c r="B2590" s="29" t="str">
        <f t="shared" si="40"/>
        <v>ROS-01</v>
      </c>
      <c r="C2590" s="29" t="s">
        <v>8294</v>
      </c>
      <c r="D2590" s="67" t="s">
        <v>8295</v>
      </c>
      <c r="E2590" s="96" t="s">
        <v>62</v>
      </c>
      <c r="F2590" s="29" t="s">
        <v>61</v>
      </c>
      <c r="G2590" s="29"/>
      <c r="H2590" s="103">
        <f>_xlfn.XLOOKUP(B2590,GM!$Q$5:$Q$756,GM!$J$5:$J$756)</f>
        <v>44739</v>
      </c>
    </row>
    <row r="2591" spans="1:8" hidden="1" x14ac:dyDescent="0.35">
      <c r="A2591" s="29" t="s">
        <v>20</v>
      </c>
      <c r="B2591" s="29" t="str">
        <f t="shared" si="40"/>
        <v>ROS-01</v>
      </c>
      <c r="C2591" s="29" t="s">
        <v>8296</v>
      </c>
      <c r="D2591" s="67" t="s">
        <v>8297</v>
      </c>
      <c r="E2591" s="96" t="s">
        <v>62</v>
      </c>
      <c r="F2591" s="29" t="s">
        <v>61</v>
      </c>
      <c r="G2591" s="29"/>
      <c r="H2591" s="103">
        <f>_xlfn.XLOOKUP(B2591,GM!$Q$5:$Q$756,GM!$J$5:$J$756)</f>
        <v>44739</v>
      </c>
    </row>
    <row r="2592" spans="1:8" hidden="1" x14ac:dyDescent="0.35">
      <c r="A2592" s="29" t="s">
        <v>20</v>
      </c>
      <c r="B2592" s="29" t="str">
        <f t="shared" si="40"/>
        <v>ROS-01</v>
      </c>
      <c r="C2592" s="29" t="s">
        <v>8298</v>
      </c>
      <c r="D2592" s="67" t="s">
        <v>8299</v>
      </c>
      <c r="E2592" s="96" t="s">
        <v>62</v>
      </c>
      <c r="F2592" s="29" t="s">
        <v>61</v>
      </c>
      <c r="G2592" s="29"/>
      <c r="H2592" s="103">
        <f>_xlfn.XLOOKUP(B2592,GM!$Q$5:$Q$756,GM!$J$5:$J$756)</f>
        <v>44739</v>
      </c>
    </row>
    <row r="2593" spans="1:8" hidden="1" x14ac:dyDescent="0.35">
      <c r="A2593" s="29" t="s">
        <v>20</v>
      </c>
      <c r="B2593" s="29" t="str">
        <f t="shared" si="40"/>
        <v>ROS-01</v>
      </c>
      <c r="C2593" s="29" t="s">
        <v>8300</v>
      </c>
      <c r="D2593" s="67" t="s">
        <v>8301</v>
      </c>
      <c r="E2593" s="96" t="s">
        <v>62</v>
      </c>
      <c r="F2593" s="29" t="s">
        <v>61</v>
      </c>
      <c r="G2593" s="29"/>
      <c r="H2593" s="103">
        <f>_xlfn.XLOOKUP(B2593,GM!$Q$5:$Q$756,GM!$J$5:$J$756)</f>
        <v>44739</v>
      </c>
    </row>
    <row r="2594" spans="1:8" hidden="1" x14ac:dyDescent="0.35">
      <c r="A2594" s="29" t="s">
        <v>20</v>
      </c>
      <c r="B2594" s="29" t="str">
        <f t="shared" si="40"/>
        <v>ROS-01</v>
      </c>
      <c r="C2594" s="29" t="s">
        <v>8302</v>
      </c>
      <c r="D2594" s="67" t="s">
        <v>8303</v>
      </c>
      <c r="E2594" s="96" t="s">
        <v>62</v>
      </c>
      <c r="F2594" s="29" t="s">
        <v>61</v>
      </c>
      <c r="G2594" s="29"/>
      <c r="H2594" s="103">
        <f>_xlfn.XLOOKUP(B2594,GM!$Q$5:$Q$756,GM!$J$5:$J$756)</f>
        <v>44739</v>
      </c>
    </row>
    <row r="2595" spans="1:8" hidden="1" x14ac:dyDescent="0.35">
      <c r="A2595" s="29" t="s">
        <v>20</v>
      </c>
      <c r="B2595" s="29" t="str">
        <f t="shared" si="40"/>
        <v>ROS-01</v>
      </c>
      <c r="C2595" s="29" t="s">
        <v>8304</v>
      </c>
      <c r="D2595" s="67" t="s">
        <v>8305</v>
      </c>
      <c r="E2595" s="96" t="s">
        <v>62</v>
      </c>
      <c r="F2595" s="29" t="s">
        <v>61</v>
      </c>
      <c r="G2595" s="29"/>
      <c r="H2595" s="103">
        <f>_xlfn.XLOOKUP(B2595,GM!$Q$5:$Q$756,GM!$J$5:$J$756)</f>
        <v>44739</v>
      </c>
    </row>
    <row r="2596" spans="1:8" hidden="1" x14ac:dyDescent="0.35">
      <c r="A2596" s="29" t="s">
        <v>20</v>
      </c>
      <c r="B2596" s="29" t="str">
        <f t="shared" si="40"/>
        <v>ROS-01</v>
      </c>
      <c r="C2596" s="29" t="s">
        <v>8306</v>
      </c>
      <c r="D2596" s="67" t="s">
        <v>8307</v>
      </c>
      <c r="E2596" s="96" t="s">
        <v>62</v>
      </c>
      <c r="F2596" s="29" t="s">
        <v>61</v>
      </c>
      <c r="G2596" s="29"/>
      <c r="H2596" s="103">
        <f>_xlfn.XLOOKUP(B2596,GM!$Q$5:$Q$756,GM!$J$5:$J$756)</f>
        <v>44739</v>
      </c>
    </row>
    <row r="2597" spans="1:8" hidden="1" x14ac:dyDescent="0.35">
      <c r="A2597" s="29" t="s">
        <v>20</v>
      </c>
      <c r="B2597" s="29" t="str">
        <f t="shared" si="40"/>
        <v>ROS-01</v>
      </c>
      <c r="C2597" s="29" t="s">
        <v>8308</v>
      </c>
      <c r="D2597" s="67" t="s">
        <v>8309</v>
      </c>
      <c r="E2597" s="96" t="s">
        <v>62</v>
      </c>
      <c r="F2597" s="29" t="s">
        <v>61</v>
      </c>
      <c r="G2597" s="29"/>
      <c r="H2597" s="103">
        <f>_xlfn.XLOOKUP(B2597,GM!$Q$5:$Q$756,GM!$J$5:$J$756)</f>
        <v>44739</v>
      </c>
    </row>
    <row r="2598" spans="1:8" hidden="1" x14ac:dyDescent="0.35">
      <c r="A2598" s="29" t="s">
        <v>20</v>
      </c>
      <c r="B2598" s="29" t="str">
        <f t="shared" si="40"/>
        <v>ROS-01</v>
      </c>
      <c r="C2598" s="29" t="s">
        <v>8310</v>
      </c>
      <c r="D2598" s="67" t="s">
        <v>8311</v>
      </c>
      <c r="E2598" s="96" t="s">
        <v>62</v>
      </c>
      <c r="F2598" s="29" t="s">
        <v>61</v>
      </c>
      <c r="G2598" s="29"/>
      <c r="H2598" s="103">
        <f>_xlfn.XLOOKUP(B2598,GM!$Q$5:$Q$756,GM!$J$5:$J$756)</f>
        <v>44739</v>
      </c>
    </row>
    <row r="2599" spans="1:8" hidden="1" x14ac:dyDescent="0.35">
      <c r="A2599" s="29" t="s">
        <v>20</v>
      </c>
      <c r="B2599" s="29" t="str">
        <f t="shared" si="40"/>
        <v>ROS-01</v>
      </c>
      <c r="C2599" s="29" t="s">
        <v>8312</v>
      </c>
      <c r="D2599" s="67" t="s">
        <v>8313</v>
      </c>
      <c r="E2599" s="96" t="s">
        <v>62</v>
      </c>
      <c r="F2599" s="29" t="s">
        <v>61</v>
      </c>
      <c r="G2599" s="29"/>
      <c r="H2599" s="103">
        <f>_xlfn.XLOOKUP(B2599,GM!$Q$5:$Q$756,GM!$J$5:$J$756)</f>
        <v>44739</v>
      </c>
    </row>
    <row r="2600" spans="1:8" hidden="1" x14ac:dyDescent="0.35">
      <c r="A2600" s="29" t="s">
        <v>20</v>
      </c>
      <c r="B2600" s="29" t="str">
        <f t="shared" si="40"/>
        <v>ROS-01</v>
      </c>
      <c r="C2600" s="29" t="s">
        <v>8314</v>
      </c>
      <c r="D2600" s="67" t="s">
        <v>8315</v>
      </c>
      <c r="E2600" s="96" t="s">
        <v>62</v>
      </c>
      <c r="F2600" s="29" t="s">
        <v>61</v>
      </c>
      <c r="G2600" s="29"/>
      <c r="H2600" s="103">
        <f>_xlfn.XLOOKUP(B2600,GM!$Q$5:$Q$756,GM!$J$5:$J$756)</f>
        <v>44739</v>
      </c>
    </row>
    <row r="2601" spans="1:8" hidden="1" x14ac:dyDescent="0.35">
      <c r="A2601" s="29" t="s">
        <v>20</v>
      </c>
      <c r="B2601" s="29" t="str">
        <f t="shared" si="40"/>
        <v>ROS-01</v>
      </c>
      <c r="C2601" s="29" t="s">
        <v>8316</v>
      </c>
      <c r="D2601" s="67" t="s">
        <v>8317</v>
      </c>
      <c r="E2601" s="96" t="s">
        <v>62</v>
      </c>
      <c r="F2601" s="29" t="s">
        <v>61</v>
      </c>
      <c r="G2601" s="29"/>
      <c r="H2601" s="103">
        <f>_xlfn.XLOOKUP(B2601,GM!$Q$5:$Q$756,GM!$J$5:$J$756)</f>
        <v>44739</v>
      </c>
    </row>
    <row r="2602" spans="1:8" hidden="1" x14ac:dyDescent="0.35">
      <c r="A2602" s="29" t="s">
        <v>20</v>
      </c>
      <c r="B2602" s="29" t="str">
        <f t="shared" si="40"/>
        <v>ROS-01</v>
      </c>
      <c r="C2602" s="29" t="s">
        <v>8318</v>
      </c>
      <c r="D2602" s="67" t="s">
        <v>8319</v>
      </c>
      <c r="E2602" s="96" t="s">
        <v>62</v>
      </c>
      <c r="F2602" s="29" t="s">
        <v>61</v>
      </c>
      <c r="G2602" s="29"/>
      <c r="H2602" s="103">
        <f>_xlfn.XLOOKUP(B2602,GM!$Q$5:$Q$756,GM!$J$5:$J$756)</f>
        <v>44739</v>
      </c>
    </row>
    <row r="2603" spans="1:8" hidden="1" x14ac:dyDescent="0.35">
      <c r="A2603" s="29" t="s">
        <v>20</v>
      </c>
      <c r="B2603" s="29" t="str">
        <f t="shared" si="40"/>
        <v>ROS-01</v>
      </c>
      <c r="C2603" s="29" t="s">
        <v>8320</v>
      </c>
      <c r="D2603" s="67" t="s">
        <v>8321</v>
      </c>
      <c r="E2603" s="96" t="s">
        <v>62</v>
      </c>
      <c r="F2603" s="29" t="s">
        <v>61</v>
      </c>
      <c r="G2603" s="29"/>
      <c r="H2603" s="103">
        <f>_xlfn.XLOOKUP(B2603,GM!$Q$5:$Q$756,GM!$J$5:$J$756)</f>
        <v>44739</v>
      </c>
    </row>
    <row r="2604" spans="1:8" hidden="1" x14ac:dyDescent="0.35">
      <c r="A2604" s="29" t="s">
        <v>20</v>
      </c>
      <c r="B2604" s="29" t="str">
        <f t="shared" si="40"/>
        <v>ROS-01</v>
      </c>
      <c r="C2604" s="29" t="s">
        <v>8322</v>
      </c>
      <c r="D2604" s="67" t="s">
        <v>8323</v>
      </c>
      <c r="E2604" s="96" t="s">
        <v>62</v>
      </c>
      <c r="F2604" s="29" t="s">
        <v>61</v>
      </c>
      <c r="G2604" s="29"/>
      <c r="H2604" s="103">
        <f>_xlfn.XLOOKUP(B2604,GM!$Q$5:$Q$756,GM!$J$5:$J$756)</f>
        <v>44739</v>
      </c>
    </row>
    <row r="2605" spans="1:8" hidden="1" x14ac:dyDescent="0.35">
      <c r="A2605" s="29" t="s">
        <v>20</v>
      </c>
      <c r="B2605" s="29" t="str">
        <f t="shared" si="40"/>
        <v>ROS-01</v>
      </c>
      <c r="C2605" s="29" t="s">
        <v>8324</v>
      </c>
      <c r="D2605" s="67" t="s">
        <v>8325</v>
      </c>
      <c r="E2605" s="96" t="s">
        <v>62</v>
      </c>
      <c r="F2605" s="29" t="s">
        <v>61</v>
      </c>
      <c r="G2605" s="29"/>
      <c r="H2605" s="103">
        <f>_xlfn.XLOOKUP(B2605,GM!$Q$5:$Q$756,GM!$J$5:$J$756)</f>
        <v>44739</v>
      </c>
    </row>
    <row r="2606" spans="1:8" hidden="1" x14ac:dyDescent="0.35">
      <c r="A2606" s="29" t="s">
        <v>20</v>
      </c>
      <c r="B2606" s="29" t="str">
        <f t="shared" si="40"/>
        <v>ROS-02</v>
      </c>
      <c r="C2606" s="29" t="s">
        <v>8326</v>
      </c>
      <c r="D2606" s="67" t="s">
        <v>8327</v>
      </c>
      <c r="E2606" s="96" t="s">
        <v>62</v>
      </c>
      <c r="F2606" s="29" t="s">
        <v>61</v>
      </c>
      <c r="G2606" s="29"/>
      <c r="H2606" s="103">
        <f>_xlfn.XLOOKUP(B2606,GM!$Q$5:$Q$756,GM!$J$5:$J$756)</f>
        <v>44739</v>
      </c>
    </row>
    <row r="2607" spans="1:8" hidden="1" x14ac:dyDescent="0.35">
      <c r="A2607" s="29" t="s">
        <v>20</v>
      </c>
      <c r="B2607" s="29" t="str">
        <f t="shared" si="40"/>
        <v>ROS-02</v>
      </c>
      <c r="C2607" s="29" t="s">
        <v>8328</v>
      </c>
      <c r="D2607" s="67" t="s">
        <v>8329</v>
      </c>
      <c r="E2607" s="96" t="s">
        <v>62</v>
      </c>
      <c r="F2607" s="29" t="s">
        <v>61</v>
      </c>
      <c r="G2607" s="29"/>
      <c r="H2607" s="103">
        <f>_xlfn.XLOOKUP(B2607,GM!$Q$5:$Q$756,GM!$J$5:$J$756)</f>
        <v>44739</v>
      </c>
    </row>
    <row r="2608" spans="1:8" hidden="1" x14ac:dyDescent="0.35">
      <c r="A2608" s="29" t="s">
        <v>20</v>
      </c>
      <c r="B2608" s="29" t="str">
        <f t="shared" si="40"/>
        <v>ROS-02</v>
      </c>
      <c r="C2608" s="29" t="s">
        <v>8330</v>
      </c>
      <c r="D2608" s="67" t="s">
        <v>8331</v>
      </c>
      <c r="E2608" s="96" t="s">
        <v>62</v>
      </c>
      <c r="F2608" s="29" t="s">
        <v>61</v>
      </c>
      <c r="G2608" s="29"/>
      <c r="H2608" s="103">
        <f>_xlfn.XLOOKUP(B2608,GM!$Q$5:$Q$756,GM!$J$5:$J$756)</f>
        <v>44739</v>
      </c>
    </row>
    <row r="2609" spans="1:8" hidden="1" x14ac:dyDescent="0.35">
      <c r="A2609" s="29" t="s">
        <v>20</v>
      </c>
      <c r="B2609" s="29" t="str">
        <f t="shared" si="40"/>
        <v>ROS-02</v>
      </c>
      <c r="C2609" s="29" t="s">
        <v>8332</v>
      </c>
      <c r="D2609" s="67" t="s">
        <v>8333</v>
      </c>
      <c r="E2609" s="96" t="s">
        <v>62</v>
      </c>
      <c r="F2609" s="29" t="s">
        <v>61</v>
      </c>
      <c r="G2609" s="29"/>
      <c r="H2609" s="103">
        <f>_xlfn.XLOOKUP(B2609,GM!$Q$5:$Q$756,GM!$J$5:$J$756)</f>
        <v>44739</v>
      </c>
    </row>
    <row r="2610" spans="1:8" hidden="1" x14ac:dyDescent="0.35">
      <c r="A2610" s="29" t="s">
        <v>20</v>
      </c>
      <c r="B2610" s="29" t="str">
        <f t="shared" si="40"/>
        <v>ROS-02</v>
      </c>
      <c r="C2610" s="29" t="s">
        <v>8334</v>
      </c>
      <c r="D2610" s="67" t="s">
        <v>8335</v>
      </c>
      <c r="E2610" s="96" t="s">
        <v>62</v>
      </c>
      <c r="F2610" s="29" t="s">
        <v>61</v>
      </c>
      <c r="G2610" s="29"/>
      <c r="H2610" s="103">
        <f>_xlfn.XLOOKUP(B2610,GM!$Q$5:$Q$756,GM!$J$5:$J$756)</f>
        <v>44739</v>
      </c>
    </row>
    <row r="2611" spans="1:8" hidden="1" x14ac:dyDescent="0.35">
      <c r="A2611" s="29" t="s">
        <v>20</v>
      </c>
      <c r="B2611" s="29" t="str">
        <f t="shared" si="40"/>
        <v>ROS-02</v>
      </c>
      <c r="C2611" s="29" t="s">
        <v>8336</v>
      </c>
      <c r="D2611" s="67" t="s">
        <v>8337</v>
      </c>
      <c r="E2611" s="96" t="s">
        <v>62</v>
      </c>
      <c r="F2611" s="29" t="s">
        <v>61</v>
      </c>
      <c r="G2611" s="29"/>
      <c r="H2611" s="103">
        <f>_xlfn.XLOOKUP(B2611,GM!$Q$5:$Q$756,GM!$J$5:$J$756)</f>
        <v>44739</v>
      </c>
    </row>
    <row r="2612" spans="1:8" hidden="1" x14ac:dyDescent="0.35">
      <c r="A2612" s="29" t="s">
        <v>20</v>
      </c>
      <c r="B2612" s="29" t="str">
        <f t="shared" si="40"/>
        <v>ROS-02</v>
      </c>
      <c r="C2612" s="29" t="s">
        <v>8338</v>
      </c>
      <c r="D2612" s="67" t="s">
        <v>8339</v>
      </c>
      <c r="E2612" s="96" t="s">
        <v>62</v>
      </c>
      <c r="F2612" s="29" t="s">
        <v>61</v>
      </c>
      <c r="G2612" s="29"/>
      <c r="H2612" s="103">
        <f>_xlfn.XLOOKUP(B2612,GM!$Q$5:$Q$756,GM!$J$5:$J$756)</f>
        <v>44739</v>
      </c>
    </row>
    <row r="2613" spans="1:8" hidden="1" x14ac:dyDescent="0.35">
      <c r="A2613" s="29" t="s">
        <v>20</v>
      </c>
      <c r="B2613" s="29" t="str">
        <f t="shared" si="40"/>
        <v>ROS-02</v>
      </c>
      <c r="C2613" s="29" t="s">
        <v>8340</v>
      </c>
      <c r="D2613" s="67" t="s">
        <v>8341</v>
      </c>
      <c r="E2613" s="96" t="s">
        <v>62</v>
      </c>
      <c r="F2613" s="29" t="s">
        <v>61</v>
      </c>
      <c r="G2613" s="29"/>
      <c r="H2613" s="103">
        <f>_xlfn.XLOOKUP(B2613,GM!$Q$5:$Q$756,GM!$J$5:$J$756)</f>
        <v>44739</v>
      </c>
    </row>
    <row r="2614" spans="1:8" hidden="1" x14ac:dyDescent="0.35">
      <c r="A2614" s="29" t="s">
        <v>20</v>
      </c>
      <c r="B2614" s="29" t="str">
        <f t="shared" si="40"/>
        <v>ROS-02</v>
      </c>
      <c r="C2614" s="29" t="s">
        <v>8342</v>
      </c>
      <c r="D2614" s="67" t="s">
        <v>8343</v>
      </c>
      <c r="E2614" s="96" t="s">
        <v>62</v>
      </c>
      <c r="F2614" s="29" t="s">
        <v>61</v>
      </c>
      <c r="G2614" s="29"/>
      <c r="H2614" s="103">
        <f>_xlfn.XLOOKUP(B2614,GM!$Q$5:$Q$756,GM!$J$5:$J$756)</f>
        <v>44739</v>
      </c>
    </row>
    <row r="2615" spans="1:8" hidden="1" x14ac:dyDescent="0.35">
      <c r="A2615" s="29" t="s">
        <v>20</v>
      </c>
      <c r="B2615" s="29" t="str">
        <f t="shared" si="40"/>
        <v>ROS-02</v>
      </c>
      <c r="C2615" s="29" t="s">
        <v>8344</v>
      </c>
      <c r="D2615" s="67" t="s">
        <v>8345</v>
      </c>
      <c r="E2615" s="96" t="s">
        <v>62</v>
      </c>
      <c r="F2615" s="29" t="s">
        <v>61</v>
      </c>
      <c r="G2615" s="29"/>
      <c r="H2615" s="103">
        <f>_xlfn.XLOOKUP(B2615,GM!$Q$5:$Q$756,GM!$J$5:$J$756)</f>
        <v>44739</v>
      </c>
    </row>
    <row r="2616" spans="1:8" hidden="1" x14ac:dyDescent="0.35">
      <c r="A2616" s="29" t="s">
        <v>20</v>
      </c>
      <c r="B2616" s="29" t="str">
        <f t="shared" si="40"/>
        <v>ROS-02</v>
      </c>
      <c r="C2616" s="29" t="s">
        <v>8346</v>
      </c>
      <c r="D2616" s="67" t="s">
        <v>8347</v>
      </c>
      <c r="E2616" s="96" t="s">
        <v>62</v>
      </c>
      <c r="F2616" s="29" t="s">
        <v>61</v>
      </c>
      <c r="G2616" s="29"/>
      <c r="H2616" s="103">
        <f>_xlfn.XLOOKUP(B2616,GM!$Q$5:$Q$756,GM!$J$5:$J$756)</f>
        <v>44739</v>
      </c>
    </row>
    <row r="2617" spans="1:8" hidden="1" x14ac:dyDescent="0.35">
      <c r="A2617" s="29" t="s">
        <v>20</v>
      </c>
      <c r="B2617" s="29" t="str">
        <f t="shared" si="40"/>
        <v>ROS-02</v>
      </c>
      <c r="C2617" s="29" t="s">
        <v>8348</v>
      </c>
      <c r="D2617" s="67" t="s">
        <v>8349</v>
      </c>
      <c r="E2617" s="96" t="s">
        <v>62</v>
      </c>
      <c r="F2617" s="29" t="s">
        <v>61</v>
      </c>
      <c r="G2617" s="29"/>
      <c r="H2617" s="103">
        <f>_xlfn.XLOOKUP(B2617,GM!$Q$5:$Q$756,GM!$J$5:$J$756)</f>
        <v>44739</v>
      </c>
    </row>
    <row r="2618" spans="1:8" hidden="1" x14ac:dyDescent="0.35">
      <c r="A2618" s="29" t="s">
        <v>20</v>
      </c>
      <c r="B2618" s="29" t="str">
        <f t="shared" si="40"/>
        <v>ROS-02</v>
      </c>
      <c r="C2618" s="29" t="s">
        <v>8350</v>
      </c>
      <c r="D2618" s="67" t="s">
        <v>8351</v>
      </c>
      <c r="E2618" s="96" t="s">
        <v>62</v>
      </c>
      <c r="F2618" s="29" t="s">
        <v>61</v>
      </c>
      <c r="G2618" s="29"/>
      <c r="H2618" s="103">
        <f>_xlfn.XLOOKUP(B2618,GM!$Q$5:$Q$756,GM!$J$5:$J$756)</f>
        <v>44739</v>
      </c>
    </row>
    <row r="2619" spans="1:8" hidden="1" x14ac:dyDescent="0.35">
      <c r="A2619" s="29" t="s">
        <v>20</v>
      </c>
      <c r="B2619" s="29" t="str">
        <f t="shared" si="40"/>
        <v>ROS-02</v>
      </c>
      <c r="C2619" s="29" t="s">
        <v>8352</v>
      </c>
      <c r="D2619" s="67" t="s">
        <v>8353</v>
      </c>
      <c r="E2619" s="96" t="s">
        <v>62</v>
      </c>
      <c r="F2619" s="29" t="s">
        <v>61</v>
      </c>
      <c r="G2619" s="29"/>
      <c r="H2619" s="103">
        <f>_xlfn.XLOOKUP(B2619,GM!$Q$5:$Q$756,GM!$J$5:$J$756)</f>
        <v>44739</v>
      </c>
    </row>
    <row r="2620" spans="1:8" hidden="1" x14ac:dyDescent="0.35">
      <c r="A2620" s="29" t="s">
        <v>20</v>
      </c>
      <c r="B2620" s="29" t="str">
        <f t="shared" si="40"/>
        <v>ROS-02</v>
      </c>
      <c r="C2620" s="29" t="s">
        <v>8354</v>
      </c>
      <c r="D2620" s="67" t="s">
        <v>8355</v>
      </c>
      <c r="E2620" s="96" t="s">
        <v>62</v>
      </c>
      <c r="F2620" s="29" t="s">
        <v>61</v>
      </c>
      <c r="G2620" s="29"/>
      <c r="H2620" s="103">
        <f>_xlfn.XLOOKUP(B2620,GM!$Q$5:$Q$756,GM!$J$5:$J$756)</f>
        <v>44739</v>
      </c>
    </row>
    <row r="2621" spans="1:8" hidden="1" x14ac:dyDescent="0.35">
      <c r="A2621" s="29" t="s">
        <v>20</v>
      </c>
      <c r="B2621" s="29" t="str">
        <f t="shared" si="40"/>
        <v>ROS-02</v>
      </c>
      <c r="C2621" s="29" t="s">
        <v>8356</v>
      </c>
      <c r="D2621" s="67" t="s">
        <v>8357</v>
      </c>
      <c r="E2621" s="96" t="s">
        <v>62</v>
      </c>
      <c r="F2621" s="29" t="s">
        <v>61</v>
      </c>
      <c r="G2621" s="29"/>
      <c r="H2621" s="103">
        <f>_xlfn.XLOOKUP(B2621,GM!$Q$5:$Q$756,GM!$J$5:$J$756)</f>
        <v>44739</v>
      </c>
    </row>
    <row r="2622" spans="1:8" hidden="1" x14ac:dyDescent="0.35">
      <c r="A2622" s="29" t="s">
        <v>20</v>
      </c>
      <c r="B2622" s="29" t="str">
        <f t="shared" si="40"/>
        <v>ROS-02</v>
      </c>
      <c r="C2622" s="29" t="s">
        <v>8358</v>
      </c>
      <c r="D2622" s="67" t="s">
        <v>8359</v>
      </c>
      <c r="E2622" s="96" t="s">
        <v>62</v>
      </c>
      <c r="F2622" s="29" t="s">
        <v>61</v>
      </c>
      <c r="G2622" s="29"/>
      <c r="H2622" s="103">
        <f>_xlfn.XLOOKUP(B2622,GM!$Q$5:$Q$756,GM!$J$5:$J$756)</f>
        <v>44739</v>
      </c>
    </row>
    <row r="2623" spans="1:8" hidden="1" x14ac:dyDescent="0.35">
      <c r="A2623" s="29" t="s">
        <v>20</v>
      </c>
      <c r="B2623" s="29" t="str">
        <f t="shared" si="40"/>
        <v>ROS-02</v>
      </c>
      <c r="C2623" s="29" t="s">
        <v>8360</v>
      </c>
      <c r="D2623" s="67" t="s">
        <v>8361</v>
      </c>
      <c r="E2623" s="96" t="s">
        <v>62</v>
      </c>
      <c r="F2623" s="29" t="s">
        <v>61</v>
      </c>
      <c r="G2623" s="29"/>
      <c r="H2623" s="103">
        <f>_xlfn.XLOOKUP(B2623,GM!$Q$5:$Q$756,GM!$J$5:$J$756)</f>
        <v>44739</v>
      </c>
    </row>
    <row r="2624" spans="1:8" hidden="1" x14ac:dyDescent="0.35">
      <c r="A2624" s="29" t="s">
        <v>20</v>
      </c>
      <c r="B2624" s="29" t="str">
        <f t="shared" si="40"/>
        <v>ROS-02</v>
      </c>
      <c r="C2624" s="29" t="s">
        <v>8362</v>
      </c>
      <c r="D2624" s="67" t="s">
        <v>8363</v>
      </c>
      <c r="E2624" s="96" t="s">
        <v>62</v>
      </c>
      <c r="F2624" s="29" t="s">
        <v>61</v>
      </c>
      <c r="G2624" s="29"/>
      <c r="H2624" s="103">
        <f>_xlfn.XLOOKUP(B2624,GM!$Q$5:$Q$756,GM!$J$5:$J$756)</f>
        <v>44739</v>
      </c>
    </row>
    <row r="2625" spans="1:8" hidden="1" x14ac:dyDescent="0.35">
      <c r="A2625" s="29" t="s">
        <v>20</v>
      </c>
      <c r="B2625" s="29" t="str">
        <f t="shared" si="40"/>
        <v>ROS-02</v>
      </c>
      <c r="C2625" s="29" t="s">
        <v>8364</v>
      </c>
      <c r="D2625" s="67" t="s">
        <v>8365</v>
      </c>
      <c r="E2625" s="96" t="s">
        <v>62</v>
      </c>
      <c r="F2625" s="29" t="s">
        <v>61</v>
      </c>
      <c r="G2625" s="29"/>
      <c r="H2625" s="103">
        <f>_xlfn.XLOOKUP(B2625,GM!$Q$5:$Q$756,GM!$J$5:$J$756)</f>
        <v>44739</v>
      </c>
    </row>
    <row r="2626" spans="1:8" hidden="1" x14ac:dyDescent="0.35">
      <c r="A2626" s="29" t="s">
        <v>20</v>
      </c>
      <c r="B2626" s="29" t="str">
        <f t="shared" si="40"/>
        <v>ROS-02</v>
      </c>
      <c r="C2626" s="29" t="s">
        <v>8366</v>
      </c>
      <c r="D2626" s="67" t="s">
        <v>8367</v>
      </c>
      <c r="E2626" s="96" t="s">
        <v>62</v>
      </c>
      <c r="F2626" s="29" t="s">
        <v>61</v>
      </c>
      <c r="G2626" s="29"/>
      <c r="H2626" s="103">
        <f>_xlfn.XLOOKUP(B2626,GM!$Q$5:$Q$756,GM!$J$5:$J$756)</f>
        <v>44739</v>
      </c>
    </row>
    <row r="2627" spans="1:8" hidden="1" x14ac:dyDescent="0.35">
      <c r="A2627" s="29" t="s">
        <v>20</v>
      </c>
      <c r="B2627" s="29" t="str">
        <f t="shared" si="40"/>
        <v>ROS-02</v>
      </c>
      <c r="C2627" s="29" t="s">
        <v>8368</v>
      </c>
      <c r="D2627" s="67" t="s">
        <v>8369</v>
      </c>
      <c r="E2627" s="96" t="s">
        <v>62</v>
      </c>
      <c r="F2627" s="29" t="s">
        <v>61</v>
      </c>
      <c r="G2627" s="29"/>
      <c r="H2627" s="103">
        <f>_xlfn.XLOOKUP(B2627,GM!$Q$5:$Q$756,GM!$J$5:$J$756)</f>
        <v>44739</v>
      </c>
    </row>
    <row r="2628" spans="1:8" hidden="1" x14ac:dyDescent="0.35">
      <c r="A2628" s="29" t="s">
        <v>20</v>
      </c>
      <c r="B2628" s="29" t="str">
        <f t="shared" si="40"/>
        <v>ROS-02</v>
      </c>
      <c r="C2628" s="29" t="s">
        <v>8370</v>
      </c>
      <c r="D2628" s="67" t="s">
        <v>8371</v>
      </c>
      <c r="E2628" s="96" t="s">
        <v>62</v>
      </c>
      <c r="F2628" s="29" t="s">
        <v>61</v>
      </c>
      <c r="G2628" s="29"/>
      <c r="H2628" s="103">
        <f>_xlfn.XLOOKUP(B2628,GM!$Q$5:$Q$756,GM!$J$5:$J$756)</f>
        <v>44739</v>
      </c>
    </row>
    <row r="2629" spans="1:8" hidden="1" x14ac:dyDescent="0.35">
      <c r="A2629" s="29" t="s">
        <v>20</v>
      </c>
      <c r="B2629" s="29" t="str">
        <f t="shared" ref="B2629:B2692" si="41">IF(OR(A2629="ARN",A2629="SDP"),MID(C2629,4,7),MID(C2629,4,6))</f>
        <v>ROS-02</v>
      </c>
      <c r="C2629" s="29" t="s">
        <v>8372</v>
      </c>
      <c r="D2629" s="67" t="s">
        <v>8373</v>
      </c>
      <c r="E2629" s="96" t="s">
        <v>62</v>
      </c>
      <c r="F2629" s="29" t="s">
        <v>61</v>
      </c>
      <c r="G2629" s="29"/>
      <c r="H2629" s="103">
        <f>_xlfn.XLOOKUP(B2629,GM!$Q$5:$Q$756,GM!$J$5:$J$756)</f>
        <v>44739</v>
      </c>
    </row>
    <row r="2630" spans="1:8" hidden="1" x14ac:dyDescent="0.35">
      <c r="A2630" s="29" t="s">
        <v>20</v>
      </c>
      <c r="B2630" s="29" t="str">
        <f t="shared" si="41"/>
        <v>ROS-02</v>
      </c>
      <c r="C2630" s="29" t="s">
        <v>8374</v>
      </c>
      <c r="D2630" s="67" t="s">
        <v>8375</v>
      </c>
      <c r="E2630" s="96" t="s">
        <v>62</v>
      </c>
      <c r="F2630" s="29" t="s">
        <v>61</v>
      </c>
      <c r="G2630" s="29"/>
      <c r="H2630" s="103">
        <f>_xlfn.XLOOKUP(B2630,GM!$Q$5:$Q$756,GM!$J$5:$J$756)</f>
        <v>44739</v>
      </c>
    </row>
    <row r="2631" spans="1:8" hidden="1" x14ac:dyDescent="0.35">
      <c r="A2631" s="29" t="s">
        <v>20</v>
      </c>
      <c r="B2631" s="29" t="str">
        <f t="shared" si="41"/>
        <v>ROS-02</v>
      </c>
      <c r="C2631" s="29" t="s">
        <v>8376</v>
      </c>
      <c r="D2631" s="67" t="s">
        <v>8377</v>
      </c>
      <c r="E2631" s="96" t="s">
        <v>62</v>
      </c>
      <c r="F2631" s="29" t="s">
        <v>61</v>
      </c>
      <c r="G2631" s="29"/>
      <c r="H2631" s="103">
        <f>_xlfn.XLOOKUP(B2631,GM!$Q$5:$Q$756,GM!$J$5:$J$756)</f>
        <v>44739</v>
      </c>
    </row>
    <row r="2632" spans="1:8" hidden="1" x14ac:dyDescent="0.35">
      <c r="A2632" s="29" t="s">
        <v>20</v>
      </c>
      <c r="B2632" s="29" t="str">
        <f t="shared" si="41"/>
        <v>ROS-02</v>
      </c>
      <c r="C2632" s="29" t="s">
        <v>8378</v>
      </c>
      <c r="D2632" s="67" t="s">
        <v>8379</v>
      </c>
      <c r="E2632" s="96" t="s">
        <v>62</v>
      </c>
      <c r="F2632" s="29" t="s">
        <v>61</v>
      </c>
      <c r="G2632" s="29"/>
      <c r="H2632" s="103">
        <f>_xlfn.XLOOKUP(B2632,GM!$Q$5:$Q$756,GM!$J$5:$J$756)</f>
        <v>44739</v>
      </c>
    </row>
    <row r="2633" spans="1:8" hidden="1" x14ac:dyDescent="0.35">
      <c r="A2633" s="29" t="s">
        <v>20</v>
      </c>
      <c r="B2633" s="29" t="str">
        <f t="shared" si="41"/>
        <v>ROS-02</v>
      </c>
      <c r="C2633" s="29" t="s">
        <v>8380</v>
      </c>
      <c r="D2633" s="67" t="s">
        <v>8381</v>
      </c>
      <c r="E2633" s="96" t="s">
        <v>62</v>
      </c>
      <c r="F2633" s="29" t="s">
        <v>61</v>
      </c>
      <c r="G2633" s="29"/>
      <c r="H2633" s="103">
        <f>_xlfn.XLOOKUP(B2633,GM!$Q$5:$Q$756,GM!$J$5:$J$756)</f>
        <v>44739</v>
      </c>
    </row>
    <row r="2634" spans="1:8" hidden="1" x14ac:dyDescent="0.35">
      <c r="A2634" s="29" t="s">
        <v>20</v>
      </c>
      <c r="B2634" s="29" t="str">
        <f t="shared" si="41"/>
        <v>ROS-03</v>
      </c>
      <c r="C2634" s="29" t="s">
        <v>8382</v>
      </c>
      <c r="D2634" s="67" t="s">
        <v>8383</v>
      </c>
      <c r="E2634" s="96" t="s">
        <v>62</v>
      </c>
      <c r="F2634" s="29" t="s">
        <v>61</v>
      </c>
      <c r="G2634" s="29"/>
      <c r="H2634" s="103">
        <f>_xlfn.XLOOKUP(B2634,GM!$Q$5:$Q$756,GM!$J$5:$J$756)</f>
        <v>45506</v>
      </c>
    </row>
    <row r="2635" spans="1:8" hidden="1" x14ac:dyDescent="0.35">
      <c r="A2635" s="29" t="s">
        <v>20</v>
      </c>
      <c r="B2635" s="29" t="str">
        <f t="shared" si="41"/>
        <v>ROS-03</v>
      </c>
      <c r="C2635" s="29" t="s">
        <v>8384</v>
      </c>
      <c r="D2635" s="67" t="s">
        <v>8385</v>
      </c>
      <c r="E2635" s="96" t="s">
        <v>62</v>
      </c>
      <c r="F2635" s="29" t="s">
        <v>61</v>
      </c>
      <c r="G2635" s="29"/>
      <c r="H2635" s="103">
        <f>_xlfn.XLOOKUP(B2635,GM!$Q$5:$Q$756,GM!$J$5:$J$756)</f>
        <v>45506</v>
      </c>
    </row>
    <row r="2636" spans="1:8" hidden="1" x14ac:dyDescent="0.35">
      <c r="A2636" s="29" t="s">
        <v>20</v>
      </c>
      <c r="B2636" s="29" t="str">
        <f t="shared" si="41"/>
        <v>ROS-03</v>
      </c>
      <c r="C2636" s="29" t="s">
        <v>8386</v>
      </c>
      <c r="D2636" s="67" t="s">
        <v>8387</v>
      </c>
      <c r="E2636" s="96" t="s">
        <v>62</v>
      </c>
      <c r="F2636" s="29" t="s">
        <v>61</v>
      </c>
      <c r="G2636" s="29"/>
      <c r="H2636" s="103">
        <f>_xlfn.XLOOKUP(B2636,GM!$Q$5:$Q$756,GM!$J$5:$J$756)</f>
        <v>45506</v>
      </c>
    </row>
    <row r="2637" spans="1:8" hidden="1" x14ac:dyDescent="0.35">
      <c r="A2637" s="29" t="s">
        <v>20</v>
      </c>
      <c r="B2637" s="29" t="str">
        <f t="shared" si="41"/>
        <v>ROS-03</v>
      </c>
      <c r="C2637" s="29" t="s">
        <v>8388</v>
      </c>
      <c r="D2637" s="67" t="s">
        <v>8389</v>
      </c>
      <c r="E2637" s="96" t="s">
        <v>62</v>
      </c>
      <c r="F2637" s="29" t="s">
        <v>61</v>
      </c>
      <c r="G2637" s="29"/>
      <c r="H2637" s="103">
        <f>_xlfn.XLOOKUP(B2637,GM!$Q$5:$Q$756,GM!$J$5:$J$756)</f>
        <v>45506</v>
      </c>
    </row>
    <row r="2638" spans="1:8" hidden="1" x14ac:dyDescent="0.35">
      <c r="A2638" s="29" t="s">
        <v>20</v>
      </c>
      <c r="B2638" s="29" t="str">
        <f t="shared" si="41"/>
        <v>ROS-03</v>
      </c>
      <c r="C2638" s="29" t="s">
        <v>8390</v>
      </c>
      <c r="D2638" s="67" t="s">
        <v>8391</v>
      </c>
      <c r="E2638" s="96" t="s">
        <v>62</v>
      </c>
      <c r="F2638" s="29" t="s">
        <v>61</v>
      </c>
      <c r="G2638" s="29"/>
      <c r="H2638" s="103">
        <f>_xlfn.XLOOKUP(B2638,GM!$Q$5:$Q$756,GM!$J$5:$J$756)</f>
        <v>45506</v>
      </c>
    </row>
    <row r="2639" spans="1:8" hidden="1" x14ac:dyDescent="0.35">
      <c r="A2639" s="29" t="s">
        <v>20</v>
      </c>
      <c r="B2639" s="29" t="str">
        <f t="shared" si="41"/>
        <v>ROS-03</v>
      </c>
      <c r="C2639" s="29" t="s">
        <v>8392</v>
      </c>
      <c r="D2639" s="67" t="s">
        <v>8393</v>
      </c>
      <c r="E2639" s="96" t="s">
        <v>62</v>
      </c>
      <c r="F2639" s="29" t="s">
        <v>61</v>
      </c>
      <c r="G2639" s="29"/>
      <c r="H2639" s="103">
        <f>_xlfn.XLOOKUP(B2639,GM!$Q$5:$Q$756,GM!$J$5:$J$756)</f>
        <v>45506</v>
      </c>
    </row>
    <row r="2640" spans="1:8" hidden="1" x14ac:dyDescent="0.35">
      <c r="A2640" s="29" t="s">
        <v>20</v>
      </c>
      <c r="B2640" s="29" t="str">
        <f t="shared" si="41"/>
        <v>ROS-03</v>
      </c>
      <c r="C2640" s="29" t="s">
        <v>8394</v>
      </c>
      <c r="D2640" s="67" t="s">
        <v>8395</v>
      </c>
      <c r="E2640" s="96" t="s">
        <v>62</v>
      </c>
      <c r="F2640" s="29" t="s">
        <v>61</v>
      </c>
      <c r="G2640" s="29"/>
      <c r="H2640" s="103">
        <f>_xlfn.XLOOKUP(B2640,GM!$Q$5:$Q$756,GM!$J$5:$J$756)</f>
        <v>45506</v>
      </c>
    </row>
    <row r="2641" spans="1:8" hidden="1" x14ac:dyDescent="0.35">
      <c r="A2641" s="29" t="s">
        <v>20</v>
      </c>
      <c r="B2641" s="29" t="str">
        <f t="shared" si="41"/>
        <v>ROS-03</v>
      </c>
      <c r="C2641" s="29" t="s">
        <v>8396</v>
      </c>
      <c r="D2641" s="67" t="s">
        <v>8397</v>
      </c>
      <c r="E2641" s="96" t="s">
        <v>62</v>
      </c>
      <c r="F2641" s="29" t="s">
        <v>61</v>
      </c>
      <c r="G2641" s="29"/>
      <c r="H2641" s="103">
        <f>_xlfn.XLOOKUP(B2641,GM!$Q$5:$Q$756,GM!$J$5:$J$756)</f>
        <v>45506</v>
      </c>
    </row>
    <row r="2642" spans="1:8" hidden="1" x14ac:dyDescent="0.35">
      <c r="A2642" s="29" t="s">
        <v>20</v>
      </c>
      <c r="B2642" s="29" t="str">
        <f t="shared" si="41"/>
        <v>ROS-03</v>
      </c>
      <c r="C2642" s="29" t="s">
        <v>8398</v>
      </c>
      <c r="D2642" s="67" t="s">
        <v>8399</v>
      </c>
      <c r="E2642" s="96" t="s">
        <v>62</v>
      </c>
      <c r="F2642" s="29" t="s">
        <v>61</v>
      </c>
      <c r="G2642" s="29"/>
      <c r="H2642" s="103">
        <f>_xlfn.XLOOKUP(B2642,GM!$Q$5:$Q$756,GM!$J$5:$J$756)</f>
        <v>45506</v>
      </c>
    </row>
    <row r="2643" spans="1:8" hidden="1" x14ac:dyDescent="0.35">
      <c r="A2643" s="29" t="s">
        <v>20</v>
      </c>
      <c r="B2643" s="29" t="str">
        <f t="shared" si="41"/>
        <v>ROS-03</v>
      </c>
      <c r="C2643" s="29" t="s">
        <v>8400</v>
      </c>
      <c r="D2643" s="67" t="s">
        <v>8401</v>
      </c>
      <c r="E2643" s="96" t="s">
        <v>62</v>
      </c>
      <c r="F2643" s="29" t="s">
        <v>61</v>
      </c>
      <c r="G2643" s="29"/>
      <c r="H2643" s="103">
        <f>_xlfn.XLOOKUP(B2643,GM!$Q$5:$Q$756,GM!$J$5:$J$756)</f>
        <v>45506</v>
      </c>
    </row>
    <row r="2644" spans="1:8" hidden="1" x14ac:dyDescent="0.35">
      <c r="A2644" s="29" t="s">
        <v>20</v>
      </c>
      <c r="B2644" s="29" t="str">
        <f t="shared" si="41"/>
        <v>ROS-03</v>
      </c>
      <c r="C2644" s="29" t="s">
        <v>8402</v>
      </c>
      <c r="D2644" s="67" t="s">
        <v>8403</v>
      </c>
      <c r="E2644" s="96" t="s">
        <v>62</v>
      </c>
      <c r="F2644" s="29" t="s">
        <v>61</v>
      </c>
      <c r="G2644" s="29"/>
      <c r="H2644" s="103">
        <f>_xlfn.XLOOKUP(B2644,GM!$Q$5:$Q$756,GM!$J$5:$J$756)</f>
        <v>45506</v>
      </c>
    </row>
    <row r="2645" spans="1:8" hidden="1" x14ac:dyDescent="0.35">
      <c r="A2645" s="29" t="s">
        <v>20</v>
      </c>
      <c r="B2645" s="29" t="str">
        <f t="shared" si="41"/>
        <v>ROS-03</v>
      </c>
      <c r="C2645" s="29" t="s">
        <v>8404</v>
      </c>
      <c r="D2645" s="67" t="s">
        <v>8405</v>
      </c>
      <c r="E2645" s="96" t="s">
        <v>62</v>
      </c>
      <c r="F2645" s="29" t="s">
        <v>61</v>
      </c>
      <c r="G2645" s="29"/>
      <c r="H2645" s="103">
        <f>_xlfn.XLOOKUP(B2645,GM!$Q$5:$Q$756,GM!$J$5:$J$756)</f>
        <v>45506</v>
      </c>
    </row>
    <row r="2646" spans="1:8" hidden="1" x14ac:dyDescent="0.35">
      <c r="A2646" s="29" t="s">
        <v>20</v>
      </c>
      <c r="B2646" s="29" t="str">
        <f t="shared" si="41"/>
        <v>ROS-03</v>
      </c>
      <c r="C2646" s="29" t="s">
        <v>8406</v>
      </c>
      <c r="D2646" s="67" t="s">
        <v>8407</v>
      </c>
      <c r="E2646" s="96" t="s">
        <v>62</v>
      </c>
      <c r="F2646" s="29" t="s">
        <v>61</v>
      </c>
      <c r="G2646" s="29"/>
      <c r="H2646" s="103">
        <f>_xlfn.XLOOKUP(B2646,GM!$Q$5:$Q$756,GM!$J$5:$J$756)</f>
        <v>45506</v>
      </c>
    </row>
    <row r="2647" spans="1:8" hidden="1" x14ac:dyDescent="0.35">
      <c r="A2647" s="29" t="s">
        <v>20</v>
      </c>
      <c r="B2647" s="29" t="str">
        <f t="shared" si="41"/>
        <v>ROS-03</v>
      </c>
      <c r="C2647" s="29" t="s">
        <v>8408</v>
      </c>
      <c r="D2647" s="67" t="s">
        <v>8409</v>
      </c>
      <c r="E2647" s="96" t="s">
        <v>62</v>
      </c>
      <c r="F2647" s="29" t="s">
        <v>61</v>
      </c>
      <c r="G2647" s="29"/>
      <c r="H2647" s="103">
        <f>_xlfn.XLOOKUP(B2647,GM!$Q$5:$Q$756,GM!$J$5:$J$756)</f>
        <v>45506</v>
      </c>
    </row>
    <row r="2648" spans="1:8" hidden="1" x14ac:dyDescent="0.35">
      <c r="A2648" s="29" t="s">
        <v>20</v>
      </c>
      <c r="B2648" s="29" t="str">
        <f t="shared" si="41"/>
        <v>ROS-03</v>
      </c>
      <c r="C2648" s="29" t="s">
        <v>8410</v>
      </c>
      <c r="D2648" s="67" t="s">
        <v>8411</v>
      </c>
      <c r="E2648" s="96" t="s">
        <v>62</v>
      </c>
      <c r="F2648" s="29" t="s">
        <v>61</v>
      </c>
      <c r="G2648" s="29"/>
      <c r="H2648" s="103">
        <f>_xlfn.XLOOKUP(B2648,GM!$Q$5:$Q$756,GM!$J$5:$J$756)</f>
        <v>45506</v>
      </c>
    </row>
    <row r="2649" spans="1:8" hidden="1" x14ac:dyDescent="0.35">
      <c r="A2649" s="29" t="s">
        <v>20</v>
      </c>
      <c r="B2649" s="29" t="str">
        <f t="shared" si="41"/>
        <v>ROS-03</v>
      </c>
      <c r="C2649" s="29" t="s">
        <v>8412</v>
      </c>
      <c r="D2649" s="67" t="s">
        <v>8413</v>
      </c>
      <c r="E2649" s="96" t="s">
        <v>62</v>
      </c>
      <c r="F2649" s="29" t="s">
        <v>61</v>
      </c>
      <c r="G2649" s="29"/>
      <c r="H2649" s="103">
        <f>_xlfn.XLOOKUP(B2649,GM!$Q$5:$Q$756,GM!$J$5:$J$756)</f>
        <v>45506</v>
      </c>
    </row>
    <row r="2650" spans="1:8" hidden="1" x14ac:dyDescent="0.35">
      <c r="A2650" s="29" t="s">
        <v>20</v>
      </c>
      <c r="B2650" s="29" t="str">
        <f t="shared" si="41"/>
        <v>ROS-03</v>
      </c>
      <c r="C2650" s="29" t="s">
        <v>8414</v>
      </c>
      <c r="D2650" s="67" t="s">
        <v>8415</v>
      </c>
      <c r="E2650" s="96" t="s">
        <v>62</v>
      </c>
      <c r="F2650" s="29" t="s">
        <v>61</v>
      </c>
      <c r="G2650" s="29"/>
      <c r="H2650" s="103">
        <f>_xlfn.XLOOKUP(B2650,GM!$Q$5:$Q$756,GM!$J$5:$J$756)</f>
        <v>45506</v>
      </c>
    </row>
    <row r="2651" spans="1:8" hidden="1" x14ac:dyDescent="0.35">
      <c r="A2651" s="29" t="s">
        <v>20</v>
      </c>
      <c r="B2651" s="29" t="str">
        <f t="shared" si="41"/>
        <v>ROS-03</v>
      </c>
      <c r="C2651" s="29" t="s">
        <v>8416</v>
      </c>
      <c r="D2651" s="67" t="s">
        <v>8417</v>
      </c>
      <c r="E2651" s="96" t="s">
        <v>62</v>
      </c>
      <c r="F2651" s="29" t="s">
        <v>61</v>
      </c>
      <c r="G2651" s="29"/>
      <c r="H2651" s="103">
        <f>_xlfn.XLOOKUP(B2651,GM!$Q$5:$Q$756,GM!$J$5:$J$756)</f>
        <v>45506</v>
      </c>
    </row>
    <row r="2652" spans="1:8" hidden="1" x14ac:dyDescent="0.35">
      <c r="A2652" s="29" t="s">
        <v>20</v>
      </c>
      <c r="B2652" s="29" t="str">
        <f t="shared" si="41"/>
        <v>ROS-03</v>
      </c>
      <c r="C2652" s="29" t="s">
        <v>8418</v>
      </c>
      <c r="D2652" s="67" t="s">
        <v>8419</v>
      </c>
      <c r="E2652" s="96" t="s">
        <v>62</v>
      </c>
      <c r="F2652" s="29" t="s">
        <v>61</v>
      </c>
      <c r="G2652" s="29"/>
      <c r="H2652" s="103">
        <f>_xlfn.XLOOKUP(B2652,GM!$Q$5:$Q$756,GM!$J$5:$J$756)</f>
        <v>45506</v>
      </c>
    </row>
    <row r="2653" spans="1:8" hidden="1" x14ac:dyDescent="0.35">
      <c r="A2653" s="29" t="s">
        <v>20</v>
      </c>
      <c r="B2653" s="29" t="str">
        <f t="shared" si="41"/>
        <v>ROS-03</v>
      </c>
      <c r="C2653" s="29" t="s">
        <v>8420</v>
      </c>
      <c r="D2653" s="67" t="s">
        <v>8421</v>
      </c>
      <c r="E2653" s="96" t="s">
        <v>62</v>
      </c>
      <c r="F2653" s="29" t="s">
        <v>61</v>
      </c>
      <c r="G2653" s="29"/>
      <c r="H2653" s="103">
        <f>_xlfn.XLOOKUP(B2653,GM!$Q$5:$Q$756,GM!$J$5:$J$756)</f>
        <v>45506</v>
      </c>
    </row>
    <row r="2654" spans="1:8" hidden="1" x14ac:dyDescent="0.35">
      <c r="A2654" s="29" t="s">
        <v>20</v>
      </c>
      <c r="B2654" s="29" t="str">
        <f t="shared" si="41"/>
        <v>ROS-03</v>
      </c>
      <c r="C2654" s="29" t="s">
        <v>8422</v>
      </c>
      <c r="D2654" s="67" t="s">
        <v>8423</v>
      </c>
      <c r="E2654" s="96" t="s">
        <v>62</v>
      </c>
      <c r="F2654" s="29" t="s">
        <v>61</v>
      </c>
      <c r="G2654" s="29"/>
      <c r="H2654" s="103">
        <f>_xlfn.XLOOKUP(B2654,GM!$Q$5:$Q$756,GM!$J$5:$J$756)</f>
        <v>45506</v>
      </c>
    </row>
    <row r="2655" spans="1:8" hidden="1" x14ac:dyDescent="0.35">
      <c r="A2655" s="29" t="s">
        <v>20</v>
      </c>
      <c r="B2655" s="29" t="str">
        <f t="shared" si="41"/>
        <v>ROS-03</v>
      </c>
      <c r="C2655" s="29" t="s">
        <v>8424</v>
      </c>
      <c r="D2655" s="67" t="s">
        <v>8425</v>
      </c>
      <c r="E2655" s="96" t="s">
        <v>62</v>
      </c>
      <c r="F2655" s="29" t="s">
        <v>61</v>
      </c>
      <c r="G2655" s="29"/>
      <c r="H2655" s="103">
        <f>_xlfn.XLOOKUP(B2655,GM!$Q$5:$Q$756,GM!$J$5:$J$756)</f>
        <v>45506</v>
      </c>
    </row>
    <row r="2656" spans="1:8" hidden="1" x14ac:dyDescent="0.35">
      <c r="A2656" s="29" t="s">
        <v>20</v>
      </c>
      <c r="B2656" s="29" t="str">
        <f t="shared" si="41"/>
        <v>ROS-03</v>
      </c>
      <c r="C2656" s="29" t="s">
        <v>8426</v>
      </c>
      <c r="D2656" s="67" t="s">
        <v>8427</v>
      </c>
      <c r="E2656" s="96" t="s">
        <v>62</v>
      </c>
      <c r="F2656" s="29" t="s">
        <v>61</v>
      </c>
      <c r="G2656" s="29"/>
      <c r="H2656" s="103">
        <f>_xlfn.XLOOKUP(B2656,GM!$Q$5:$Q$756,GM!$J$5:$J$756)</f>
        <v>45506</v>
      </c>
    </row>
    <row r="2657" spans="1:8" hidden="1" x14ac:dyDescent="0.35">
      <c r="A2657" s="29" t="s">
        <v>20</v>
      </c>
      <c r="B2657" s="29" t="str">
        <f t="shared" si="41"/>
        <v>ROS-03</v>
      </c>
      <c r="C2657" s="29" t="s">
        <v>8428</v>
      </c>
      <c r="D2657" s="67" t="s">
        <v>8429</v>
      </c>
      <c r="E2657" s="96" t="s">
        <v>62</v>
      </c>
      <c r="F2657" s="29" t="s">
        <v>61</v>
      </c>
      <c r="G2657" s="29"/>
      <c r="H2657" s="103">
        <f>_xlfn.XLOOKUP(B2657,GM!$Q$5:$Q$756,GM!$J$5:$J$756)</f>
        <v>45506</v>
      </c>
    </row>
    <row r="2658" spans="1:8" hidden="1" x14ac:dyDescent="0.35">
      <c r="A2658" s="29" t="s">
        <v>20</v>
      </c>
      <c r="B2658" s="29" t="str">
        <f t="shared" si="41"/>
        <v>ROS-03</v>
      </c>
      <c r="C2658" s="29" t="s">
        <v>8430</v>
      </c>
      <c r="D2658" s="67" t="s">
        <v>8431</v>
      </c>
      <c r="E2658" s="96" t="s">
        <v>62</v>
      </c>
      <c r="F2658" s="29" t="s">
        <v>61</v>
      </c>
      <c r="G2658" s="29"/>
      <c r="H2658" s="103">
        <f>_xlfn.XLOOKUP(B2658,GM!$Q$5:$Q$756,GM!$J$5:$J$756)</f>
        <v>45506</v>
      </c>
    </row>
    <row r="2659" spans="1:8" hidden="1" x14ac:dyDescent="0.35">
      <c r="A2659" s="29" t="s">
        <v>20</v>
      </c>
      <c r="B2659" s="29" t="str">
        <f t="shared" si="41"/>
        <v>ROS-03</v>
      </c>
      <c r="C2659" s="29" t="s">
        <v>8432</v>
      </c>
      <c r="D2659" s="67" t="s">
        <v>8433</v>
      </c>
      <c r="E2659" s="96" t="s">
        <v>62</v>
      </c>
      <c r="F2659" s="29" t="s">
        <v>61</v>
      </c>
      <c r="G2659" s="29"/>
      <c r="H2659" s="103">
        <f>_xlfn.XLOOKUP(B2659,GM!$Q$5:$Q$756,GM!$J$5:$J$756)</f>
        <v>45506</v>
      </c>
    </row>
    <row r="2660" spans="1:8" hidden="1" x14ac:dyDescent="0.35">
      <c r="A2660" s="29" t="s">
        <v>20</v>
      </c>
      <c r="B2660" s="29" t="str">
        <f t="shared" si="41"/>
        <v>ROS-03</v>
      </c>
      <c r="C2660" s="29" t="s">
        <v>8434</v>
      </c>
      <c r="D2660" s="67" t="s">
        <v>8435</v>
      </c>
      <c r="E2660" s="96" t="s">
        <v>62</v>
      </c>
      <c r="F2660" s="29" t="s">
        <v>61</v>
      </c>
      <c r="G2660" s="29"/>
      <c r="H2660" s="103">
        <f>_xlfn.XLOOKUP(B2660,GM!$Q$5:$Q$756,GM!$J$5:$J$756)</f>
        <v>45506</v>
      </c>
    </row>
    <row r="2661" spans="1:8" hidden="1" x14ac:dyDescent="0.35">
      <c r="A2661" s="29" t="s">
        <v>20</v>
      </c>
      <c r="B2661" s="29" t="str">
        <f t="shared" si="41"/>
        <v>ROS-03</v>
      </c>
      <c r="C2661" s="29" t="s">
        <v>8436</v>
      </c>
      <c r="D2661" s="67" t="s">
        <v>8437</v>
      </c>
      <c r="E2661" s="96" t="s">
        <v>62</v>
      </c>
      <c r="F2661" s="29" t="s">
        <v>61</v>
      </c>
      <c r="G2661" s="29"/>
      <c r="H2661" s="103">
        <f>_xlfn.XLOOKUP(B2661,GM!$Q$5:$Q$756,GM!$J$5:$J$756)</f>
        <v>45506</v>
      </c>
    </row>
    <row r="2662" spans="1:8" hidden="1" x14ac:dyDescent="0.35">
      <c r="A2662" s="29" t="s">
        <v>20</v>
      </c>
      <c r="B2662" s="29" t="str">
        <f t="shared" si="41"/>
        <v>ROS-03</v>
      </c>
      <c r="C2662" s="29" t="s">
        <v>8438</v>
      </c>
      <c r="D2662" s="67" t="s">
        <v>8439</v>
      </c>
      <c r="E2662" s="96" t="s">
        <v>62</v>
      </c>
      <c r="F2662" s="29" t="s">
        <v>61</v>
      </c>
      <c r="G2662" s="29"/>
      <c r="H2662" s="103">
        <f>_xlfn.XLOOKUP(B2662,GM!$Q$5:$Q$756,GM!$J$5:$J$756)</f>
        <v>45506</v>
      </c>
    </row>
    <row r="2663" spans="1:8" hidden="1" x14ac:dyDescent="0.35">
      <c r="A2663" s="29" t="s">
        <v>20</v>
      </c>
      <c r="B2663" s="29" t="str">
        <f t="shared" si="41"/>
        <v>ROS-03</v>
      </c>
      <c r="C2663" s="29" t="s">
        <v>8440</v>
      </c>
      <c r="D2663" s="67" t="s">
        <v>8441</v>
      </c>
      <c r="E2663" s="96" t="s">
        <v>62</v>
      </c>
      <c r="F2663" s="29" t="s">
        <v>61</v>
      </c>
      <c r="G2663" s="29"/>
      <c r="H2663" s="103">
        <f>_xlfn.XLOOKUP(B2663,GM!$Q$5:$Q$756,GM!$J$5:$J$756)</f>
        <v>45506</v>
      </c>
    </row>
    <row r="2664" spans="1:8" hidden="1" x14ac:dyDescent="0.35">
      <c r="A2664" s="29" t="s">
        <v>20</v>
      </c>
      <c r="B2664" s="29" t="str">
        <f t="shared" si="41"/>
        <v>ROS-03</v>
      </c>
      <c r="C2664" s="29" t="s">
        <v>8442</v>
      </c>
      <c r="D2664" s="67" t="s">
        <v>8443</v>
      </c>
      <c r="E2664" s="96" t="s">
        <v>62</v>
      </c>
      <c r="F2664" s="29" t="s">
        <v>61</v>
      </c>
      <c r="G2664" s="29"/>
      <c r="H2664" s="103">
        <f>_xlfn.XLOOKUP(B2664,GM!$Q$5:$Q$756,GM!$J$5:$J$756)</f>
        <v>45506</v>
      </c>
    </row>
    <row r="2665" spans="1:8" hidden="1" x14ac:dyDescent="0.35">
      <c r="A2665" s="29" t="s">
        <v>20</v>
      </c>
      <c r="B2665" s="29" t="str">
        <f t="shared" si="41"/>
        <v>ROS-03</v>
      </c>
      <c r="C2665" s="29" t="s">
        <v>8444</v>
      </c>
      <c r="D2665" s="67" t="s">
        <v>8445</v>
      </c>
      <c r="E2665" s="96" t="s">
        <v>62</v>
      </c>
      <c r="F2665" s="29" t="s">
        <v>61</v>
      </c>
      <c r="G2665" s="29"/>
      <c r="H2665" s="103">
        <f>_xlfn.XLOOKUP(B2665,GM!$Q$5:$Q$756,GM!$J$5:$J$756)</f>
        <v>45506</v>
      </c>
    </row>
    <row r="2666" spans="1:8" hidden="1" x14ac:dyDescent="0.35">
      <c r="A2666" s="29" t="s">
        <v>20</v>
      </c>
      <c r="B2666" s="29" t="str">
        <f t="shared" si="41"/>
        <v>ROS-04</v>
      </c>
      <c r="C2666" s="29" t="s">
        <v>8446</v>
      </c>
      <c r="D2666" s="67" t="s">
        <v>8447</v>
      </c>
      <c r="E2666" s="96" t="s">
        <v>62</v>
      </c>
      <c r="F2666" s="29" t="s">
        <v>61</v>
      </c>
      <c r="G2666" s="29"/>
      <c r="H2666" s="103">
        <f>_xlfn.XLOOKUP(B2666,GM!$Q$5:$Q$756,GM!$J$5:$J$756)</f>
        <v>46107</v>
      </c>
    </row>
    <row r="2667" spans="1:8" hidden="1" x14ac:dyDescent="0.35">
      <c r="A2667" s="29" t="s">
        <v>20</v>
      </c>
      <c r="B2667" s="29" t="str">
        <f t="shared" si="41"/>
        <v>ROS-04</v>
      </c>
      <c r="C2667" s="29" t="s">
        <v>8448</v>
      </c>
      <c r="D2667" s="67" t="s">
        <v>8449</v>
      </c>
      <c r="E2667" s="96" t="s">
        <v>62</v>
      </c>
      <c r="F2667" s="29" t="s">
        <v>61</v>
      </c>
      <c r="G2667" s="29"/>
      <c r="H2667" s="103">
        <f>_xlfn.XLOOKUP(B2667,GM!$Q$5:$Q$756,GM!$J$5:$J$756)</f>
        <v>46107</v>
      </c>
    </row>
    <row r="2668" spans="1:8" hidden="1" x14ac:dyDescent="0.35">
      <c r="A2668" s="29" t="s">
        <v>20</v>
      </c>
      <c r="B2668" s="29" t="str">
        <f t="shared" si="41"/>
        <v>ROS-04</v>
      </c>
      <c r="C2668" s="29" t="s">
        <v>8450</v>
      </c>
      <c r="D2668" s="67" t="s">
        <v>8451</v>
      </c>
      <c r="E2668" s="96" t="s">
        <v>62</v>
      </c>
      <c r="F2668" s="29" t="s">
        <v>61</v>
      </c>
      <c r="G2668" s="29"/>
      <c r="H2668" s="103">
        <f>_xlfn.XLOOKUP(B2668,GM!$Q$5:$Q$756,GM!$J$5:$J$756)</f>
        <v>46107</v>
      </c>
    </row>
    <row r="2669" spans="1:8" hidden="1" x14ac:dyDescent="0.35">
      <c r="A2669" s="29" t="s">
        <v>20</v>
      </c>
      <c r="B2669" s="29" t="str">
        <f t="shared" si="41"/>
        <v>ROS-04</v>
      </c>
      <c r="C2669" s="29" t="s">
        <v>8452</v>
      </c>
      <c r="D2669" s="67" t="s">
        <v>8453</v>
      </c>
      <c r="E2669" s="96" t="s">
        <v>62</v>
      </c>
      <c r="F2669" s="29" t="s">
        <v>61</v>
      </c>
      <c r="G2669" s="29"/>
      <c r="H2669" s="103">
        <f>_xlfn.XLOOKUP(B2669,GM!$Q$5:$Q$756,GM!$J$5:$J$756)</f>
        <v>46107</v>
      </c>
    </row>
    <row r="2670" spans="1:8" hidden="1" x14ac:dyDescent="0.35">
      <c r="A2670" s="29" t="s">
        <v>20</v>
      </c>
      <c r="B2670" s="29" t="str">
        <f t="shared" si="41"/>
        <v>ROS-04</v>
      </c>
      <c r="C2670" s="29" t="s">
        <v>8454</v>
      </c>
      <c r="D2670" s="67" t="s">
        <v>8455</v>
      </c>
      <c r="E2670" s="96" t="s">
        <v>62</v>
      </c>
      <c r="F2670" s="29" t="s">
        <v>61</v>
      </c>
      <c r="G2670" s="29"/>
      <c r="H2670" s="103">
        <f>_xlfn.XLOOKUP(B2670,GM!$Q$5:$Q$756,GM!$J$5:$J$756)</f>
        <v>46107</v>
      </c>
    </row>
    <row r="2671" spans="1:8" hidden="1" x14ac:dyDescent="0.35">
      <c r="A2671" s="29" t="s">
        <v>20</v>
      </c>
      <c r="B2671" s="29" t="str">
        <f t="shared" si="41"/>
        <v>ROS-04</v>
      </c>
      <c r="C2671" s="29" t="s">
        <v>8456</v>
      </c>
      <c r="D2671" s="67" t="s">
        <v>8457</v>
      </c>
      <c r="E2671" s="96" t="s">
        <v>62</v>
      </c>
      <c r="F2671" s="29" t="s">
        <v>61</v>
      </c>
      <c r="G2671" s="29"/>
      <c r="H2671" s="103">
        <f>_xlfn.XLOOKUP(B2671,GM!$Q$5:$Q$756,GM!$J$5:$J$756)</f>
        <v>46107</v>
      </c>
    </row>
    <row r="2672" spans="1:8" hidden="1" x14ac:dyDescent="0.35">
      <c r="A2672" s="29" t="s">
        <v>20</v>
      </c>
      <c r="B2672" s="29" t="str">
        <f t="shared" si="41"/>
        <v>ROS-04</v>
      </c>
      <c r="C2672" s="29" t="s">
        <v>8458</v>
      </c>
      <c r="D2672" s="67" t="s">
        <v>8459</v>
      </c>
      <c r="E2672" s="96" t="s">
        <v>62</v>
      </c>
      <c r="F2672" s="29" t="s">
        <v>61</v>
      </c>
      <c r="G2672" s="29"/>
      <c r="H2672" s="103">
        <f>_xlfn.XLOOKUP(B2672,GM!$Q$5:$Q$756,GM!$J$5:$J$756)</f>
        <v>46107</v>
      </c>
    </row>
    <row r="2673" spans="1:8" hidden="1" x14ac:dyDescent="0.35">
      <c r="A2673" s="29" t="s">
        <v>20</v>
      </c>
      <c r="B2673" s="29" t="str">
        <f t="shared" si="41"/>
        <v>ROS-04</v>
      </c>
      <c r="C2673" s="29" t="s">
        <v>8460</v>
      </c>
      <c r="D2673" s="67" t="s">
        <v>8461</v>
      </c>
      <c r="E2673" s="96" t="s">
        <v>62</v>
      </c>
      <c r="F2673" s="29" t="s">
        <v>61</v>
      </c>
      <c r="G2673" s="29"/>
      <c r="H2673" s="103">
        <f>_xlfn.XLOOKUP(B2673,GM!$Q$5:$Q$756,GM!$J$5:$J$756)</f>
        <v>46107</v>
      </c>
    </row>
    <row r="2674" spans="1:8" hidden="1" x14ac:dyDescent="0.35">
      <c r="A2674" s="29" t="s">
        <v>20</v>
      </c>
      <c r="B2674" s="29" t="str">
        <f t="shared" si="41"/>
        <v>ROS-04</v>
      </c>
      <c r="C2674" s="29" t="s">
        <v>8462</v>
      </c>
      <c r="D2674" s="67" t="s">
        <v>8463</v>
      </c>
      <c r="E2674" s="96" t="s">
        <v>62</v>
      </c>
      <c r="F2674" s="29" t="s">
        <v>61</v>
      </c>
      <c r="G2674" s="29"/>
      <c r="H2674" s="103">
        <f>_xlfn.XLOOKUP(B2674,GM!$Q$5:$Q$756,GM!$J$5:$J$756)</f>
        <v>46107</v>
      </c>
    </row>
    <row r="2675" spans="1:8" hidden="1" x14ac:dyDescent="0.35">
      <c r="A2675" s="29" t="s">
        <v>20</v>
      </c>
      <c r="B2675" s="29" t="str">
        <f t="shared" si="41"/>
        <v>ROS-04</v>
      </c>
      <c r="C2675" s="29" t="s">
        <v>8464</v>
      </c>
      <c r="D2675" s="67" t="s">
        <v>8465</v>
      </c>
      <c r="E2675" s="96" t="s">
        <v>62</v>
      </c>
      <c r="F2675" s="29" t="s">
        <v>61</v>
      </c>
      <c r="G2675" s="29"/>
      <c r="H2675" s="103">
        <f>_xlfn.XLOOKUP(B2675,GM!$Q$5:$Q$756,GM!$J$5:$J$756)</f>
        <v>46107</v>
      </c>
    </row>
    <row r="2676" spans="1:8" hidden="1" x14ac:dyDescent="0.35">
      <c r="A2676" s="29" t="s">
        <v>20</v>
      </c>
      <c r="B2676" s="29" t="str">
        <f t="shared" si="41"/>
        <v>ROS-04</v>
      </c>
      <c r="C2676" s="29" t="s">
        <v>8466</v>
      </c>
      <c r="D2676" s="67" t="s">
        <v>8467</v>
      </c>
      <c r="E2676" s="96" t="s">
        <v>62</v>
      </c>
      <c r="F2676" s="29" t="s">
        <v>61</v>
      </c>
      <c r="G2676" s="29"/>
      <c r="H2676" s="103">
        <f>_xlfn.XLOOKUP(B2676,GM!$Q$5:$Q$756,GM!$J$5:$J$756)</f>
        <v>46107</v>
      </c>
    </row>
    <row r="2677" spans="1:8" hidden="1" x14ac:dyDescent="0.35">
      <c r="A2677" s="29" t="s">
        <v>20</v>
      </c>
      <c r="B2677" s="29" t="str">
        <f t="shared" si="41"/>
        <v>ROS-04</v>
      </c>
      <c r="C2677" s="29" t="s">
        <v>8468</v>
      </c>
      <c r="D2677" s="67" t="s">
        <v>8469</v>
      </c>
      <c r="E2677" s="96" t="s">
        <v>62</v>
      </c>
      <c r="F2677" s="29" t="s">
        <v>61</v>
      </c>
      <c r="G2677" s="29"/>
      <c r="H2677" s="103">
        <f>_xlfn.XLOOKUP(B2677,GM!$Q$5:$Q$756,GM!$J$5:$J$756)</f>
        <v>46107</v>
      </c>
    </row>
    <row r="2678" spans="1:8" hidden="1" x14ac:dyDescent="0.35">
      <c r="A2678" s="29" t="s">
        <v>20</v>
      </c>
      <c r="B2678" s="29" t="str">
        <f t="shared" si="41"/>
        <v>ROS-04</v>
      </c>
      <c r="C2678" s="29" t="s">
        <v>8470</v>
      </c>
      <c r="D2678" s="67" t="s">
        <v>8471</v>
      </c>
      <c r="E2678" s="96" t="s">
        <v>62</v>
      </c>
      <c r="F2678" s="29" t="s">
        <v>61</v>
      </c>
      <c r="G2678" s="29"/>
      <c r="H2678" s="103">
        <f>_xlfn.XLOOKUP(B2678,GM!$Q$5:$Q$756,GM!$J$5:$J$756)</f>
        <v>46107</v>
      </c>
    </row>
    <row r="2679" spans="1:8" hidden="1" x14ac:dyDescent="0.35">
      <c r="A2679" s="29" t="s">
        <v>20</v>
      </c>
      <c r="B2679" s="29" t="str">
        <f t="shared" si="41"/>
        <v>ROS-04</v>
      </c>
      <c r="C2679" s="29" t="s">
        <v>8472</v>
      </c>
      <c r="D2679" s="67" t="s">
        <v>8473</v>
      </c>
      <c r="E2679" s="96" t="s">
        <v>62</v>
      </c>
      <c r="F2679" s="29" t="s">
        <v>61</v>
      </c>
      <c r="G2679" s="29"/>
      <c r="H2679" s="103">
        <f>_xlfn.XLOOKUP(B2679,GM!$Q$5:$Q$756,GM!$J$5:$J$756)</f>
        <v>46107</v>
      </c>
    </row>
    <row r="2680" spans="1:8" hidden="1" x14ac:dyDescent="0.35">
      <c r="A2680" s="29" t="s">
        <v>20</v>
      </c>
      <c r="B2680" s="29" t="str">
        <f t="shared" si="41"/>
        <v>ROS-04</v>
      </c>
      <c r="C2680" s="29" t="s">
        <v>8474</v>
      </c>
      <c r="D2680" s="67" t="s">
        <v>8475</v>
      </c>
      <c r="E2680" s="96" t="s">
        <v>62</v>
      </c>
      <c r="F2680" s="29" t="s">
        <v>61</v>
      </c>
      <c r="G2680" s="29"/>
      <c r="H2680" s="103">
        <f>_xlfn.XLOOKUP(B2680,GM!$Q$5:$Q$756,GM!$J$5:$J$756)</f>
        <v>46107</v>
      </c>
    </row>
    <row r="2681" spans="1:8" hidden="1" x14ac:dyDescent="0.35">
      <c r="A2681" s="29" t="s">
        <v>20</v>
      </c>
      <c r="B2681" s="29" t="str">
        <f t="shared" si="41"/>
        <v>ROS-04</v>
      </c>
      <c r="C2681" s="29" t="s">
        <v>8476</v>
      </c>
      <c r="D2681" s="67" t="s">
        <v>8477</v>
      </c>
      <c r="E2681" s="96" t="s">
        <v>62</v>
      </c>
      <c r="F2681" s="29" t="s">
        <v>61</v>
      </c>
      <c r="G2681" s="29"/>
      <c r="H2681" s="103">
        <f>_xlfn.XLOOKUP(B2681,GM!$Q$5:$Q$756,GM!$J$5:$J$756)</f>
        <v>46107</v>
      </c>
    </row>
    <row r="2682" spans="1:8" hidden="1" x14ac:dyDescent="0.35">
      <c r="A2682" s="29" t="s">
        <v>20</v>
      </c>
      <c r="B2682" s="29" t="str">
        <f t="shared" si="41"/>
        <v>ROS-04</v>
      </c>
      <c r="C2682" s="29" t="s">
        <v>8478</v>
      </c>
      <c r="D2682" s="67" t="s">
        <v>8479</v>
      </c>
      <c r="E2682" s="96" t="s">
        <v>62</v>
      </c>
      <c r="F2682" s="29" t="s">
        <v>61</v>
      </c>
      <c r="G2682" s="29"/>
      <c r="H2682" s="103">
        <f>_xlfn.XLOOKUP(B2682,GM!$Q$5:$Q$756,GM!$J$5:$J$756)</f>
        <v>46107</v>
      </c>
    </row>
    <row r="2683" spans="1:8" hidden="1" x14ac:dyDescent="0.35">
      <c r="A2683" s="29" t="s">
        <v>20</v>
      </c>
      <c r="B2683" s="29" t="str">
        <f t="shared" si="41"/>
        <v>ROS-04</v>
      </c>
      <c r="C2683" s="29" t="s">
        <v>8480</v>
      </c>
      <c r="D2683" s="67" t="s">
        <v>8481</v>
      </c>
      <c r="E2683" s="96" t="s">
        <v>62</v>
      </c>
      <c r="F2683" s="29" t="s">
        <v>61</v>
      </c>
      <c r="G2683" s="29"/>
      <c r="H2683" s="103">
        <f>_xlfn.XLOOKUP(B2683,GM!$Q$5:$Q$756,GM!$J$5:$J$756)</f>
        <v>46107</v>
      </c>
    </row>
    <row r="2684" spans="1:8" hidden="1" x14ac:dyDescent="0.35">
      <c r="A2684" s="29" t="s">
        <v>20</v>
      </c>
      <c r="B2684" s="29" t="str">
        <f t="shared" si="41"/>
        <v>ROS-04</v>
      </c>
      <c r="C2684" s="29" t="s">
        <v>8482</v>
      </c>
      <c r="D2684" s="67" t="s">
        <v>8483</v>
      </c>
      <c r="E2684" s="96" t="s">
        <v>62</v>
      </c>
      <c r="F2684" s="29" t="s">
        <v>61</v>
      </c>
      <c r="G2684" s="29"/>
      <c r="H2684" s="103">
        <f>_xlfn.XLOOKUP(B2684,GM!$Q$5:$Q$756,GM!$J$5:$J$756)</f>
        <v>46107</v>
      </c>
    </row>
    <row r="2685" spans="1:8" hidden="1" x14ac:dyDescent="0.35">
      <c r="A2685" s="29" t="s">
        <v>20</v>
      </c>
      <c r="B2685" s="29" t="str">
        <f t="shared" si="41"/>
        <v>ROS-04</v>
      </c>
      <c r="C2685" s="29" t="s">
        <v>8484</v>
      </c>
      <c r="D2685" s="67" t="s">
        <v>8485</v>
      </c>
      <c r="E2685" s="96" t="s">
        <v>62</v>
      </c>
      <c r="F2685" s="29" t="s">
        <v>61</v>
      </c>
      <c r="G2685" s="29"/>
      <c r="H2685" s="103">
        <f>_xlfn.XLOOKUP(B2685,GM!$Q$5:$Q$756,GM!$J$5:$J$756)</f>
        <v>46107</v>
      </c>
    </row>
    <row r="2686" spans="1:8" hidden="1" x14ac:dyDescent="0.35">
      <c r="A2686" s="29" t="s">
        <v>20</v>
      </c>
      <c r="B2686" s="29" t="str">
        <f t="shared" si="41"/>
        <v>ROS-04</v>
      </c>
      <c r="C2686" s="29" t="s">
        <v>8486</v>
      </c>
      <c r="D2686" s="67" t="s">
        <v>8487</v>
      </c>
      <c r="E2686" s="96" t="s">
        <v>62</v>
      </c>
      <c r="F2686" s="29" t="s">
        <v>61</v>
      </c>
      <c r="G2686" s="29"/>
      <c r="H2686" s="103">
        <f>_xlfn.XLOOKUP(B2686,GM!$Q$5:$Q$756,GM!$J$5:$J$756)</f>
        <v>46107</v>
      </c>
    </row>
    <row r="2687" spans="1:8" hidden="1" x14ac:dyDescent="0.35">
      <c r="A2687" s="29" t="s">
        <v>20</v>
      </c>
      <c r="B2687" s="29" t="str">
        <f t="shared" si="41"/>
        <v>ROS-04</v>
      </c>
      <c r="C2687" s="29" t="s">
        <v>8488</v>
      </c>
      <c r="D2687" s="67" t="s">
        <v>8489</v>
      </c>
      <c r="E2687" s="96" t="s">
        <v>62</v>
      </c>
      <c r="F2687" s="29" t="s">
        <v>61</v>
      </c>
      <c r="G2687" s="29"/>
      <c r="H2687" s="103">
        <f>_xlfn.XLOOKUP(B2687,GM!$Q$5:$Q$756,GM!$J$5:$J$756)</f>
        <v>46107</v>
      </c>
    </row>
    <row r="2688" spans="1:8" hidden="1" x14ac:dyDescent="0.35">
      <c r="A2688" s="29" t="s">
        <v>20</v>
      </c>
      <c r="B2688" s="29" t="str">
        <f t="shared" si="41"/>
        <v>ROS-05</v>
      </c>
      <c r="C2688" s="29" t="s">
        <v>8490</v>
      </c>
      <c r="D2688" s="67" t="s">
        <v>8491</v>
      </c>
      <c r="E2688" s="96" t="s">
        <v>62</v>
      </c>
      <c r="F2688" s="29" t="s">
        <v>61</v>
      </c>
      <c r="G2688" s="29"/>
      <c r="H2688" s="103">
        <f>_xlfn.XLOOKUP(B2688,GM!$Q$5:$Q$756,GM!$J$5:$J$756)</f>
        <v>46107</v>
      </c>
    </row>
    <row r="2689" spans="1:8" hidden="1" x14ac:dyDescent="0.35">
      <c r="A2689" s="29" t="s">
        <v>20</v>
      </c>
      <c r="B2689" s="29" t="str">
        <f t="shared" si="41"/>
        <v>ROS-05</v>
      </c>
      <c r="C2689" s="29" t="s">
        <v>8492</v>
      </c>
      <c r="D2689" s="67" t="s">
        <v>8493</v>
      </c>
      <c r="E2689" s="96" t="s">
        <v>62</v>
      </c>
      <c r="F2689" s="29" t="s">
        <v>61</v>
      </c>
      <c r="G2689" s="29"/>
      <c r="H2689" s="103">
        <f>_xlfn.XLOOKUP(B2689,GM!$Q$5:$Q$756,GM!$J$5:$J$756)</f>
        <v>46107</v>
      </c>
    </row>
    <row r="2690" spans="1:8" hidden="1" x14ac:dyDescent="0.35">
      <c r="A2690" s="29" t="s">
        <v>20</v>
      </c>
      <c r="B2690" s="29" t="str">
        <f t="shared" si="41"/>
        <v>ROS-05</v>
      </c>
      <c r="C2690" s="29" t="s">
        <v>8494</v>
      </c>
      <c r="D2690" s="67" t="s">
        <v>8495</v>
      </c>
      <c r="E2690" s="96" t="s">
        <v>62</v>
      </c>
      <c r="F2690" s="29" t="s">
        <v>61</v>
      </c>
      <c r="G2690" s="29"/>
      <c r="H2690" s="103">
        <f>_xlfn.XLOOKUP(B2690,GM!$Q$5:$Q$756,GM!$J$5:$J$756)</f>
        <v>46107</v>
      </c>
    </row>
    <row r="2691" spans="1:8" hidden="1" x14ac:dyDescent="0.35">
      <c r="A2691" s="29" t="s">
        <v>20</v>
      </c>
      <c r="B2691" s="29" t="str">
        <f t="shared" si="41"/>
        <v>ROS-05</v>
      </c>
      <c r="C2691" s="29" t="s">
        <v>8496</v>
      </c>
      <c r="D2691" s="67" t="s">
        <v>8497</v>
      </c>
      <c r="E2691" s="96" t="s">
        <v>62</v>
      </c>
      <c r="F2691" s="29" t="s">
        <v>61</v>
      </c>
      <c r="G2691" s="29"/>
      <c r="H2691" s="103">
        <f>_xlfn.XLOOKUP(B2691,GM!$Q$5:$Q$756,GM!$J$5:$J$756)</f>
        <v>46107</v>
      </c>
    </row>
    <row r="2692" spans="1:8" hidden="1" x14ac:dyDescent="0.35">
      <c r="A2692" s="29" t="s">
        <v>20</v>
      </c>
      <c r="B2692" s="29" t="str">
        <f t="shared" si="41"/>
        <v>ROS-05</v>
      </c>
      <c r="C2692" s="29" t="s">
        <v>8498</v>
      </c>
      <c r="D2692" s="67" t="s">
        <v>8499</v>
      </c>
      <c r="E2692" s="96" t="s">
        <v>62</v>
      </c>
      <c r="F2692" s="29" t="s">
        <v>61</v>
      </c>
      <c r="G2692" s="29"/>
      <c r="H2692" s="103">
        <f>_xlfn.XLOOKUP(B2692,GM!$Q$5:$Q$756,GM!$J$5:$J$756)</f>
        <v>46107</v>
      </c>
    </row>
    <row r="2693" spans="1:8" hidden="1" x14ac:dyDescent="0.35">
      <c r="A2693" s="29" t="s">
        <v>20</v>
      </c>
      <c r="B2693" s="29" t="str">
        <f t="shared" ref="B2693:B2756" si="42">IF(OR(A2693="ARN",A2693="SDP"),MID(C2693,4,7),MID(C2693,4,6))</f>
        <v>ROS-05</v>
      </c>
      <c r="C2693" s="29" t="s">
        <v>8500</v>
      </c>
      <c r="D2693" s="67" t="s">
        <v>8501</v>
      </c>
      <c r="E2693" s="96" t="s">
        <v>62</v>
      </c>
      <c r="F2693" s="29" t="s">
        <v>61</v>
      </c>
      <c r="G2693" s="29"/>
      <c r="H2693" s="103">
        <f>_xlfn.XLOOKUP(B2693,GM!$Q$5:$Q$756,GM!$J$5:$J$756)</f>
        <v>46107</v>
      </c>
    </row>
    <row r="2694" spans="1:8" hidden="1" x14ac:dyDescent="0.35">
      <c r="A2694" s="29" t="s">
        <v>20</v>
      </c>
      <c r="B2694" s="29" t="str">
        <f t="shared" si="42"/>
        <v>ROS-06</v>
      </c>
      <c r="C2694" s="29" t="s">
        <v>8502</v>
      </c>
      <c r="D2694" s="67" t="s">
        <v>8503</v>
      </c>
      <c r="E2694" s="96" t="s">
        <v>62</v>
      </c>
      <c r="F2694" s="29" t="s">
        <v>61</v>
      </c>
      <c r="G2694" s="29"/>
      <c r="H2694" s="103">
        <f>_xlfn.XLOOKUP(B2694,GM!$Q$5:$Q$756,GM!$J$5:$J$756)</f>
        <v>46107</v>
      </c>
    </row>
    <row r="2695" spans="1:8" hidden="1" x14ac:dyDescent="0.35">
      <c r="A2695" s="29" t="s">
        <v>20</v>
      </c>
      <c r="B2695" s="29" t="str">
        <f t="shared" si="42"/>
        <v>ROS-06</v>
      </c>
      <c r="C2695" s="29" t="s">
        <v>8504</v>
      </c>
      <c r="D2695" s="67" t="s">
        <v>8505</v>
      </c>
      <c r="E2695" s="96" t="s">
        <v>62</v>
      </c>
      <c r="F2695" s="29" t="s">
        <v>61</v>
      </c>
      <c r="G2695" s="29"/>
      <c r="H2695" s="103">
        <f>_xlfn.XLOOKUP(B2695,GM!$Q$5:$Q$756,GM!$J$5:$J$756)</f>
        <v>46107</v>
      </c>
    </row>
    <row r="2696" spans="1:8" hidden="1" x14ac:dyDescent="0.35">
      <c r="A2696" s="29" t="s">
        <v>20</v>
      </c>
      <c r="B2696" s="29" t="str">
        <f t="shared" si="42"/>
        <v>ROS-06</v>
      </c>
      <c r="C2696" s="29" t="s">
        <v>8506</v>
      </c>
      <c r="D2696" s="67" t="s">
        <v>8507</v>
      </c>
      <c r="E2696" s="96" t="s">
        <v>62</v>
      </c>
      <c r="F2696" s="29" t="s">
        <v>61</v>
      </c>
      <c r="G2696" s="29"/>
      <c r="H2696" s="103">
        <f>_xlfn.XLOOKUP(B2696,GM!$Q$5:$Q$756,GM!$J$5:$J$756)</f>
        <v>46107</v>
      </c>
    </row>
    <row r="2697" spans="1:8" hidden="1" x14ac:dyDescent="0.35">
      <c r="A2697" s="29" t="s">
        <v>20</v>
      </c>
      <c r="B2697" s="29" t="str">
        <f t="shared" si="42"/>
        <v>ROS-06</v>
      </c>
      <c r="C2697" s="29" t="s">
        <v>8508</v>
      </c>
      <c r="D2697" s="67" t="s">
        <v>8509</v>
      </c>
      <c r="E2697" s="96" t="s">
        <v>62</v>
      </c>
      <c r="F2697" s="29" t="s">
        <v>61</v>
      </c>
      <c r="G2697" s="29"/>
      <c r="H2697" s="103">
        <f>_xlfn.XLOOKUP(B2697,GM!$Q$5:$Q$756,GM!$J$5:$J$756)</f>
        <v>46107</v>
      </c>
    </row>
    <row r="2698" spans="1:8" hidden="1" x14ac:dyDescent="0.35">
      <c r="A2698" s="29" t="s">
        <v>20</v>
      </c>
      <c r="B2698" s="29" t="str">
        <f t="shared" si="42"/>
        <v>ROS-06</v>
      </c>
      <c r="C2698" s="29" t="s">
        <v>8510</v>
      </c>
      <c r="D2698" s="67" t="s">
        <v>8511</v>
      </c>
      <c r="E2698" s="96" t="s">
        <v>62</v>
      </c>
      <c r="F2698" s="29" t="s">
        <v>61</v>
      </c>
      <c r="G2698" s="29"/>
      <c r="H2698" s="103">
        <f>_xlfn.XLOOKUP(B2698,GM!$Q$5:$Q$756,GM!$J$5:$J$756)</f>
        <v>46107</v>
      </c>
    </row>
    <row r="2699" spans="1:8" hidden="1" x14ac:dyDescent="0.35">
      <c r="A2699" s="29" t="s">
        <v>20</v>
      </c>
      <c r="B2699" s="29" t="str">
        <f t="shared" si="42"/>
        <v>ROS-06</v>
      </c>
      <c r="C2699" s="29" t="s">
        <v>8512</v>
      </c>
      <c r="D2699" s="67" t="s">
        <v>8513</v>
      </c>
      <c r="E2699" s="96" t="s">
        <v>62</v>
      </c>
      <c r="F2699" s="29" t="s">
        <v>61</v>
      </c>
      <c r="G2699" s="29"/>
      <c r="H2699" s="103">
        <f>_xlfn.XLOOKUP(B2699,GM!$Q$5:$Q$756,GM!$J$5:$J$756)</f>
        <v>46107</v>
      </c>
    </row>
    <row r="2700" spans="1:8" hidden="1" x14ac:dyDescent="0.35">
      <c r="A2700" s="29" t="s">
        <v>20</v>
      </c>
      <c r="B2700" s="29" t="str">
        <f t="shared" si="42"/>
        <v>ROS-06</v>
      </c>
      <c r="C2700" s="29" t="s">
        <v>8514</v>
      </c>
      <c r="D2700" s="67" t="s">
        <v>8515</v>
      </c>
      <c r="E2700" s="96" t="s">
        <v>62</v>
      </c>
      <c r="F2700" s="29" t="s">
        <v>61</v>
      </c>
      <c r="G2700" s="29"/>
      <c r="H2700" s="103">
        <f>_xlfn.XLOOKUP(B2700,GM!$Q$5:$Q$756,GM!$J$5:$J$756)</f>
        <v>46107</v>
      </c>
    </row>
    <row r="2701" spans="1:8" hidden="1" x14ac:dyDescent="0.35">
      <c r="A2701" s="29" t="s">
        <v>20</v>
      </c>
      <c r="B2701" s="29" t="str">
        <f t="shared" si="42"/>
        <v>ROS-06</v>
      </c>
      <c r="C2701" s="29" t="s">
        <v>8516</v>
      </c>
      <c r="D2701" s="67" t="s">
        <v>8517</v>
      </c>
      <c r="E2701" s="96" t="s">
        <v>62</v>
      </c>
      <c r="F2701" s="29" t="s">
        <v>61</v>
      </c>
      <c r="G2701" s="29"/>
      <c r="H2701" s="103">
        <f>_xlfn.XLOOKUP(B2701,GM!$Q$5:$Q$756,GM!$J$5:$J$756)</f>
        <v>46107</v>
      </c>
    </row>
    <row r="2702" spans="1:8" hidden="1" x14ac:dyDescent="0.35">
      <c r="A2702" s="29" t="s">
        <v>20</v>
      </c>
      <c r="B2702" s="29" t="str">
        <f t="shared" si="42"/>
        <v>ROS-06</v>
      </c>
      <c r="C2702" s="29" t="s">
        <v>8518</v>
      </c>
      <c r="D2702" s="67" t="s">
        <v>8519</v>
      </c>
      <c r="E2702" s="96" t="s">
        <v>62</v>
      </c>
      <c r="F2702" s="29" t="s">
        <v>61</v>
      </c>
      <c r="G2702" s="29"/>
      <c r="H2702" s="103">
        <f>_xlfn.XLOOKUP(B2702,GM!$Q$5:$Q$756,GM!$J$5:$J$756)</f>
        <v>46107</v>
      </c>
    </row>
    <row r="2703" spans="1:8" hidden="1" x14ac:dyDescent="0.35">
      <c r="A2703" s="29" t="s">
        <v>20</v>
      </c>
      <c r="B2703" s="29" t="str">
        <f t="shared" si="42"/>
        <v>ROS-06</v>
      </c>
      <c r="C2703" s="29" t="s">
        <v>8520</v>
      </c>
      <c r="D2703" s="67" t="s">
        <v>8521</v>
      </c>
      <c r="E2703" s="96" t="s">
        <v>62</v>
      </c>
      <c r="F2703" s="29" t="s">
        <v>61</v>
      </c>
      <c r="G2703" s="29"/>
      <c r="H2703" s="103">
        <f>_xlfn.XLOOKUP(B2703,GM!$Q$5:$Q$756,GM!$J$5:$J$756)</f>
        <v>46107</v>
      </c>
    </row>
    <row r="2704" spans="1:8" hidden="1" x14ac:dyDescent="0.35">
      <c r="A2704" s="29" t="s">
        <v>20</v>
      </c>
      <c r="B2704" s="29" t="str">
        <f t="shared" si="42"/>
        <v>ROS-06</v>
      </c>
      <c r="C2704" s="29" t="s">
        <v>8522</v>
      </c>
      <c r="D2704" s="67" t="s">
        <v>8523</v>
      </c>
      <c r="E2704" s="96" t="s">
        <v>62</v>
      </c>
      <c r="F2704" s="29" t="s">
        <v>61</v>
      </c>
      <c r="G2704" s="29"/>
      <c r="H2704" s="103">
        <f>_xlfn.XLOOKUP(B2704,GM!$Q$5:$Q$756,GM!$J$5:$J$756)</f>
        <v>46107</v>
      </c>
    </row>
    <row r="2705" spans="1:8" hidden="1" x14ac:dyDescent="0.35">
      <c r="A2705" s="29" t="s">
        <v>20</v>
      </c>
      <c r="B2705" s="29" t="str">
        <f t="shared" si="42"/>
        <v>ROS-06</v>
      </c>
      <c r="C2705" s="29" t="s">
        <v>8524</v>
      </c>
      <c r="D2705" s="67" t="s">
        <v>8525</v>
      </c>
      <c r="E2705" s="96" t="s">
        <v>62</v>
      </c>
      <c r="F2705" s="29" t="s">
        <v>61</v>
      </c>
      <c r="G2705" s="29"/>
      <c r="H2705" s="103">
        <f>_xlfn.XLOOKUP(B2705,GM!$Q$5:$Q$756,GM!$J$5:$J$756)</f>
        <v>46107</v>
      </c>
    </row>
    <row r="2706" spans="1:8" hidden="1" x14ac:dyDescent="0.35">
      <c r="A2706" s="29" t="s">
        <v>20</v>
      </c>
      <c r="B2706" s="29" t="str">
        <f t="shared" si="42"/>
        <v>ROS-06</v>
      </c>
      <c r="C2706" s="29" t="s">
        <v>8526</v>
      </c>
      <c r="D2706" s="67" t="s">
        <v>8527</v>
      </c>
      <c r="E2706" s="96" t="s">
        <v>62</v>
      </c>
      <c r="F2706" s="29" t="s">
        <v>61</v>
      </c>
      <c r="G2706" s="29"/>
      <c r="H2706" s="103">
        <f>_xlfn.XLOOKUP(B2706,GM!$Q$5:$Q$756,GM!$J$5:$J$756)</f>
        <v>46107</v>
      </c>
    </row>
    <row r="2707" spans="1:8" hidden="1" x14ac:dyDescent="0.35">
      <c r="A2707" s="29" t="s">
        <v>20</v>
      </c>
      <c r="B2707" s="29" t="str">
        <f t="shared" si="42"/>
        <v>ROS-06</v>
      </c>
      <c r="C2707" s="29" t="s">
        <v>8528</v>
      </c>
      <c r="D2707" s="67" t="s">
        <v>8529</v>
      </c>
      <c r="E2707" s="96" t="s">
        <v>62</v>
      </c>
      <c r="F2707" s="29" t="s">
        <v>61</v>
      </c>
      <c r="G2707" s="29"/>
      <c r="H2707" s="103">
        <f>_xlfn.XLOOKUP(B2707,GM!$Q$5:$Q$756,GM!$J$5:$J$756)</f>
        <v>46107</v>
      </c>
    </row>
    <row r="2708" spans="1:8" hidden="1" x14ac:dyDescent="0.35">
      <c r="A2708" s="29" t="s">
        <v>20</v>
      </c>
      <c r="B2708" s="29" t="str">
        <f t="shared" si="42"/>
        <v>ROS-06</v>
      </c>
      <c r="C2708" s="29" t="s">
        <v>8530</v>
      </c>
      <c r="D2708" s="67" t="s">
        <v>8531</v>
      </c>
      <c r="E2708" s="96" t="s">
        <v>62</v>
      </c>
      <c r="F2708" s="29" t="s">
        <v>61</v>
      </c>
      <c r="G2708" s="29"/>
      <c r="H2708" s="103">
        <f>_xlfn.XLOOKUP(B2708,GM!$Q$5:$Q$756,GM!$J$5:$J$756)</f>
        <v>46107</v>
      </c>
    </row>
    <row r="2709" spans="1:8" hidden="1" x14ac:dyDescent="0.35">
      <c r="A2709" s="29" t="s">
        <v>20</v>
      </c>
      <c r="B2709" s="29" t="str">
        <f t="shared" si="42"/>
        <v>ROS-06</v>
      </c>
      <c r="C2709" s="29" t="s">
        <v>8532</v>
      </c>
      <c r="D2709" s="67" t="s">
        <v>8533</v>
      </c>
      <c r="E2709" s="96" t="s">
        <v>62</v>
      </c>
      <c r="F2709" s="29" t="s">
        <v>61</v>
      </c>
      <c r="G2709" s="29"/>
      <c r="H2709" s="103">
        <f>_xlfn.XLOOKUP(B2709,GM!$Q$5:$Q$756,GM!$J$5:$J$756)</f>
        <v>46107</v>
      </c>
    </row>
    <row r="2710" spans="1:8" hidden="1" x14ac:dyDescent="0.35">
      <c r="A2710" s="29" t="s">
        <v>20</v>
      </c>
      <c r="B2710" s="29" t="str">
        <f t="shared" si="42"/>
        <v>ROS-06</v>
      </c>
      <c r="C2710" s="29" t="s">
        <v>8532</v>
      </c>
      <c r="D2710" s="67" t="s">
        <v>8534</v>
      </c>
      <c r="E2710" s="96" t="s">
        <v>62</v>
      </c>
      <c r="F2710" s="29" t="s">
        <v>61</v>
      </c>
      <c r="G2710" s="29"/>
      <c r="H2710" s="103">
        <f>_xlfn.XLOOKUP(B2710,GM!$Q$5:$Q$756,GM!$J$5:$J$756)</f>
        <v>46107</v>
      </c>
    </row>
    <row r="2711" spans="1:8" hidden="1" x14ac:dyDescent="0.35">
      <c r="A2711" s="29" t="s">
        <v>20</v>
      </c>
      <c r="B2711" s="29" t="str">
        <f t="shared" si="42"/>
        <v>ROS-06</v>
      </c>
      <c r="C2711" s="29" t="s">
        <v>8535</v>
      </c>
      <c r="D2711" s="67" t="s">
        <v>8536</v>
      </c>
      <c r="E2711" s="96" t="s">
        <v>62</v>
      </c>
      <c r="F2711" s="29" t="s">
        <v>61</v>
      </c>
      <c r="G2711" s="29"/>
      <c r="H2711" s="103">
        <f>_xlfn.XLOOKUP(B2711,GM!$Q$5:$Q$756,GM!$J$5:$J$756)</f>
        <v>46107</v>
      </c>
    </row>
    <row r="2712" spans="1:8" hidden="1" x14ac:dyDescent="0.35">
      <c r="A2712" s="29" t="s">
        <v>20</v>
      </c>
      <c r="B2712" s="29" t="str">
        <f t="shared" si="42"/>
        <v>ROS-07</v>
      </c>
      <c r="C2712" s="29" t="s">
        <v>8537</v>
      </c>
      <c r="D2712" s="67" t="s">
        <v>8538</v>
      </c>
      <c r="E2712" s="96" t="s">
        <v>62</v>
      </c>
      <c r="F2712" s="29" t="s">
        <v>61</v>
      </c>
      <c r="G2712" s="29"/>
      <c r="H2712" s="103">
        <f>_xlfn.XLOOKUP(B2712,GM!$Q$5:$Q$756,GM!$J$5:$J$756)</f>
        <v>45959</v>
      </c>
    </row>
    <row r="2713" spans="1:8" hidden="1" x14ac:dyDescent="0.35">
      <c r="A2713" s="29" t="s">
        <v>20</v>
      </c>
      <c r="B2713" s="29" t="str">
        <f t="shared" si="42"/>
        <v>ROS-07</v>
      </c>
      <c r="C2713" s="29" t="s">
        <v>8539</v>
      </c>
      <c r="D2713" s="67" t="s">
        <v>8540</v>
      </c>
      <c r="E2713" s="96" t="s">
        <v>62</v>
      </c>
      <c r="F2713" s="29" t="s">
        <v>61</v>
      </c>
      <c r="G2713" s="29"/>
      <c r="H2713" s="103">
        <f>_xlfn.XLOOKUP(B2713,GM!$Q$5:$Q$756,GM!$J$5:$J$756)</f>
        <v>45959</v>
      </c>
    </row>
    <row r="2714" spans="1:8" hidden="1" x14ac:dyDescent="0.35">
      <c r="A2714" s="29" t="s">
        <v>20</v>
      </c>
      <c r="B2714" s="29" t="str">
        <f t="shared" si="42"/>
        <v>ROS-07</v>
      </c>
      <c r="C2714" s="29" t="s">
        <v>8541</v>
      </c>
      <c r="D2714" s="67" t="s">
        <v>8542</v>
      </c>
      <c r="E2714" s="96" t="s">
        <v>62</v>
      </c>
      <c r="F2714" s="29" t="s">
        <v>61</v>
      </c>
      <c r="G2714" s="29"/>
      <c r="H2714" s="103">
        <f>_xlfn.XLOOKUP(B2714,GM!$Q$5:$Q$756,GM!$J$5:$J$756)</f>
        <v>45959</v>
      </c>
    </row>
    <row r="2715" spans="1:8" hidden="1" x14ac:dyDescent="0.35">
      <c r="A2715" s="29" t="s">
        <v>20</v>
      </c>
      <c r="B2715" s="29" t="str">
        <f t="shared" si="42"/>
        <v>ROS-07</v>
      </c>
      <c r="C2715" s="29" t="s">
        <v>8543</v>
      </c>
      <c r="D2715" s="67" t="s">
        <v>8544</v>
      </c>
      <c r="E2715" s="96" t="s">
        <v>62</v>
      </c>
      <c r="F2715" s="29" t="s">
        <v>61</v>
      </c>
      <c r="G2715" s="29"/>
      <c r="H2715" s="103">
        <f>_xlfn.XLOOKUP(B2715,GM!$Q$5:$Q$756,GM!$J$5:$J$756)</f>
        <v>45959</v>
      </c>
    </row>
    <row r="2716" spans="1:8" hidden="1" x14ac:dyDescent="0.35">
      <c r="A2716" s="29" t="s">
        <v>20</v>
      </c>
      <c r="B2716" s="29" t="str">
        <f t="shared" si="42"/>
        <v>ROS-07</v>
      </c>
      <c r="C2716" s="29" t="s">
        <v>8545</v>
      </c>
      <c r="D2716" s="67" t="s">
        <v>8546</v>
      </c>
      <c r="E2716" s="96" t="s">
        <v>62</v>
      </c>
      <c r="F2716" s="29" t="s">
        <v>61</v>
      </c>
      <c r="G2716" s="29"/>
      <c r="H2716" s="103">
        <f>_xlfn.XLOOKUP(B2716,GM!$Q$5:$Q$756,GM!$J$5:$J$756)</f>
        <v>45959</v>
      </c>
    </row>
    <row r="2717" spans="1:8" hidden="1" x14ac:dyDescent="0.35">
      <c r="A2717" s="29" t="s">
        <v>20</v>
      </c>
      <c r="B2717" s="29" t="str">
        <f t="shared" si="42"/>
        <v>ROS-09</v>
      </c>
      <c r="C2717" s="29" t="s">
        <v>8547</v>
      </c>
      <c r="D2717" s="67" t="s">
        <v>8548</v>
      </c>
      <c r="E2717" s="96" t="s">
        <v>62</v>
      </c>
      <c r="F2717" s="29" t="s">
        <v>61</v>
      </c>
      <c r="G2717" s="29"/>
      <c r="H2717" s="103">
        <f>_xlfn.XLOOKUP(B2717,GM!$Q$5:$Q$756,GM!$J$5:$J$756)</f>
        <v>45959</v>
      </c>
    </row>
    <row r="2718" spans="1:8" hidden="1" x14ac:dyDescent="0.35">
      <c r="A2718" s="29" t="s">
        <v>20</v>
      </c>
      <c r="B2718" s="29" t="str">
        <f t="shared" si="42"/>
        <v>ROS-09</v>
      </c>
      <c r="C2718" s="29" t="s">
        <v>8549</v>
      </c>
      <c r="D2718" s="67" t="s">
        <v>8550</v>
      </c>
      <c r="E2718" s="96" t="s">
        <v>62</v>
      </c>
      <c r="F2718" s="29" t="s">
        <v>61</v>
      </c>
      <c r="G2718" s="29"/>
      <c r="H2718" s="103">
        <f>_xlfn.XLOOKUP(B2718,GM!$Q$5:$Q$756,GM!$J$5:$J$756)</f>
        <v>45959</v>
      </c>
    </row>
    <row r="2719" spans="1:8" hidden="1" x14ac:dyDescent="0.35">
      <c r="A2719" s="29" t="s">
        <v>20</v>
      </c>
      <c r="B2719" s="29" t="str">
        <f t="shared" si="42"/>
        <v>ROS-09</v>
      </c>
      <c r="C2719" s="29" t="s">
        <v>8551</v>
      </c>
      <c r="D2719" s="67" t="s">
        <v>8552</v>
      </c>
      <c r="E2719" s="96" t="s">
        <v>62</v>
      </c>
      <c r="F2719" s="29" t="s">
        <v>61</v>
      </c>
      <c r="G2719" s="29"/>
      <c r="H2719" s="103">
        <f>_xlfn.XLOOKUP(B2719,GM!$Q$5:$Q$756,GM!$J$5:$J$756)</f>
        <v>45959</v>
      </c>
    </row>
    <row r="2720" spans="1:8" hidden="1" x14ac:dyDescent="0.35">
      <c r="A2720" s="29" t="s">
        <v>20</v>
      </c>
      <c r="B2720" s="29" t="str">
        <f t="shared" si="42"/>
        <v>ROS-09</v>
      </c>
      <c r="C2720" s="29" t="s">
        <v>8553</v>
      </c>
      <c r="D2720" s="67" t="s">
        <v>8554</v>
      </c>
      <c r="E2720" s="96" t="s">
        <v>62</v>
      </c>
      <c r="F2720" s="29" t="s">
        <v>61</v>
      </c>
      <c r="G2720" s="29"/>
      <c r="H2720" s="103">
        <f>_xlfn.XLOOKUP(B2720,GM!$Q$5:$Q$756,GM!$J$5:$J$756)</f>
        <v>45959</v>
      </c>
    </row>
    <row r="2721" spans="1:8" hidden="1" x14ac:dyDescent="0.35">
      <c r="A2721" s="29" t="s">
        <v>20</v>
      </c>
      <c r="B2721" s="29" t="str">
        <f t="shared" si="42"/>
        <v>ROS-09</v>
      </c>
      <c r="C2721" s="29" t="s">
        <v>8555</v>
      </c>
      <c r="D2721" s="67" t="s">
        <v>8556</v>
      </c>
      <c r="E2721" s="96" t="s">
        <v>62</v>
      </c>
      <c r="F2721" s="29" t="s">
        <v>61</v>
      </c>
      <c r="G2721" s="29"/>
      <c r="H2721" s="103">
        <f>_xlfn.XLOOKUP(B2721,GM!$Q$5:$Q$756,GM!$J$5:$J$756)</f>
        <v>45959</v>
      </c>
    </row>
    <row r="2722" spans="1:8" hidden="1" x14ac:dyDescent="0.35">
      <c r="A2722" s="29" t="s">
        <v>20</v>
      </c>
      <c r="B2722" s="29" t="str">
        <f t="shared" si="42"/>
        <v>ROS-09</v>
      </c>
      <c r="C2722" s="29" t="s">
        <v>8557</v>
      </c>
      <c r="D2722" s="67" t="s">
        <v>8558</v>
      </c>
      <c r="E2722" s="96" t="s">
        <v>62</v>
      </c>
      <c r="F2722" s="29" t="s">
        <v>61</v>
      </c>
      <c r="G2722" s="29"/>
      <c r="H2722" s="103">
        <f>_xlfn.XLOOKUP(B2722,GM!$Q$5:$Q$756,GM!$J$5:$J$756)</f>
        <v>45959</v>
      </c>
    </row>
    <row r="2723" spans="1:8" hidden="1" x14ac:dyDescent="0.35">
      <c r="A2723" s="29" t="s">
        <v>20</v>
      </c>
      <c r="B2723" s="29" t="str">
        <f t="shared" si="42"/>
        <v>ROS-09</v>
      </c>
      <c r="C2723" s="29" t="s">
        <v>8559</v>
      </c>
      <c r="D2723" s="67" t="s">
        <v>8560</v>
      </c>
      <c r="E2723" s="96" t="s">
        <v>62</v>
      </c>
      <c r="F2723" s="29" t="s">
        <v>61</v>
      </c>
      <c r="G2723" s="29"/>
      <c r="H2723" s="103">
        <f>_xlfn.XLOOKUP(B2723,GM!$Q$5:$Q$756,GM!$J$5:$J$756)</f>
        <v>45959</v>
      </c>
    </row>
    <row r="2724" spans="1:8" hidden="1" x14ac:dyDescent="0.35">
      <c r="A2724" s="29" t="s">
        <v>20</v>
      </c>
      <c r="B2724" s="29" t="str">
        <f t="shared" si="42"/>
        <v>ROS-09</v>
      </c>
      <c r="C2724" s="29" t="s">
        <v>8561</v>
      </c>
      <c r="D2724" s="67" t="s">
        <v>8562</v>
      </c>
      <c r="E2724" s="96" t="s">
        <v>62</v>
      </c>
      <c r="F2724" s="29" t="s">
        <v>61</v>
      </c>
      <c r="G2724" s="29"/>
      <c r="H2724" s="103">
        <f>_xlfn.XLOOKUP(B2724,GM!$Q$5:$Q$756,GM!$J$5:$J$756)</f>
        <v>45959</v>
      </c>
    </row>
    <row r="2725" spans="1:8" hidden="1" x14ac:dyDescent="0.35">
      <c r="A2725" s="29" t="s">
        <v>20</v>
      </c>
      <c r="B2725" s="29" t="str">
        <f t="shared" si="42"/>
        <v>ROS-09</v>
      </c>
      <c r="C2725" s="29" t="s">
        <v>8563</v>
      </c>
      <c r="D2725" s="67" t="s">
        <v>8564</v>
      </c>
      <c r="E2725" s="96" t="s">
        <v>62</v>
      </c>
      <c r="F2725" s="29" t="s">
        <v>61</v>
      </c>
      <c r="G2725" s="29"/>
      <c r="H2725" s="103">
        <f>_xlfn.XLOOKUP(B2725,GM!$Q$5:$Q$756,GM!$J$5:$J$756)</f>
        <v>45959</v>
      </c>
    </row>
    <row r="2726" spans="1:8" hidden="1" x14ac:dyDescent="0.35">
      <c r="A2726" s="29" t="s">
        <v>20</v>
      </c>
      <c r="B2726" s="29" t="str">
        <f t="shared" si="42"/>
        <v>ROS-10</v>
      </c>
      <c r="C2726" s="29" t="s">
        <v>8565</v>
      </c>
      <c r="D2726" s="67" t="s">
        <v>8566</v>
      </c>
      <c r="E2726" s="96" t="s">
        <v>62</v>
      </c>
      <c r="F2726" s="29" t="s">
        <v>61</v>
      </c>
      <c r="G2726" s="29"/>
      <c r="H2726" s="103">
        <f>_xlfn.XLOOKUP(B2726,GM!$Q$5:$Q$756,GM!$J$5:$J$756)</f>
        <v>45959</v>
      </c>
    </row>
    <row r="2727" spans="1:8" hidden="1" x14ac:dyDescent="0.35">
      <c r="A2727" s="29" t="s">
        <v>20</v>
      </c>
      <c r="B2727" s="29" t="str">
        <f t="shared" si="42"/>
        <v>ROS-10</v>
      </c>
      <c r="C2727" s="29" t="s">
        <v>8567</v>
      </c>
      <c r="D2727" s="67" t="s">
        <v>8568</v>
      </c>
      <c r="E2727" s="96" t="s">
        <v>62</v>
      </c>
      <c r="F2727" s="29" t="s">
        <v>61</v>
      </c>
      <c r="G2727" s="29"/>
      <c r="H2727" s="103">
        <f>_xlfn.XLOOKUP(B2727,GM!$Q$5:$Q$756,GM!$J$5:$J$756)</f>
        <v>45959</v>
      </c>
    </row>
    <row r="2728" spans="1:8" hidden="1" x14ac:dyDescent="0.35">
      <c r="A2728" s="29" t="s">
        <v>20</v>
      </c>
      <c r="B2728" s="29" t="str">
        <f t="shared" si="42"/>
        <v>ROS-10</v>
      </c>
      <c r="C2728" s="29" t="s">
        <v>8569</v>
      </c>
      <c r="D2728" s="67" t="s">
        <v>8570</v>
      </c>
      <c r="E2728" s="96" t="s">
        <v>62</v>
      </c>
      <c r="F2728" s="29" t="s">
        <v>61</v>
      </c>
      <c r="G2728" s="29"/>
      <c r="H2728" s="103">
        <f>_xlfn.XLOOKUP(B2728,GM!$Q$5:$Q$756,GM!$J$5:$J$756)</f>
        <v>45959</v>
      </c>
    </row>
    <row r="2729" spans="1:8" hidden="1" x14ac:dyDescent="0.35">
      <c r="A2729" s="29" t="s">
        <v>20</v>
      </c>
      <c r="B2729" s="29" t="str">
        <f t="shared" si="42"/>
        <v>ROS-10</v>
      </c>
      <c r="C2729" s="29" t="s">
        <v>8571</v>
      </c>
      <c r="D2729" s="67" t="s">
        <v>8572</v>
      </c>
      <c r="E2729" s="96" t="s">
        <v>62</v>
      </c>
      <c r="F2729" s="29" t="s">
        <v>61</v>
      </c>
      <c r="G2729" s="29"/>
      <c r="H2729" s="103">
        <f>_xlfn.XLOOKUP(B2729,GM!$Q$5:$Q$756,GM!$J$5:$J$756)</f>
        <v>45959</v>
      </c>
    </row>
    <row r="2730" spans="1:8" hidden="1" x14ac:dyDescent="0.35">
      <c r="A2730" s="29" t="s">
        <v>20</v>
      </c>
      <c r="B2730" s="29" t="str">
        <f t="shared" si="42"/>
        <v>ROS-10</v>
      </c>
      <c r="C2730" s="29" t="s">
        <v>8573</v>
      </c>
      <c r="D2730" s="67" t="s">
        <v>8574</v>
      </c>
      <c r="E2730" s="96" t="s">
        <v>62</v>
      </c>
      <c r="F2730" s="29" t="s">
        <v>61</v>
      </c>
      <c r="G2730" s="29"/>
      <c r="H2730" s="103">
        <f>_xlfn.XLOOKUP(B2730,GM!$Q$5:$Q$756,GM!$J$5:$J$756)</f>
        <v>45959</v>
      </c>
    </row>
    <row r="2731" spans="1:8" hidden="1" x14ac:dyDescent="0.35">
      <c r="A2731" s="29" t="s">
        <v>20</v>
      </c>
      <c r="B2731" s="29" t="str">
        <f t="shared" si="42"/>
        <v>ROS-10</v>
      </c>
      <c r="C2731" s="29" t="s">
        <v>8575</v>
      </c>
      <c r="D2731" s="67" t="s">
        <v>8576</v>
      </c>
      <c r="E2731" s="96" t="s">
        <v>62</v>
      </c>
      <c r="F2731" s="29" t="s">
        <v>61</v>
      </c>
      <c r="G2731" s="29"/>
      <c r="H2731" s="103">
        <f>_xlfn.XLOOKUP(B2731,GM!$Q$5:$Q$756,GM!$J$5:$J$756)</f>
        <v>45959</v>
      </c>
    </row>
    <row r="2732" spans="1:8" hidden="1" x14ac:dyDescent="0.35">
      <c r="A2732" s="29" t="s">
        <v>20</v>
      </c>
      <c r="B2732" s="29" t="str">
        <f t="shared" si="42"/>
        <v>ROS-10</v>
      </c>
      <c r="C2732" s="29" t="s">
        <v>8577</v>
      </c>
      <c r="D2732" s="67" t="s">
        <v>8578</v>
      </c>
      <c r="E2732" s="96" t="s">
        <v>62</v>
      </c>
      <c r="F2732" s="29" t="s">
        <v>61</v>
      </c>
      <c r="G2732" s="29"/>
      <c r="H2732" s="103">
        <f>_xlfn.XLOOKUP(B2732,GM!$Q$5:$Q$756,GM!$J$5:$J$756)</f>
        <v>45959</v>
      </c>
    </row>
    <row r="2733" spans="1:8" hidden="1" x14ac:dyDescent="0.35">
      <c r="A2733" s="29" t="s">
        <v>20</v>
      </c>
      <c r="B2733" s="29" t="str">
        <f t="shared" si="42"/>
        <v>ROS-10</v>
      </c>
      <c r="C2733" s="29" t="s">
        <v>8579</v>
      </c>
      <c r="D2733" s="67" t="s">
        <v>8580</v>
      </c>
      <c r="E2733" s="96" t="s">
        <v>62</v>
      </c>
      <c r="F2733" s="29" t="s">
        <v>61</v>
      </c>
      <c r="G2733" s="29"/>
      <c r="H2733" s="103">
        <f>_xlfn.XLOOKUP(B2733,GM!$Q$5:$Q$756,GM!$J$5:$J$756)</f>
        <v>45959</v>
      </c>
    </row>
    <row r="2734" spans="1:8" hidden="1" x14ac:dyDescent="0.35">
      <c r="A2734" s="29" t="s">
        <v>20</v>
      </c>
      <c r="B2734" s="29" t="str">
        <f t="shared" si="42"/>
        <v>ROS-11</v>
      </c>
      <c r="C2734" s="29" t="s">
        <v>8581</v>
      </c>
      <c r="D2734" s="67" t="s">
        <v>8582</v>
      </c>
      <c r="E2734" s="96" t="s">
        <v>62</v>
      </c>
      <c r="F2734" s="29" t="s">
        <v>61</v>
      </c>
      <c r="G2734" s="29"/>
      <c r="H2734" s="103">
        <f>_xlfn.XLOOKUP(B2734,GM!$Q$5:$Q$756,GM!$J$5:$J$756)</f>
        <v>46107</v>
      </c>
    </row>
    <row r="2735" spans="1:8" hidden="1" x14ac:dyDescent="0.35">
      <c r="A2735" s="29" t="s">
        <v>20</v>
      </c>
      <c r="B2735" s="29" t="str">
        <f t="shared" si="42"/>
        <v>ROS-11</v>
      </c>
      <c r="C2735" s="29" t="s">
        <v>8583</v>
      </c>
      <c r="D2735" s="67" t="s">
        <v>8584</v>
      </c>
      <c r="E2735" s="96" t="s">
        <v>62</v>
      </c>
      <c r="F2735" s="29" t="s">
        <v>61</v>
      </c>
      <c r="G2735" s="29"/>
      <c r="H2735" s="103">
        <f>_xlfn.XLOOKUP(B2735,GM!$Q$5:$Q$756,GM!$J$5:$J$756)</f>
        <v>46107</v>
      </c>
    </row>
    <row r="2736" spans="1:8" hidden="1" x14ac:dyDescent="0.35">
      <c r="A2736" s="29" t="s">
        <v>20</v>
      </c>
      <c r="B2736" s="29" t="str">
        <f t="shared" si="42"/>
        <v>ROS-11</v>
      </c>
      <c r="C2736" s="29" t="s">
        <v>8585</v>
      </c>
      <c r="D2736" s="67" t="s">
        <v>8586</v>
      </c>
      <c r="E2736" s="96" t="s">
        <v>62</v>
      </c>
      <c r="F2736" s="29" t="s">
        <v>61</v>
      </c>
      <c r="G2736" s="29"/>
      <c r="H2736" s="103">
        <f>_xlfn.XLOOKUP(B2736,GM!$Q$5:$Q$756,GM!$J$5:$J$756)</f>
        <v>46107</v>
      </c>
    </row>
    <row r="2737" spans="1:8" hidden="1" x14ac:dyDescent="0.35">
      <c r="A2737" s="29" t="s">
        <v>20</v>
      </c>
      <c r="B2737" s="29" t="str">
        <f t="shared" si="42"/>
        <v>ROS-11</v>
      </c>
      <c r="C2737" s="29" t="s">
        <v>8587</v>
      </c>
      <c r="D2737" s="67" t="s">
        <v>8588</v>
      </c>
      <c r="E2737" s="96" t="s">
        <v>62</v>
      </c>
      <c r="F2737" s="29" t="s">
        <v>61</v>
      </c>
      <c r="G2737" s="29"/>
      <c r="H2737" s="103">
        <f>_xlfn.XLOOKUP(B2737,GM!$Q$5:$Q$756,GM!$J$5:$J$756)</f>
        <v>46107</v>
      </c>
    </row>
    <row r="2738" spans="1:8" hidden="1" x14ac:dyDescent="0.35">
      <c r="A2738" s="29" t="s">
        <v>20</v>
      </c>
      <c r="B2738" s="29" t="str">
        <f t="shared" si="42"/>
        <v>ROS-12</v>
      </c>
      <c r="C2738" s="29" t="s">
        <v>8589</v>
      </c>
      <c r="D2738" s="67" t="s">
        <v>8590</v>
      </c>
      <c r="E2738" s="96" t="s">
        <v>62</v>
      </c>
      <c r="F2738" s="29" t="s">
        <v>61</v>
      </c>
      <c r="G2738" s="29"/>
      <c r="H2738" s="103">
        <f>_xlfn.XLOOKUP(B2738,GM!$Q$5:$Q$756,GM!$J$5:$J$756)</f>
        <v>46107</v>
      </c>
    </row>
    <row r="2739" spans="1:8" hidden="1" x14ac:dyDescent="0.35">
      <c r="A2739" s="29" t="s">
        <v>20</v>
      </c>
      <c r="B2739" s="29" t="str">
        <f t="shared" si="42"/>
        <v>ROS-13</v>
      </c>
      <c r="C2739" s="29" t="s">
        <v>8591</v>
      </c>
      <c r="D2739" s="67" t="s">
        <v>8592</v>
      </c>
      <c r="E2739" s="96" t="s">
        <v>62</v>
      </c>
      <c r="F2739" s="29" t="s">
        <v>61</v>
      </c>
      <c r="G2739" s="29"/>
      <c r="H2739" s="103">
        <f>_xlfn.XLOOKUP(B2739,GM!$Q$5:$Q$756,GM!$J$5:$J$756)</f>
        <v>46107</v>
      </c>
    </row>
    <row r="2740" spans="1:8" hidden="1" x14ac:dyDescent="0.35">
      <c r="A2740" s="29" t="s">
        <v>20</v>
      </c>
      <c r="B2740" s="29" t="str">
        <f t="shared" si="42"/>
        <v>ROS-13</v>
      </c>
      <c r="C2740" s="29" t="s">
        <v>8593</v>
      </c>
      <c r="D2740" s="67" t="s">
        <v>8594</v>
      </c>
      <c r="E2740" s="96" t="s">
        <v>62</v>
      </c>
      <c r="F2740" s="29" t="s">
        <v>61</v>
      </c>
      <c r="G2740" s="29"/>
      <c r="H2740" s="103">
        <f>_xlfn.XLOOKUP(B2740,GM!$Q$5:$Q$756,GM!$J$5:$J$756)</f>
        <v>46107</v>
      </c>
    </row>
    <row r="2741" spans="1:8" hidden="1" x14ac:dyDescent="0.35">
      <c r="A2741" s="29" t="s">
        <v>20</v>
      </c>
      <c r="B2741" s="29" t="str">
        <f t="shared" si="42"/>
        <v>ROS-13</v>
      </c>
      <c r="C2741" s="29" t="s">
        <v>8595</v>
      </c>
      <c r="D2741" s="67" t="s">
        <v>8596</v>
      </c>
      <c r="E2741" s="96" t="s">
        <v>62</v>
      </c>
      <c r="F2741" s="29" t="s">
        <v>61</v>
      </c>
      <c r="G2741" s="29"/>
      <c r="H2741" s="103">
        <f>_xlfn.XLOOKUP(B2741,GM!$Q$5:$Q$756,GM!$J$5:$J$756)</f>
        <v>46107</v>
      </c>
    </row>
    <row r="2742" spans="1:8" hidden="1" x14ac:dyDescent="0.35">
      <c r="A2742" s="29" t="s">
        <v>20</v>
      </c>
      <c r="B2742" s="29" t="str">
        <f t="shared" si="42"/>
        <v>ROS-13</v>
      </c>
      <c r="C2742" s="29" t="s">
        <v>8597</v>
      </c>
      <c r="D2742" s="67" t="s">
        <v>8598</v>
      </c>
      <c r="E2742" s="96" t="s">
        <v>62</v>
      </c>
      <c r="F2742" s="29" t="s">
        <v>61</v>
      </c>
      <c r="G2742" s="29"/>
      <c r="H2742" s="103">
        <f>_xlfn.XLOOKUP(B2742,GM!$Q$5:$Q$756,GM!$J$5:$J$756)</f>
        <v>46107</v>
      </c>
    </row>
    <row r="2743" spans="1:8" hidden="1" x14ac:dyDescent="0.35">
      <c r="A2743" s="29" t="s">
        <v>20</v>
      </c>
      <c r="B2743" s="29" t="str">
        <f t="shared" si="42"/>
        <v>ROS-13</v>
      </c>
      <c r="C2743" s="29" t="s">
        <v>8599</v>
      </c>
      <c r="D2743" s="67" t="s">
        <v>8600</v>
      </c>
      <c r="E2743" s="96" t="s">
        <v>62</v>
      </c>
      <c r="F2743" s="29" t="s">
        <v>61</v>
      </c>
      <c r="G2743" s="29"/>
      <c r="H2743" s="103">
        <f>_xlfn.XLOOKUP(B2743,GM!$Q$5:$Q$756,GM!$J$5:$J$756)</f>
        <v>46107</v>
      </c>
    </row>
    <row r="2744" spans="1:8" hidden="1" x14ac:dyDescent="0.35">
      <c r="A2744" s="29" t="s">
        <v>20</v>
      </c>
      <c r="B2744" s="29" t="str">
        <f t="shared" si="42"/>
        <v>ROS-13</v>
      </c>
      <c r="C2744" s="29" t="s">
        <v>8601</v>
      </c>
      <c r="D2744" s="67" t="s">
        <v>8602</v>
      </c>
      <c r="E2744" s="96" t="s">
        <v>62</v>
      </c>
      <c r="F2744" s="29" t="s">
        <v>61</v>
      </c>
      <c r="G2744" s="29"/>
      <c r="H2744" s="103">
        <f>_xlfn.XLOOKUP(B2744,GM!$Q$5:$Q$756,GM!$J$5:$J$756)</f>
        <v>46107</v>
      </c>
    </row>
    <row r="2745" spans="1:8" hidden="1" x14ac:dyDescent="0.35">
      <c r="A2745" s="29" t="s">
        <v>20</v>
      </c>
      <c r="B2745" s="29" t="str">
        <f t="shared" si="42"/>
        <v>ROS-14</v>
      </c>
      <c r="C2745" s="29" t="s">
        <v>8603</v>
      </c>
      <c r="D2745" s="67" t="s">
        <v>8604</v>
      </c>
      <c r="E2745" s="96" t="s">
        <v>62</v>
      </c>
      <c r="F2745" s="29" t="s">
        <v>61</v>
      </c>
      <c r="G2745" s="29"/>
      <c r="H2745" s="103">
        <f>_xlfn.XLOOKUP(B2745,GM!$Q$5:$Q$756,GM!$J$5:$J$756)</f>
        <v>45202</v>
      </c>
    </row>
    <row r="2746" spans="1:8" hidden="1" x14ac:dyDescent="0.35">
      <c r="A2746" s="29" t="s">
        <v>20</v>
      </c>
      <c r="B2746" s="29" t="str">
        <f t="shared" si="42"/>
        <v>ROS-15</v>
      </c>
      <c r="C2746" s="29" t="s">
        <v>8605</v>
      </c>
      <c r="D2746" s="67" t="s">
        <v>8606</v>
      </c>
      <c r="E2746" s="96" t="s">
        <v>62</v>
      </c>
      <c r="F2746" s="29" t="s">
        <v>61</v>
      </c>
      <c r="G2746" s="29"/>
      <c r="H2746" s="103">
        <f>_xlfn.XLOOKUP(B2746,GM!$Q$5:$Q$756,GM!$J$5:$J$756)</f>
        <v>46107</v>
      </c>
    </row>
    <row r="2747" spans="1:8" hidden="1" x14ac:dyDescent="0.35">
      <c r="A2747" s="29" t="s">
        <v>20</v>
      </c>
      <c r="B2747" s="29" t="str">
        <f t="shared" si="42"/>
        <v>ROS-15</v>
      </c>
      <c r="C2747" s="29" t="s">
        <v>8607</v>
      </c>
      <c r="D2747" s="67" t="s">
        <v>8608</v>
      </c>
      <c r="E2747" s="96" t="s">
        <v>62</v>
      </c>
      <c r="F2747" s="29" t="s">
        <v>61</v>
      </c>
      <c r="G2747" s="29"/>
      <c r="H2747" s="103">
        <f>_xlfn.XLOOKUP(B2747,GM!$Q$5:$Q$756,GM!$J$5:$J$756)</f>
        <v>46107</v>
      </c>
    </row>
    <row r="2748" spans="1:8" hidden="1" x14ac:dyDescent="0.35">
      <c r="A2748" s="29" t="s">
        <v>20</v>
      </c>
      <c r="B2748" s="29" t="str">
        <f t="shared" si="42"/>
        <v>ROS-15</v>
      </c>
      <c r="C2748" s="29" t="s">
        <v>8609</v>
      </c>
      <c r="D2748" s="67" t="s">
        <v>8610</v>
      </c>
      <c r="E2748" s="96" t="s">
        <v>62</v>
      </c>
      <c r="F2748" s="29" t="s">
        <v>61</v>
      </c>
      <c r="G2748" s="29"/>
      <c r="H2748" s="103">
        <f>_xlfn.XLOOKUP(B2748,GM!$Q$5:$Q$756,GM!$J$5:$J$756)</f>
        <v>46107</v>
      </c>
    </row>
    <row r="2749" spans="1:8" hidden="1" x14ac:dyDescent="0.35">
      <c r="A2749" s="29" t="s">
        <v>20</v>
      </c>
      <c r="B2749" s="29" t="str">
        <f t="shared" si="42"/>
        <v>ROS-15</v>
      </c>
      <c r="C2749" s="29" t="s">
        <v>8611</v>
      </c>
      <c r="D2749" s="67" t="s">
        <v>8612</v>
      </c>
      <c r="E2749" s="96" t="s">
        <v>62</v>
      </c>
      <c r="F2749" s="29" t="s">
        <v>61</v>
      </c>
      <c r="G2749" s="29"/>
      <c r="H2749" s="103">
        <f>_xlfn.XLOOKUP(B2749,GM!$Q$5:$Q$756,GM!$J$5:$J$756)</f>
        <v>46107</v>
      </c>
    </row>
    <row r="2750" spans="1:8" hidden="1" x14ac:dyDescent="0.35">
      <c r="A2750" s="29" t="s">
        <v>20</v>
      </c>
      <c r="B2750" s="29" t="str">
        <f t="shared" si="42"/>
        <v>ROS-15</v>
      </c>
      <c r="C2750" s="29" t="s">
        <v>8613</v>
      </c>
      <c r="D2750" s="67" t="s">
        <v>8614</v>
      </c>
      <c r="E2750" s="96" t="s">
        <v>62</v>
      </c>
      <c r="F2750" s="29" t="s">
        <v>61</v>
      </c>
      <c r="G2750" s="29"/>
      <c r="H2750" s="103">
        <f>_xlfn.XLOOKUP(B2750,GM!$Q$5:$Q$756,GM!$J$5:$J$756)</f>
        <v>46107</v>
      </c>
    </row>
    <row r="2751" spans="1:8" hidden="1" x14ac:dyDescent="0.35">
      <c r="A2751" s="29" t="s">
        <v>20</v>
      </c>
      <c r="B2751" s="29" t="str">
        <f t="shared" si="42"/>
        <v>ROS-15</v>
      </c>
      <c r="C2751" s="29" t="s">
        <v>8615</v>
      </c>
      <c r="D2751" s="67" t="s">
        <v>8616</v>
      </c>
      <c r="E2751" s="96" t="s">
        <v>62</v>
      </c>
      <c r="F2751" s="29" t="s">
        <v>61</v>
      </c>
      <c r="G2751" s="29"/>
      <c r="H2751" s="103">
        <f>_xlfn.XLOOKUP(B2751,GM!$Q$5:$Q$756,GM!$J$5:$J$756)</f>
        <v>46107</v>
      </c>
    </row>
    <row r="2752" spans="1:8" hidden="1" x14ac:dyDescent="0.35">
      <c r="A2752" s="29" t="s">
        <v>20</v>
      </c>
      <c r="B2752" s="29" t="str">
        <f t="shared" si="42"/>
        <v>ROS-15</v>
      </c>
      <c r="C2752" s="29" t="s">
        <v>8617</v>
      </c>
      <c r="D2752" s="67" t="s">
        <v>8618</v>
      </c>
      <c r="E2752" s="96" t="s">
        <v>62</v>
      </c>
      <c r="F2752" s="29" t="s">
        <v>61</v>
      </c>
      <c r="G2752" s="29"/>
      <c r="H2752" s="103">
        <f>_xlfn.XLOOKUP(B2752,GM!$Q$5:$Q$756,GM!$J$5:$J$756)</f>
        <v>46107</v>
      </c>
    </row>
    <row r="2753" spans="1:8" hidden="1" x14ac:dyDescent="0.35">
      <c r="A2753" s="29" t="s">
        <v>20</v>
      </c>
      <c r="B2753" s="29" t="str">
        <f t="shared" si="42"/>
        <v>ROS-15</v>
      </c>
      <c r="C2753" s="29" t="s">
        <v>8619</v>
      </c>
      <c r="D2753" s="67" t="s">
        <v>8620</v>
      </c>
      <c r="E2753" s="96" t="s">
        <v>62</v>
      </c>
      <c r="F2753" s="29" t="s">
        <v>61</v>
      </c>
      <c r="G2753" s="29"/>
      <c r="H2753" s="103">
        <f>_xlfn.XLOOKUP(B2753,GM!$Q$5:$Q$756,GM!$J$5:$J$756)</f>
        <v>46107</v>
      </c>
    </row>
    <row r="2754" spans="1:8" hidden="1" x14ac:dyDescent="0.35">
      <c r="A2754" s="29" t="s">
        <v>20</v>
      </c>
      <c r="B2754" s="29" t="str">
        <f t="shared" si="42"/>
        <v>ROS-15</v>
      </c>
      <c r="C2754" s="29" t="s">
        <v>8621</v>
      </c>
      <c r="D2754" s="67" t="s">
        <v>8622</v>
      </c>
      <c r="E2754" s="96" t="s">
        <v>62</v>
      </c>
      <c r="F2754" s="29" t="s">
        <v>61</v>
      </c>
      <c r="G2754" s="29"/>
      <c r="H2754" s="103">
        <f>_xlfn.XLOOKUP(B2754,GM!$Q$5:$Q$756,GM!$J$5:$J$756)</f>
        <v>46107</v>
      </c>
    </row>
    <row r="2755" spans="1:8" hidden="1" x14ac:dyDescent="0.35">
      <c r="A2755" s="29" t="s">
        <v>20</v>
      </c>
      <c r="B2755" s="29" t="str">
        <f t="shared" si="42"/>
        <v>ROS-15</v>
      </c>
      <c r="C2755" s="29" t="s">
        <v>8623</v>
      </c>
      <c r="D2755" s="67" t="s">
        <v>8624</v>
      </c>
      <c r="E2755" s="96" t="s">
        <v>62</v>
      </c>
      <c r="F2755" s="29" t="s">
        <v>61</v>
      </c>
      <c r="G2755" s="29"/>
      <c r="H2755" s="103">
        <f>_xlfn.XLOOKUP(B2755,GM!$Q$5:$Q$756,GM!$J$5:$J$756)</f>
        <v>46107</v>
      </c>
    </row>
    <row r="2756" spans="1:8" hidden="1" x14ac:dyDescent="0.35">
      <c r="A2756" s="29" t="s">
        <v>20</v>
      </c>
      <c r="B2756" s="29" t="str">
        <f t="shared" si="42"/>
        <v>ROS-15</v>
      </c>
      <c r="C2756" s="29" t="s">
        <v>8625</v>
      </c>
      <c r="D2756" s="67" t="s">
        <v>8626</v>
      </c>
      <c r="E2756" s="96" t="s">
        <v>62</v>
      </c>
      <c r="F2756" s="29" t="s">
        <v>61</v>
      </c>
      <c r="G2756" s="29"/>
      <c r="H2756" s="103">
        <f>_xlfn.XLOOKUP(B2756,GM!$Q$5:$Q$756,GM!$J$5:$J$756)</f>
        <v>46107</v>
      </c>
    </row>
    <row r="2757" spans="1:8" hidden="1" x14ac:dyDescent="0.35">
      <c r="A2757" s="29" t="s">
        <v>20</v>
      </c>
      <c r="B2757" s="29" t="str">
        <f t="shared" ref="B2757:B2820" si="43">IF(OR(A2757="ARN",A2757="SDP"),MID(C2757,4,7),MID(C2757,4,6))</f>
        <v>ROS-15</v>
      </c>
      <c r="C2757" s="29" t="s">
        <v>8627</v>
      </c>
      <c r="D2757" s="67" t="s">
        <v>8628</v>
      </c>
      <c r="E2757" s="96" t="s">
        <v>62</v>
      </c>
      <c r="F2757" s="29" t="s">
        <v>61</v>
      </c>
      <c r="G2757" s="29"/>
      <c r="H2757" s="103">
        <f>_xlfn.XLOOKUP(B2757,GM!$Q$5:$Q$756,GM!$J$5:$J$756)</f>
        <v>46107</v>
      </c>
    </row>
    <row r="2758" spans="1:8" hidden="1" x14ac:dyDescent="0.35">
      <c r="A2758" s="29" t="s">
        <v>20</v>
      </c>
      <c r="B2758" s="29" t="str">
        <f t="shared" si="43"/>
        <v>ROS-15</v>
      </c>
      <c r="C2758" s="29" t="s">
        <v>8629</v>
      </c>
      <c r="D2758" s="67" t="s">
        <v>8630</v>
      </c>
      <c r="E2758" s="96" t="s">
        <v>62</v>
      </c>
      <c r="F2758" s="29" t="s">
        <v>61</v>
      </c>
      <c r="G2758" s="29"/>
      <c r="H2758" s="103">
        <f>_xlfn.XLOOKUP(B2758,GM!$Q$5:$Q$756,GM!$J$5:$J$756)</f>
        <v>46107</v>
      </c>
    </row>
    <row r="2759" spans="1:8" hidden="1" x14ac:dyDescent="0.35">
      <c r="A2759" s="29" t="s">
        <v>20</v>
      </c>
      <c r="B2759" s="29" t="str">
        <f t="shared" si="43"/>
        <v>ROS-15</v>
      </c>
      <c r="C2759" s="29" t="s">
        <v>8631</v>
      </c>
      <c r="D2759" s="67" t="s">
        <v>8632</v>
      </c>
      <c r="E2759" s="96" t="s">
        <v>62</v>
      </c>
      <c r="F2759" s="29" t="s">
        <v>61</v>
      </c>
      <c r="G2759" s="29"/>
      <c r="H2759" s="103">
        <f>_xlfn.XLOOKUP(B2759,GM!$Q$5:$Q$756,GM!$J$5:$J$756)</f>
        <v>46107</v>
      </c>
    </row>
    <row r="2760" spans="1:8" hidden="1" x14ac:dyDescent="0.35">
      <c r="A2760" s="29" t="s">
        <v>20</v>
      </c>
      <c r="B2760" s="29" t="str">
        <f t="shared" si="43"/>
        <v>ROS-15</v>
      </c>
      <c r="C2760" s="29" t="s">
        <v>8633</v>
      </c>
      <c r="D2760" s="67" t="s">
        <v>8634</v>
      </c>
      <c r="E2760" s="96" t="s">
        <v>62</v>
      </c>
      <c r="F2760" s="29" t="s">
        <v>61</v>
      </c>
      <c r="G2760" s="29"/>
      <c r="H2760" s="103">
        <f>_xlfn.XLOOKUP(B2760,GM!$Q$5:$Q$756,GM!$J$5:$J$756)</f>
        <v>46107</v>
      </c>
    </row>
    <row r="2761" spans="1:8" hidden="1" x14ac:dyDescent="0.35">
      <c r="A2761" s="29" t="s">
        <v>20</v>
      </c>
      <c r="B2761" s="29" t="str">
        <f t="shared" si="43"/>
        <v>ROS-15</v>
      </c>
      <c r="C2761" s="29" t="s">
        <v>8635</v>
      </c>
      <c r="D2761" s="67" t="s">
        <v>8636</v>
      </c>
      <c r="E2761" s="96" t="s">
        <v>62</v>
      </c>
      <c r="F2761" s="29" t="s">
        <v>61</v>
      </c>
      <c r="G2761" s="29"/>
      <c r="H2761" s="103">
        <f>_xlfn.XLOOKUP(B2761,GM!$Q$5:$Q$756,GM!$J$5:$J$756)</f>
        <v>46107</v>
      </c>
    </row>
    <row r="2762" spans="1:8" hidden="1" x14ac:dyDescent="0.35">
      <c r="A2762" s="29" t="s">
        <v>20</v>
      </c>
      <c r="B2762" s="29" t="str">
        <f t="shared" si="43"/>
        <v>ROS-15</v>
      </c>
      <c r="C2762" s="29" t="s">
        <v>8637</v>
      </c>
      <c r="D2762" s="67" t="s">
        <v>8638</v>
      </c>
      <c r="E2762" s="96" t="s">
        <v>62</v>
      </c>
      <c r="F2762" s="29" t="s">
        <v>61</v>
      </c>
      <c r="G2762" s="29"/>
      <c r="H2762" s="103">
        <f>_xlfn.XLOOKUP(B2762,GM!$Q$5:$Q$756,GM!$J$5:$J$756)</f>
        <v>46107</v>
      </c>
    </row>
    <row r="2763" spans="1:8" hidden="1" x14ac:dyDescent="0.35">
      <c r="A2763" s="29" t="s">
        <v>20</v>
      </c>
      <c r="B2763" s="29" t="str">
        <f t="shared" si="43"/>
        <v>ROS-15</v>
      </c>
      <c r="C2763" s="29" t="s">
        <v>8639</v>
      </c>
      <c r="D2763" s="67" t="s">
        <v>8640</v>
      </c>
      <c r="E2763" s="96" t="s">
        <v>62</v>
      </c>
      <c r="F2763" s="29" t="s">
        <v>61</v>
      </c>
      <c r="G2763" s="29"/>
      <c r="H2763" s="103">
        <f>_xlfn.XLOOKUP(B2763,GM!$Q$5:$Q$756,GM!$J$5:$J$756)</f>
        <v>46107</v>
      </c>
    </row>
    <row r="2764" spans="1:8" hidden="1" x14ac:dyDescent="0.35">
      <c r="A2764" s="29" t="s">
        <v>20</v>
      </c>
      <c r="B2764" s="29" t="str">
        <f t="shared" si="43"/>
        <v>ROS-15</v>
      </c>
      <c r="C2764" s="29" t="s">
        <v>8641</v>
      </c>
      <c r="D2764" s="67" t="s">
        <v>8642</v>
      </c>
      <c r="E2764" s="96" t="s">
        <v>62</v>
      </c>
      <c r="F2764" s="29" t="s">
        <v>61</v>
      </c>
      <c r="G2764" s="29"/>
      <c r="H2764" s="103">
        <f>_xlfn.XLOOKUP(B2764,GM!$Q$5:$Q$756,GM!$J$5:$J$756)</f>
        <v>46107</v>
      </c>
    </row>
    <row r="2765" spans="1:8" hidden="1" x14ac:dyDescent="0.35">
      <c r="A2765" s="29" t="s">
        <v>20</v>
      </c>
      <c r="B2765" s="29" t="str">
        <f t="shared" si="43"/>
        <v>ROS-15</v>
      </c>
      <c r="C2765" s="29" t="s">
        <v>8643</v>
      </c>
      <c r="D2765" s="67" t="s">
        <v>8644</v>
      </c>
      <c r="E2765" s="96" t="s">
        <v>62</v>
      </c>
      <c r="F2765" s="29" t="s">
        <v>61</v>
      </c>
      <c r="G2765" s="29"/>
      <c r="H2765" s="103">
        <f>_xlfn.XLOOKUP(B2765,GM!$Q$5:$Q$756,GM!$J$5:$J$756)</f>
        <v>46107</v>
      </c>
    </row>
    <row r="2766" spans="1:8" hidden="1" x14ac:dyDescent="0.35">
      <c r="A2766" s="29" t="s">
        <v>20</v>
      </c>
      <c r="B2766" s="29" t="str">
        <f t="shared" si="43"/>
        <v>ROS-15</v>
      </c>
      <c r="C2766" s="29" t="s">
        <v>8645</v>
      </c>
      <c r="D2766" s="67" t="s">
        <v>8646</v>
      </c>
      <c r="E2766" s="96" t="s">
        <v>62</v>
      </c>
      <c r="F2766" s="29" t="s">
        <v>61</v>
      </c>
      <c r="G2766" s="29"/>
      <c r="H2766" s="103">
        <f>_xlfn.XLOOKUP(B2766,GM!$Q$5:$Q$756,GM!$J$5:$J$756)</f>
        <v>46107</v>
      </c>
    </row>
    <row r="2767" spans="1:8" hidden="1" x14ac:dyDescent="0.35">
      <c r="A2767" s="29" t="s">
        <v>20</v>
      </c>
      <c r="B2767" s="29" t="str">
        <f t="shared" si="43"/>
        <v>ROS-15</v>
      </c>
      <c r="C2767" s="29" t="s">
        <v>8647</v>
      </c>
      <c r="D2767" s="67" t="s">
        <v>8648</v>
      </c>
      <c r="E2767" s="96" t="s">
        <v>62</v>
      </c>
      <c r="F2767" s="29" t="s">
        <v>61</v>
      </c>
      <c r="G2767" s="29"/>
      <c r="H2767" s="103">
        <f>_xlfn.XLOOKUP(B2767,GM!$Q$5:$Q$756,GM!$J$5:$J$756)</f>
        <v>46107</v>
      </c>
    </row>
    <row r="2768" spans="1:8" hidden="1" x14ac:dyDescent="0.35">
      <c r="A2768" s="29" t="s">
        <v>20</v>
      </c>
      <c r="B2768" s="29" t="str">
        <f t="shared" si="43"/>
        <v>ROS-15</v>
      </c>
      <c r="C2768" s="29" t="s">
        <v>8649</v>
      </c>
      <c r="D2768" s="67" t="s">
        <v>8650</v>
      </c>
      <c r="E2768" s="96" t="s">
        <v>62</v>
      </c>
      <c r="F2768" s="29" t="s">
        <v>61</v>
      </c>
      <c r="G2768" s="29"/>
      <c r="H2768" s="103">
        <f>_xlfn.XLOOKUP(B2768,GM!$Q$5:$Q$756,GM!$J$5:$J$756)</f>
        <v>46107</v>
      </c>
    </row>
    <row r="2769" spans="1:8" hidden="1" x14ac:dyDescent="0.35">
      <c r="A2769" s="29" t="s">
        <v>20</v>
      </c>
      <c r="B2769" s="29" t="str">
        <f t="shared" si="43"/>
        <v>ROS-15</v>
      </c>
      <c r="C2769" s="29" t="s">
        <v>8651</v>
      </c>
      <c r="D2769" s="67" t="s">
        <v>8652</v>
      </c>
      <c r="E2769" s="96" t="s">
        <v>62</v>
      </c>
      <c r="F2769" s="29" t="s">
        <v>61</v>
      </c>
      <c r="G2769" s="29"/>
      <c r="H2769" s="103">
        <f>_xlfn.XLOOKUP(B2769,GM!$Q$5:$Q$756,GM!$J$5:$J$756)</f>
        <v>46107</v>
      </c>
    </row>
    <row r="2770" spans="1:8" hidden="1" x14ac:dyDescent="0.35">
      <c r="A2770" s="29" t="s">
        <v>20</v>
      </c>
      <c r="B2770" s="29" t="str">
        <f t="shared" si="43"/>
        <v>ROS-15</v>
      </c>
      <c r="C2770" s="29" t="s">
        <v>8653</v>
      </c>
      <c r="D2770" s="67" t="s">
        <v>8654</v>
      </c>
      <c r="E2770" s="96" t="s">
        <v>62</v>
      </c>
      <c r="F2770" s="29" t="s">
        <v>61</v>
      </c>
      <c r="G2770" s="29"/>
      <c r="H2770" s="103">
        <f>_xlfn.XLOOKUP(B2770,GM!$Q$5:$Q$756,GM!$J$5:$J$756)</f>
        <v>46107</v>
      </c>
    </row>
    <row r="2771" spans="1:8" hidden="1" x14ac:dyDescent="0.35">
      <c r="A2771" s="29" t="s">
        <v>20</v>
      </c>
      <c r="B2771" s="29" t="str">
        <f t="shared" si="43"/>
        <v>ROS-17</v>
      </c>
      <c r="C2771" s="29" t="s">
        <v>8655</v>
      </c>
      <c r="D2771" s="67" t="s">
        <v>8656</v>
      </c>
      <c r="E2771" s="96" t="s">
        <v>62</v>
      </c>
      <c r="F2771" s="29" t="s">
        <v>61</v>
      </c>
      <c r="G2771" s="29"/>
      <c r="H2771" s="103">
        <f>_xlfn.XLOOKUP(B2771,GM!$Q$5:$Q$756,GM!$J$5:$J$756)</f>
        <v>45202</v>
      </c>
    </row>
    <row r="2772" spans="1:8" hidden="1" x14ac:dyDescent="0.35">
      <c r="A2772" s="29" t="s">
        <v>20</v>
      </c>
      <c r="B2772" s="29" t="str">
        <f t="shared" si="43"/>
        <v>ROS-17</v>
      </c>
      <c r="C2772" s="29" t="s">
        <v>8657</v>
      </c>
      <c r="D2772" s="67" t="s">
        <v>8658</v>
      </c>
      <c r="E2772" s="96" t="s">
        <v>62</v>
      </c>
      <c r="F2772" s="29" t="s">
        <v>61</v>
      </c>
      <c r="G2772" s="29"/>
      <c r="H2772" s="103">
        <f>_xlfn.XLOOKUP(B2772,GM!$Q$5:$Q$756,GM!$J$5:$J$756)</f>
        <v>45202</v>
      </c>
    </row>
    <row r="2773" spans="1:8" hidden="1" x14ac:dyDescent="0.35">
      <c r="A2773" s="29" t="s">
        <v>20</v>
      </c>
      <c r="B2773" s="29" t="str">
        <f t="shared" si="43"/>
        <v>ROS-17</v>
      </c>
      <c r="C2773" s="29" t="s">
        <v>8659</v>
      </c>
      <c r="D2773" s="67" t="s">
        <v>8660</v>
      </c>
      <c r="E2773" s="96" t="s">
        <v>62</v>
      </c>
      <c r="F2773" s="29" t="s">
        <v>61</v>
      </c>
      <c r="G2773" s="29"/>
      <c r="H2773" s="103">
        <f>_xlfn.XLOOKUP(B2773,GM!$Q$5:$Q$756,GM!$J$5:$J$756)</f>
        <v>45202</v>
      </c>
    </row>
    <row r="2774" spans="1:8" hidden="1" x14ac:dyDescent="0.35">
      <c r="A2774" s="29" t="s">
        <v>20</v>
      </c>
      <c r="B2774" s="29" t="str">
        <f t="shared" si="43"/>
        <v>ROS-17</v>
      </c>
      <c r="C2774" s="29" t="s">
        <v>8661</v>
      </c>
      <c r="D2774" s="67" t="s">
        <v>8662</v>
      </c>
      <c r="E2774" s="96" t="s">
        <v>62</v>
      </c>
      <c r="F2774" s="29" t="s">
        <v>61</v>
      </c>
      <c r="G2774" s="29"/>
      <c r="H2774" s="103">
        <f>_xlfn.XLOOKUP(B2774,GM!$Q$5:$Q$756,GM!$J$5:$J$756)</f>
        <v>45202</v>
      </c>
    </row>
    <row r="2775" spans="1:8" hidden="1" x14ac:dyDescent="0.35">
      <c r="A2775" s="29" t="s">
        <v>20</v>
      </c>
      <c r="B2775" s="29" t="str">
        <f t="shared" si="43"/>
        <v>ROS-17</v>
      </c>
      <c r="C2775" s="29" t="s">
        <v>8663</v>
      </c>
      <c r="D2775" s="67" t="s">
        <v>8664</v>
      </c>
      <c r="E2775" s="96" t="s">
        <v>62</v>
      </c>
      <c r="F2775" s="29" t="s">
        <v>61</v>
      </c>
      <c r="G2775" s="29"/>
      <c r="H2775" s="103">
        <f>_xlfn.XLOOKUP(B2775,GM!$Q$5:$Q$756,GM!$J$5:$J$756)</f>
        <v>45202</v>
      </c>
    </row>
    <row r="2776" spans="1:8" hidden="1" x14ac:dyDescent="0.35">
      <c r="A2776" s="29" t="s">
        <v>20</v>
      </c>
      <c r="B2776" s="29" t="str">
        <f t="shared" si="43"/>
        <v>ROS-17</v>
      </c>
      <c r="C2776" s="29" t="s">
        <v>8665</v>
      </c>
      <c r="D2776" s="67" t="s">
        <v>8666</v>
      </c>
      <c r="E2776" s="96" t="s">
        <v>62</v>
      </c>
      <c r="F2776" s="29" t="s">
        <v>61</v>
      </c>
      <c r="G2776" s="29"/>
      <c r="H2776" s="103">
        <f>_xlfn.XLOOKUP(B2776,GM!$Q$5:$Q$756,GM!$J$5:$J$756)</f>
        <v>45202</v>
      </c>
    </row>
    <row r="2777" spans="1:8" hidden="1" x14ac:dyDescent="0.35">
      <c r="A2777" s="29" t="s">
        <v>20</v>
      </c>
      <c r="B2777" s="29" t="str">
        <f t="shared" si="43"/>
        <v>ROS-18</v>
      </c>
      <c r="C2777" s="29" t="s">
        <v>8667</v>
      </c>
      <c r="D2777" s="67" t="s">
        <v>8668</v>
      </c>
      <c r="E2777" s="96" t="s">
        <v>62</v>
      </c>
      <c r="F2777" s="29" t="s">
        <v>61</v>
      </c>
      <c r="G2777" s="29"/>
      <c r="H2777" s="103">
        <f>_xlfn.XLOOKUP(B2777,GM!$Q$5:$Q$756,GM!$J$5:$J$756)</f>
        <v>45645</v>
      </c>
    </row>
    <row r="2778" spans="1:8" hidden="1" x14ac:dyDescent="0.35">
      <c r="A2778" s="29" t="s">
        <v>20</v>
      </c>
      <c r="B2778" s="29" t="str">
        <f t="shared" si="43"/>
        <v>ROS-18</v>
      </c>
      <c r="C2778" s="29" t="s">
        <v>8669</v>
      </c>
      <c r="D2778" s="67" t="s">
        <v>8670</v>
      </c>
      <c r="E2778" s="96" t="s">
        <v>62</v>
      </c>
      <c r="F2778" s="29" t="s">
        <v>61</v>
      </c>
      <c r="G2778" s="29"/>
      <c r="H2778" s="103">
        <f>_xlfn.XLOOKUP(B2778,GM!$Q$5:$Q$756,GM!$J$5:$J$756)</f>
        <v>45645</v>
      </c>
    </row>
    <row r="2779" spans="1:8" hidden="1" x14ac:dyDescent="0.35">
      <c r="A2779" s="29" t="s">
        <v>20</v>
      </c>
      <c r="B2779" s="29" t="str">
        <f t="shared" si="43"/>
        <v>ROS-18</v>
      </c>
      <c r="C2779" s="29" t="s">
        <v>8671</v>
      </c>
      <c r="D2779" s="67" t="s">
        <v>8672</v>
      </c>
      <c r="E2779" s="96" t="s">
        <v>62</v>
      </c>
      <c r="F2779" s="29" t="s">
        <v>61</v>
      </c>
      <c r="G2779" s="29"/>
      <c r="H2779" s="103">
        <f>_xlfn.XLOOKUP(B2779,GM!$Q$5:$Q$756,GM!$J$5:$J$756)</f>
        <v>45645</v>
      </c>
    </row>
    <row r="2780" spans="1:8" hidden="1" x14ac:dyDescent="0.35">
      <c r="A2780" s="29" t="s">
        <v>20</v>
      </c>
      <c r="B2780" s="29" t="str">
        <f t="shared" si="43"/>
        <v>ROS-18</v>
      </c>
      <c r="C2780" s="29" t="s">
        <v>8673</v>
      </c>
      <c r="D2780" s="67" t="s">
        <v>8674</v>
      </c>
      <c r="E2780" s="96" t="s">
        <v>62</v>
      </c>
      <c r="F2780" s="29" t="s">
        <v>61</v>
      </c>
      <c r="G2780" s="29"/>
      <c r="H2780" s="103">
        <f>_xlfn.XLOOKUP(B2780,GM!$Q$5:$Q$756,GM!$J$5:$J$756)</f>
        <v>45645</v>
      </c>
    </row>
    <row r="2781" spans="1:8" hidden="1" x14ac:dyDescent="0.35">
      <c r="A2781" s="29" t="s">
        <v>20</v>
      </c>
      <c r="B2781" s="29" t="str">
        <f t="shared" si="43"/>
        <v>ROS-18</v>
      </c>
      <c r="C2781" s="29" t="s">
        <v>8675</v>
      </c>
      <c r="D2781" s="67" t="s">
        <v>8676</v>
      </c>
      <c r="E2781" s="96" t="s">
        <v>62</v>
      </c>
      <c r="F2781" s="29" t="s">
        <v>61</v>
      </c>
      <c r="G2781" s="29"/>
      <c r="H2781" s="103">
        <f>_xlfn.XLOOKUP(B2781,GM!$Q$5:$Q$756,GM!$J$5:$J$756)</f>
        <v>45645</v>
      </c>
    </row>
    <row r="2782" spans="1:8" hidden="1" x14ac:dyDescent="0.35">
      <c r="A2782" s="29" t="s">
        <v>20</v>
      </c>
      <c r="B2782" s="29" t="str">
        <f t="shared" si="43"/>
        <v>ROS-18</v>
      </c>
      <c r="C2782" s="29" t="s">
        <v>8677</v>
      </c>
      <c r="D2782" s="67" t="s">
        <v>8678</v>
      </c>
      <c r="E2782" s="96" t="s">
        <v>62</v>
      </c>
      <c r="F2782" s="29" t="s">
        <v>61</v>
      </c>
      <c r="G2782" s="29"/>
      <c r="H2782" s="103">
        <f>_xlfn.XLOOKUP(B2782,GM!$Q$5:$Q$756,GM!$J$5:$J$756)</f>
        <v>45645</v>
      </c>
    </row>
    <row r="2783" spans="1:8" hidden="1" x14ac:dyDescent="0.35">
      <c r="A2783" s="29" t="s">
        <v>20</v>
      </c>
      <c r="B2783" s="29" t="str">
        <f t="shared" si="43"/>
        <v>ROS-18</v>
      </c>
      <c r="C2783" s="29" t="s">
        <v>8679</v>
      </c>
      <c r="D2783" s="67" t="s">
        <v>8680</v>
      </c>
      <c r="E2783" s="96" t="s">
        <v>62</v>
      </c>
      <c r="F2783" s="29" t="s">
        <v>61</v>
      </c>
      <c r="G2783" s="29"/>
      <c r="H2783" s="103">
        <f>_xlfn.XLOOKUP(B2783,GM!$Q$5:$Q$756,GM!$J$5:$J$756)</f>
        <v>45645</v>
      </c>
    </row>
    <row r="2784" spans="1:8" hidden="1" x14ac:dyDescent="0.35">
      <c r="A2784" s="29" t="s">
        <v>20</v>
      </c>
      <c r="B2784" s="29" t="str">
        <f t="shared" si="43"/>
        <v>ROS-18</v>
      </c>
      <c r="C2784" s="29" t="s">
        <v>8681</v>
      </c>
      <c r="D2784" s="67" t="s">
        <v>8682</v>
      </c>
      <c r="E2784" s="96" t="s">
        <v>62</v>
      </c>
      <c r="F2784" s="29" t="s">
        <v>61</v>
      </c>
      <c r="G2784" s="29"/>
      <c r="H2784" s="103">
        <f>_xlfn.XLOOKUP(B2784,GM!$Q$5:$Q$756,GM!$J$5:$J$756)</f>
        <v>45645</v>
      </c>
    </row>
    <row r="2785" spans="1:8" hidden="1" x14ac:dyDescent="0.35">
      <c r="A2785" s="29" t="s">
        <v>20</v>
      </c>
      <c r="B2785" s="29" t="str">
        <f t="shared" si="43"/>
        <v>ROS-19</v>
      </c>
      <c r="C2785" s="29" t="s">
        <v>8683</v>
      </c>
      <c r="D2785" s="67" t="s">
        <v>8684</v>
      </c>
      <c r="E2785" s="96" t="s">
        <v>62</v>
      </c>
      <c r="F2785" s="29" t="s">
        <v>61</v>
      </c>
      <c r="G2785" s="29"/>
      <c r="H2785" s="103">
        <f>_xlfn.XLOOKUP(B2785,GM!$Q$5:$Q$756,GM!$J$5:$J$756)</f>
        <v>45959</v>
      </c>
    </row>
    <row r="2786" spans="1:8" hidden="1" x14ac:dyDescent="0.35">
      <c r="A2786" s="29" t="s">
        <v>20</v>
      </c>
      <c r="B2786" s="29" t="str">
        <f t="shared" si="43"/>
        <v>ROS-19</v>
      </c>
      <c r="C2786" s="29" t="s">
        <v>8685</v>
      </c>
      <c r="D2786" s="67" t="s">
        <v>8686</v>
      </c>
      <c r="E2786" s="96" t="s">
        <v>62</v>
      </c>
      <c r="F2786" s="29" t="s">
        <v>61</v>
      </c>
      <c r="G2786" s="29"/>
      <c r="H2786" s="103">
        <f>_xlfn.XLOOKUP(B2786,GM!$Q$5:$Q$756,GM!$J$5:$J$756)</f>
        <v>45959</v>
      </c>
    </row>
    <row r="2787" spans="1:8" hidden="1" x14ac:dyDescent="0.35">
      <c r="A2787" s="29" t="s">
        <v>20</v>
      </c>
      <c r="B2787" s="29" t="str">
        <f t="shared" si="43"/>
        <v>ROS-19</v>
      </c>
      <c r="C2787" s="29" t="s">
        <v>8687</v>
      </c>
      <c r="D2787" s="67" t="s">
        <v>8688</v>
      </c>
      <c r="E2787" s="96" t="s">
        <v>62</v>
      </c>
      <c r="F2787" s="29" t="s">
        <v>61</v>
      </c>
      <c r="G2787" s="29"/>
      <c r="H2787" s="103">
        <f>_xlfn.XLOOKUP(B2787,GM!$Q$5:$Q$756,GM!$J$5:$J$756)</f>
        <v>45959</v>
      </c>
    </row>
    <row r="2788" spans="1:8" hidden="1" x14ac:dyDescent="0.35">
      <c r="A2788" s="29" t="s">
        <v>20</v>
      </c>
      <c r="B2788" s="29" t="str">
        <f t="shared" si="43"/>
        <v>ROS-19</v>
      </c>
      <c r="C2788" s="29" t="s">
        <v>8689</v>
      </c>
      <c r="D2788" s="67" t="s">
        <v>8690</v>
      </c>
      <c r="E2788" s="96" t="s">
        <v>62</v>
      </c>
      <c r="F2788" s="29" t="s">
        <v>61</v>
      </c>
      <c r="G2788" s="29"/>
      <c r="H2788" s="103">
        <f>_xlfn.XLOOKUP(B2788,GM!$Q$5:$Q$756,GM!$J$5:$J$756)</f>
        <v>45959</v>
      </c>
    </row>
    <row r="2789" spans="1:8" hidden="1" x14ac:dyDescent="0.35">
      <c r="A2789" s="29" t="s">
        <v>20</v>
      </c>
      <c r="B2789" s="29" t="str">
        <f t="shared" si="43"/>
        <v>ROS-20</v>
      </c>
      <c r="C2789" s="29" t="s">
        <v>8691</v>
      </c>
      <c r="D2789" s="67" t="s">
        <v>8692</v>
      </c>
      <c r="E2789" s="96" t="s">
        <v>62</v>
      </c>
      <c r="F2789" s="29" t="s">
        <v>61</v>
      </c>
      <c r="G2789" s="29"/>
      <c r="H2789" s="103">
        <f>_xlfn.XLOOKUP(B2789,GM!$Q$5:$Q$756,GM!$J$5:$J$756)</f>
        <v>44889</v>
      </c>
    </row>
    <row r="2790" spans="1:8" hidden="1" x14ac:dyDescent="0.35">
      <c r="A2790" s="29" t="s">
        <v>20</v>
      </c>
      <c r="B2790" s="29" t="str">
        <f t="shared" si="43"/>
        <v>ROS-20</v>
      </c>
      <c r="C2790" s="29" t="s">
        <v>8693</v>
      </c>
      <c r="D2790" s="67" t="s">
        <v>8694</v>
      </c>
      <c r="E2790" s="96" t="s">
        <v>62</v>
      </c>
      <c r="F2790" s="29" t="s">
        <v>61</v>
      </c>
      <c r="G2790" s="29"/>
      <c r="H2790" s="103">
        <f>_xlfn.XLOOKUP(B2790,GM!$Q$5:$Q$756,GM!$J$5:$J$756)</f>
        <v>44889</v>
      </c>
    </row>
    <row r="2791" spans="1:8" hidden="1" x14ac:dyDescent="0.35">
      <c r="A2791" s="29" t="s">
        <v>20</v>
      </c>
      <c r="B2791" s="29" t="str">
        <f t="shared" si="43"/>
        <v>ROS-20</v>
      </c>
      <c r="C2791" s="29" t="s">
        <v>8695</v>
      </c>
      <c r="D2791" s="67" t="s">
        <v>8696</v>
      </c>
      <c r="E2791" s="96" t="s">
        <v>62</v>
      </c>
      <c r="F2791" s="29" t="s">
        <v>61</v>
      </c>
      <c r="G2791" s="29"/>
      <c r="H2791" s="103">
        <f>_xlfn.XLOOKUP(B2791,GM!$Q$5:$Q$756,GM!$J$5:$J$756)</f>
        <v>44889</v>
      </c>
    </row>
    <row r="2792" spans="1:8" hidden="1" x14ac:dyDescent="0.35">
      <c r="A2792" s="29" t="s">
        <v>20</v>
      </c>
      <c r="B2792" s="29" t="str">
        <f t="shared" si="43"/>
        <v>ROS-20</v>
      </c>
      <c r="C2792" s="29" t="s">
        <v>8697</v>
      </c>
      <c r="D2792" s="67" t="s">
        <v>8698</v>
      </c>
      <c r="E2792" s="96" t="s">
        <v>62</v>
      </c>
      <c r="F2792" s="29" t="s">
        <v>61</v>
      </c>
      <c r="G2792" s="29"/>
      <c r="H2792" s="103">
        <f>_xlfn.XLOOKUP(B2792,GM!$Q$5:$Q$756,GM!$J$5:$J$756)</f>
        <v>44889</v>
      </c>
    </row>
    <row r="2793" spans="1:8" hidden="1" x14ac:dyDescent="0.35">
      <c r="A2793" s="29" t="s">
        <v>20</v>
      </c>
      <c r="B2793" s="29" t="str">
        <f t="shared" si="43"/>
        <v>ROS-20</v>
      </c>
      <c r="C2793" s="29" t="s">
        <v>8699</v>
      </c>
      <c r="D2793" s="67" t="s">
        <v>8700</v>
      </c>
      <c r="E2793" s="96" t="s">
        <v>62</v>
      </c>
      <c r="F2793" s="29" t="s">
        <v>61</v>
      </c>
      <c r="G2793" s="29"/>
      <c r="H2793" s="103">
        <f>_xlfn.XLOOKUP(B2793,GM!$Q$5:$Q$756,GM!$J$5:$J$756)</f>
        <v>44889</v>
      </c>
    </row>
    <row r="2794" spans="1:8" hidden="1" x14ac:dyDescent="0.35">
      <c r="A2794" s="29" t="s">
        <v>20</v>
      </c>
      <c r="B2794" s="29" t="str">
        <f t="shared" si="43"/>
        <v>ROS-20</v>
      </c>
      <c r="C2794" s="29" t="s">
        <v>8701</v>
      </c>
      <c r="D2794" s="67" t="s">
        <v>8702</v>
      </c>
      <c r="E2794" s="96" t="s">
        <v>62</v>
      </c>
      <c r="F2794" s="29" t="s">
        <v>61</v>
      </c>
      <c r="G2794" s="29"/>
      <c r="H2794" s="103">
        <f>_xlfn.XLOOKUP(B2794,GM!$Q$5:$Q$756,GM!$J$5:$J$756)</f>
        <v>44889</v>
      </c>
    </row>
    <row r="2795" spans="1:8" hidden="1" x14ac:dyDescent="0.35">
      <c r="A2795" s="29" t="s">
        <v>20</v>
      </c>
      <c r="B2795" s="29" t="str">
        <f t="shared" si="43"/>
        <v>ROS-20</v>
      </c>
      <c r="C2795" s="29" t="s">
        <v>8703</v>
      </c>
      <c r="D2795" s="67" t="s">
        <v>8704</v>
      </c>
      <c r="E2795" s="96" t="s">
        <v>62</v>
      </c>
      <c r="F2795" s="29" t="s">
        <v>61</v>
      </c>
      <c r="G2795" s="29"/>
      <c r="H2795" s="103">
        <f>_xlfn.XLOOKUP(B2795,GM!$Q$5:$Q$756,GM!$J$5:$J$756)</f>
        <v>44889</v>
      </c>
    </row>
    <row r="2796" spans="1:8" hidden="1" x14ac:dyDescent="0.35">
      <c r="A2796" s="29" t="s">
        <v>20</v>
      </c>
      <c r="B2796" s="29" t="str">
        <f t="shared" si="43"/>
        <v>ROS-21</v>
      </c>
      <c r="C2796" s="29" t="s">
        <v>8705</v>
      </c>
      <c r="D2796" s="67" t="s">
        <v>8706</v>
      </c>
      <c r="E2796" s="96" t="s">
        <v>62</v>
      </c>
      <c r="F2796" s="29" t="s">
        <v>61</v>
      </c>
      <c r="G2796" s="29"/>
      <c r="H2796" s="103">
        <f>_xlfn.XLOOKUP(B2796,GM!$Q$5:$Q$756,GM!$J$5:$J$756)</f>
        <v>45645</v>
      </c>
    </row>
    <row r="2797" spans="1:8" hidden="1" x14ac:dyDescent="0.35">
      <c r="A2797" s="29" t="s">
        <v>20</v>
      </c>
      <c r="B2797" s="29" t="str">
        <f t="shared" si="43"/>
        <v>ROS-21</v>
      </c>
      <c r="C2797" s="29" t="s">
        <v>8707</v>
      </c>
      <c r="D2797" s="67" t="s">
        <v>8708</v>
      </c>
      <c r="E2797" s="96" t="s">
        <v>62</v>
      </c>
      <c r="F2797" s="29" t="s">
        <v>61</v>
      </c>
      <c r="G2797" s="29"/>
      <c r="H2797" s="103">
        <f>_xlfn.XLOOKUP(B2797,GM!$Q$5:$Q$756,GM!$J$5:$J$756)</f>
        <v>45645</v>
      </c>
    </row>
    <row r="2798" spans="1:8" hidden="1" x14ac:dyDescent="0.35">
      <c r="A2798" s="29" t="s">
        <v>20</v>
      </c>
      <c r="B2798" s="29" t="str">
        <f t="shared" si="43"/>
        <v>ROS-21</v>
      </c>
      <c r="C2798" s="29" t="s">
        <v>8709</v>
      </c>
      <c r="D2798" s="67" t="s">
        <v>8710</v>
      </c>
      <c r="E2798" s="96" t="s">
        <v>62</v>
      </c>
      <c r="F2798" s="29" t="s">
        <v>61</v>
      </c>
      <c r="G2798" s="29"/>
      <c r="H2798" s="103">
        <f>_xlfn.XLOOKUP(B2798,GM!$Q$5:$Q$756,GM!$J$5:$J$756)</f>
        <v>45645</v>
      </c>
    </row>
    <row r="2799" spans="1:8" hidden="1" x14ac:dyDescent="0.35">
      <c r="A2799" s="29" t="s">
        <v>20</v>
      </c>
      <c r="B2799" s="29" t="str">
        <f t="shared" si="43"/>
        <v>ROS-21</v>
      </c>
      <c r="C2799" s="29" t="s">
        <v>8711</v>
      </c>
      <c r="D2799" s="67" t="s">
        <v>8712</v>
      </c>
      <c r="E2799" s="96" t="s">
        <v>62</v>
      </c>
      <c r="F2799" s="29" t="s">
        <v>61</v>
      </c>
      <c r="G2799" s="29"/>
      <c r="H2799" s="103">
        <f>_xlfn.XLOOKUP(B2799,GM!$Q$5:$Q$756,GM!$J$5:$J$756)</f>
        <v>45645</v>
      </c>
    </row>
    <row r="2800" spans="1:8" hidden="1" x14ac:dyDescent="0.35">
      <c r="A2800" s="29" t="s">
        <v>20</v>
      </c>
      <c r="B2800" s="29" t="str">
        <f t="shared" si="43"/>
        <v>ROS-21</v>
      </c>
      <c r="C2800" s="29" t="s">
        <v>8713</v>
      </c>
      <c r="D2800" s="67" t="s">
        <v>8714</v>
      </c>
      <c r="E2800" s="96" t="s">
        <v>62</v>
      </c>
      <c r="F2800" s="29" t="s">
        <v>61</v>
      </c>
      <c r="G2800" s="29"/>
      <c r="H2800" s="103">
        <f>_xlfn.XLOOKUP(B2800,GM!$Q$5:$Q$756,GM!$J$5:$J$756)</f>
        <v>45645</v>
      </c>
    </row>
    <row r="2801" spans="1:8" hidden="1" x14ac:dyDescent="0.35">
      <c r="A2801" s="29" t="s">
        <v>20</v>
      </c>
      <c r="B2801" s="29" t="str">
        <f t="shared" si="43"/>
        <v>ROS-21</v>
      </c>
      <c r="C2801" s="29" t="s">
        <v>8715</v>
      </c>
      <c r="D2801" s="67" t="s">
        <v>8716</v>
      </c>
      <c r="E2801" s="96" t="s">
        <v>62</v>
      </c>
      <c r="F2801" s="29" t="s">
        <v>61</v>
      </c>
      <c r="G2801" s="29"/>
      <c r="H2801" s="103">
        <f>_xlfn.XLOOKUP(B2801,GM!$Q$5:$Q$756,GM!$J$5:$J$756)</f>
        <v>45645</v>
      </c>
    </row>
    <row r="2802" spans="1:8" hidden="1" x14ac:dyDescent="0.35">
      <c r="A2802" s="29" t="s">
        <v>20</v>
      </c>
      <c r="B2802" s="29" t="str">
        <f t="shared" si="43"/>
        <v>ROS-22</v>
      </c>
      <c r="C2802" s="29" t="s">
        <v>8717</v>
      </c>
      <c r="D2802" s="67" t="s">
        <v>8718</v>
      </c>
      <c r="E2802" s="96" t="s">
        <v>62</v>
      </c>
      <c r="F2802" s="29" t="s">
        <v>61</v>
      </c>
      <c r="G2802" s="29" t="s">
        <v>371</v>
      </c>
      <c r="H2802" s="103">
        <f>_xlfn.XLOOKUP(B2802,GM!$Q$5:$Q$756,GM!$J$5:$J$756)</f>
        <v>44739</v>
      </c>
    </row>
    <row r="2803" spans="1:8" hidden="1" x14ac:dyDescent="0.35">
      <c r="A2803" s="29" t="s">
        <v>20</v>
      </c>
      <c r="B2803" s="29" t="str">
        <f t="shared" si="43"/>
        <v>ROS-23</v>
      </c>
      <c r="C2803" s="29" t="s">
        <v>8719</v>
      </c>
      <c r="D2803" s="67" t="s">
        <v>8720</v>
      </c>
      <c r="E2803" s="96" t="s">
        <v>62</v>
      </c>
      <c r="F2803" s="29" t="s">
        <v>61</v>
      </c>
      <c r="G2803" s="29" t="s">
        <v>371</v>
      </c>
      <c r="H2803" s="103">
        <f>_xlfn.XLOOKUP(B2803,GM!$Q$5:$Q$756,GM!$J$5:$J$756)</f>
        <v>44739</v>
      </c>
    </row>
    <row r="2804" spans="1:8" hidden="1" x14ac:dyDescent="0.35">
      <c r="A2804" s="29" t="s">
        <v>20</v>
      </c>
      <c r="B2804" s="29" t="str">
        <f t="shared" si="43"/>
        <v>ROS-24</v>
      </c>
      <c r="C2804" s="29" t="s">
        <v>8721</v>
      </c>
      <c r="D2804" s="67" t="s">
        <v>8722</v>
      </c>
      <c r="E2804" s="96" t="s">
        <v>62</v>
      </c>
      <c r="F2804" s="29" t="s">
        <v>61</v>
      </c>
      <c r="G2804" s="29" t="s">
        <v>371</v>
      </c>
      <c r="H2804" s="103">
        <f>_xlfn.XLOOKUP(B2804,GM!$Q$5:$Q$756,GM!$J$5:$J$756)</f>
        <v>44739</v>
      </c>
    </row>
    <row r="2805" spans="1:8" hidden="1" x14ac:dyDescent="0.35">
      <c r="A2805" s="29" t="s">
        <v>20</v>
      </c>
      <c r="B2805" s="29" t="str">
        <f t="shared" si="43"/>
        <v>ROS-25</v>
      </c>
      <c r="C2805" s="128" t="s">
        <v>8723</v>
      </c>
      <c r="D2805" s="139" t="s">
        <v>8724</v>
      </c>
      <c r="E2805" s="140" t="s">
        <v>62</v>
      </c>
      <c r="F2805" s="128" t="s">
        <v>61</v>
      </c>
      <c r="G2805" s="128"/>
      <c r="H2805" s="103">
        <f>_xlfn.XLOOKUP(B2805,GM!$Q$5:$Q$756,GM!$J$5:$J$756)</f>
        <v>46009</v>
      </c>
    </row>
    <row r="2806" spans="1:8" hidden="1" x14ac:dyDescent="0.35">
      <c r="A2806" s="29" t="s">
        <v>20</v>
      </c>
      <c r="B2806" s="29" t="str">
        <f t="shared" si="43"/>
        <v>ROS-25</v>
      </c>
      <c r="C2806" s="29" t="s">
        <v>8725</v>
      </c>
      <c r="D2806" s="67" t="s">
        <v>8726</v>
      </c>
      <c r="E2806" s="96" t="s">
        <v>62</v>
      </c>
      <c r="F2806" s="29" t="s">
        <v>61</v>
      </c>
      <c r="G2806" s="29"/>
      <c r="H2806" s="103">
        <f>_xlfn.XLOOKUP(B2806,GM!$Q$5:$Q$756,GM!$J$5:$J$756)</f>
        <v>46009</v>
      </c>
    </row>
    <row r="2807" spans="1:8" hidden="1" x14ac:dyDescent="0.35">
      <c r="A2807" s="29" t="s">
        <v>20</v>
      </c>
      <c r="B2807" s="29" t="str">
        <f t="shared" si="43"/>
        <v>ROS-26</v>
      </c>
      <c r="C2807" s="29" t="s">
        <v>8727</v>
      </c>
      <c r="D2807" s="67" t="s">
        <v>8728</v>
      </c>
      <c r="E2807" s="96" t="s">
        <v>62</v>
      </c>
      <c r="F2807" s="29" t="s">
        <v>61</v>
      </c>
      <c r="G2807" s="29" t="s">
        <v>371</v>
      </c>
      <c r="H2807" s="103">
        <f>_xlfn.XLOOKUP(B2807,GM!$Q$5:$Q$756,GM!$J$5:$J$756)</f>
        <v>44739</v>
      </c>
    </row>
    <row r="2808" spans="1:8" hidden="1" x14ac:dyDescent="0.35">
      <c r="A2808" s="29" t="s">
        <v>20</v>
      </c>
      <c r="B2808" s="29" t="str">
        <f t="shared" si="43"/>
        <v>ROS-27</v>
      </c>
      <c r="C2808" s="29" t="s">
        <v>8729</v>
      </c>
      <c r="D2808" s="67" t="s">
        <v>8730</v>
      </c>
      <c r="E2808" s="96" t="s">
        <v>62</v>
      </c>
      <c r="F2808" s="29" t="s">
        <v>61</v>
      </c>
      <c r="G2808" s="29" t="s">
        <v>371</v>
      </c>
      <c r="H2808" s="103">
        <f>_xlfn.XLOOKUP(B2808,GM!$Q$5:$Q$756,GM!$J$5:$J$756)</f>
        <v>44739</v>
      </c>
    </row>
    <row r="2809" spans="1:8" hidden="1" x14ac:dyDescent="0.35">
      <c r="A2809" s="29" t="s">
        <v>20</v>
      </c>
      <c r="B2809" s="29" t="str">
        <f t="shared" si="43"/>
        <v>ROS-28</v>
      </c>
      <c r="C2809" s="29" t="s">
        <v>8731</v>
      </c>
      <c r="D2809" s="67" t="s">
        <v>8732</v>
      </c>
      <c r="E2809" s="96" t="s">
        <v>62</v>
      </c>
      <c r="F2809" s="29" t="s">
        <v>61</v>
      </c>
      <c r="G2809" s="29"/>
      <c r="H2809" s="103">
        <f>_xlfn.XLOOKUP(B2809,GM!$Q$5:$Q$756,GM!$J$5:$J$756)</f>
        <v>45202</v>
      </c>
    </row>
    <row r="2810" spans="1:8" hidden="1" x14ac:dyDescent="0.35">
      <c r="A2810" s="29" t="s">
        <v>20</v>
      </c>
      <c r="B2810" s="29" t="str">
        <f t="shared" si="43"/>
        <v>ROS-29</v>
      </c>
      <c r="C2810" s="29" t="s">
        <v>8733</v>
      </c>
      <c r="D2810" s="67" t="s">
        <v>8734</v>
      </c>
      <c r="E2810" s="96" t="s">
        <v>62</v>
      </c>
      <c r="F2810" s="29" t="s">
        <v>61</v>
      </c>
      <c r="G2810" s="29"/>
      <c r="H2810" s="103">
        <f>_xlfn.XLOOKUP(B2810,GM!$Q$5:$Q$756,GM!$J$5:$J$756)</f>
        <v>45202</v>
      </c>
    </row>
    <row r="2811" spans="1:8" hidden="1" x14ac:dyDescent="0.35">
      <c r="A2811" s="29" t="s">
        <v>20</v>
      </c>
      <c r="B2811" s="29" t="str">
        <f t="shared" si="43"/>
        <v>ROS-30</v>
      </c>
      <c r="C2811" s="29" t="s">
        <v>8735</v>
      </c>
      <c r="D2811" s="67" t="s">
        <v>8736</v>
      </c>
      <c r="E2811" s="96" t="s">
        <v>62</v>
      </c>
      <c r="F2811" s="29" t="s">
        <v>61</v>
      </c>
      <c r="G2811" s="29"/>
      <c r="H2811" s="103">
        <f>_xlfn.XLOOKUP(B2811,GM!$Q$5:$Q$756,GM!$J$5:$J$756)</f>
        <v>44838</v>
      </c>
    </row>
    <row r="2812" spans="1:8" hidden="1" x14ac:dyDescent="0.35">
      <c r="A2812" s="29" t="s">
        <v>20</v>
      </c>
      <c r="B2812" s="29" t="str">
        <f t="shared" si="43"/>
        <v>ROS-30</v>
      </c>
      <c r="C2812" s="29" t="s">
        <v>8737</v>
      </c>
      <c r="D2812" s="67" t="s">
        <v>8738</v>
      </c>
      <c r="E2812" s="96" t="s">
        <v>62</v>
      </c>
      <c r="F2812" s="29" t="s">
        <v>61</v>
      </c>
      <c r="G2812" s="29"/>
      <c r="H2812" s="103">
        <f>_xlfn.XLOOKUP(B2812,GM!$Q$5:$Q$756,GM!$J$5:$J$756)</f>
        <v>44838</v>
      </c>
    </row>
    <row r="2813" spans="1:8" hidden="1" x14ac:dyDescent="0.35">
      <c r="A2813" s="29" t="s">
        <v>20</v>
      </c>
      <c r="B2813" s="29" t="str">
        <f t="shared" si="43"/>
        <v>ROS-33</v>
      </c>
      <c r="C2813" s="29" t="s">
        <v>8739</v>
      </c>
      <c r="D2813" s="67" t="s">
        <v>8740</v>
      </c>
      <c r="E2813" s="96" t="s">
        <v>62</v>
      </c>
      <c r="F2813" s="29" t="s">
        <v>61</v>
      </c>
      <c r="G2813" s="29" t="s">
        <v>371</v>
      </c>
      <c r="H2813" s="103">
        <f>_xlfn.XLOOKUP(B2813,GM!$Q$5:$Q$756,GM!$J$5:$J$756)</f>
        <v>44739</v>
      </c>
    </row>
    <row r="2814" spans="1:8" hidden="1" x14ac:dyDescent="0.35">
      <c r="A2814" s="29" t="s">
        <v>20</v>
      </c>
      <c r="B2814" s="29" t="str">
        <f t="shared" si="43"/>
        <v>ROS-40</v>
      </c>
      <c r="C2814" s="29" t="s">
        <v>8741</v>
      </c>
      <c r="D2814" s="67" t="s">
        <v>8742</v>
      </c>
      <c r="E2814" s="96" t="s">
        <v>62</v>
      </c>
      <c r="F2814" s="29" t="s">
        <v>61</v>
      </c>
      <c r="G2814" s="29"/>
      <c r="H2814" s="103">
        <f>_xlfn.XLOOKUP(B2814,GM!$Q$5:$Q$756,GM!$J$5:$J$756)</f>
        <v>45202</v>
      </c>
    </row>
    <row r="2815" spans="1:8" hidden="1" x14ac:dyDescent="0.35">
      <c r="A2815" s="29" t="s">
        <v>20</v>
      </c>
      <c r="B2815" s="29" t="str">
        <f t="shared" si="43"/>
        <v>ROS-40</v>
      </c>
      <c r="C2815" s="29" t="s">
        <v>8743</v>
      </c>
      <c r="D2815" s="67" t="s">
        <v>8744</v>
      </c>
      <c r="E2815" s="96" t="s">
        <v>62</v>
      </c>
      <c r="F2815" s="29" t="s">
        <v>61</v>
      </c>
      <c r="G2815" s="29"/>
      <c r="H2815" s="103">
        <f>_xlfn.XLOOKUP(B2815,GM!$Q$5:$Q$756,GM!$J$5:$J$756)</f>
        <v>45202</v>
      </c>
    </row>
    <row r="2816" spans="1:8" hidden="1" x14ac:dyDescent="0.35">
      <c r="A2816" s="29" t="s">
        <v>20</v>
      </c>
      <c r="B2816" s="29" t="str">
        <f t="shared" si="43"/>
        <v>ROS-41</v>
      </c>
      <c r="C2816" s="29" t="s">
        <v>8745</v>
      </c>
      <c r="D2816" s="67" t="s">
        <v>8746</v>
      </c>
      <c r="E2816" s="96" t="s">
        <v>62</v>
      </c>
      <c r="F2816" s="29" t="s">
        <v>61</v>
      </c>
      <c r="G2816" s="29"/>
      <c r="H2816" s="103">
        <f>_xlfn.XLOOKUP(B2816,GM!$Q$5:$Q$756,GM!$J$5:$J$756)</f>
        <v>45202</v>
      </c>
    </row>
    <row r="2817" spans="1:8" hidden="1" x14ac:dyDescent="0.35">
      <c r="A2817" s="29" t="s">
        <v>20</v>
      </c>
      <c r="B2817" s="29" t="str">
        <f t="shared" si="43"/>
        <v>ROS-41</v>
      </c>
      <c r="C2817" s="29" t="s">
        <v>8747</v>
      </c>
      <c r="D2817" s="67" t="s">
        <v>8748</v>
      </c>
      <c r="E2817" s="96" t="s">
        <v>62</v>
      </c>
      <c r="F2817" s="29" t="s">
        <v>61</v>
      </c>
      <c r="G2817" s="29"/>
      <c r="H2817" s="103">
        <f>_xlfn.XLOOKUP(B2817,GM!$Q$5:$Q$756,GM!$J$5:$J$756)</f>
        <v>45202</v>
      </c>
    </row>
    <row r="2818" spans="1:8" hidden="1" x14ac:dyDescent="0.35">
      <c r="A2818" s="29" t="s">
        <v>20</v>
      </c>
      <c r="B2818" s="29" t="str">
        <f t="shared" si="43"/>
        <v>ROS-41</v>
      </c>
      <c r="C2818" s="29" t="s">
        <v>8749</v>
      </c>
      <c r="D2818" s="67" t="s">
        <v>8750</v>
      </c>
      <c r="E2818" s="96" t="s">
        <v>62</v>
      </c>
      <c r="F2818" s="29" t="s">
        <v>61</v>
      </c>
      <c r="G2818" s="29"/>
      <c r="H2818" s="103">
        <f>_xlfn.XLOOKUP(B2818,GM!$Q$5:$Q$756,GM!$J$5:$J$756)</f>
        <v>45202</v>
      </c>
    </row>
    <row r="2819" spans="1:8" hidden="1" x14ac:dyDescent="0.35">
      <c r="A2819" s="29" t="s">
        <v>20</v>
      </c>
      <c r="B2819" s="29" t="str">
        <f t="shared" si="43"/>
        <v>ROS-51</v>
      </c>
      <c r="C2819" s="29" t="s">
        <v>8751</v>
      </c>
      <c r="D2819" s="67" t="s">
        <v>8752</v>
      </c>
      <c r="E2819" s="96" t="s">
        <v>62</v>
      </c>
      <c r="F2819" s="29" t="s">
        <v>61</v>
      </c>
      <c r="G2819" s="29"/>
      <c r="H2819" s="103">
        <f>_xlfn.XLOOKUP(B2819,GM!$Q$5:$Q$756,GM!$J$5:$J$756)</f>
        <v>45959</v>
      </c>
    </row>
    <row r="2820" spans="1:8" hidden="1" x14ac:dyDescent="0.35">
      <c r="A2820" s="29" t="s">
        <v>20</v>
      </c>
      <c r="B2820" s="29" t="str">
        <f t="shared" si="43"/>
        <v>ROS-51</v>
      </c>
      <c r="C2820" s="29" t="s">
        <v>8753</v>
      </c>
      <c r="D2820" s="67" t="s">
        <v>8754</v>
      </c>
      <c r="E2820" s="96" t="s">
        <v>62</v>
      </c>
      <c r="F2820" s="29" t="s">
        <v>61</v>
      </c>
      <c r="G2820" s="29"/>
      <c r="H2820" s="103">
        <f>_xlfn.XLOOKUP(B2820,GM!$Q$5:$Q$756,GM!$J$5:$J$756)</f>
        <v>45959</v>
      </c>
    </row>
    <row r="2821" spans="1:8" hidden="1" x14ac:dyDescent="0.35">
      <c r="A2821" s="29" t="s">
        <v>20</v>
      </c>
      <c r="B2821" s="29" t="str">
        <f t="shared" ref="B2821:B2884" si="44">IF(OR(A2821="ARN",A2821="SDP"),MID(C2821,4,7),MID(C2821,4,6))</f>
        <v>ROS-51</v>
      </c>
      <c r="C2821" s="29" t="s">
        <v>8755</v>
      </c>
      <c r="D2821" s="67" t="s">
        <v>8756</v>
      </c>
      <c r="E2821" s="96" t="s">
        <v>62</v>
      </c>
      <c r="F2821" s="29" t="s">
        <v>61</v>
      </c>
      <c r="G2821" s="29"/>
      <c r="H2821" s="103">
        <f>_xlfn.XLOOKUP(B2821,GM!$Q$5:$Q$756,GM!$J$5:$J$756)</f>
        <v>45959</v>
      </c>
    </row>
    <row r="2822" spans="1:8" hidden="1" x14ac:dyDescent="0.35">
      <c r="A2822" s="29" t="s">
        <v>20</v>
      </c>
      <c r="B2822" s="29" t="str">
        <f t="shared" si="44"/>
        <v>ROS-51</v>
      </c>
      <c r="C2822" s="29" t="s">
        <v>8757</v>
      </c>
      <c r="D2822" s="67" t="s">
        <v>8758</v>
      </c>
      <c r="E2822" s="96" t="s">
        <v>62</v>
      </c>
      <c r="F2822" s="29" t="s">
        <v>61</v>
      </c>
      <c r="G2822" s="29"/>
      <c r="H2822" s="103">
        <f>_xlfn.XLOOKUP(B2822,GM!$Q$5:$Q$756,GM!$J$5:$J$756)</f>
        <v>45959</v>
      </c>
    </row>
    <row r="2823" spans="1:8" hidden="1" x14ac:dyDescent="0.35">
      <c r="A2823" s="29" t="s">
        <v>20</v>
      </c>
      <c r="B2823" s="29" t="str">
        <f t="shared" si="44"/>
        <v>ROS-51</v>
      </c>
      <c r="C2823" s="29" t="s">
        <v>8759</v>
      </c>
      <c r="D2823" s="67" t="s">
        <v>8760</v>
      </c>
      <c r="E2823" s="96" t="s">
        <v>62</v>
      </c>
      <c r="F2823" s="29" t="s">
        <v>61</v>
      </c>
      <c r="G2823" s="29"/>
      <c r="H2823" s="103">
        <f>_xlfn.XLOOKUP(B2823,GM!$Q$5:$Q$756,GM!$J$5:$J$756)</f>
        <v>45959</v>
      </c>
    </row>
    <row r="2824" spans="1:8" hidden="1" x14ac:dyDescent="0.35">
      <c r="A2824" s="29" t="s">
        <v>20</v>
      </c>
      <c r="B2824" s="29" t="str">
        <f t="shared" si="44"/>
        <v>ROS-51</v>
      </c>
      <c r="C2824" s="29" t="s">
        <v>8761</v>
      </c>
      <c r="D2824" s="67" t="s">
        <v>8762</v>
      </c>
      <c r="E2824" s="96" t="s">
        <v>62</v>
      </c>
      <c r="F2824" s="29" t="s">
        <v>61</v>
      </c>
      <c r="G2824" s="29"/>
      <c r="H2824" s="103">
        <f>_xlfn.XLOOKUP(B2824,GM!$Q$5:$Q$756,GM!$J$5:$J$756)</f>
        <v>45959</v>
      </c>
    </row>
    <row r="2825" spans="1:8" hidden="1" x14ac:dyDescent="0.35">
      <c r="A2825" s="29" t="s">
        <v>20</v>
      </c>
      <c r="B2825" s="29" t="str">
        <f t="shared" si="44"/>
        <v>ROS-51</v>
      </c>
      <c r="C2825" s="29" t="s">
        <v>8763</v>
      </c>
      <c r="D2825" s="67" t="s">
        <v>8764</v>
      </c>
      <c r="E2825" s="96" t="s">
        <v>62</v>
      </c>
      <c r="F2825" s="29" t="s">
        <v>61</v>
      </c>
      <c r="G2825" s="29"/>
      <c r="H2825" s="103">
        <f>_xlfn.XLOOKUP(B2825,GM!$Q$5:$Q$756,GM!$J$5:$J$756)</f>
        <v>45959</v>
      </c>
    </row>
    <row r="2826" spans="1:8" hidden="1" x14ac:dyDescent="0.35">
      <c r="A2826" s="29" t="s">
        <v>20</v>
      </c>
      <c r="B2826" s="29" t="str">
        <f t="shared" si="44"/>
        <v>ROS-51</v>
      </c>
      <c r="C2826" s="29" t="s">
        <v>8765</v>
      </c>
      <c r="D2826" s="67" t="s">
        <v>8766</v>
      </c>
      <c r="E2826" s="96" t="s">
        <v>62</v>
      </c>
      <c r="F2826" s="29" t="s">
        <v>61</v>
      </c>
      <c r="G2826" s="29"/>
      <c r="H2826" s="103">
        <f>_xlfn.XLOOKUP(B2826,GM!$Q$5:$Q$756,GM!$J$5:$J$756)</f>
        <v>45959</v>
      </c>
    </row>
    <row r="2827" spans="1:8" hidden="1" x14ac:dyDescent="0.35">
      <c r="A2827" s="29" t="s">
        <v>20</v>
      </c>
      <c r="B2827" s="29" t="str">
        <f t="shared" si="44"/>
        <v>ROS-51</v>
      </c>
      <c r="C2827" s="29" t="s">
        <v>8767</v>
      </c>
      <c r="D2827" s="67" t="s">
        <v>8768</v>
      </c>
      <c r="E2827" s="96" t="s">
        <v>62</v>
      </c>
      <c r="F2827" s="29" t="s">
        <v>61</v>
      </c>
      <c r="G2827" s="29"/>
      <c r="H2827" s="103">
        <f>_xlfn.XLOOKUP(B2827,GM!$Q$5:$Q$756,GM!$J$5:$J$756)</f>
        <v>45959</v>
      </c>
    </row>
    <row r="2828" spans="1:8" hidden="1" x14ac:dyDescent="0.35">
      <c r="A2828" s="29" t="s">
        <v>20</v>
      </c>
      <c r="B2828" s="29" t="str">
        <f t="shared" si="44"/>
        <v>ROS-51</v>
      </c>
      <c r="C2828" s="29" t="s">
        <v>8769</v>
      </c>
      <c r="D2828" s="67" t="s">
        <v>8770</v>
      </c>
      <c r="E2828" s="96" t="s">
        <v>62</v>
      </c>
      <c r="F2828" s="29" t="s">
        <v>61</v>
      </c>
      <c r="G2828" s="29"/>
      <c r="H2828" s="103">
        <f>_xlfn.XLOOKUP(B2828,GM!$Q$5:$Q$756,GM!$J$5:$J$756)</f>
        <v>45959</v>
      </c>
    </row>
    <row r="2829" spans="1:8" hidden="1" x14ac:dyDescent="0.35">
      <c r="A2829" s="29" t="s">
        <v>20</v>
      </c>
      <c r="B2829" s="29" t="str">
        <f t="shared" si="44"/>
        <v>ROS-51</v>
      </c>
      <c r="C2829" s="29" t="s">
        <v>8771</v>
      </c>
      <c r="D2829" s="67" t="s">
        <v>8772</v>
      </c>
      <c r="E2829" s="96" t="s">
        <v>62</v>
      </c>
      <c r="F2829" s="29" t="s">
        <v>61</v>
      </c>
      <c r="G2829" s="29"/>
      <c r="H2829" s="103">
        <f>_xlfn.XLOOKUP(B2829,GM!$Q$5:$Q$756,GM!$J$5:$J$756)</f>
        <v>45959</v>
      </c>
    </row>
    <row r="2830" spans="1:8" hidden="1" x14ac:dyDescent="0.35">
      <c r="A2830" s="29" t="s">
        <v>20</v>
      </c>
      <c r="B2830" s="29" t="str">
        <f t="shared" si="44"/>
        <v>ROS-51</v>
      </c>
      <c r="C2830" s="29" t="s">
        <v>8773</v>
      </c>
      <c r="D2830" s="67" t="s">
        <v>8774</v>
      </c>
      <c r="E2830" s="96" t="s">
        <v>62</v>
      </c>
      <c r="F2830" s="29" t="s">
        <v>61</v>
      </c>
      <c r="G2830" s="29"/>
      <c r="H2830" s="103">
        <f>_xlfn.XLOOKUP(B2830,GM!$Q$5:$Q$756,GM!$J$5:$J$756)</f>
        <v>45959</v>
      </c>
    </row>
    <row r="2831" spans="1:8" hidden="1" x14ac:dyDescent="0.35">
      <c r="A2831" s="29" t="s">
        <v>20</v>
      </c>
      <c r="B2831" s="29" t="str">
        <f t="shared" si="44"/>
        <v>ROS-51</v>
      </c>
      <c r="C2831" s="29" t="s">
        <v>8775</v>
      </c>
      <c r="D2831" s="67" t="s">
        <v>8776</v>
      </c>
      <c r="E2831" s="96" t="s">
        <v>62</v>
      </c>
      <c r="F2831" s="29" t="s">
        <v>61</v>
      </c>
      <c r="G2831" s="29"/>
      <c r="H2831" s="103">
        <f>_xlfn.XLOOKUP(B2831,GM!$Q$5:$Q$756,GM!$J$5:$J$756)</f>
        <v>45959</v>
      </c>
    </row>
    <row r="2832" spans="1:8" hidden="1" x14ac:dyDescent="0.35">
      <c r="A2832" s="29" t="s">
        <v>20</v>
      </c>
      <c r="B2832" s="29" t="str">
        <f t="shared" si="44"/>
        <v>ROS-52</v>
      </c>
      <c r="C2832" s="29" t="s">
        <v>8777</v>
      </c>
      <c r="D2832" s="67" t="s">
        <v>8778</v>
      </c>
      <c r="E2832" s="96" t="s">
        <v>62</v>
      </c>
      <c r="F2832" s="29" t="s">
        <v>61</v>
      </c>
      <c r="G2832" s="29"/>
      <c r="H2832" s="103">
        <f>_xlfn.XLOOKUP(B2832,GM!$Q$5:$Q$756,GM!$J$5:$J$756)</f>
        <v>46107</v>
      </c>
    </row>
    <row r="2833" spans="1:8" hidden="1" x14ac:dyDescent="0.35">
      <c r="A2833" s="29" t="s">
        <v>20</v>
      </c>
      <c r="B2833" s="29" t="str">
        <f t="shared" si="44"/>
        <v>ROS-52</v>
      </c>
      <c r="C2833" s="29" t="s">
        <v>8779</v>
      </c>
      <c r="D2833" s="67" t="s">
        <v>8780</v>
      </c>
      <c r="E2833" s="96" t="s">
        <v>62</v>
      </c>
      <c r="F2833" s="29" t="s">
        <v>61</v>
      </c>
      <c r="G2833" s="29"/>
      <c r="H2833" s="103">
        <f>_xlfn.XLOOKUP(B2833,GM!$Q$5:$Q$756,GM!$J$5:$J$756)</f>
        <v>46107</v>
      </c>
    </row>
    <row r="2834" spans="1:8" hidden="1" x14ac:dyDescent="0.35">
      <c r="A2834" s="29" t="s">
        <v>20</v>
      </c>
      <c r="B2834" s="29" t="str">
        <f t="shared" si="44"/>
        <v>ROS-52</v>
      </c>
      <c r="C2834" s="29" t="s">
        <v>8781</v>
      </c>
      <c r="D2834" s="67" t="s">
        <v>8782</v>
      </c>
      <c r="E2834" s="96" t="s">
        <v>62</v>
      </c>
      <c r="F2834" s="29" t="s">
        <v>61</v>
      </c>
      <c r="G2834" s="29"/>
      <c r="H2834" s="103">
        <f>_xlfn.XLOOKUP(B2834,GM!$Q$5:$Q$756,GM!$J$5:$J$756)</f>
        <v>46107</v>
      </c>
    </row>
    <row r="2835" spans="1:8" hidden="1" x14ac:dyDescent="0.35">
      <c r="A2835" s="29" t="s">
        <v>20</v>
      </c>
      <c r="B2835" s="29" t="str">
        <f t="shared" si="44"/>
        <v>ROS-52</v>
      </c>
      <c r="C2835" s="29" t="s">
        <v>8783</v>
      </c>
      <c r="D2835" s="67" t="s">
        <v>8784</v>
      </c>
      <c r="E2835" s="96" t="s">
        <v>62</v>
      </c>
      <c r="F2835" s="29" t="s">
        <v>61</v>
      </c>
      <c r="G2835" s="29"/>
      <c r="H2835" s="103">
        <f>_xlfn.XLOOKUP(B2835,GM!$Q$5:$Q$756,GM!$J$5:$J$756)</f>
        <v>46107</v>
      </c>
    </row>
    <row r="2836" spans="1:8" hidden="1" x14ac:dyDescent="0.35">
      <c r="A2836" s="29" t="s">
        <v>20</v>
      </c>
      <c r="B2836" s="29" t="str">
        <f t="shared" si="44"/>
        <v>ROS-52</v>
      </c>
      <c r="C2836" s="29" t="s">
        <v>8785</v>
      </c>
      <c r="D2836" s="67" t="s">
        <v>8786</v>
      </c>
      <c r="E2836" s="96" t="s">
        <v>62</v>
      </c>
      <c r="F2836" s="29" t="s">
        <v>61</v>
      </c>
      <c r="G2836" s="29"/>
      <c r="H2836" s="103">
        <f>_xlfn.XLOOKUP(B2836,GM!$Q$5:$Q$756,GM!$J$5:$J$756)</f>
        <v>46107</v>
      </c>
    </row>
    <row r="2837" spans="1:8" hidden="1" x14ac:dyDescent="0.35">
      <c r="A2837" s="29" t="s">
        <v>20</v>
      </c>
      <c r="B2837" s="29" t="str">
        <f t="shared" si="44"/>
        <v>ROS-52</v>
      </c>
      <c r="C2837" s="29" t="s">
        <v>8787</v>
      </c>
      <c r="D2837" s="67" t="s">
        <v>8788</v>
      </c>
      <c r="E2837" s="96" t="s">
        <v>62</v>
      </c>
      <c r="F2837" s="29" t="s">
        <v>61</v>
      </c>
      <c r="G2837" s="29"/>
      <c r="H2837" s="103">
        <f>_xlfn.XLOOKUP(B2837,GM!$Q$5:$Q$756,GM!$J$5:$J$756)</f>
        <v>46107</v>
      </c>
    </row>
    <row r="2838" spans="1:8" hidden="1" x14ac:dyDescent="0.35">
      <c r="A2838" s="29" t="s">
        <v>20</v>
      </c>
      <c r="B2838" s="29" t="str">
        <f t="shared" si="44"/>
        <v>ROS-52</v>
      </c>
      <c r="C2838" s="29" t="s">
        <v>8789</v>
      </c>
      <c r="D2838" s="67" t="s">
        <v>8790</v>
      </c>
      <c r="E2838" s="96" t="s">
        <v>62</v>
      </c>
      <c r="F2838" s="29" t="s">
        <v>61</v>
      </c>
      <c r="G2838" s="29"/>
      <c r="H2838" s="103">
        <f>_xlfn.XLOOKUP(B2838,GM!$Q$5:$Q$756,GM!$J$5:$J$756)</f>
        <v>46107</v>
      </c>
    </row>
    <row r="2839" spans="1:8" hidden="1" x14ac:dyDescent="0.35">
      <c r="A2839" s="29" t="s">
        <v>20</v>
      </c>
      <c r="B2839" s="29" t="str">
        <f t="shared" si="44"/>
        <v>ROS-52</v>
      </c>
      <c r="C2839" s="29" t="s">
        <v>8791</v>
      </c>
      <c r="D2839" s="67" t="s">
        <v>8792</v>
      </c>
      <c r="E2839" s="96" t="s">
        <v>62</v>
      </c>
      <c r="F2839" s="29" t="s">
        <v>61</v>
      </c>
      <c r="G2839" s="29"/>
      <c r="H2839" s="103">
        <f>_xlfn.XLOOKUP(B2839,GM!$Q$5:$Q$756,GM!$J$5:$J$756)</f>
        <v>46107</v>
      </c>
    </row>
    <row r="2840" spans="1:8" hidden="1" x14ac:dyDescent="0.35">
      <c r="A2840" s="29" t="s">
        <v>20</v>
      </c>
      <c r="B2840" s="29" t="str">
        <f t="shared" si="44"/>
        <v>ROS-58</v>
      </c>
      <c r="C2840" s="29" t="s">
        <v>8793</v>
      </c>
      <c r="D2840" s="67" t="s">
        <v>8794</v>
      </c>
      <c r="E2840" s="96" t="s">
        <v>62</v>
      </c>
      <c r="F2840" s="29" t="s">
        <v>61</v>
      </c>
      <c r="G2840" s="29" t="s">
        <v>371</v>
      </c>
      <c r="H2840" s="103">
        <f>_xlfn.XLOOKUP(B2840,GM!$Q$5:$Q$756,GM!$J$5:$J$756)</f>
        <v>44739</v>
      </c>
    </row>
    <row r="2841" spans="1:8" hidden="1" x14ac:dyDescent="0.35">
      <c r="A2841" s="29" t="s">
        <v>20</v>
      </c>
      <c r="B2841" s="29" t="str">
        <f t="shared" si="44"/>
        <v>ROS-59</v>
      </c>
      <c r="C2841" s="29" t="s">
        <v>8795</v>
      </c>
      <c r="D2841" s="67" t="s">
        <v>8796</v>
      </c>
      <c r="E2841" s="96" t="s">
        <v>62</v>
      </c>
      <c r="F2841" s="29" t="s">
        <v>61</v>
      </c>
      <c r="G2841" s="29"/>
      <c r="H2841" s="103">
        <f>_xlfn.XLOOKUP(B2841,GM!$Q$5:$Q$756,GM!$J$5:$J$756)</f>
        <v>45462</v>
      </c>
    </row>
    <row r="2842" spans="1:8" hidden="1" x14ac:dyDescent="0.35">
      <c r="A2842" s="29" t="s">
        <v>20</v>
      </c>
      <c r="B2842" s="29" t="str">
        <f t="shared" si="44"/>
        <v>ROS-59</v>
      </c>
      <c r="C2842" s="29" t="s">
        <v>8797</v>
      </c>
      <c r="D2842" s="67" t="s">
        <v>8798</v>
      </c>
      <c r="E2842" s="96" t="s">
        <v>62</v>
      </c>
      <c r="F2842" s="29" t="s">
        <v>61</v>
      </c>
      <c r="G2842" s="29"/>
      <c r="H2842" s="103">
        <f>_xlfn.XLOOKUP(B2842,GM!$Q$5:$Q$756,GM!$J$5:$J$756)</f>
        <v>45462</v>
      </c>
    </row>
    <row r="2843" spans="1:8" hidden="1" x14ac:dyDescent="0.35">
      <c r="A2843" s="29" t="s">
        <v>20</v>
      </c>
      <c r="B2843" s="29" t="str">
        <f t="shared" si="44"/>
        <v>ROS-60</v>
      </c>
      <c r="C2843" s="29" t="s">
        <v>8799</v>
      </c>
      <c r="D2843" s="67" t="s">
        <v>8800</v>
      </c>
      <c r="E2843" s="96" t="s">
        <v>62</v>
      </c>
      <c r="F2843" s="29" t="s">
        <v>61</v>
      </c>
      <c r="G2843" s="29" t="s">
        <v>371</v>
      </c>
      <c r="H2843" s="103">
        <f>_xlfn.XLOOKUP(B2843,GM!$Q$5:$Q$756,GM!$J$5:$J$756)</f>
        <v>44819</v>
      </c>
    </row>
    <row r="2844" spans="1:8" hidden="1" x14ac:dyDescent="0.35">
      <c r="A2844" s="29" t="s">
        <v>20</v>
      </c>
      <c r="B2844" s="29" t="str">
        <f t="shared" si="44"/>
        <v>ROS-61</v>
      </c>
      <c r="C2844" s="29" t="s">
        <v>8801</v>
      </c>
      <c r="D2844" s="67" t="s">
        <v>8802</v>
      </c>
      <c r="E2844" s="96" t="s">
        <v>62</v>
      </c>
      <c r="F2844" s="29" t="s">
        <v>61</v>
      </c>
      <c r="G2844" s="29"/>
      <c r="H2844" s="103">
        <f>_xlfn.XLOOKUP(B2844,GM!$Q$5:$Q$756,GM!$J$5:$J$756)</f>
        <v>44926</v>
      </c>
    </row>
    <row r="2845" spans="1:8" hidden="1" x14ac:dyDescent="0.35">
      <c r="A2845" s="29" t="s">
        <v>20</v>
      </c>
      <c r="B2845" s="29" t="str">
        <f t="shared" si="44"/>
        <v>ROS-62</v>
      </c>
      <c r="C2845" s="29" t="s">
        <v>8803</v>
      </c>
      <c r="D2845" s="67" t="s">
        <v>8804</v>
      </c>
      <c r="E2845" s="96" t="s">
        <v>62</v>
      </c>
      <c r="F2845" s="29" t="s">
        <v>61</v>
      </c>
      <c r="G2845" s="29"/>
      <c r="H2845" s="103">
        <f>_xlfn.XLOOKUP(B2845,GM!$Q$5:$Q$756,GM!$J$5:$J$756)</f>
        <v>44926</v>
      </c>
    </row>
    <row r="2846" spans="1:8" hidden="1" x14ac:dyDescent="0.35">
      <c r="A2846" s="29" t="s">
        <v>20</v>
      </c>
      <c r="B2846" s="29" t="str">
        <f t="shared" si="44"/>
        <v>ROS-64</v>
      </c>
      <c r="C2846" s="29" t="s">
        <v>8805</v>
      </c>
      <c r="D2846" s="67" t="s">
        <v>8806</v>
      </c>
      <c r="E2846" s="96" t="s">
        <v>62</v>
      </c>
      <c r="F2846" s="29" t="s">
        <v>61</v>
      </c>
      <c r="G2846" s="29"/>
      <c r="H2846" s="103" t="e">
        <f>_xlfn.XLOOKUP(B2846,GM!$Q$5:$Q$756,GM!$J$5:$J$756)</f>
        <v>#N/A</v>
      </c>
    </row>
    <row r="2847" spans="1:8" hidden="1" x14ac:dyDescent="0.35">
      <c r="A2847" s="29" t="s">
        <v>20</v>
      </c>
      <c r="B2847" s="29" t="str">
        <f t="shared" si="44"/>
        <v>ROS-65</v>
      </c>
      <c r="C2847" s="29" t="s">
        <v>8807</v>
      </c>
      <c r="D2847" s="67" t="s">
        <v>8808</v>
      </c>
      <c r="E2847" s="96" t="s">
        <v>62</v>
      </c>
      <c r="F2847" s="29" t="s">
        <v>61</v>
      </c>
      <c r="G2847" s="29"/>
      <c r="H2847" s="103">
        <f>_xlfn.XLOOKUP(B2847,GM!$Q$5:$Q$756,GM!$J$5:$J$756)</f>
        <v>45202</v>
      </c>
    </row>
    <row r="2848" spans="1:8" hidden="1" x14ac:dyDescent="0.35">
      <c r="A2848" s="29" t="s">
        <v>20</v>
      </c>
      <c r="B2848" s="29" t="str">
        <f t="shared" si="44"/>
        <v>ROS-66</v>
      </c>
      <c r="C2848" s="29" t="s">
        <v>8809</v>
      </c>
      <c r="D2848" s="67" t="s">
        <v>8810</v>
      </c>
      <c r="E2848" s="96" t="s">
        <v>62</v>
      </c>
      <c r="F2848" s="29" t="s">
        <v>61</v>
      </c>
      <c r="G2848" s="29"/>
      <c r="H2848" s="103" t="e">
        <f>_xlfn.XLOOKUP(B2848,GM!$Q$5:$Q$756,GM!$J$5:$J$756)</f>
        <v>#N/A</v>
      </c>
    </row>
    <row r="2849" spans="1:8" hidden="1" x14ac:dyDescent="0.35">
      <c r="A2849" s="29" t="s">
        <v>20</v>
      </c>
      <c r="B2849" s="29" t="str">
        <f t="shared" si="44"/>
        <v>ROS-67</v>
      </c>
      <c r="C2849" s="29" t="s">
        <v>8811</v>
      </c>
      <c r="D2849" s="67" t="s">
        <v>8812</v>
      </c>
      <c r="E2849" s="96" t="s">
        <v>62</v>
      </c>
      <c r="F2849" s="29" t="s">
        <v>61</v>
      </c>
      <c r="G2849" s="29"/>
      <c r="H2849" s="103" t="e">
        <f>_xlfn.XLOOKUP(B2849,GM!$Q$5:$Q$756,GM!$J$5:$J$756)</f>
        <v>#N/A</v>
      </c>
    </row>
    <row r="2850" spans="1:8" hidden="1" x14ac:dyDescent="0.35">
      <c r="A2850" s="29" t="s">
        <v>20</v>
      </c>
      <c r="B2850" s="29" t="str">
        <f t="shared" si="44"/>
        <v>ROS-68</v>
      </c>
      <c r="C2850" s="29" t="s">
        <v>8813</v>
      </c>
      <c r="D2850" s="67" t="s">
        <v>8814</v>
      </c>
      <c r="E2850" s="96" t="s">
        <v>62</v>
      </c>
      <c r="F2850" s="29" t="s">
        <v>61</v>
      </c>
      <c r="G2850" s="29"/>
      <c r="H2850" s="103">
        <f>_xlfn.XLOOKUP(B2850,GM!$Q$5:$Q$756,GM!$J$5:$J$756)</f>
        <v>45202</v>
      </c>
    </row>
    <row r="2851" spans="1:8" hidden="1" x14ac:dyDescent="0.35">
      <c r="A2851" s="29" t="s">
        <v>15</v>
      </c>
      <c r="B2851" s="29" t="str">
        <f t="shared" si="44"/>
        <v>SAG--2</v>
      </c>
      <c r="C2851" s="29" t="s">
        <v>8815</v>
      </c>
      <c r="D2851" s="67" t="s">
        <v>8816</v>
      </c>
      <c r="E2851" s="96" t="s">
        <v>62</v>
      </c>
      <c r="F2851" s="29" t="s">
        <v>61</v>
      </c>
      <c r="G2851" s="29"/>
      <c r="H2851" s="103" t="e">
        <f>_xlfn.XLOOKUP(B2851,GM!$Q$5:$Q$756,GM!$J$5:$J$756)</f>
        <v>#N/A</v>
      </c>
    </row>
    <row r="2852" spans="1:8" hidden="1" x14ac:dyDescent="0.35">
      <c r="A2852" s="29" t="s">
        <v>15</v>
      </c>
      <c r="B2852" s="29" t="str">
        <f t="shared" si="44"/>
        <v>SAG-00</v>
      </c>
      <c r="C2852" s="29" t="s">
        <v>8817</v>
      </c>
      <c r="D2852" s="67" t="s">
        <v>8818</v>
      </c>
      <c r="E2852" s="96" t="s">
        <v>62</v>
      </c>
      <c r="F2852" s="29" t="s">
        <v>61</v>
      </c>
      <c r="G2852" s="29"/>
      <c r="H2852" s="103">
        <f>_xlfn.XLOOKUP(B2852,GM!$Q$5:$Q$756,GM!$J$5:$J$756)</f>
        <v>45202</v>
      </c>
    </row>
    <row r="2853" spans="1:8" hidden="1" x14ac:dyDescent="0.35">
      <c r="A2853" s="29" t="s">
        <v>15</v>
      </c>
      <c r="B2853" s="29" t="str">
        <f t="shared" si="44"/>
        <v>SAG-00</v>
      </c>
      <c r="C2853" s="29" t="s">
        <v>8819</v>
      </c>
      <c r="D2853" s="67" t="s">
        <v>8820</v>
      </c>
      <c r="E2853" s="96" t="s">
        <v>62</v>
      </c>
      <c r="F2853" s="29" t="s">
        <v>61</v>
      </c>
      <c r="G2853" s="29"/>
      <c r="H2853" s="103">
        <f>_xlfn.XLOOKUP(B2853,GM!$Q$5:$Q$756,GM!$J$5:$J$756)</f>
        <v>45202</v>
      </c>
    </row>
    <row r="2854" spans="1:8" hidden="1" x14ac:dyDescent="0.35">
      <c r="A2854" s="29" t="s">
        <v>15</v>
      </c>
      <c r="B2854" s="29" t="str">
        <f t="shared" si="44"/>
        <v>SAG-00</v>
      </c>
      <c r="C2854" s="29" t="s">
        <v>8821</v>
      </c>
      <c r="D2854" s="67" t="s">
        <v>8822</v>
      </c>
      <c r="E2854" s="96" t="s">
        <v>62</v>
      </c>
      <c r="F2854" s="29" t="s">
        <v>61</v>
      </c>
      <c r="G2854" s="29"/>
      <c r="H2854" s="103">
        <f>_xlfn.XLOOKUP(B2854,GM!$Q$5:$Q$756,GM!$J$5:$J$756)</f>
        <v>45202</v>
      </c>
    </row>
    <row r="2855" spans="1:8" hidden="1" x14ac:dyDescent="0.35">
      <c r="A2855" s="29" t="s">
        <v>15</v>
      </c>
      <c r="B2855" s="29" t="str">
        <f t="shared" si="44"/>
        <v>SAG-00</v>
      </c>
      <c r="C2855" s="29" t="s">
        <v>8823</v>
      </c>
      <c r="D2855" s="67" t="s">
        <v>8824</v>
      </c>
      <c r="E2855" s="96" t="s">
        <v>62</v>
      </c>
      <c r="F2855" s="29" t="s">
        <v>61</v>
      </c>
      <c r="G2855" s="29"/>
      <c r="H2855" s="103">
        <f>_xlfn.XLOOKUP(B2855,GM!$Q$5:$Q$756,GM!$J$5:$J$756)</f>
        <v>45202</v>
      </c>
    </row>
    <row r="2856" spans="1:8" hidden="1" x14ac:dyDescent="0.35">
      <c r="A2856" s="29" t="s">
        <v>15</v>
      </c>
      <c r="B2856" s="29" t="str">
        <f t="shared" si="44"/>
        <v>SAG-00</v>
      </c>
      <c r="C2856" s="29" t="s">
        <v>8825</v>
      </c>
      <c r="D2856" s="67" t="s">
        <v>8826</v>
      </c>
      <c r="E2856" s="96" t="s">
        <v>62</v>
      </c>
      <c r="F2856" s="29" t="s">
        <v>61</v>
      </c>
      <c r="G2856" s="29"/>
      <c r="H2856" s="103">
        <f>_xlfn.XLOOKUP(B2856,GM!$Q$5:$Q$756,GM!$J$5:$J$756)</f>
        <v>45202</v>
      </c>
    </row>
    <row r="2857" spans="1:8" hidden="1" x14ac:dyDescent="0.35">
      <c r="A2857" s="29" t="s">
        <v>15</v>
      </c>
      <c r="B2857" s="29" t="str">
        <f t="shared" si="44"/>
        <v>SAG-00</v>
      </c>
      <c r="C2857" s="29" t="s">
        <v>8827</v>
      </c>
      <c r="D2857" s="67" t="s">
        <v>8828</v>
      </c>
      <c r="E2857" s="96" t="s">
        <v>62</v>
      </c>
      <c r="F2857" s="29" t="s">
        <v>61</v>
      </c>
      <c r="G2857" s="29"/>
      <c r="H2857" s="103">
        <f>_xlfn.XLOOKUP(B2857,GM!$Q$5:$Q$756,GM!$J$5:$J$756)</f>
        <v>45202</v>
      </c>
    </row>
    <row r="2858" spans="1:8" hidden="1" x14ac:dyDescent="0.35">
      <c r="A2858" s="29" t="s">
        <v>15</v>
      </c>
      <c r="B2858" s="29" t="str">
        <f t="shared" si="44"/>
        <v>SAG-00</v>
      </c>
      <c r="C2858" s="29" t="s">
        <v>8829</v>
      </c>
      <c r="D2858" s="67" t="s">
        <v>8830</v>
      </c>
      <c r="E2858" s="96" t="s">
        <v>62</v>
      </c>
      <c r="F2858" s="29" t="s">
        <v>61</v>
      </c>
      <c r="G2858" s="29"/>
      <c r="H2858" s="103">
        <f>_xlfn.XLOOKUP(B2858,GM!$Q$5:$Q$756,GM!$J$5:$J$756)</f>
        <v>45202</v>
      </c>
    </row>
    <row r="2859" spans="1:8" hidden="1" x14ac:dyDescent="0.35">
      <c r="A2859" s="29" t="s">
        <v>15</v>
      </c>
      <c r="B2859" s="29" t="str">
        <f t="shared" si="44"/>
        <v>SAG-00</v>
      </c>
      <c r="C2859" s="29" t="s">
        <v>8831</v>
      </c>
      <c r="D2859" s="67" t="s">
        <v>8832</v>
      </c>
      <c r="E2859" s="96" t="s">
        <v>62</v>
      </c>
      <c r="F2859" s="29" t="s">
        <v>61</v>
      </c>
      <c r="G2859" s="29"/>
      <c r="H2859" s="103">
        <f>_xlfn.XLOOKUP(B2859,GM!$Q$5:$Q$756,GM!$J$5:$J$756)</f>
        <v>45202</v>
      </c>
    </row>
    <row r="2860" spans="1:8" hidden="1" x14ac:dyDescent="0.35">
      <c r="A2860" s="29" t="s">
        <v>15</v>
      </c>
      <c r="B2860" s="29" t="str">
        <f t="shared" si="44"/>
        <v>SAG-00</v>
      </c>
      <c r="C2860" s="29" t="s">
        <v>8833</v>
      </c>
      <c r="D2860" s="67" t="s">
        <v>8834</v>
      </c>
      <c r="E2860" s="96" t="s">
        <v>62</v>
      </c>
      <c r="F2860" s="29" t="s">
        <v>61</v>
      </c>
      <c r="G2860" s="29"/>
      <c r="H2860" s="103">
        <f>_xlfn.XLOOKUP(B2860,GM!$Q$5:$Q$756,GM!$J$5:$J$756)</f>
        <v>45202</v>
      </c>
    </row>
    <row r="2861" spans="1:8" hidden="1" x14ac:dyDescent="0.35">
      <c r="A2861" s="29" t="s">
        <v>15</v>
      </c>
      <c r="B2861" s="29" t="str">
        <f t="shared" si="44"/>
        <v>SAG-01</v>
      </c>
      <c r="C2861" s="29" t="s">
        <v>8835</v>
      </c>
      <c r="D2861" s="67" t="s">
        <v>8836</v>
      </c>
      <c r="E2861" s="96" t="s">
        <v>62</v>
      </c>
      <c r="F2861" s="29" t="s">
        <v>61</v>
      </c>
      <c r="G2861" s="29"/>
      <c r="H2861" s="103">
        <f>_xlfn.XLOOKUP(B2861,GM!$Q$5:$Q$756,GM!$J$5:$J$756)</f>
        <v>44739</v>
      </c>
    </row>
    <row r="2862" spans="1:8" hidden="1" x14ac:dyDescent="0.35">
      <c r="A2862" s="29" t="s">
        <v>15</v>
      </c>
      <c r="B2862" s="29" t="str">
        <f t="shared" si="44"/>
        <v>SAG-01</v>
      </c>
      <c r="C2862" s="29" t="s">
        <v>8837</v>
      </c>
      <c r="D2862" s="67" t="s">
        <v>8838</v>
      </c>
      <c r="E2862" s="96" t="s">
        <v>62</v>
      </c>
      <c r="F2862" s="29" t="s">
        <v>61</v>
      </c>
      <c r="G2862" s="29"/>
      <c r="H2862" s="103">
        <f>_xlfn.XLOOKUP(B2862,GM!$Q$5:$Q$756,GM!$J$5:$J$756)</f>
        <v>44739</v>
      </c>
    </row>
    <row r="2863" spans="1:8" hidden="1" x14ac:dyDescent="0.35">
      <c r="A2863" s="29" t="s">
        <v>15</v>
      </c>
      <c r="B2863" s="29" t="str">
        <f t="shared" si="44"/>
        <v>SAG-01</v>
      </c>
      <c r="C2863" s="29" t="s">
        <v>8839</v>
      </c>
      <c r="D2863" s="67" t="s">
        <v>8840</v>
      </c>
      <c r="E2863" s="96" t="s">
        <v>62</v>
      </c>
      <c r="F2863" s="29" t="s">
        <v>61</v>
      </c>
      <c r="G2863" s="29"/>
      <c r="H2863" s="103">
        <f>_xlfn.XLOOKUP(B2863,GM!$Q$5:$Q$756,GM!$J$5:$J$756)</f>
        <v>44739</v>
      </c>
    </row>
    <row r="2864" spans="1:8" hidden="1" x14ac:dyDescent="0.35">
      <c r="A2864" s="29" t="s">
        <v>15</v>
      </c>
      <c r="B2864" s="29" t="str">
        <f t="shared" si="44"/>
        <v>SAG-01</v>
      </c>
      <c r="C2864" s="29" t="s">
        <v>8841</v>
      </c>
      <c r="D2864" s="67" t="s">
        <v>8842</v>
      </c>
      <c r="E2864" s="96" t="s">
        <v>62</v>
      </c>
      <c r="F2864" s="29" t="s">
        <v>61</v>
      </c>
      <c r="G2864" s="29"/>
      <c r="H2864" s="103">
        <f>_xlfn.XLOOKUP(B2864,GM!$Q$5:$Q$756,GM!$J$5:$J$756)</f>
        <v>44739</v>
      </c>
    </row>
    <row r="2865" spans="1:8" hidden="1" x14ac:dyDescent="0.35">
      <c r="A2865" s="29" t="s">
        <v>15</v>
      </c>
      <c r="B2865" s="29" t="str">
        <f t="shared" si="44"/>
        <v>SAG-01</v>
      </c>
      <c r="C2865" s="29" t="s">
        <v>8843</v>
      </c>
      <c r="D2865" s="67" t="s">
        <v>8844</v>
      </c>
      <c r="E2865" s="96" t="s">
        <v>62</v>
      </c>
      <c r="F2865" s="29" t="s">
        <v>61</v>
      </c>
      <c r="G2865" s="29"/>
      <c r="H2865" s="103">
        <f>_xlfn.XLOOKUP(B2865,GM!$Q$5:$Q$756,GM!$J$5:$J$756)</f>
        <v>44739</v>
      </c>
    </row>
    <row r="2866" spans="1:8" hidden="1" x14ac:dyDescent="0.35">
      <c r="A2866" s="29" t="s">
        <v>15</v>
      </c>
      <c r="B2866" s="29" t="str">
        <f t="shared" si="44"/>
        <v>SAG-01</v>
      </c>
      <c r="C2866" s="29" t="s">
        <v>8845</v>
      </c>
      <c r="D2866" s="67" t="s">
        <v>8846</v>
      </c>
      <c r="E2866" s="96" t="s">
        <v>62</v>
      </c>
      <c r="F2866" s="29" t="s">
        <v>61</v>
      </c>
      <c r="G2866" s="29"/>
      <c r="H2866" s="103">
        <f>_xlfn.XLOOKUP(B2866,GM!$Q$5:$Q$756,GM!$J$5:$J$756)</f>
        <v>44739</v>
      </c>
    </row>
    <row r="2867" spans="1:8" hidden="1" x14ac:dyDescent="0.35">
      <c r="A2867" s="29" t="s">
        <v>15</v>
      </c>
      <c r="B2867" s="29" t="str">
        <f t="shared" si="44"/>
        <v>SAG-01</v>
      </c>
      <c r="C2867" s="29" t="s">
        <v>8847</v>
      </c>
      <c r="D2867" s="67" t="s">
        <v>8848</v>
      </c>
      <c r="E2867" s="96" t="s">
        <v>62</v>
      </c>
      <c r="F2867" s="29" t="s">
        <v>61</v>
      </c>
      <c r="G2867" s="29"/>
      <c r="H2867" s="103">
        <f>_xlfn.XLOOKUP(B2867,GM!$Q$5:$Q$756,GM!$J$5:$J$756)</f>
        <v>44739</v>
      </c>
    </row>
    <row r="2868" spans="1:8" hidden="1" x14ac:dyDescent="0.35">
      <c r="A2868" s="29" t="s">
        <v>15</v>
      </c>
      <c r="B2868" s="29" t="str">
        <f t="shared" si="44"/>
        <v>SAG-01</v>
      </c>
      <c r="C2868" s="29" t="s">
        <v>8849</v>
      </c>
      <c r="D2868" s="67" t="s">
        <v>8850</v>
      </c>
      <c r="E2868" s="96" t="s">
        <v>62</v>
      </c>
      <c r="F2868" s="29" t="s">
        <v>61</v>
      </c>
      <c r="G2868" s="29"/>
      <c r="H2868" s="103">
        <f>_xlfn.XLOOKUP(B2868,GM!$Q$5:$Q$756,GM!$J$5:$J$756)</f>
        <v>44739</v>
      </c>
    </row>
    <row r="2869" spans="1:8" hidden="1" x14ac:dyDescent="0.35">
      <c r="A2869" s="29" t="s">
        <v>15</v>
      </c>
      <c r="B2869" s="29" t="str">
        <f t="shared" si="44"/>
        <v>SAG-01</v>
      </c>
      <c r="C2869" s="29" t="s">
        <v>8851</v>
      </c>
      <c r="D2869" s="67" t="s">
        <v>8852</v>
      </c>
      <c r="E2869" s="96" t="s">
        <v>62</v>
      </c>
      <c r="F2869" s="29" t="s">
        <v>61</v>
      </c>
      <c r="G2869" s="29"/>
      <c r="H2869" s="103">
        <f>_xlfn.XLOOKUP(B2869,GM!$Q$5:$Q$756,GM!$J$5:$J$756)</f>
        <v>44739</v>
      </c>
    </row>
    <row r="2870" spans="1:8" hidden="1" x14ac:dyDescent="0.35">
      <c r="A2870" s="29" t="s">
        <v>15</v>
      </c>
      <c r="B2870" s="29" t="str">
        <f t="shared" si="44"/>
        <v>SAG-01</v>
      </c>
      <c r="C2870" s="29" t="s">
        <v>8853</v>
      </c>
      <c r="D2870" s="67" t="s">
        <v>8854</v>
      </c>
      <c r="E2870" s="96" t="s">
        <v>62</v>
      </c>
      <c r="F2870" s="29" t="s">
        <v>61</v>
      </c>
      <c r="G2870" s="29"/>
      <c r="H2870" s="103">
        <f>_xlfn.XLOOKUP(B2870,GM!$Q$5:$Q$756,GM!$J$5:$J$756)</f>
        <v>44739</v>
      </c>
    </row>
    <row r="2871" spans="1:8" hidden="1" x14ac:dyDescent="0.35">
      <c r="A2871" s="29" t="s">
        <v>15</v>
      </c>
      <c r="B2871" s="29" t="str">
        <f t="shared" si="44"/>
        <v>SAG-01</v>
      </c>
      <c r="C2871" s="29" t="s">
        <v>8855</v>
      </c>
      <c r="D2871" s="67" t="s">
        <v>8856</v>
      </c>
      <c r="E2871" s="96" t="s">
        <v>62</v>
      </c>
      <c r="F2871" s="29" t="s">
        <v>61</v>
      </c>
      <c r="G2871" s="29"/>
      <c r="H2871" s="103">
        <f>_xlfn.XLOOKUP(B2871,GM!$Q$5:$Q$756,GM!$J$5:$J$756)</f>
        <v>44739</v>
      </c>
    </row>
    <row r="2872" spans="1:8" hidden="1" x14ac:dyDescent="0.35">
      <c r="A2872" s="29" t="s">
        <v>15</v>
      </c>
      <c r="B2872" s="29" t="str">
        <f t="shared" si="44"/>
        <v>SAG-01</v>
      </c>
      <c r="C2872" s="29" t="s">
        <v>8857</v>
      </c>
      <c r="D2872" s="67" t="s">
        <v>8858</v>
      </c>
      <c r="E2872" s="96" t="s">
        <v>62</v>
      </c>
      <c r="F2872" s="29" t="s">
        <v>61</v>
      </c>
      <c r="G2872" s="29"/>
      <c r="H2872" s="103">
        <f>_xlfn.XLOOKUP(B2872,GM!$Q$5:$Q$756,GM!$J$5:$J$756)</f>
        <v>44739</v>
      </c>
    </row>
    <row r="2873" spans="1:8" hidden="1" x14ac:dyDescent="0.35">
      <c r="A2873" s="29" t="s">
        <v>15</v>
      </c>
      <c r="B2873" s="29" t="str">
        <f t="shared" si="44"/>
        <v>SAG-01</v>
      </c>
      <c r="C2873" s="29" t="s">
        <v>8859</v>
      </c>
      <c r="D2873" s="67" t="s">
        <v>8860</v>
      </c>
      <c r="E2873" s="96" t="s">
        <v>62</v>
      </c>
      <c r="F2873" s="29" t="s">
        <v>61</v>
      </c>
      <c r="G2873" s="29"/>
      <c r="H2873" s="103">
        <f>_xlfn.XLOOKUP(B2873,GM!$Q$5:$Q$756,GM!$J$5:$J$756)</f>
        <v>44739</v>
      </c>
    </row>
    <row r="2874" spans="1:8" hidden="1" x14ac:dyDescent="0.35">
      <c r="A2874" s="29" t="s">
        <v>15</v>
      </c>
      <c r="B2874" s="29" t="str">
        <f t="shared" si="44"/>
        <v>SAG-01</v>
      </c>
      <c r="C2874" s="29" t="s">
        <v>8861</v>
      </c>
      <c r="D2874" s="67" t="s">
        <v>8862</v>
      </c>
      <c r="E2874" s="96" t="s">
        <v>62</v>
      </c>
      <c r="F2874" s="29" t="s">
        <v>61</v>
      </c>
      <c r="G2874" s="29"/>
      <c r="H2874" s="103">
        <f>_xlfn.XLOOKUP(B2874,GM!$Q$5:$Q$756,GM!$J$5:$J$756)</f>
        <v>44739</v>
      </c>
    </row>
    <row r="2875" spans="1:8" hidden="1" x14ac:dyDescent="0.35">
      <c r="A2875" s="29" t="s">
        <v>15</v>
      </c>
      <c r="B2875" s="29" t="str">
        <f t="shared" si="44"/>
        <v>SAG-01</v>
      </c>
      <c r="C2875" s="29" t="s">
        <v>8863</v>
      </c>
      <c r="D2875" s="67" t="s">
        <v>8864</v>
      </c>
      <c r="E2875" s="96" t="s">
        <v>62</v>
      </c>
      <c r="F2875" s="29" t="s">
        <v>61</v>
      </c>
      <c r="G2875" s="29"/>
      <c r="H2875" s="103">
        <f>_xlfn.XLOOKUP(B2875,GM!$Q$5:$Q$756,GM!$J$5:$J$756)</f>
        <v>44739</v>
      </c>
    </row>
    <row r="2876" spans="1:8" hidden="1" x14ac:dyDescent="0.35">
      <c r="A2876" s="29" t="s">
        <v>15</v>
      </c>
      <c r="B2876" s="29" t="str">
        <f t="shared" si="44"/>
        <v>SAG-01</v>
      </c>
      <c r="C2876" s="29" t="s">
        <v>8865</v>
      </c>
      <c r="D2876" s="67" t="s">
        <v>8866</v>
      </c>
      <c r="E2876" s="96" t="s">
        <v>62</v>
      </c>
      <c r="F2876" s="29" t="s">
        <v>61</v>
      </c>
      <c r="G2876" s="29"/>
      <c r="H2876" s="103">
        <f>_xlfn.XLOOKUP(B2876,GM!$Q$5:$Q$756,GM!$J$5:$J$756)</f>
        <v>44739</v>
      </c>
    </row>
    <row r="2877" spans="1:8" hidden="1" x14ac:dyDescent="0.35">
      <c r="A2877" s="29" t="s">
        <v>15</v>
      </c>
      <c r="B2877" s="29" t="str">
        <f t="shared" si="44"/>
        <v>SAG-01</v>
      </c>
      <c r="C2877" s="29" t="s">
        <v>8867</v>
      </c>
      <c r="D2877" s="67" t="s">
        <v>8868</v>
      </c>
      <c r="E2877" s="96" t="s">
        <v>62</v>
      </c>
      <c r="F2877" s="29" t="s">
        <v>61</v>
      </c>
      <c r="G2877" s="29"/>
      <c r="H2877" s="103">
        <f>_xlfn.XLOOKUP(B2877,GM!$Q$5:$Q$756,GM!$J$5:$J$756)</f>
        <v>44739</v>
      </c>
    </row>
    <row r="2878" spans="1:8" hidden="1" x14ac:dyDescent="0.35">
      <c r="A2878" s="29" t="s">
        <v>15</v>
      </c>
      <c r="B2878" s="29" t="str">
        <f t="shared" si="44"/>
        <v>SAG-01</v>
      </c>
      <c r="C2878" s="29" t="s">
        <v>8869</v>
      </c>
      <c r="D2878" s="67" t="s">
        <v>8870</v>
      </c>
      <c r="E2878" s="96" t="s">
        <v>62</v>
      </c>
      <c r="F2878" s="29" t="s">
        <v>61</v>
      </c>
      <c r="G2878" s="29"/>
      <c r="H2878" s="103">
        <f>_xlfn.XLOOKUP(B2878,GM!$Q$5:$Q$756,GM!$J$5:$J$756)</f>
        <v>44739</v>
      </c>
    </row>
    <row r="2879" spans="1:8" hidden="1" x14ac:dyDescent="0.35">
      <c r="A2879" s="29" t="s">
        <v>15</v>
      </c>
      <c r="B2879" s="29" t="str">
        <f t="shared" si="44"/>
        <v>SAG-01</v>
      </c>
      <c r="C2879" s="29" t="s">
        <v>8871</v>
      </c>
      <c r="D2879" s="67" t="s">
        <v>8872</v>
      </c>
      <c r="E2879" s="96" t="s">
        <v>62</v>
      </c>
      <c r="F2879" s="29" t="s">
        <v>61</v>
      </c>
      <c r="G2879" s="29"/>
      <c r="H2879" s="103">
        <f>_xlfn.XLOOKUP(B2879,GM!$Q$5:$Q$756,GM!$J$5:$J$756)</f>
        <v>44739</v>
      </c>
    </row>
    <row r="2880" spans="1:8" hidden="1" x14ac:dyDescent="0.35">
      <c r="A2880" s="29" t="s">
        <v>15</v>
      </c>
      <c r="B2880" s="29" t="str">
        <f t="shared" si="44"/>
        <v>SAG-01</v>
      </c>
      <c r="C2880" s="29" t="s">
        <v>8873</v>
      </c>
      <c r="D2880" s="67" t="s">
        <v>8874</v>
      </c>
      <c r="E2880" s="96" t="s">
        <v>62</v>
      </c>
      <c r="F2880" s="29" t="s">
        <v>61</v>
      </c>
      <c r="G2880" s="29"/>
      <c r="H2880" s="103">
        <f>_xlfn.XLOOKUP(B2880,GM!$Q$5:$Q$756,GM!$J$5:$J$756)</f>
        <v>44739</v>
      </c>
    </row>
    <row r="2881" spans="1:8" hidden="1" x14ac:dyDescent="0.35">
      <c r="A2881" s="29" t="s">
        <v>15</v>
      </c>
      <c r="B2881" s="29" t="str">
        <f t="shared" si="44"/>
        <v>SAG-01</v>
      </c>
      <c r="C2881" s="29" t="s">
        <v>8875</v>
      </c>
      <c r="D2881" s="67" t="s">
        <v>8876</v>
      </c>
      <c r="E2881" s="96" t="s">
        <v>62</v>
      </c>
      <c r="F2881" s="29" t="s">
        <v>61</v>
      </c>
      <c r="G2881" s="29"/>
      <c r="H2881" s="103">
        <f>_xlfn.XLOOKUP(B2881,GM!$Q$5:$Q$756,GM!$J$5:$J$756)</f>
        <v>44739</v>
      </c>
    </row>
    <row r="2882" spans="1:8" hidden="1" x14ac:dyDescent="0.35">
      <c r="A2882" s="29" t="s">
        <v>15</v>
      </c>
      <c r="B2882" s="29" t="str">
        <f t="shared" si="44"/>
        <v>SAG-01</v>
      </c>
      <c r="C2882" s="29" t="s">
        <v>8877</v>
      </c>
      <c r="D2882" s="67" t="s">
        <v>8878</v>
      </c>
      <c r="E2882" s="96" t="s">
        <v>62</v>
      </c>
      <c r="F2882" s="29" t="s">
        <v>61</v>
      </c>
      <c r="G2882" s="29"/>
      <c r="H2882" s="103">
        <f>_xlfn.XLOOKUP(B2882,GM!$Q$5:$Q$756,GM!$J$5:$J$756)</f>
        <v>44739</v>
      </c>
    </row>
    <row r="2883" spans="1:8" hidden="1" x14ac:dyDescent="0.35">
      <c r="A2883" s="29" t="s">
        <v>15</v>
      </c>
      <c r="B2883" s="29" t="str">
        <f t="shared" si="44"/>
        <v>SAG-01</v>
      </c>
      <c r="C2883" s="29" t="s">
        <v>8879</v>
      </c>
      <c r="D2883" s="67" t="s">
        <v>8880</v>
      </c>
      <c r="E2883" s="96" t="s">
        <v>62</v>
      </c>
      <c r="F2883" s="29" t="s">
        <v>61</v>
      </c>
      <c r="G2883" s="29"/>
      <c r="H2883" s="103">
        <f>_xlfn.XLOOKUP(B2883,GM!$Q$5:$Q$756,GM!$J$5:$J$756)</f>
        <v>44739</v>
      </c>
    </row>
    <row r="2884" spans="1:8" hidden="1" x14ac:dyDescent="0.35">
      <c r="A2884" s="29" t="s">
        <v>15</v>
      </c>
      <c r="B2884" s="29" t="str">
        <f t="shared" si="44"/>
        <v>SAG-01</v>
      </c>
      <c r="C2884" s="29" t="s">
        <v>8881</v>
      </c>
      <c r="D2884" s="67" t="s">
        <v>8882</v>
      </c>
      <c r="E2884" s="96" t="s">
        <v>62</v>
      </c>
      <c r="F2884" s="29" t="s">
        <v>61</v>
      </c>
      <c r="G2884" s="29"/>
      <c r="H2884" s="103">
        <f>_xlfn.XLOOKUP(B2884,GM!$Q$5:$Q$756,GM!$J$5:$J$756)</f>
        <v>44739</v>
      </c>
    </row>
    <row r="2885" spans="1:8" hidden="1" x14ac:dyDescent="0.35">
      <c r="A2885" s="29" t="s">
        <v>15</v>
      </c>
      <c r="B2885" s="29" t="str">
        <f t="shared" ref="B2885:B2948" si="45">IF(OR(A2885="ARN",A2885="SDP"),MID(C2885,4,7),MID(C2885,4,6))</f>
        <v>SAG-01</v>
      </c>
      <c r="C2885" s="29" t="s">
        <v>8883</v>
      </c>
      <c r="D2885" s="67" t="s">
        <v>8884</v>
      </c>
      <c r="E2885" s="96" t="s">
        <v>62</v>
      </c>
      <c r="F2885" s="29" t="s">
        <v>61</v>
      </c>
      <c r="G2885" s="29"/>
      <c r="H2885" s="103">
        <f>_xlfn.XLOOKUP(B2885,GM!$Q$5:$Q$756,GM!$J$5:$J$756)</f>
        <v>44739</v>
      </c>
    </row>
    <row r="2886" spans="1:8" hidden="1" x14ac:dyDescent="0.35">
      <c r="A2886" s="29" t="s">
        <v>15</v>
      </c>
      <c r="B2886" s="29" t="str">
        <f t="shared" si="45"/>
        <v>SAG-01</v>
      </c>
      <c r="C2886" s="29" t="s">
        <v>8885</v>
      </c>
      <c r="D2886" s="67" t="s">
        <v>8886</v>
      </c>
      <c r="E2886" s="96" t="s">
        <v>62</v>
      </c>
      <c r="F2886" s="29" t="s">
        <v>61</v>
      </c>
      <c r="G2886" s="29"/>
      <c r="H2886" s="103">
        <f>_xlfn.XLOOKUP(B2886,GM!$Q$5:$Q$756,GM!$J$5:$J$756)</f>
        <v>44739</v>
      </c>
    </row>
    <row r="2887" spans="1:8" hidden="1" x14ac:dyDescent="0.35">
      <c r="A2887" s="29" t="s">
        <v>15</v>
      </c>
      <c r="B2887" s="29" t="str">
        <f t="shared" si="45"/>
        <v>SAG-01</v>
      </c>
      <c r="C2887" s="29" t="s">
        <v>8887</v>
      </c>
      <c r="D2887" s="67" t="s">
        <v>8888</v>
      </c>
      <c r="E2887" s="96" t="s">
        <v>62</v>
      </c>
      <c r="F2887" s="29" t="s">
        <v>61</v>
      </c>
      <c r="G2887" s="29"/>
      <c r="H2887" s="103">
        <f>_xlfn.XLOOKUP(B2887,GM!$Q$5:$Q$756,GM!$J$5:$J$756)</f>
        <v>44739</v>
      </c>
    </row>
    <row r="2888" spans="1:8" hidden="1" x14ac:dyDescent="0.35">
      <c r="A2888" s="29" t="s">
        <v>15</v>
      </c>
      <c r="B2888" s="29" t="str">
        <f t="shared" si="45"/>
        <v>SAG-02</v>
      </c>
      <c r="C2888" s="29" t="s">
        <v>8889</v>
      </c>
      <c r="D2888" s="67" t="s">
        <v>8890</v>
      </c>
      <c r="E2888" s="96" t="s">
        <v>62</v>
      </c>
      <c r="F2888" s="29" t="s">
        <v>61</v>
      </c>
      <c r="G2888" s="29"/>
      <c r="H2888" s="103">
        <f>_xlfn.XLOOKUP(B2888,GM!$Q$5:$Q$756,GM!$J$5:$J$756)</f>
        <v>44739</v>
      </c>
    </row>
    <row r="2889" spans="1:8" hidden="1" x14ac:dyDescent="0.35">
      <c r="A2889" s="29" t="s">
        <v>15</v>
      </c>
      <c r="B2889" s="29" t="str">
        <f t="shared" si="45"/>
        <v>SAG-02</v>
      </c>
      <c r="C2889" s="29" t="s">
        <v>8891</v>
      </c>
      <c r="D2889" s="67" t="s">
        <v>8892</v>
      </c>
      <c r="E2889" s="96" t="s">
        <v>62</v>
      </c>
      <c r="F2889" s="29" t="s">
        <v>61</v>
      </c>
      <c r="G2889" s="29"/>
      <c r="H2889" s="103">
        <f>_xlfn.XLOOKUP(B2889,GM!$Q$5:$Q$756,GM!$J$5:$J$756)</f>
        <v>44739</v>
      </c>
    </row>
    <row r="2890" spans="1:8" hidden="1" x14ac:dyDescent="0.35">
      <c r="A2890" s="29" t="s">
        <v>15</v>
      </c>
      <c r="B2890" s="29" t="str">
        <f t="shared" si="45"/>
        <v>SAG-02</v>
      </c>
      <c r="C2890" s="29" t="s">
        <v>8893</v>
      </c>
      <c r="D2890" s="67" t="s">
        <v>8894</v>
      </c>
      <c r="E2890" s="96" t="s">
        <v>62</v>
      </c>
      <c r="F2890" s="29" t="s">
        <v>61</v>
      </c>
      <c r="G2890" s="29"/>
      <c r="H2890" s="103">
        <f>_xlfn.XLOOKUP(B2890,GM!$Q$5:$Q$756,GM!$J$5:$J$756)</f>
        <v>44739</v>
      </c>
    </row>
    <row r="2891" spans="1:8" hidden="1" x14ac:dyDescent="0.35">
      <c r="A2891" s="29" t="s">
        <v>15</v>
      </c>
      <c r="B2891" s="29" t="str">
        <f t="shared" si="45"/>
        <v>SAG-02</v>
      </c>
      <c r="C2891" s="29" t="s">
        <v>8895</v>
      </c>
      <c r="D2891" s="67" t="s">
        <v>8896</v>
      </c>
      <c r="E2891" s="96" t="s">
        <v>62</v>
      </c>
      <c r="F2891" s="29" t="s">
        <v>61</v>
      </c>
      <c r="G2891" s="29"/>
      <c r="H2891" s="103">
        <f>_xlfn.XLOOKUP(B2891,GM!$Q$5:$Q$756,GM!$J$5:$J$756)</f>
        <v>44739</v>
      </c>
    </row>
    <row r="2892" spans="1:8" hidden="1" x14ac:dyDescent="0.35">
      <c r="A2892" s="29" t="s">
        <v>15</v>
      </c>
      <c r="B2892" s="29" t="str">
        <f t="shared" si="45"/>
        <v>SAG-02</v>
      </c>
      <c r="C2892" s="29" t="s">
        <v>8897</v>
      </c>
      <c r="D2892" s="67" t="s">
        <v>8898</v>
      </c>
      <c r="E2892" s="96" t="s">
        <v>62</v>
      </c>
      <c r="F2892" s="29" t="s">
        <v>61</v>
      </c>
      <c r="G2892" s="29"/>
      <c r="H2892" s="103">
        <f>_xlfn.XLOOKUP(B2892,GM!$Q$5:$Q$756,GM!$J$5:$J$756)</f>
        <v>44739</v>
      </c>
    </row>
    <row r="2893" spans="1:8" hidden="1" x14ac:dyDescent="0.35">
      <c r="A2893" s="29" t="s">
        <v>15</v>
      </c>
      <c r="B2893" s="29" t="str">
        <f t="shared" si="45"/>
        <v>SAG-02</v>
      </c>
      <c r="C2893" s="29" t="s">
        <v>8899</v>
      </c>
      <c r="D2893" s="67" t="s">
        <v>8900</v>
      </c>
      <c r="E2893" s="96" t="s">
        <v>62</v>
      </c>
      <c r="F2893" s="29" t="s">
        <v>61</v>
      </c>
      <c r="G2893" s="29"/>
      <c r="H2893" s="103">
        <f>_xlfn.XLOOKUP(B2893,GM!$Q$5:$Q$756,GM!$J$5:$J$756)</f>
        <v>44739</v>
      </c>
    </row>
    <row r="2894" spans="1:8" hidden="1" x14ac:dyDescent="0.35">
      <c r="A2894" s="29" t="s">
        <v>15</v>
      </c>
      <c r="B2894" s="29" t="str">
        <f t="shared" si="45"/>
        <v>SAG-02</v>
      </c>
      <c r="C2894" s="29" t="s">
        <v>8901</v>
      </c>
      <c r="D2894" s="67" t="s">
        <v>8902</v>
      </c>
      <c r="E2894" s="96" t="s">
        <v>62</v>
      </c>
      <c r="F2894" s="29" t="s">
        <v>61</v>
      </c>
      <c r="G2894" s="29"/>
      <c r="H2894" s="103">
        <f>_xlfn.XLOOKUP(B2894,GM!$Q$5:$Q$756,GM!$J$5:$J$756)</f>
        <v>44739</v>
      </c>
    </row>
    <row r="2895" spans="1:8" hidden="1" x14ac:dyDescent="0.35">
      <c r="A2895" s="29" t="s">
        <v>15</v>
      </c>
      <c r="B2895" s="29" t="str">
        <f t="shared" si="45"/>
        <v>SAG-02</v>
      </c>
      <c r="C2895" s="29" t="s">
        <v>8903</v>
      </c>
      <c r="D2895" s="67" t="s">
        <v>8904</v>
      </c>
      <c r="E2895" s="96" t="s">
        <v>62</v>
      </c>
      <c r="F2895" s="29" t="s">
        <v>61</v>
      </c>
      <c r="G2895" s="29"/>
      <c r="H2895" s="103">
        <f>_xlfn.XLOOKUP(B2895,GM!$Q$5:$Q$756,GM!$J$5:$J$756)</f>
        <v>44739</v>
      </c>
    </row>
    <row r="2896" spans="1:8" hidden="1" x14ac:dyDescent="0.35">
      <c r="A2896" s="29" t="s">
        <v>15</v>
      </c>
      <c r="B2896" s="29" t="str">
        <f t="shared" si="45"/>
        <v>SAG-02</v>
      </c>
      <c r="C2896" s="29" t="s">
        <v>8905</v>
      </c>
      <c r="D2896" s="67" t="s">
        <v>8906</v>
      </c>
      <c r="E2896" s="96" t="s">
        <v>62</v>
      </c>
      <c r="F2896" s="29" t="s">
        <v>61</v>
      </c>
      <c r="G2896" s="29"/>
      <c r="H2896" s="103">
        <f>_xlfn.XLOOKUP(B2896,GM!$Q$5:$Q$756,GM!$J$5:$J$756)</f>
        <v>44739</v>
      </c>
    </row>
    <row r="2897" spans="1:8" hidden="1" x14ac:dyDescent="0.35">
      <c r="A2897" s="29" t="s">
        <v>15</v>
      </c>
      <c r="B2897" s="29" t="str">
        <f t="shared" si="45"/>
        <v>SAG-02</v>
      </c>
      <c r="C2897" s="29" t="s">
        <v>8907</v>
      </c>
      <c r="D2897" s="67" t="s">
        <v>8908</v>
      </c>
      <c r="E2897" s="96" t="s">
        <v>62</v>
      </c>
      <c r="F2897" s="29" t="s">
        <v>61</v>
      </c>
      <c r="G2897" s="29"/>
      <c r="H2897" s="103">
        <f>_xlfn.XLOOKUP(B2897,GM!$Q$5:$Q$756,GM!$J$5:$J$756)</f>
        <v>44739</v>
      </c>
    </row>
    <row r="2898" spans="1:8" hidden="1" x14ac:dyDescent="0.35">
      <c r="A2898" s="29" t="s">
        <v>15</v>
      </c>
      <c r="B2898" s="29" t="str">
        <f t="shared" si="45"/>
        <v>SAG-02</v>
      </c>
      <c r="C2898" s="29" t="s">
        <v>8909</v>
      </c>
      <c r="D2898" s="67" t="s">
        <v>8910</v>
      </c>
      <c r="E2898" s="96" t="s">
        <v>62</v>
      </c>
      <c r="F2898" s="29" t="s">
        <v>61</v>
      </c>
      <c r="G2898" s="29"/>
      <c r="H2898" s="103">
        <f>_xlfn.XLOOKUP(B2898,GM!$Q$5:$Q$756,GM!$J$5:$J$756)</f>
        <v>44739</v>
      </c>
    </row>
    <row r="2899" spans="1:8" hidden="1" x14ac:dyDescent="0.35">
      <c r="A2899" s="29" t="s">
        <v>15</v>
      </c>
      <c r="B2899" s="29" t="str">
        <f t="shared" si="45"/>
        <v>SAG-02</v>
      </c>
      <c r="C2899" s="29" t="s">
        <v>8911</v>
      </c>
      <c r="D2899" s="67" t="s">
        <v>8912</v>
      </c>
      <c r="E2899" s="96" t="s">
        <v>62</v>
      </c>
      <c r="F2899" s="29" t="s">
        <v>61</v>
      </c>
      <c r="G2899" s="29"/>
      <c r="H2899" s="103">
        <f>_xlfn.XLOOKUP(B2899,GM!$Q$5:$Q$756,GM!$J$5:$J$756)</f>
        <v>44739</v>
      </c>
    </row>
    <row r="2900" spans="1:8" hidden="1" x14ac:dyDescent="0.35">
      <c r="A2900" s="29" t="s">
        <v>15</v>
      </c>
      <c r="B2900" s="29" t="str">
        <f t="shared" si="45"/>
        <v>SAG-02</v>
      </c>
      <c r="C2900" s="29" t="s">
        <v>8913</v>
      </c>
      <c r="D2900" s="67" t="s">
        <v>8914</v>
      </c>
      <c r="E2900" s="96" t="s">
        <v>62</v>
      </c>
      <c r="F2900" s="29" t="s">
        <v>61</v>
      </c>
      <c r="G2900" s="29"/>
      <c r="H2900" s="103">
        <f>_xlfn.XLOOKUP(B2900,GM!$Q$5:$Q$756,GM!$J$5:$J$756)</f>
        <v>44739</v>
      </c>
    </row>
    <row r="2901" spans="1:8" hidden="1" x14ac:dyDescent="0.35">
      <c r="A2901" s="29" t="s">
        <v>15</v>
      </c>
      <c r="B2901" s="29" t="str">
        <f t="shared" si="45"/>
        <v>SAG-02</v>
      </c>
      <c r="C2901" s="29" t="s">
        <v>8915</v>
      </c>
      <c r="D2901" s="67" t="s">
        <v>8916</v>
      </c>
      <c r="E2901" s="96" t="s">
        <v>62</v>
      </c>
      <c r="F2901" s="29" t="s">
        <v>61</v>
      </c>
      <c r="G2901" s="29"/>
      <c r="H2901" s="103">
        <f>_xlfn.XLOOKUP(B2901,GM!$Q$5:$Q$756,GM!$J$5:$J$756)</f>
        <v>44739</v>
      </c>
    </row>
    <row r="2902" spans="1:8" hidden="1" x14ac:dyDescent="0.35">
      <c r="A2902" s="29" t="s">
        <v>15</v>
      </c>
      <c r="B2902" s="29" t="str">
        <f t="shared" si="45"/>
        <v>SAG-02</v>
      </c>
      <c r="C2902" s="29" t="s">
        <v>8917</v>
      </c>
      <c r="D2902" s="67" t="s">
        <v>8918</v>
      </c>
      <c r="E2902" s="96" t="s">
        <v>62</v>
      </c>
      <c r="F2902" s="29" t="s">
        <v>61</v>
      </c>
      <c r="G2902" s="29"/>
      <c r="H2902" s="103">
        <f>_xlfn.XLOOKUP(B2902,GM!$Q$5:$Q$756,GM!$J$5:$J$756)</f>
        <v>44739</v>
      </c>
    </row>
    <row r="2903" spans="1:8" hidden="1" x14ac:dyDescent="0.35">
      <c r="A2903" s="29" t="s">
        <v>15</v>
      </c>
      <c r="B2903" s="29" t="str">
        <f t="shared" si="45"/>
        <v>SAG-02</v>
      </c>
      <c r="C2903" s="29" t="s">
        <v>8919</v>
      </c>
      <c r="D2903" s="67" t="s">
        <v>8920</v>
      </c>
      <c r="E2903" s="96" t="s">
        <v>62</v>
      </c>
      <c r="F2903" s="29" t="s">
        <v>61</v>
      </c>
      <c r="G2903" s="29"/>
      <c r="H2903" s="103">
        <f>_xlfn.XLOOKUP(B2903,GM!$Q$5:$Q$756,GM!$J$5:$J$756)</f>
        <v>44739</v>
      </c>
    </row>
    <row r="2904" spans="1:8" hidden="1" x14ac:dyDescent="0.35">
      <c r="A2904" s="29" t="s">
        <v>15</v>
      </c>
      <c r="B2904" s="29" t="str">
        <f t="shared" si="45"/>
        <v>SAG-02</v>
      </c>
      <c r="C2904" s="29" t="s">
        <v>8921</v>
      </c>
      <c r="D2904" s="67" t="s">
        <v>8922</v>
      </c>
      <c r="E2904" s="96" t="s">
        <v>62</v>
      </c>
      <c r="F2904" s="29" t="s">
        <v>61</v>
      </c>
      <c r="G2904" s="29"/>
      <c r="H2904" s="103">
        <f>_xlfn.XLOOKUP(B2904,GM!$Q$5:$Q$756,GM!$J$5:$J$756)</f>
        <v>44739</v>
      </c>
    </row>
    <row r="2905" spans="1:8" hidden="1" x14ac:dyDescent="0.35">
      <c r="A2905" s="29" t="s">
        <v>15</v>
      </c>
      <c r="B2905" s="29" t="str">
        <f t="shared" si="45"/>
        <v>SAG-02</v>
      </c>
      <c r="C2905" s="29" t="s">
        <v>8923</v>
      </c>
      <c r="D2905" s="67" t="s">
        <v>8924</v>
      </c>
      <c r="E2905" s="96" t="s">
        <v>62</v>
      </c>
      <c r="F2905" s="29" t="s">
        <v>61</v>
      </c>
      <c r="G2905" s="29"/>
      <c r="H2905" s="103">
        <f>_xlfn.XLOOKUP(B2905,GM!$Q$5:$Q$756,GM!$J$5:$J$756)</f>
        <v>44739</v>
      </c>
    </row>
    <row r="2906" spans="1:8" hidden="1" x14ac:dyDescent="0.35">
      <c r="A2906" s="29" t="s">
        <v>15</v>
      </c>
      <c r="B2906" s="29" t="str">
        <f t="shared" si="45"/>
        <v>SAG-02</v>
      </c>
      <c r="C2906" s="29" t="s">
        <v>8925</v>
      </c>
      <c r="D2906" s="67" t="s">
        <v>8926</v>
      </c>
      <c r="E2906" s="96" t="s">
        <v>62</v>
      </c>
      <c r="F2906" s="29" t="s">
        <v>61</v>
      </c>
      <c r="G2906" s="29"/>
      <c r="H2906" s="103">
        <f>_xlfn.XLOOKUP(B2906,GM!$Q$5:$Q$756,GM!$J$5:$J$756)</f>
        <v>44739</v>
      </c>
    </row>
    <row r="2907" spans="1:8" hidden="1" x14ac:dyDescent="0.35">
      <c r="A2907" s="29" t="s">
        <v>15</v>
      </c>
      <c r="B2907" s="29" t="str">
        <f t="shared" si="45"/>
        <v>SAG-02</v>
      </c>
      <c r="C2907" s="29" t="s">
        <v>8927</v>
      </c>
      <c r="D2907" s="67" t="s">
        <v>8928</v>
      </c>
      <c r="E2907" s="96" t="s">
        <v>62</v>
      </c>
      <c r="F2907" s="29" t="s">
        <v>61</v>
      </c>
      <c r="G2907" s="29"/>
      <c r="H2907" s="103">
        <f>_xlfn.XLOOKUP(B2907,GM!$Q$5:$Q$756,GM!$J$5:$J$756)</f>
        <v>44739</v>
      </c>
    </row>
    <row r="2908" spans="1:8" hidden="1" x14ac:dyDescent="0.35">
      <c r="A2908" s="29" t="s">
        <v>15</v>
      </c>
      <c r="B2908" s="29" t="str">
        <f t="shared" si="45"/>
        <v>SAG-02</v>
      </c>
      <c r="C2908" s="29" t="s">
        <v>8929</v>
      </c>
      <c r="D2908" s="67" t="s">
        <v>8930</v>
      </c>
      <c r="E2908" s="96" t="s">
        <v>62</v>
      </c>
      <c r="F2908" s="29" t="s">
        <v>61</v>
      </c>
      <c r="G2908" s="29"/>
      <c r="H2908" s="103">
        <f>_xlfn.XLOOKUP(B2908,GM!$Q$5:$Q$756,GM!$J$5:$J$756)</f>
        <v>44739</v>
      </c>
    </row>
    <row r="2909" spans="1:8" hidden="1" x14ac:dyDescent="0.35">
      <c r="A2909" s="29" t="s">
        <v>15</v>
      </c>
      <c r="B2909" s="29" t="str">
        <f t="shared" si="45"/>
        <v>SAG-02</v>
      </c>
      <c r="C2909" s="29" t="s">
        <v>8931</v>
      </c>
      <c r="D2909" s="67" t="s">
        <v>8932</v>
      </c>
      <c r="E2909" s="96" t="s">
        <v>62</v>
      </c>
      <c r="F2909" s="29" t="s">
        <v>61</v>
      </c>
      <c r="G2909" s="29"/>
      <c r="H2909" s="103">
        <f>_xlfn.XLOOKUP(B2909,GM!$Q$5:$Q$756,GM!$J$5:$J$756)</f>
        <v>44739</v>
      </c>
    </row>
    <row r="2910" spans="1:8" hidden="1" x14ac:dyDescent="0.35">
      <c r="A2910" s="29" t="s">
        <v>15</v>
      </c>
      <c r="B2910" s="29" t="str">
        <f t="shared" si="45"/>
        <v>SAG-02</v>
      </c>
      <c r="C2910" s="29" t="s">
        <v>8933</v>
      </c>
      <c r="D2910" s="67" t="s">
        <v>8934</v>
      </c>
      <c r="E2910" s="96" t="s">
        <v>62</v>
      </c>
      <c r="F2910" s="29" t="s">
        <v>61</v>
      </c>
      <c r="G2910" s="29"/>
      <c r="H2910" s="103">
        <f>_xlfn.XLOOKUP(B2910,GM!$Q$5:$Q$756,GM!$J$5:$J$756)</f>
        <v>44739</v>
      </c>
    </row>
    <row r="2911" spans="1:8" hidden="1" x14ac:dyDescent="0.35">
      <c r="A2911" s="29" t="s">
        <v>15</v>
      </c>
      <c r="B2911" s="29" t="str">
        <f t="shared" si="45"/>
        <v>SAG-02</v>
      </c>
      <c r="C2911" s="29" t="s">
        <v>8935</v>
      </c>
      <c r="D2911" s="67" t="s">
        <v>8936</v>
      </c>
      <c r="E2911" s="96" t="s">
        <v>62</v>
      </c>
      <c r="F2911" s="29" t="s">
        <v>61</v>
      </c>
      <c r="G2911" s="29"/>
      <c r="H2911" s="103">
        <f>_xlfn.XLOOKUP(B2911,GM!$Q$5:$Q$756,GM!$J$5:$J$756)</f>
        <v>44739</v>
      </c>
    </row>
    <row r="2912" spans="1:8" hidden="1" x14ac:dyDescent="0.35">
      <c r="A2912" s="29" t="s">
        <v>15</v>
      </c>
      <c r="B2912" s="29" t="str">
        <f t="shared" si="45"/>
        <v>SAG-02</v>
      </c>
      <c r="C2912" s="29" t="s">
        <v>8937</v>
      </c>
      <c r="D2912" s="67" t="s">
        <v>8938</v>
      </c>
      <c r="E2912" s="96" t="s">
        <v>62</v>
      </c>
      <c r="F2912" s="29" t="s">
        <v>61</v>
      </c>
      <c r="G2912" s="29"/>
      <c r="H2912" s="103">
        <f>_xlfn.XLOOKUP(B2912,GM!$Q$5:$Q$756,GM!$J$5:$J$756)</f>
        <v>44739</v>
      </c>
    </row>
    <row r="2913" spans="1:8" hidden="1" x14ac:dyDescent="0.35">
      <c r="A2913" s="29" t="s">
        <v>15</v>
      </c>
      <c r="B2913" s="29" t="str">
        <f t="shared" si="45"/>
        <v>SAG-02</v>
      </c>
      <c r="C2913" s="29" t="s">
        <v>8939</v>
      </c>
      <c r="D2913" s="67" t="s">
        <v>8940</v>
      </c>
      <c r="E2913" s="96" t="s">
        <v>62</v>
      </c>
      <c r="F2913" s="29" t="s">
        <v>61</v>
      </c>
      <c r="G2913" s="29"/>
      <c r="H2913" s="103">
        <f>_xlfn.XLOOKUP(B2913,GM!$Q$5:$Q$756,GM!$J$5:$J$756)</f>
        <v>44739</v>
      </c>
    </row>
    <row r="2914" spans="1:8" hidden="1" x14ac:dyDescent="0.35">
      <c r="A2914" s="29" t="s">
        <v>15</v>
      </c>
      <c r="B2914" s="29" t="str">
        <f t="shared" si="45"/>
        <v>SAG-02</v>
      </c>
      <c r="C2914" s="29" t="s">
        <v>8941</v>
      </c>
      <c r="D2914" s="67" t="s">
        <v>8942</v>
      </c>
      <c r="E2914" s="96" t="s">
        <v>62</v>
      </c>
      <c r="F2914" s="29" t="s">
        <v>61</v>
      </c>
      <c r="G2914" s="29"/>
      <c r="H2914" s="103">
        <f>_xlfn.XLOOKUP(B2914,GM!$Q$5:$Q$756,GM!$J$5:$J$756)</f>
        <v>44739</v>
      </c>
    </row>
    <row r="2915" spans="1:8" hidden="1" x14ac:dyDescent="0.35">
      <c r="A2915" s="29" t="s">
        <v>15</v>
      </c>
      <c r="B2915" s="29" t="str">
        <f t="shared" si="45"/>
        <v>SAG-03</v>
      </c>
      <c r="C2915" s="29" t="s">
        <v>8943</v>
      </c>
      <c r="D2915" s="67" t="s">
        <v>8944</v>
      </c>
      <c r="E2915" s="96" t="s">
        <v>62</v>
      </c>
      <c r="F2915" s="29" t="s">
        <v>61</v>
      </c>
      <c r="G2915" s="29"/>
      <c r="H2915" s="103">
        <f>_xlfn.XLOOKUP(B2915,GM!$Q$5:$Q$756,GM!$J$5:$J$756)</f>
        <v>45506</v>
      </c>
    </row>
    <row r="2916" spans="1:8" hidden="1" x14ac:dyDescent="0.35">
      <c r="A2916" s="29" t="s">
        <v>15</v>
      </c>
      <c r="B2916" s="29" t="str">
        <f t="shared" si="45"/>
        <v>SAG-03</v>
      </c>
      <c r="C2916" s="29" t="s">
        <v>8945</v>
      </c>
      <c r="D2916" s="67" t="s">
        <v>8946</v>
      </c>
      <c r="E2916" s="96" t="s">
        <v>62</v>
      </c>
      <c r="F2916" s="29" t="s">
        <v>61</v>
      </c>
      <c r="G2916" s="29"/>
      <c r="H2916" s="103">
        <f>_xlfn.XLOOKUP(B2916,GM!$Q$5:$Q$756,GM!$J$5:$J$756)</f>
        <v>45506</v>
      </c>
    </row>
    <row r="2917" spans="1:8" hidden="1" x14ac:dyDescent="0.35">
      <c r="A2917" s="29" t="s">
        <v>15</v>
      </c>
      <c r="B2917" s="29" t="str">
        <f t="shared" si="45"/>
        <v>SAG-03</v>
      </c>
      <c r="C2917" s="29" t="s">
        <v>8947</v>
      </c>
      <c r="D2917" s="67" t="s">
        <v>8948</v>
      </c>
      <c r="E2917" s="96" t="s">
        <v>62</v>
      </c>
      <c r="F2917" s="29" t="s">
        <v>61</v>
      </c>
      <c r="G2917" s="29"/>
      <c r="H2917" s="103">
        <f>_xlfn.XLOOKUP(B2917,GM!$Q$5:$Q$756,GM!$J$5:$J$756)</f>
        <v>45506</v>
      </c>
    </row>
    <row r="2918" spans="1:8" hidden="1" x14ac:dyDescent="0.35">
      <c r="A2918" s="29" t="s">
        <v>15</v>
      </c>
      <c r="B2918" s="29" t="str">
        <f t="shared" si="45"/>
        <v>SAG-03</v>
      </c>
      <c r="C2918" s="29" t="s">
        <v>8949</v>
      </c>
      <c r="D2918" s="67" t="s">
        <v>8950</v>
      </c>
      <c r="E2918" s="96" t="s">
        <v>62</v>
      </c>
      <c r="F2918" s="29" t="s">
        <v>61</v>
      </c>
      <c r="G2918" s="29"/>
      <c r="H2918" s="103">
        <f>_xlfn.XLOOKUP(B2918,GM!$Q$5:$Q$756,GM!$J$5:$J$756)</f>
        <v>45506</v>
      </c>
    </row>
    <row r="2919" spans="1:8" hidden="1" x14ac:dyDescent="0.35">
      <c r="A2919" s="29" t="s">
        <v>15</v>
      </c>
      <c r="B2919" s="29" t="str">
        <f t="shared" si="45"/>
        <v>SAG-03</v>
      </c>
      <c r="C2919" s="29" t="s">
        <v>8951</v>
      </c>
      <c r="D2919" s="67" t="s">
        <v>8952</v>
      </c>
      <c r="E2919" s="96" t="s">
        <v>62</v>
      </c>
      <c r="F2919" s="29" t="s">
        <v>61</v>
      </c>
      <c r="G2919" s="29"/>
      <c r="H2919" s="103">
        <f>_xlfn.XLOOKUP(B2919,GM!$Q$5:$Q$756,GM!$J$5:$J$756)</f>
        <v>45506</v>
      </c>
    </row>
    <row r="2920" spans="1:8" hidden="1" x14ac:dyDescent="0.35">
      <c r="A2920" s="29" t="s">
        <v>15</v>
      </c>
      <c r="B2920" s="29" t="str">
        <f t="shared" si="45"/>
        <v>SAG-03</v>
      </c>
      <c r="C2920" s="29" t="s">
        <v>8953</v>
      </c>
      <c r="D2920" s="67" t="s">
        <v>8954</v>
      </c>
      <c r="E2920" s="96" t="s">
        <v>62</v>
      </c>
      <c r="F2920" s="29" t="s">
        <v>61</v>
      </c>
      <c r="G2920" s="29"/>
      <c r="H2920" s="103">
        <f>_xlfn.XLOOKUP(B2920,GM!$Q$5:$Q$756,GM!$J$5:$J$756)</f>
        <v>45506</v>
      </c>
    </row>
    <row r="2921" spans="1:8" hidden="1" x14ac:dyDescent="0.35">
      <c r="A2921" s="29" t="s">
        <v>15</v>
      </c>
      <c r="B2921" s="29" t="str">
        <f t="shared" si="45"/>
        <v>SAG-03</v>
      </c>
      <c r="C2921" s="29" t="s">
        <v>8955</v>
      </c>
      <c r="D2921" s="67" t="s">
        <v>8956</v>
      </c>
      <c r="E2921" s="96" t="s">
        <v>62</v>
      </c>
      <c r="F2921" s="29" t="s">
        <v>61</v>
      </c>
      <c r="G2921" s="29"/>
      <c r="H2921" s="103">
        <f>_xlfn.XLOOKUP(B2921,GM!$Q$5:$Q$756,GM!$J$5:$J$756)</f>
        <v>45506</v>
      </c>
    </row>
    <row r="2922" spans="1:8" hidden="1" x14ac:dyDescent="0.35">
      <c r="A2922" s="29" t="s">
        <v>15</v>
      </c>
      <c r="B2922" s="29" t="str">
        <f t="shared" si="45"/>
        <v>SAG-03</v>
      </c>
      <c r="C2922" s="29" t="s">
        <v>8957</v>
      </c>
      <c r="D2922" s="67" t="s">
        <v>8958</v>
      </c>
      <c r="E2922" s="96" t="s">
        <v>62</v>
      </c>
      <c r="F2922" s="29" t="s">
        <v>61</v>
      </c>
      <c r="G2922" s="29"/>
      <c r="H2922" s="103">
        <f>_xlfn.XLOOKUP(B2922,GM!$Q$5:$Q$756,GM!$J$5:$J$756)</f>
        <v>45506</v>
      </c>
    </row>
    <row r="2923" spans="1:8" hidden="1" x14ac:dyDescent="0.35">
      <c r="A2923" s="29" t="s">
        <v>15</v>
      </c>
      <c r="B2923" s="29" t="str">
        <f t="shared" si="45"/>
        <v>SAG-03</v>
      </c>
      <c r="C2923" s="29" t="s">
        <v>8959</v>
      </c>
      <c r="D2923" s="67" t="s">
        <v>8960</v>
      </c>
      <c r="E2923" s="96" t="s">
        <v>62</v>
      </c>
      <c r="F2923" s="29" t="s">
        <v>61</v>
      </c>
      <c r="G2923" s="29"/>
      <c r="H2923" s="103">
        <f>_xlfn.XLOOKUP(B2923,GM!$Q$5:$Q$756,GM!$J$5:$J$756)</f>
        <v>45506</v>
      </c>
    </row>
    <row r="2924" spans="1:8" hidden="1" x14ac:dyDescent="0.35">
      <c r="A2924" s="29" t="s">
        <v>15</v>
      </c>
      <c r="B2924" s="29" t="str">
        <f t="shared" si="45"/>
        <v>SAG-03</v>
      </c>
      <c r="C2924" s="29" t="s">
        <v>8961</v>
      </c>
      <c r="D2924" s="67" t="s">
        <v>8962</v>
      </c>
      <c r="E2924" s="96" t="s">
        <v>62</v>
      </c>
      <c r="F2924" s="29" t="s">
        <v>61</v>
      </c>
      <c r="G2924" s="29"/>
      <c r="H2924" s="103">
        <f>_xlfn.XLOOKUP(B2924,GM!$Q$5:$Q$756,GM!$J$5:$J$756)</f>
        <v>45506</v>
      </c>
    </row>
    <row r="2925" spans="1:8" hidden="1" x14ac:dyDescent="0.35">
      <c r="A2925" s="29" t="s">
        <v>15</v>
      </c>
      <c r="B2925" s="29" t="str">
        <f t="shared" si="45"/>
        <v>SAG-03</v>
      </c>
      <c r="C2925" s="29" t="s">
        <v>8963</v>
      </c>
      <c r="D2925" s="67" t="s">
        <v>8964</v>
      </c>
      <c r="E2925" s="96" t="s">
        <v>62</v>
      </c>
      <c r="F2925" s="29" t="s">
        <v>61</v>
      </c>
      <c r="G2925" s="29"/>
      <c r="H2925" s="103">
        <f>_xlfn.XLOOKUP(B2925,GM!$Q$5:$Q$756,GM!$J$5:$J$756)</f>
        <v>45506</v>
      </c>
    </row>
    <row r="2926" spans="1:8" hidden="1" x14ac:dyDescent="0.35">
      <c r="A2926" s="29" t="s">
        <v>15</v>
      </c>
      <c r="B2926" s="29" t="str">
        <f t="shared" si="45"/>
        <v>SAG-03</v>
      </c>
      <c r="C2926" s="29" t="s">
        <v>8965</v>
      </c>
      <c r="D2926" s="67" t="s">
        <v>8966</v>
      </c>
      <c r="E2926" s="96" t="s">
        <v>62</v>
      </c>
      <c r="F2926" s="29" t="s">
        <v>61</v>
      </c>
      <c r="G2926" s="29"/>
      <c r="H2926" s="103">
        <f>_xlfn.XLOOKUP(B2926,GM!$Q$5:$Q$756,GM!$J$5:$J$756)</f>
        <v>45506</v>
      </c>
    </row>
    <row r="2927" spans="1:8" hidden="1" x14ac:dyDescent="0.35">
      <c r="A2927" s="29" t="s">
        <v>15</v>
      </c>
      <c r="B2927" s="29" t="str">
        <f t="shared" si="45"/>
        <v>SAG-03</v>
      </c>
      <c r="C2927" s="29" t="s">
        <v>8967</v>
      </c>
      <c r="D2927" s="67" t="s">
        <v>8968</v>
      </c>
      <c r="E2927" s="96" t="s">
        <v>62</v>
      </c>
      <c r="F2927" s="29" t="s">
        <v>61</v>
      </c>
      <c r="G2927" s="29"/>
      <c r="H2927" s="103">
        <f>_xlfn.XLOOKUP(B2927,GM!$Q$5:$Q$756,GM!$J$5:$J$756)</f>
        <v>45506</v>
      </c>
    </row>
    <row r="2928" spans="1:8" hidden="1" x14ac:dyDescent="0.35">
      <c r="A2928" s="29" t="s">
        <v>15</v>
      </c>
      <c r="B2928" s="29" t="str">
        <f t="shared" si="45"/>
        <v>SAG-03</v>
      </c>
      <c r="C2928" s="29" t="s">
        <v>8969</v>
      </c>
      <c r="D2928" s="67" t="s">
        <v>8970</v>
      </c>
      <c r="E2928" s="96" t="s">
        <v>62</v>
      </c>
      <c r="F2928" s="29" t="s">
        <v>61</v>
      </c>
      <c r="G2928" s="29"/>
      <c r="H2928" s="103">
        <f>_xlfn.XLOOKUP(B2928,GM!$Q$5:$Q$756,GM!$J$5:$J$756)</f>
        <v>45506</v>
      </c>
    </row>
    <row r="2929" spans="1:8" hidden="1" x14ac:dyDescent="0.35">
      <c r="A2929" s="29" t="s">
        <v>15</v>
      </c>
      <c r="B2929" s="29" t="str">
        <f t="shared" si="45"/>
        <v>SAG-03</v>
      </c>
      <c r="C2929" s="29" t="s">
        <v>8971</v>
      </c>
      <c r="D2929" s="67" t="s">
        <v>8972</v>
      </c>
      <c r="E2929" s="96" t="s">
        <v>62</v>
      </c>
      <c r="F2929" s="29" t="s">
        <v>61</v>
      </c>
      <c r="G2929" s="29"/>
      <c r="H2929" s="103">
        <f>_xlfn.XLOOKUP(B2929,GM!$Q$5:$Q$756,GM!$J$5:$J$756)</f>
        <v>45506</v>
      </c>
    </row>
    <row r="2930" spans="1:8" hidden="1" x14ac:dyDescent="0.35">
      <c r="A2930" s="29" t="s">
        <v>15</v>
      </c>
      <c r="B2930" s="29" t="str">
        <f t="shared" si="45"/>
        <v>SAG-03</v>
      </c>
      <c r="C2930" s="29" t="s">
        <v>8973</v>
      </c>
      <c r="D2930" s="67" t="s">
        <v>8974</v>
      </c>
      <c r="E2930" s="96" t="s">
        <v>62</v>
      </c>
      <c r="F2930" s="29" t="s">
        <v>61</v>
      </c>
      <c r="G2930" s="29"/>
      <c r="H2930" s="103">
        <f>_xlfn.XLOOKUP(B2930,GM!$Q$5:$Q$756,GM!$J$5:$J$756)</f>
        <v>45506</v>
      </c>
    </row>
    <row r="2931" spans="1:8" hidden="1" x14ac:dyDescent="0.35">
      <c r="A2931" s="29" t="s">
        <v>15</v>
      </c>
      <c r="B2931" s="29" t="str">
        <f t="shared" si="45"/>
        <v>SAG-03</v>
      </c>
      <c r="C2931" s="29" t="s">
        <v>8975</v>
      </c>
      <c r="D2931" s="67" t="s">
        <v>8976</v>
      </c>
      <c r="E2931" s="96" t="s">
        <v>62</v>
      </c>
      <c r="F2931" s="29" t="s">
        <v>61</v>
      </c>
      <c r="G2931" s="29"/>
      <c r="H2931" s="103">
        <f>_xlfn.XLOOKUP(B2931,GM!$Q$5:$Q$756,GM!$J$5:$J$756)</f>
        <v>45506</v>
      </c>
    </row>
    <row r="2932" spans="1:8" hidden="1" x14ac:dyDescent="0.35">
      <c r="A2932" s="29" t="s">
        <v>15</v>
      </c>
      <c r="B2932" s="29" t="str">
        <f t="shared" si="45"/>
        <v>SAG-03</v>
      </c>
      <c r="C2932" s="29" t="s">
        <v>8977</v>
      </c>
      <c r="D2932" s="67" t="s">
        <v>8978</v>
      </c>
      <c r="E2932" s="96" t="s">
        <v>62</v>
      </c>
      <c r="F2932" s="29" t="s">
        <v>61</v>
      </c>
      <c r="G2932" s="29"/>
      <c r="H2932" s="103">
        <f>_xlfn.XLOOKUP(B2932,GM!$Q$5:$Q$756,GM!$J$5:$J$756)</f>
        <v>45506</v>
      </c>
    </row>
    <row r="2933" spans="1:8" hidden="1" x14ac:dyDescent="0.35">
      <c r="A2933" s="29" t="s">
        <v>15</v>
      </c>
      <c r="B2933" s="29" t="str">
        <f t="shared" si="45"/>
        <v>SAG-03</v>
      </c>
      <c r="C2933" s="29" t="s">
        <v>8979</v>
      </c>
      <c r="D2933" s="67" t="s">
        <v>8980</v>
      </c>
      <c r="E2933" s="96" t="s">
        <v>62</v>
      </c>
      <c r="F2933" s="29" t="s">
        <v>61</v>
      </c>
      <c r="G2933" s="29"/>
      <c r="H2933" s="103">
        <f>_xlfn.XLOOKUP(B2933,GM!$Q$5:$Q$756,GM!$J$5:$J$756)</f>
        <v>45506</v>
      </c>
    </row>
    <row r="2934" spans="1:8" hidden="1" x14ac:dyDescent="0.35">
      <c r="A2934" s="29" t="s">
        <v>15</v>
      </c>
      <c r="B2934" s="29" t="str">
        <f t="shared" si="45"/>
        <v>SAG-03</v>
      </c>
      <c r="C2934" s="29" t="s">
        <v>8981</v>
      </c>
      <c r="D2934" s="67" t="s">
        <v>8982</v>
      </c>
      <c r="E2934" s="96" t="s">
        <v>62</v>
      </c>
      <c r="F2934" s="29" t="s">
        <v>61</v>
      </c>
      <c r="G2934" s="29"/>
      <c r="H2934" s="103">
        <f>_xlfn.XLOOKUP(B2934,GM!$Q$5:$Q$756,GM!$J$5:$J$756)</f>
        <v>45506</v>
      </c>
    </row>
    <row r="2935" spans="1:8" hidden="1" x14ac:dyDescent="0.35">
      <c r="A2935" s="29" t="s">
        <v>15</v>
      </c>
      <c r="B2935" s="29" t="str">
        <f t="shared" si="45"/>
        <v>SAG-03</v>
      </c>
      <c r="C2935" s="29" t="s">
        <v>8983</v>
      </c>
      <c r="D2935" s="67" t="s">
        <v>8984</v>
      </c>
      <c r="E2935" s="96" t="s">
        <v>62</v>
      </c>
      <c r="F2935" s="29" t="s">
        <v>61</v>
      </c>
      <c r="G2935" s="29"/>
      <c r="H2935" s="103">
        <f>_xlfn.XLOOKUP(B2935,GM!$Q$5:$Q$756,GM!$J$5:$J$756)</f>
        <v>45506</v>
      </c>
    </row>
    <row r="2936" spans="1:8" hidden="1" x14ac:dyDescent="0.35">
      <c r="A2936" s="29" t="s">
        <v>15</v>
      </c>
      <c r="B2936" s="29" t="str">
        <f t="shared" si="45"/>
        <v>SAG-03</v>
      </c>
      <c r="C2936" s="29" t="s">
        <v>8985</v>
      </c>
      <c r="D2936" s="67" t="s">
        <v>8986</v>
      </c>
      <c r="E2936" s="96" t="s">
        <v>62</v>
      </c>
      <c r="F2936" s="29" t="s">
        <v>61</v>
      </c>
      <c r="G2936" s="29"/>
      <c r="H2936" s="103">
        <f>_xlfn.XLOOKUP(B2936,GM!$Q$5:$Q$756,GM!$J$5:$J$756)</f>
        <v>45506</v>
      </c>
    </row>
    <row r="2937" spans="1:8" hidden="1" x14ac:dyDescent="0.35">
      <c r="A2937" s="29" t="s">
        <v>15</v>
      </c>
      <c r="B2937" s="29" t="str">
        <f t="shared" si="45"/>
        <v>SAG-03</v>
      </c>
      <c r="C2937" s="29" t="s">
        <v>8987</v>
      </c>
      <c r="D2937" s="67" t="s">
        <v>8988</v>
      </c>
      <c r="E2937" s="96" t="s">
        <v>62</v>
      </c>
      <c r="F2937" s="29" t="s">
        <v>61</v>
      </c>
      <c r="G2937" s="29"/>
      <c r="H2937" s="103">
        <f>_xlfn.XLOOKUP(B2937,GM!$Q$5:$Q$756,GM!$J$5:$J$756)</f>
        <v>45506</v>
      </c>
    </row>
    <row r="2938" spans="1:8" hidden="1" x14ac:dyDescent="0.35">
      <c r="A2938" s="29" t="s">
        <v>15</v>
      </c>
      <c r="B2938" s="29" t="str">
        <f t="shared" si="45"/>
        <v>SAG-03</v>
      </c>
      <c r="C2938" s="29" t="s">
        <v>8989</v>
      </c>
      <c r="D2938" s="67" t="s">
        <v>8990</v>
      </c>
      <c r="E2938" s="96" t="s">
        <v>62</v>
      </c>
      <c r="F2938" s="29" t="s">
        <v>61</v>
      </c>
      <c r="G2938" s="29"/>
      <c r="H2938" s="103">
        <f>_xlfn.XLOOKUP(B2938,GM!$Q$5:$Q$756,GM!$J$5:$J$756)</f>
        <v>45506</v>
      </c>
    </row>
    <row r="2939" spans="1:8" hidden="1" x14ac:dyDescent="0.35">
      <c r="A2939" s="29" t="s">
        <v>15</v>
      </c>
      <c r="B2939" s="29" t="str">
        <f t="shared" si="45"/>
        <v>SAG-03</v>
      </c>
      <c r="C2939" s="29" t="s">
        <v>8991</v>
      </c>
      <c r="D2939" s="67" t="s">
        <v>8992</v>
      </c>
      <c r="E2939" s="96" t="s">
        <v>62</v>
      </c>
      <c r="F2939" s="29" t="s">
        <v>61</v>
      </c>
      <c r="G2939" s="29"/>
      <c r="H2939" s="103">
        <f>_xlfn.XLOOKUP(B2939,GM!$Q$5:$Q$756,GM!$J$5:$J$756)</f>
        <v>45506</v>
      </c>
    </row>
    <row r="2940" spans="1:8" hidden="1" x14ac:dyDescent="0.35">
      <c r="A2940" s="29" t="s">
        <v>15</v>
      </c>
      <c r="B2940" s="29" t="str">
        <f t="shared" si="45"/>
        <v>SAG-03</v>
      </c>
      <c r="C2940" s="29" t="s">
        <v>8993</v>
      </c>
      <c r="D2940" s="67" t="s">
        <v>8994</v>
      </c>
      <c r="E2940" s="96" t="s">
        <v>62</v>
      </c>
      <c r="F2940" s="29" t="s">
        <v>61</v>
      </c>
      <c r="G2940" s="29"/>
      <c r="H2940" s="103">
        <f>_xlfn.XLOOKUP(B2940,GM!$Q$5:$Q$756,GM!$J$5:$J$756)</f>
        <v>45506</v>
      </c>
    </row>
    <row r="2941" spans="1:8" hidden="1" x14ac:dyDescent="0.35">
      <c r="A2941" s="29" t="s">
        <v>15</v>
      </c>
      <c r="B2941" s="29" t="str">
        <f t="shared" si="45"/>
        <v>SAG-03</v>
      </c>
      <c r="C2941" s="29" t="s">
        <v>8995</v>
      </c>
      <c r="D2941" s="67" t="s">
        <v>8996</v>
      </c>
      <c r="E2941" s="96" t="s">
        <v>62</v>
      </c>
      <c r="F2941" s="29" t="s">
        <v>61</v>
      </c>
      <c r="G2941" s="29"/>
      <c r="H2941" s="103">
        <f>_xlfn.XLOOKUP(B2941,GM!$Q$5:$Q$756,GM!$J$5:$J$756)</f>
        <v>45506</v>
      </c>
    </row>
    <row r="2942" spans="1:8" hidden="1" x14ac:dyDescent="0.35">
      <c r="A2942" s="29" t="s">
        <v>15</v>
      </c>
      <c r="B2942" s="29" t="str">
        <f t="shared" si="45"/>
        <v>SAG-03</v>
      </c>
      <c r="C2942" s="29" t="s">
        <v>8997</v>
      </c>
      <c r="D2942" s="67" t="s">
        <v>8998</v>
      </c>
      <c r="E2942" s="96" t="s">
        <v>62</v>
      </c>
      <c r="F2942" s="29" t="s">
        <v>61</v>
      </c>
      <c r="G2942" s="29"/>
      <c r="H2942" s="103">
        <f>_xlfn.XLOOKUP(B2942,GM!$Q$5:$Q$756,GM!$J$5:$J$756)</f>
        <v>45506</v>
      </c>
    </row>
    <row r="2943" spans="1:8" hidden="1" x14ac:dyDescent="0.35">
      <c r="A2943" s="29" t="s">
        <v>15</v>
      </c>
      <c r="B2943" s="29" t="str">
        <f t="shared" si="45"/>
        <v>SAG-03</v>
      </c>
      <c r="C2943" s="29" t="s">
        <v>8999</v>
      </c>
      <c r="D2943" s="67" t="s">
        <v>9000</v>
      </c>
      <c r="E2943" s="96" t="s">
        <v>62</v>
      </c>
      <c r="F2943" s="29" t="s">
        <v>61</v>
      </c>
      <c r="G2943" s="29"/>
      <c r="H2943" s="103">
        <f>_xlfn.XLOOKUP(B2943,GM!$Q$5:$Q$756,GM!$J$5:$J$756)</f>
        <v>45506</v>
      </c>
    </row>
    <row r="2944" spans="1:8" hidden="1" x14ac:dyDescent="0.35">
      <c r="A2944" s="29" t="s">
        <v>15</v>
      </c>
      <c r="B2944" s="29" t="str">
        <f t="shared" si="45"/>
        <v>SAG-03</v>
      </c>
      <c r="C2944" s="29" t="s">
        <v>9001</v>
      </c>
      <c r="D2944" s="67" t="s">
        <v>9002</v>
      </c>
      <c r="E2944" s="96" t="s">
        <v>62</v>
      </c>
      <c r="F2944" s="29" t="s">
        <v>61</v>
      </c>
      <c r="G2944" s="29"/>
      <c r="H2944" s="103">
        <f>_xlfn.XLOOKUP(B2944,GM!$Q$5:$Q$756,GM!$J$5:$J$756)</f>
        <v>45506</v>
      </c>
    </row>
    <row r="2945" spans="1:8" hidden="1" x14ac:dyDescent="0.35">
      <c r="A2945" s="29" t="s">
        <v>15</v>
      </c>
      <c r="B2945" s="29" t="str">
        <f t="shared" si="45"/>
        <v>SAG-03</v>
      </c>
      <c r="C2945" s="29" t="s">
        <v>9003</v>
      </c>
      <c r="D2945" s="67" t="s">
        <v>9004</v>
      </c>
      <c r="E2945" s="96" t="s">
        <v>62</v>
      </c>
      <c r="F2945" s="29" t="s">
        <v>61</v>
      </c>
      <c r="G2945" s="29"/>
      <c r="H2945" s="103">
        <f>_xlfn.XLOOKUP(B2945,GM!$Q$5:$Q$756,GM!$J$5:$J$756)</f>
        <v>45506</v>
      </c>
    </row>
    <row r="2946" spans="1:8" hidden="1" x14ac:dyDescent="0.35">
      <c r="A2946" s="29" t="s">
        <v>15</v>
      </c>
      <c r="B2946" s="29" t="str">
        <f t="shared" si="45"/>
        <v>SAG-04</v>
      </c>
      <c r="C2946" s="29" t="s">
        <v>9005</v>
      </c>
      <c r="D2946" s="67" t="s">
        <v>9006</v>
      </c>
      <c r="E2946" s="96" t="s">
        <v>62</v>
      </c>
      <c r="F2946" s="29" t="s">
        <v>61</v>
      </c>
      <c r="G2946" s="29"/>
      <c r="H2946" s="103">
        <f>_xlfn.XLOOKUP(B2946,GM!$Q$5:$Q$756,GM!$J$5:$J$756)</f>
        <v>46107</v>
      </c>
    </row>
    <row r="2947" spans="1:8" hidden="1" x14ac:dyDescent="0.35">
      <c r="A2947" s="29" t="s">
        <v>15</v>
      </c>
      <c r="B2947" s="29" t="str">
        <f t="shared" si="45"/>
        <v>SAG-04</v>
      </c>
      <c r="C2947" s="29" t="s">
        <v>9007</v>
      </c>
      <c r="D2947" s="67" t="s">
        <v>9008</v>
      </c>
      <c r="E2947" s="96" t="s">
        <v>62</v>
      </c>
      <c r="F2947" s="29" t="s">
        <v>61</v>
      </c>
      <c r="G2947" s="29"/>
      <c r="H2947" s="103">
        <f>_xlfn.XLOOKUP(B2947,GM!$Q$5:$Q$756,GM!$J$5:$J$756)</f>
        <v>46107</v>
      </c>
    </row>
    <row r="2948" spans="1:8" hidden="1" x14ac:dyDescent="0.35">
      <c r="A2948" s="29" t="s">
        <v>15</v>
      </c>
      <c r="B2948" s="29" t="str">
        <f t="shared" si="45"/>
        <v>SAG-04</v>
      </c>
      <c r="C2948" s="29" t="s">
        <v>9009</v>
      </c>
      <c r="D2948" s="67" t="s">
        <v>9010</v>
      </c>
      <c r="E2948" s="96" t="s">
        <v>62</v>
      </c>
      <c r="F2948" s="29" t="s">
        <v>61</v>
      </c>
      <c r="G2948" s="29"/>
      <c r="H2948" s="103">
        <f>_xlfn.XLOOKUP(B2948,GM!$Q$5:$Q$756,GM!$J$5:$J$756)</f>
        <v>46107</v>
      </c>
    </row>
    <row r="2949" spans="1:8" hidden="1" x14ac:dyDescent="0.35">
      <c r="A2949" s="29" t="s">
        <v>15</v>
      </c>
      <c r="B2949" s="29" t="str">
        <f t="shared" ref="B2949:B3012" si="46">IF(OR(A2949="ARN",A2949="SDP"),MID(C2949,4,7),MID(C2949,4,6))</f>
        <v>SAG-04</v>
      </c>
      <c r="C2949" s="29" t="s">
        <v>9011</v>
      </c>
      <c r="D2949" s="67" t="s">
        <v>9012</v>
      </c>
      <c r="E2949" s="96" t="s">
        <v>62</v>
      </c>
      <c r="F2949" s="29" t="s">
        <v>61</v>
      </c>
      <c r="G2949" s="29"/>
      <c r="H2949" s="103">
        <f>_xlfn.XLOOKUP(B2949,GM!$Q$5:$Q$756,GM!$J$5:$J$756)</f>
        <v>46107</v>
      </c>
    </row>
    <row r="2950" spans="1:8" hidden="1" x14ac:dyDescent="0.35">
      <c r="A2950" s="29" t="s">
        <v>15</v>
      </c>
      <c r="B2950" s="29" t="str">
        <f t="shared" si="46"/>
        <v>SAG-04</v>
      </c>
      <c r="C2950" s="29" t="s">
        <v>9013</v>
      </c>
      <c r="D2950" s="67" t="s">
        <v>9014</v>
      </c>
      <c r="E2950" s="96" t="s">
        <v>62</v>
      </c>
      <c r="F2950" s="29" t="s">
        <v>61</v>
      </c>
      <c r="G2950" s="29"/>
      <c r="H2950" s="103">
        <f>_xlfn.XLOOKUP(B2950,GM!$Q$5:$Q$756,GM!$J$5:$J$756)</f>
        <v>46107</v>
      </c>
    </row>
    <row r="2951" spans="1:8" hidden="1" x14ac:dyDescent="0.35">
      <c r="A2951" s="29" t="s">
        <v>15</v>
      </c>
      <c r="B2951" s="29" t="str">
        <f t="shared" si="46"/>
        <v>SAG-04</v>
      </c>
      <c r="C2951" s="29" t="s">
        <v>9015</v>
      </c>
      <c r="D2951" s="67" t="s">
        <v>9016</v>
      </c>
      <c r="E2951" s="96" t="s">
        <v>62</v>
      </c>
      <c r="F2951" s="29" t="s">
        <v>61</v>
      </c>
      <c r="G2951" s="29"/>
      <c r="H2951" s="103">
        <f>_xlfn.XLOOKUP(B2951,GM!$Q$5:$Q$756,GM!$J$5:$J$756)</f>
        <v>46107</v>
      </c>
    </row>
    <row r="2952" spans="1:8" hidden="1" x14ac:dyDescent="0.35">
      <c r="A2952" s="29" t="s">
        <v>15</v>
      </c>
      <c r="B2952" s="29" t="str">
        <f t="shared" si="46"/>
        <v>SAG-04</v>
      </c>
      <c r="C2952" s="29" t="s">
        <v>9017</v>
      </c>
      <c r="D2952" s="67" t="s">
        <v>9018</v>
      </c>
      <c r="E2952" s="96" t="s">
        <v>62</v>
      </c>
      <c r="F2952" s="29" t="s">
        <v>61</v>
      </c>
      <c r="G2952" s="29"/>
      <c r="H2952" s="103">
        <f>_xlfn.XLOOKUP(B2952,GM!$Q$5:$Q$756,GM!$J$5:$J$756)</f>
        <v>46107</v>
      </c>
    </row>
    <row r="2953" spans="1:8" hidden="1" x14ac:dyDescent="0.35">
      <c r="A2953" s="29" t="s">
        <v>15</v>
      </c>
      <c r="B2953" s="29" t="str">
        <f t="shared" si="46"/>
        <v>SAG-04</v>
      </c>
      <c r="C2953" s="29" t="s">
        <v>9019</v>
      </c>
      <c r="D2953" s="67" t="s">
        <v>9020</v>
      </c>
      <c r="E2953" s="96" t="s">
        <v>62</v>
      </c>
      <c r="F2953" s="29" t="s">
        <v>61</v>
      </c>
      <c r="G2953" s="29"/>
      <c r="H2953" s="103">
        <f>_xlfn.XLOOKUP(B2953,GM!$Q$5:$Q$756,GM!$J$5:$J$756)</f>
        <v>46107</v>
      </c>
    </row>
    <row r="2954" spans="1:8" hidden="1" x14ac:dyDescent="0.35">
      <c r="A2954" s="29" t="s">
        <v>15</v>
      </c>
      <c r="B2954" s="29" t="str">
        <f t="shared" si="46"/>
        <v>SAG-04</v>
      </c>
      <c r="C2954" s="29" t="s">
        <v>9021</v>
      </c>
      <c r="D2954" s="67" t="s">
        <v>9022</v>
      </c>
      <c r="E2954" s="96" t="s">
        <v>62</v>
      </c>
      <c r="F2954" s="29" t="s">
        <v>61</v>
      </c>
      <c r="G2954" s="29"/>
      <c r="H2954" s="103">
        <f>_xlfn.XLOOKUP(B2954,GM!$Q$5:$Q$756,GM!$J$5:$J$756)</f>
        <v>46107</v>
      </c>
    </row>
    <row r="2955" spans="1:8" hidden="1" x14ac:dyDescent="0.35">
      <c r="A2955" s="29" t="s">
        <v>15</v>
      </c>
      <c r="B2955" s="29" t="str">
        <f t="shared" si="46"/>
        <v>SAG-04</v>
      </c>
      <c r="C2955" s="29" t="s">
        <v>9023</v>
      </c>
      <c r="D2955" s="67" t="s">
        <v>9024</v>
      </c>
      <c r="E2955" s="96" t="s">
        <v>62</v>
      </c>
      <c r="F2955" s="29" t="s">
        <v>61</v>
      </c>
      <c r="G2955" s="29"/>
      <c r="H2955" s="103">
        <f>_xlfn.XLOOKUP(B2955,GM!$Q$5:$Q$756,GM!$J$5:$J$756)</f>
        <v>46107</v>
      </c>
    </row>
    <row r="2956" spans="1:8" hidden="1" x14ac:dyDescent="0.35">
      <c r="A2956" s="29" t="s">
        <v>15</v>
      </c>
      <c r="B2956" s="29" t="str">
        <f t="shared" si="46"/>
        <v>SAG-04</v>
      </c>
      <c r="C2956" s="29" t="s">
        <v>9025</v>
      </c>
      <c r="D2956" s="67" t="s">
        <v>9026</v>
      </c>
      <c r="E2956" s="96" t="s">
        <v>62</v>
      </c>
      <c r="F2956" s="29" t="s">
        <v>61</v>
      </c>
      <c r="G2956" s="29"/>
      <c r="H2956" s="103">
        <f>_xlfn.XLOOKUP(B2956,GM!$Q$5:$Q$756,GM!$J$5:$J$756)</f>
        <v>46107</v>
      </c>
    </row>
    <row r="2957" spans="1:8" hidden="1" x14ac:dyDescent="0.35">
      <c r="A2957" s="29" t="s">
        <v>15</v>
      </c>
      <c r="B2957" s="29" t="str">
        <f t="shared" si="46"/>
        <v>SAG-04</v>
      </c>
      <c r="C2957" s="29" t="s">
        <v>9027</v>
      </c>
      <c r="D2957" s="67" t="s">
        <v>9028</v>
      </c>
      <c r="E2957" s="96" t="s">
        <v>62</v>
      </c>
      <c r="F2957" s="29" t="s">
        <v>61</v>
      </c>
      <c r="G2957" s="29"/>
      <c r="H2957" s="103">
        <f>_xlfn.XLOOKUP(B2957,GM!$Q$5:$Q$756,GM!$J$5:$J$756)</f>
        <v>46107</v>
      </c>
    </row>
    <row r="2958" spans="1:8" hidden="1" x14ac:dyDescent="0.35">
      <c r="A2958" s="29" t="s">
        <v>15</v>
      </c>
      <c r="B2958" s="29" t="str">
        <f t="shared" si="46"/>
        <v>SAG-04</v>
      </c>
      <c r="C2958" s="29" t="s">
        <v>9029</v>
      </c>
      <c r="D2958" s="67" t="s">
        <v>9030</v>
      </c>
      <c r="E2958" s="96" t="s">
        <v>62</v>
      </c>
      <c r="F2958" s="29" t="s">
        <v>61</v>
      </c>
      <c r="G2958" s="29"/>
      <c r="H2958" s="103">
        <f>_xlfn.XLOOKUP(B2958,GM!$Q$5:$Q$756,GM!$J$5:$J$756)</f>
        <v>46107</v>
      </c>
    </row>
    <row r="2959" spans="1:8" hidden="1" x14ac:dyDescent="0.35">
      <c r="A2959" s="29" t="s">
        <v>15</v>
      </c>
      <c r="B2959" s="29" t="str">
        <f t="shared" si="46"/>
        <v>SAG-04</v>
      </c>
      <c r="C2959" s="29" t="s">
        <v>9031</v>
      </c>
      <c r="D2959" s="67" t="s">
        <v>9032</v>
      </c>
      <c r="E2959" s="96" t="s">
        <v>62</v>
      </c>
      <c r="F2959" s="29" t="s">
        <v>61</v>
      </c>
      <c r="G2959" s="29"/>
      <c r="H2959" s="103">
        <f>_xlfn.XLOOKUP(B2959,GM!$Q$5:$Q$756,GM!$J$5:$J$756)</f>
        <v>46107</v>
      </c>
    </row>
    <row r="2960" spans="1:8" hidden="1" x14ac:dyDescent="0.35">
      <c r="A2960" s="29" t="s">
        <v>15</v>
      </c>
      <c r="B2960" s="29" t="str">
        <f t="shared" si="46"/>
        <v>SAG-04</v>
      </c>
      <c r="C2960" s="29" t="s">
        <v>9033</v>
      </c>
      <c r="D2960" s="67" t="s">
        <v>9034</v>
      </c>
      <c r="E2960" s="96" t="s">
        <v>62</v>
      </c>
      <c r="F2960" s="29" t="s">
        <v>61</v>
      </c>
      <c r="G2960" s="29"/>
      <c r="H2960" s="103">
        <f>_xlfn.XLOOKUP(B2960,GM!$Q$5:$Q$756,GM!$J$5:$J$756)</f>
        <v>46107</v>
      </c>
    </row>
    <row r="2961" spans="1:8" hidden="1" x14ac:dyDescent="0.35">
      <c r="A2961" s="29" t="s">
        <v>15</v>
      </c>
      <c r="B2961" s="29" t="str">
        <f t="shared" si="46"/>
        <v>SAG-04</v>
      </c>
      <c r="C2961" s="29" t="s">
        <v>9035</v>
      </c>
      <c r="D2961" s="67" t="s">
        <v>9036</v>
      </c>
      <c r="E2961" s="96" t="s">
        <v>62</v>
      </c>
      <c r="F2961" s="29" t="s">
        <v>61</v>
      </c>
      <c r="G2961" s="29"/>
      <c r="H2961" s="103">
        <f>_xlfn.XLOOKUP(B2961,GM!$Q$5:$Q$756,GM!$J$5:$J$756)</f>
        <v>46107</v>
      </c>
    </row>
    <row r="2962" spans="1:8" hidden="1" x14ac:dyDescent="0.35">
      <c r="A2962" s="29" t="s">
        <v>15</v>
      </c>
      <c r="B2962" s="29" t="str">
        <f t="shared" si="46"/>
        <v>SAG-04</v>
      </c>
      <c r="C2962" s="29" t="s">
        <v>9037</v>
      </c>
      <c r="D2962" s="67" t="s">
        <v>9038</v>
      </c>
      <c r="E2962" s="96" t="s">
        <v>62</v>
      </c>
      <c r="F2962" s="29" t="s">
        <v>61</v>
      </c>
      <c r="G2962" s="29"/>
      <c r="H2962" s="103">
        <f>_xlfn.XLOOKUP(B2962,GM!$Q$5:$Q$756,GM!$J$5:$J$756)</f>
        <v>46107</v>
      </c>
    </row>
    <row r="2963" spans="1:8" hidden="1" x14ac:dyDescent="0.35">
      <c r="A2963" s="29" t="s">
        <v>15</v>
      </c>
      <c r="B2963" s="29" t="str">
        <f t="shared" si="46"/>
        <v>SAG-04</v>
      </c>
      <c r="C2963" s="29" t="s">
        <v>9039</v>
      </c>
      <c r="D2963" s="67" t="s">
        <v>9040</v>
      </c>
      <c r="E2963" s="96" t="s">
        <v>62</v>
      </c>
      <c r="F2963" s="29" t="s">
        <v>61</v>
      </c>
      <c r="G2963" s="29"/>
      <c r="H2963" s="103">
        <f>_xlfn.XLOOKUP(B2963,GM!$Q$5:$Q$756,GM!$J$5:$J$756)</f>
        <v>46107</v>
      </c>
    </row>
    <row r="2964" spans="1:8" hidden="1" x14ac:dyDescent="0.35">
      <c r="A2964" s="29" t="s">
        <v>15</v>
      </c>
      <c r="B2964" s="29" t="str">
        <f t="shared" si="46"/>
        <v>SAG-04</v>
      </c>
      <c r="C2964" s="29" t="s">
        <v>9041</v>
      </c>
      <c r="D2964" s="67" t="s">
        <v>9042</v>
      </c>
      <c r="E2964" s="96" t="s">
        <v>62</v>
      </c>
      <c r="F2964" s="29" t="s">
        <v>61</v>
      </c>
      <c r="G2964" s="29"/>
      <c r="H2964" s="103">
        <f>_xlfn.XLOOKUP(B2964,GM!$Q$5:$Q$756,GM!$J$5:$J$756)</f>
        <v>46107</v>
      </c>
    </row>
    <row r="2965" spans="1:8" hidden="1" x14ac:dyDescent="0.35">
      <c r="A2965" s="29" t="s">
        <v>15</v>
      </c>
      <c r="B2965" s="29" t="str">
        <f t="shared" si="46"/>
        <v>SAG-04</v>
      </c>
      <c r="C2965" s="29" t="s">
        <v>9043</v>
      </c>
      <c r="D2965" s="67" t="s">
        <v>9044</v>
      </c>
      <c r="E2965" s="96" t="s">
        <v>62</v>
      </c>
      <c r="F2965" s="29" t="s">
        <v>61</v>
      </c>
      <c r="G2965" s="29"/>
      <c r="H2965" s="103">
        <f>_xlfn.XLOOKUP(B2965,GM!$Q$5:$Q$756,GM!$J$5:$J$756)</f>
        <v>46107</v>
      </c>
    </row>
    <row r="2966" spans="1:8" hidden="1" x14ac:dyDescent="0.35">
      <c r="A2966" s="29" t="s">
        <v>15</v>
      </c>
      <c r="B2966" s="29" t="str">
        <f t="shared" si="46"/>
        <v>SAG-04</v>
      </c>
      <c r="C2966" s="29" t="s">
        <v>9045</v>
      </c>
      <c r="D2966" s="67" t="s">
        <v>9046</v>
      </c>
      <c r="E2966" s="96" t="s">
        <v>62</v>
      </c>
      <c r="F2966" s="29" t="s">
        <v>61</v>
      </c>
      <c r="G2966" s="29"/>
      <c r="H2966" s="103">
        <f>_xlfn.XLOOKUP(B2966,GM!$Q$5:$Q$756,GM!$J$5:$J$756)</f>
        <v>46107</v>
      </c>
    </row>
    <row r="2967" spans="1:8" hidden="1" x14ac:dyDescent="0.35">
      <c r="A2967" s="29" t="s">
        <v>15</v>
      </c>
      <c r="B2967" s="29" t="str">
        <f t="shared" si="46"/>
        <v>SAG-04</v>
      </c>
      <c r="C2967" s="29" t="s">
        <v>9047</v>
      </c>
      <c r="D2967" s="67" t="s">
        <v>9048</v>
      </c>
      <c r="E2967" s="96" t="s">
        <v>62</v>
      </c>
      <c r="F2967" s="29" t="s">
        <v>61</v>
      </c>
      <c r="G2967" s="29"/>
      <c r="H2967" s="103">
        <f>_xlfn.XLOOKUP(B2967,GM!$Q$5:$Q$756,GM!$J$5:$J$756)</f>
        <v>46107</v>
      </c>
    </row>
    <row r="2968" spans="1:8" hidden="1" x14ac:dyDescent="0.35">
      <c r="A2968" s="29" t="s">
        <v>15</v>
      </c>
      <c r="B2968" s="29" t="str">
        <f t="shared" si="46"/>
        <v>SAG-05</v>
      </c>
      <c r="C2968" s="29" t="s">
        <v>9049</v>
      </c>
      <c r="D2968" s="67" t="s">
        <v>9050</v>
      </c>
      <c r="E2968" s="96" t="s">
        <v>62</v>
      </c>
      <c r="F2968" s="29" t="s">
        <v>61</v>
      </c>
      <c r="G2968" s="29"/>
      <c r="H2968" s="103">
        <f>_xlfn.XLOOKUP(B2968,GM!$Q$5:$Q$756,GM!$J$5:$J$756)</f>
        <v>46107</v>
      </c>
    </row>
    <row r="2969" spans="1:8" hidden="1" x14ac:dyDescent="0.35">
      <c r="A2969" s="29" t="s">
        <v>15</v>
      </c>
      <c r="B2969" s="29" t="str">
        <f t="shared" si="46"/>
        <v>SAG-05</v>
      </c>
      <c r="C2969" s="29" t="s">
        <v>9051</v>
      </c>
      <c r="D2969" s="67" t="s">
        <v>9052</v>
      </c>
      <c r="E2969" s="96" t="s">
        <v>62</v>
      </c>
      <c r="F2969" s="29" t="s">
        <v>61</v>
      </c>
      <c r="G2969" s="29"/>
      <c r="H2969" s="103">
        <f>_xlfn.XLOOKUP(B2969,GM!$Q$5:$Q$756,GM!$J$5:$J$756)</f>
        <v>46107</v>
      </c>
    </row>
    <row r="2970" spans="1:8" hidden="1" x14ac:dyDescent="0.35">
      <c r="A2970" s="29" t="s">
        <v>15</v>
      </c>
      <c r="B2970" s="29" t="str">
        <f t="shared" si="46"/>
        <v>SAG-05</v>
      </c>
      <c r="C2970" s="29" t="s">
        <v>9053</v>
      </c>
      <c r="D2970" s="67" t="s">
        <v>9054</v>
      </c>
      <c r="E2970" s="96" t="s">
        <v>62</v>
      </c>
      <c r="F2970" s="29" t="s">
        <v>61</v>
      </c>
      <c r="G2970" s="29"/>
      <c r="H2970" s="103">
        <f>_xlfn.XLOOKUP(B2970,GM!$Q$5:$Q$756,GM!$J$5:$J$756)</f>
        <v>46107</v>
      </c>
    </row>
    <row r="2971" spans="1:8" hidden="1" x14ac:dyDescent="0.35">
      <c r="A2971" s="29" t="s">
        <v>15</v>
      </c>
      <c r="B2971" s="29" t="str">
        <f t="shared" si="46"/>
        <v>SAG-05</v>
      </c>
      <c r="C2971" s="29" t="s">
        <v>9055</v>
      </c>
      <c r="D2971" s="67" t="s">
        <v>9056</v>
      </c>
      <c r="E2971" s="96" t="s">
        <v>62</v>
      </c>
      <c r="F2971" s="29" t="s">
        <v>61</v>
      </c>
      <c r="G2971" s="29"/>
      <c r="H2971" s="103">
        <f>_xlfn.XLOOKUP(B2971,GM!$Q$5:$Q$756,GM!$J$5:$J$756)</f>
        <v>46107</v>
      </c>
    </row>
    <row r="2972" spans="1:8" hidden="1" x14ac:dyDescent="0.35">
      <c r="A2972" s="29" t="s">
        <v>15</v>
      </c>
      <c r="B2972" s="29" t="str">
        <f t="shared" si="46"/>
        <v>SAG-05</v>
      </c>
      <c r="C2972" s="29" t="s">
        <v>9057</v>
      </c>
      <c r="D2972" s="67" t="s">
        <v>9058</v>
      </c>
      <c r="E2972" s="96" t="s">
        <v>62</v>
      </c>
      <c r="F2972" s="29" t="s">
        <v>61</v>
      </c>
      <c r="G2972" s="29"/>
      <c r="H2972" s="103">
        <f>_xlfn.XLOOKUP(B2972,GM!$Q$5:$Q$756,GM!$J$5:$J$756)</f>
        <v>46107</v>
      </c>
    </row>
    <row r="2973" spans="1:8" hidden="1" x14ac:dyDescent="0.35">
      <c r="A2973" s="29" t="s">
        <v>15</v>
      </c>
      <c r="B2973" s="29" t="str">
        <f t="shared" si="46"/>
        <v>SAG-05</v>
      </c>
      <c r="C2973" s="29" t="s">
        <v>9059</v>
      </c>
      <c r="D2973" s="67" t="s">
        <v>9060</v>
      </c>
      <c r="E2973" s="96" t="s">
        <v>62</v>
      </c>
      <c r="F2973" s="29" t="s">
        <v>61</v>
      </c>
      <c r="G2973" s="29"/>
      <c r="H2973" s="103">
        <f>_xlfn.XLOOKUP(B2973,GM!$Q$5:$Q$756,GM!$J$5:$J$756)</f>
        <v>46107</v>
      </c>
    </row>
    <row r="2974" spans="1:8" hidden="1" x14ac:dyDescent="0.35">
      <c r="A2974" s="29" t="s">
        <v>15</v>
      </c>
      <c r="B2974" s="29" t="str">
        <f t="shared" si="46"/>
        <v>SAG-05</v>
      </c>
      <c r="C2974" s="29" t="s">
        <v>9061</v>
      </c>
      <c r="D2974" s="67" t="s">
        <v>9062</v>
      </c>
      <c r="E2974" s="96" t="s">
        <v>62</v>
      </c>
      <c r="F2974" s="29" t="s">
        <v>61</v>
      </c>
      <c r="G2974" s="29"/>
      <c r="H2974" s="103">
        <f>_xlfn.XLOOKUP(B2974,GM!$Q$5:$Q$756,GM!$J$5:$J$756)</f>
        <v>46107</v>
      </c>
    </row>
    <row r="2975" spans="1:8" hidden="1" x14ac:dyDescent="0.35">
      <c r="A2975" s="29" t="s">
        <v>15</v>
      </c>
      <c r="B2975" s="29" t="str">
        <f t="shared" si="46"/>
        <v>SAG-05</v>
      </c>
      <c r="C2975" s="29" t="s">
        <v>9063</v>
      </c>
      <c r="D2975" s="67" t="s">
        <v>9064</v>
      </c>
      <c r="E2975" s="96" t="s">
        <v>62</v>
      </c>
      <c r="F2975" s="29" t="s">
        <v>61</v>
      </c>
      <c r="G2975" s="29"/>
      <c r="H2975" s="103">
        <f>_xlfn.XLOOKUP(B2975,GM!$Q$5:$Q$756,GM!$J$5:$J$756)</f>
        <v>46107</v>
      </c>
    </row>
    <row r="2976" spans="1:8" hidden="1" x14ac:dyDescent="0.35">
      <c r="A2976" s="29" t="s">
        <v>15</v>
      </c>
      <c r="B2976" s="29" t="str">
        <f t="shared" si="46"/>
        <v>SAG-06</v>
      </c>
      <c r="C2976" s="29" t="s">
        <v>9065</v>
      </c>
      <c r="D2976" s="67" t="s">
        <v>9066</v>
      </c>
      <c r="E2976" s="96" t="s">
        <v>62</v>
      </c>
      <c r="F2976" s="29" t="s">
        <v>61</v>
      </c>
      <c r="G2976" s="29"/>
      <c r="H2976" s="103">
        <f>_xlfn.XLOOKUP(B2976,GM!$Q$5:$Q$756,GM!$J$5:$J$756)</f>
        <v>46107</v>
      </c>
    </row>
    <row r="2977" spans="1:8" hidden="1" x14ac:dyDescent="0.35">
      <c r="A2977" s="29" t="s">
        <v>15</v>
      </c>
      <c r="B2977" s="29" t="str">
        <f t="shared" si="46"/>
        <v>SAG-06</v>
      </c>
      <c r="C2977" s="29" t="s">
        <v>9067</v>
      </c>
      <c r="D2977" s="67" t="s">
        <v>9068</v>
      </c>
      <c r="E2977" s="96" t="s">
        <v>62</v>
      </c>
      <c r="F2977" s="29" t="s">
        <v>61</v>
      </c>
      <c r="G2977" s="29"/>
      <c r="H2977" s="103">
        <f>_xlfn.XLOOKUP(B2977,GM!$Q$5:$Q$756,GM!$J$5:$J$756)</f>
        <v>46107</v>
      </c>
    </row>
    <row r="2978" spans="1:8" hidden="1" x14ac:dyDescent="0.35">
      <c r="A2978" s="29" t="s">
        <v>15</v>
      </c>
      <c r="B2978" s="29" t="str">
        <f t="shared" si="46"/>
        <v>SAG-06</v>
      </c>
      <c r="C2978" s="29" t="s">
        <v>9069</v>
      </c>
      <c r="D2978" s="67" t="s">
        <v>9070</v>
      </c>
      <c r="E2978" s="96" t="s">
        <v>62</v>
      </c>
      <c r="F2978" s="29" t="s">
        <v>61</v>
      </c>
      <c r="G2978" s="29"/>
      <c r="H2978" s="103">
        <f>_xlfn.XLOOKUP(B2978,GM!$Q$5:$Q$756,GM!$J$5:$J$756)</f>
        <v>46107</v>
      </c>
    </row>
    <row r="2979" spans="1:8" hidden="1" x14ac:dyDescent="0.35">
      <c r="A2979" s="29" t="s">
        <v>15</v>
      </c>
      <c r="B2979" s="29" t="str">
        <f t="shared" si="46"/>
        <v>SAG-06</v>
      </c>
      <c r="C2979" s="29" t="s">
        <v>9071</v>
      </c>
      <c r="D2979" s="67" t="s">
        <v>9072</v>
      </c>
      <c r="E2979" s="96" t="s">
        <v>62</v>
      </c>
      <c r="F2979" s="29" t="s">
        <v>61</v>
      </c>
      <c r="G2979" s="29"/>
      <c r="H2979" s="103">
        <f>_xlfn.XLOOKUP(B2979,GM!$Q$5:$Q$756,GM!$J$5:$J$756)</f>
        <v>46107</v>
      </c>
    </row>
    <row r="2980" spans="1:8" hidden="1" x14ac:dyDescent="0.35">
      <c r="A2980" s="29" t="s">
        <v>15</v>
      </c>
      <c r="B2980" s="29" t="str">
        <f t="shared" si="46"/>
        <v>SAG-06</v>
      </c>
      <c r="C2980" s="29" t="s">
        <v>9073</v>
      </c>
      <c r="D2980" s="67" t="s">
        <v>9074</v>
      </c>
      <c r="E2980" s="96" t="s">
        <v>62</v>
      </c>
      <c r="F2980" s="29" t="s">
        <v>61</v>
      </c>
      <c r="G2980" s="29"/>
      <c r="H2980" s="103">
        <f>_xlfn.XLOOKUP(B2980,GM!$Q$5:$Q$756,GM!$J$5:$J$756)</f>
        <v>46107</v>
      </c>
    </row>
    <row r="2981" spans="1:8" hidden="1" x14ac:dyDescent="0.35">
      <c r="A2981" s="29" t="s">
        <v>15</v>
      </c>
      <c r="B2981" s="29" t="str">
        <f t="shared" si="46"/>
        <v>SAG-06</v>
      </c>
      <c r="C2981" s="29" t="s">
        <v>9075</v>
      </c>
      <c r="D2981" s="67" t="s">
        <v>9076</v>
      </c>
      <c r="E2981" s="96" t="s">
        <v>62</v>
      </c>
      <c r="F2981" s="29" t="s">
        <v>61</v>
      </c>
      <c r="G2981" s="29"/>
      <c r="H2981" s="103">
        <f>_xlfn.XLOOKUP(B2981,GM!$Q$5:$Q$756,GM!$J$5:$J$756)</f>
        <v>46107</v>
      </c>
    </row>
    <row r="2982" spans="1:8" hidden="1" x14ac:dyDescent="0.35">
      <c r="A2982" s="29" t="s">
        <v>15</v>
      </c>
      <c r="B2982" s="29" t="str">
        <f t="shared" si="46"/>
        <v>SAG-06</v>
      </c>
      <c r="C2982" s="29" t="s">
        <v>9077</v>
      </c>
      <c r="D2982" s="67" t="s">
        <v>9078</v>
      </c>
      <c r="E2982" s="96" t="s">
        <v>62</v>
      </c>
      <c r="F2982" s="29" t="s">
        <v>61</v>
      </c>
      <c r="G2982" s="29"/>
      <c r="H2982" s="103">
        <f>_xlfn.XLOOKUP(B2982,GM!$Q$5:$Q$756,GM!$J$5:$J$756)</f>
        <v>46107</v>
      </c>
    </row>
    <row r="2983" spans="1:8" hidden="1" x14ac:dyDescent="0.35">
      <c r="A2983" s="29" t="s">
        <v>15</v>
      </c>
      <c r="B2983" s="29" t="str">
        <f t="shared" si="46"/>
        <v>SAG-06</v>
      </c>
      <c r="C2983" s="29" t="s">
        <v>9079</v>
      </c>
      <c r="D2983" s="67" t="s">
        <v>9080</v>
      </c>
      <c r="E2983" s="96" t="s">
        <v>62</v>
      </c>
      <c r="F2983" s="29" t="s">
        <v>61</v>
      </c>
      <c r="G2983" s="29"/>
      <c r="H2983" s="103">
        <f>_xlfn.XLOOKUP(B2983,GM!$Q$5:$Q$756,GM!$J$5:$J$756)</f>
        <v>46107</v>
      </c>
    </row>
    <row r="2984" spans="1:8" hidden="1" x14ac:dyDescent="0.35">
      <c r="A2984" s="29" t="s">
        <v>15</v>
      </c>
      <c r="B2984" s="29" t="str">
        <f t="shared" si="46"/>
        <v>SAG-06</v>
      </c>
      <c r="C2984" s="29" t="s">
        <v>9081</v>
      </c>
      <c r="D2984" s="67" t="s">
        <v>9082</v>
      </c>
      <c r="E2984" s="96" t="s">
        <v>62</v>
      </c>
      <c r="F2984" s="29" t="s">
        <v>61</v>
      </c>
      <c r="G2984" s="29"/>
      <c r="H2984" s="103">
        <f>_xlfn.XLOOKUP(B2984,GM!$Q$5:$Q$756,GM!$J$5:$J$756)</f>
        <v>46107</v>
      </c>
    </row>
    <row r="2985" spans="1:8" hidden="1" x14ac:dyDescent="0.35">
      <c r="A2985" s="29" t="s">
        <v>15</v>
      </c>
      <c r="B2985" s="29" t="str">
        <f t="shared" si="46"/>
        <v>SAG-06</v>
      </c>
      <c r="C2985" s="29" t="s">
        <v>9083</v>
      </c>
      <c r="D2985" s="67" t="s">
        <v>9084</v>
      </c>
      <c r="E2985" s="96" t="s">
        <v>62</v>
      </c>
      <c r="F2985" s="29" t="s">
        <v>61</v>
      </c>
      <c r="G2985" s="29"/>
      <c r="H2985" s="103">
        <f>_xlfn.XLOOKUP(B2985,GM!$Q$5:$Q$756,GM!$J$5:$J$756)</f>
        <v>46107</v>
      </c>
    </row>
    <row r="2986" spans="1:8" hidden="1" x14ac:dyDescent="0.35">
      <c r="A2986" s="29" t="s">
        <v>15</v>
      </c>
      <c r="B2986" s="29" t="str">
        <f t="shared" si="46"/>
        <v>SAG-06</v>
      </c>
      <c r="C2986" s="29" t="s">
        <v>9085</v>
      </c>
      <c r="D2986" s="67" t="s">
        <v>9086</v>
      </c>
      <c r="E2986" s="96" t="s">
        <v>62</v>
      </c>
      <c r="F2986" s="29" t="s">
        <v>61</v>
      </c>
      <c r="G2986" s="29"/>
      <c r="H2986" s="103">
        <f>_xlfn.XLOOKUP(B2986,GM!$Q$5:$Q$756,GM!$J$5:$J$756)</f>
        <v>46107</v>
      </c>
    </row>
    <row r="2987" spans="1:8" hidden="1" x14ac:dyDescent="0.35">
      <c r="A2987" s="29" t="s">
        <v>15</v>
      </c>
      <c r="B2987" s="29" t="str">
        <f t="shared" si="46"/>
        <v>SAG-06</v>
      </c>
      <c r="C2987" s="29" t="s">
        <v>9087</v>
      </c>
      <c r="D2987" s="67" t="s">
        <v>9088</v>
      </c>
      <c r="E2987" s="96" t="s">
        <v>62</v>
      </c>
      <c r="F2987" s="29" t="s">
        <v>61</v>
      </c>
      <c r="G2987" s="29"/>
      <c r="H2987" s="103">
        <f>_xlfn.XLOOKUP(B2987,GM!$Q$5:$Q$756,GM!$J$5:$J$756)</f>
        <v>46107</v>
      </c>
    </row>
    <row r="2988" spans="1:8" hidden="1" x14ac:dyDescent="0.35">
      <c r="A2988" s="29" t="s">
        <v>15</v>
      </c>
      <c r="B2988" s="29" t="str">
        <f t="shared" si="46"/>
        <v>SAG-06</v>
      </c>
      <c r="C2988" s="29" t="s">
        <v>9089</v>
      </c>
      <c r="D2988" s="67" t="s">
        <v>9090</v>
      </c>
      <c r="E2988" s="96" t="s">
        <v>62</v>
      </c>
      <c r="F2988" s="29" t="s">
        <v>61</v>
      </c>
      <c r="G2988" s="29"/>
      <c r="H2988" s="103">
        <f>_xlfn.XLOOKUP(B2988,GM!$Q$5:$Q$756,GM!$J$5:$J$756)</f>
        <v>46107</v>
      </c>
    </row>
    <row r="2989" spans="1:8" hidden="1" x14ac:dyDescent="0.35">
      <c r="A2989" s="29" t="s">
        <v>15</v>
      </c>
      <c r="B2989" s="29" t="str">
        <f t="shared" si="46"/>
        <v>SAG-06</v>
      </c>
      <c r="C2989" s="29" t="s">
        <v>9091</v>
      </c>
      <c r="D2989" s="67" t="s">
        <v>9092</v>
      </c>
      <c r="E2989" s="96" t="s">
        <v>62</v>
      </c>
      <c r="F2989" s="29" t="s">
        <v>61</v>
      </c>
      <c r="G2989" s="29"/>
      <c r="H2989" s="103">
        <f>_xlfn.XLOOKUP(B2989,GM!$Q$5:$Q$756,GM!$J$5:$J$756)</f>
        <v>46107</v>
      </c>
    </row>
    <row r="2990" spans="1:8" hidden="1" x14ac:dyDescent="0.35">
      <c r="A2990" s="29" t="s">
        <v>15</v>
      </c>
      <c r="B2990" s="29" t="str">
        <f t="shared" si="46"/>
        <v>SAG-06</v>
      </c>
      <c r="C2990" s="29" t="s">
        <v>9093</v>
      </c>
      <c r="D2990" s="67" t="s">
        <v>9094</v>
      </c>
      <c r="E2990" s="96" t="s">
        <v>62</v>
      </c>
      <c r="F2990" s="29" t="s">
        <v>61</v>
      </c>
      <c r="G2990" s="29"/>
      <c r="H2990" s="103">
        <f>_xlfn.XLOOKUP(B2990,GM!$Q$5:$Q$756,GM!$J$5:$J$756)</f>
        <v>46107</v>
      </c>
    </row>
    <row r="2991" spans="1:8" hidden="1" x14ac:dyDescent="0.35">
      <c r="A2991" s="29" t="s">
        <v>15</v>
      </c>
      <c r="B2991" s="29" t="str">
        <f t="shared" si="46"/>
        <v>SAG-06</v>
      </c>
      <c r="C2991" s="29" t="s">
        <v>9095</v>
      </c>
      <c r="D2991" s="67" t="s">
        <v>9096</v>
      </c>
      <c r="E2991" s="96" t="s">
        <v>62</v>
      </c>
      <c r="F2991" s="29" t="s">
        <v>61</v>
      </c>
      <c r="G2991" s="29"/>
      <c r="H2991" s="103">
        <f>_xlfn.XLOOKUP(B2991,GM!$Q$5:$Q$756,GM!$J$5:$J$756)</f>
        <v>46107</v>
      </c>
    </row>
    <row r="2992" spans="1:8" hidden="1" x14ac:dyDescent="0.35">
      <c r="A2992" s="29" t="s">
        <v>15</v>
      </c>
      <c r="B2992" s="29" t="str">
        <f t="shared" si="46"/>
        <v>SAG-06</v>
      </c>
      <c r="C2992" s="29" t="s">
        <v>9095</v>
      </c>
      <c r="D2992" s="67" t="s">
        <v>9097</v>
      </c>
      <c r="E2992" s="96" t="s">
        <v>62</v>
      </c>
      <c r="F2992" s="29" t="s">
        <v>61</v>
      </c>
      <c r="G2992" s="29"/>
      <c r="H2992" s="103">
        <f>_xlfn.XLOOKUP(B2992,GM!$Q$5:$Q$756,GM!$J$5:$J$756)</f>
        <v>46107</v>
      </c>
    </row>
    <row r="2993" spans="1:8" hidden="1" x14ac:dyDescent="0.35">
      <c r="A2993" s="29" t="s">
        <v>15</v>
      </c>
      <c r="B2993" s="29" t="str">
        <f t="shared" si="46"/>
        <v>SAG-06</v>
      </c>
      <c r="C2993" s="29" t="s">
        <v>9098</v>
      </c>
      <c r="D2993" s="67" t="s">
        <v>9099</v>
      </c>
      <c r="E2993" s="96" t="s">
        <v>62</v>
      </c>
      <c r="F2993" s="29" t="s">
        <v>61</v>
      </c>
      <c r="G2993" s="29"/>
      <c r="H2993" s="103">
        <f>_xlfn.XLOOKUP(B2993,GM!$Q$5:$Q$756,GM!$J$5:$J$756)</f>
        <v>46107</v>
      </c>
    </row>
    <row r="2994" spans="1:8" hidden="1" x14ac:dyDescent="0.35">
      <c r="A2994" s="29" t="s">
        <v>15</v>
      </c>
      <c r="B2994" s="29" t="str">
        <f t="shared" si="46"/>
        <v>SAG-07</v>
      </c>
      <c r="C2994" s="29" t="s">
        <v>9100</v>
      </c>
      <c r="D2994" s="67" t="s">
        <v>9101</v>
      </c>
      <c r="E2994" s="96" t="s">
        <v>62</v>
      </c>
      <c r="F2994" s="29" t="s">
        <v>61</v>
      </c>
      <c r="G2994" s="29"/>
      <c r="H2994" s="103">
        <f>_xlfn.XLOOKUP(B2994,GM!$Q$5:$Q$756,GM!$J$5:$J$756)</f>
        <v>45959</v>
      </c>
    </row>
    <row r="2995" spans="1:8" hidden="1" x14ac:dyDescent="0.35">
      <c r="A2995" s="29" t="s">
        <v>15</v>
      </c>
      <c r="B2995" s="29" t="str">
        <f t="shared" si="46"/>
        <v>SAG-07</v>
      </c>
      <c r="C2995" s="29" t="s">
        <v>9102</v>
      </c>
      <c r="D2995" s="67" t="s">
        <v>9103</v>
      </c>
      <c r="E2995" s="96" t="s">
        <v>62</v>
      </c>
      <c r="F2995" s="29" t="s">
        <v>61</v>
      </c>
      <c r="G2995" s="29"/>
      <c r="H2995" s="103">
        <f>_xlfn.XLOOKUP(B2995,GM!$Q$5:$Q$756,GM!$J$5:$J$756)</f>
        <v>45959</v>
      </c>
    </row>
    <row r="2996" spans="1:8" hidden="1" x14ac:dyDescent="0.35">
      <c r="A2996" s="29" t="s">
        <v>15</v>
      </c>
      <c r="B2996" s="29" t="str">
        <f t="shared" si="46"/>
        <v>SAG-07</v>
      </c>
      <c r="C2996" s="29" t="s">
        <v>9104</v>
      </c>
      <c r="D2996" s="67" t="s">
        <v>9105</v>
      </c>
      <c r="E2996" s="96" t="s">
        <v>62</v>
      </c>
      <c r="F2996" s="29" t="s">
        <v>61</v>
      </c>
      <c r="G2996" s="29"/>
      <c r="H2996" s="103">
        <f>_xlfn.XLOOKUP(B2996,GM!$Q$5:$Q$756,GM!$J$5:$J$756)</f>
        <v>45959</v>
      </c>
    </row>
    <row r="2997" spans="1:8" hidden="1" x14ac:dyDescent="0.35">
      <c r="A2997" s="29" t="s">
        <v>15</v>
      </c>
      <c r="B2997" s="29" t="str">
        <f t="shared" si="46"/>
        <v>SAG-07</v>
      </c>
      <c r="C2997" s="29" t="s">
        <v>9106</v>
      </c>
      <c r="D2997" s="67" t="s">
        <v>9107</v>
      </c>
      <c r="E2997" s="96" t="s">
        <v>62</v>
      </c>
      <c r="F2997" s="29" t="s">
        <v>61</v>
      </c>
      <c r="G2997" s="29"/>
      <c r="H2997" s="103">
        <f>_xlfn.XLOOKUP(B2997,GM!$Q$5:$Q$756,GM!$J$5:$J$756)</f>
        <v>45959</v>
      </c>
    </row>
    <row r="2998" spans="1:8" hidden="1" x14ac:dyDescent="0.35">
      <c r="A2998" s="29" t="s">
        <v>15</v>
      </c>
      <c r="B2998" s="29" t="str">
        <f t="shared" si="46"/>
        <v>SAG-07</v>
      </c>
      <c r="C2998" s="29" t="s">
        <v>9108</v>
      </c>
      <c r="D2998" s="67" t="s">
        <v>9109</v>
      </c>
      <c r="E2998" s="96" t="s">
        <v>62</v>
      </c>
      <c r="F2998" s="29" t="s">
        <v>61</v>
      </c>
      <c r="G2998" s="29"/>
      <c r="H2998" s="103">
        <f>_xlfn.XLOOKUP(B2998,GM!$Q$5:$Q$756,GM!$J$5:$J$756)</f>
        <v>45959</v>
      </c>
    </row>
    <row r="2999" spans="1:8" hidden="1" x14ac:dyDescent="0.35">
      <c r="A2999" s="29" t="s">
        <v>15</v>
      </c>
      <c r="B2999" s="29" t="str">
        <f t="shared" si="46"/>
        <v>SAG-09</v>
      </c>
      <c r="C2999" s="29" t="s">
        <v>9110</v>
      </c>
      <c r="D2999" s="67" t="s">
        <v>9111</v>
      </c>
      <c r="E2999" s="96" t="s">
        <v>62</v>
      </c>
      <c r="F2999" s="29" t="s">
        <v>61</v>
      </c>
      <c r="G2999" s="29"/>
      <c r="H2999" s="103">
        <f>_xlfn.XLOOKUP(B2999,GM!$Q$5:$Q$756,GM!$J$5:$J$756)</f>
        <v>45959</v>
      </c>
    </row>
    <row r="3000" spans="1:8" hidden="1" x14ac:dyDescent="0.35">
      <c r="A3000" s="29" t="s">
        <v>15</v>
      </c>
      <c r="B3000" s="29" t="str">
        <f t="shared" si="46"/>
        <v>SAG-09</v>
      </c>
      <c r="C3000" s="29" t="s">
        <v>9112</v>
      </c>
      <c r="D3000" s="67" t="s">
        <v>9113</v>
      </c>
      <c r="E3000" s="96" t="s">
        <v>62</v>
      </c>
      <c r="F3000" s="29" t="s">
        <v>61</v>
      </c>
      <c r="G3000" s="29"/>
      <c r="H3000" s="103">
        <f>_xlfn.XLOOKUP(B3000,GM!$Q$5:$Q$756,GM!$J$5:$J$756)</f>
        <v>45959</v>
      </c>
    </row>
    <row r="3001" spans="1:8" hidden="1" x14ac:dyDescent="0.35">
      <c r="A3001" s="29" t="s">
        <v>15</v>
      </c>
      <c r="B3001" s="29" t="str">
        <f t="shared" si="46"/>
        <v>SAG-09</v>
      </c>
      <c r="C3001" s="29" t="s">
        <v>9114</v>
      </c>
      <c r="D3001" s="67" t="s">
        <v>9115</v>
      </c>
      <c r="E3001" s="96" t="s">
        <v>62</v>
      </c>
      <c r="F3001" s="29" t="s">
        <v>61</v>
      </c>
      <c r="G3001" s="29"/>
      <c r="H3001" s="103">
        <f>_xlfn.XLOOKUP(B3001,GM!$Q$5:$Q$756,GM!$J$5:$J$756)</f>
        <v>45959</v>
      </c>
    </row>
    <row r="3002" spans="1:8" hidden="1" x14ac:dyDescent="0.35">
      <c r="A3002" s="29" t="s">
        <v>15</v>
      </c>
      <c r="B3002" s="29" t="str">
        <f t="shared" si="46"/>
        <v>SAG-09</v>
      </c>
      <c r="C3002" s="29" t="s">
        <v>9116</v>
      </c>
      <c r="D3002" s="67" t="s">
        <v>9117</v>
      </c>
      <c r="E3002" s="96" t="s">
        <v>62</v>
      </c>
      <c r="F3002" s="29" t="s">
        <v>61</v>
      </c>
      <c r="G3002" s="29"/>
      <c r="H3002" s="103">
        <f>_xlfn.XLOOKUP(B3002,GM!$Q$5:$Q$756,GM!$J$5:$J$756)</f>
        <v>45959</v>
      </c>
    </row>
    <row r="3003" spans="1:8" hidden="1" x14ac:dyDescent="0.35">
      <c r="A3003" s="29" t="s">
        <v>15</v>
      </c>
      <c r="B3003" s="29" t="str">
        <f t="shared" si="46"/>
        <v>SAG-09</v>
      </c>
      <c r="C3003" s="29" t="s">
        <v>9118</v>
      </c>
      <c r="D3003" s="67" t="s">
        <v>9119</v>
      </c>
      <c r="E3003" s="96" t="s">
        <v>62</v>
      </c>
      <c r="F3003" s="29" t="s">
        <v>61</v>
      </c>
      <c r="G3003" s="29"/>
      <c r="H3003" s="103">
        <f>_xlfn.XLOOKUP(B3003,GM!$Q$5:$Q$756,GM!$J$5:$J$756)</f>
        <v>45959</v>
      </c>
    </row>
    <row r="3004" spans="1:8" hidden="1" x14ac:dyDescent="0.35">
      <c r="A3004" s="29" t="s">
        <v>15</v>
      </c>
      <c r="B3004" s="29" t="str">
        <f t="shared" si="46"/>
        <v>SAG-09</v>
      </c>
      <c r="C3004" s="29" t="s">
        <v>9120</v>
      </c>
      <c r="D3004" s="67" t="s">
        <v>9121</v>
      </c>
      <c r="E3004" s="96" t="s">
        <v>62</v>
      </c>
      <c r="F3004" s="29" t="s">
        <v>61</v>
      </c>
      <c r="G3004" s="29"/>
      <c r="H3004" s="103">
        <f>_xlfn.XLOOKUP(B3004,GM!$Q$5:$Q$756,GM!$J$5:$J$756)</f>
        <v>45959</v>
      </c>
    </row>
    <row r="3005" spans="1:8" hidden="1" x14ac:dyDescent="0.35">
      <c r="A3005" s="29" t="s">
        <v>15</v>
      </c>
      <c r="B3005" s="29" t="str">
        <f t="shared" si="46"/>
        <v>SAG-09</v>
      </c>
      <c r="C3005" s="29" t="s">
        <v>9122</v>
      </c>
      <c r="D3005" s="67" t="s">
        <v>9123</v>
      </c>
      <c r="E3005" s="96" t="s">
        <v>62</v>
      </c>
      <c r="F3005" s="29" t="s">
        <v>61</v>
      </c>
      <c r="G3005" s="29"/>
      <c r="H3005" s="103">
        <f>_xlfn.XLOOKUP(B3005,GM!$Q$5:$Q$756,GM!$J$5:$J$756)</f>
        <v>45959</v>
      </c>
    </row>
    <row r="3006" spans="1:8" hidden="1" x14ac:dyDescent="0.35">
      <c r="A3006" s="29" t="s">
        <v>15</v>
      </c>
      <c r="B3006" s="29" t="str">
        <f t="shared" si="46"/>
        <v>SAG-09</v>
      </c>
      <c r="C3006" s="29" t="s">
        <v>9124</v>
      </c>
      <c r="D3006" s="67" t="s">
        <v>9125</v>
      </c>
      <c r="E3006" s="96" t="s">
        <v>62</v>
      </c>
      <c r="F3006" s="29" t="s">
        <v>61</v>
      </c>
      <c r="G3006" s="29"/>
      <c r="H3006" s="103">
        <f>_xlfn.XLOOKUP(B3006,GM!$Q$5:$Q$756,GM!$J$5:$J$756)</f>
        <v>45959</v>
      </c>
    </row>
    <row r="3007" spans="1:8" hidden="1" x14ac:dyDescent="0.35">
      <c r="A3007" s="29" t="s">
        <v>15</v>
      </c>
      <c r="B3007" s="29" t="str">
        <f t="shared" si="46"/>
        <v>SAG-09</v>
      </c>
      <c r="C3007" s="29" t="s">
        <v>9126</v>
      </c>
      <c r="D3007" s="67" t="s">
        <v>9127</v>
      </c>
      <c r="E3007" s="96" t="s">
        <v>62</v>
      </c>
      <c r="F3007" s="29" t="s">
        <v>61</v>
      </c>
      <c r="G3007" s="29"/>
      <c r="H3007" s="103">
        <f>_xlfn.XLOOKUP(B3007,GM!$Q$5:$Q$756,GM!$J$5:$J$756)</f>
        <v>45959</v>
      </c>
    </row>
    <row r="3008" spans="1:8" hidden="1" x14ac:dyDescent="0.35">
      <c r="A3008" s="29" t="s">
        <v>15</v>
      </c>
      <c r="B3008" s="29" t="str">
        <f t="shared" si="46"/>
        <v>SAG-10</v>
      </c>
      <c r="C3008" s="29" t="s">
        <v>9128</v>
      </c>
      <c r="D3008" s="67" t="s">
        <v>9129</v>
      </c>
      <c r="E3008" s="96" t="s">
        <v>62</v>
      </c>
      <c r="F3008" s="29" t="s">
        <v>61</v>
      </c>
      <c r="G3008" s="29"/>
      <c r="H3008" s="103">
        <f>_xlfn.XLOOKUP(B3008,GM!$Q$5:$Q$756,GM!$J$5:$J$756)</f>
        <v>45959</v>
      </c>
    </row>
    <row r="3009" spans="1:8" hidden="1" x14ac:dyDescent="0.35">
      <c r="A3009" s="29" t="s">
        <v>15</v>
      </c>
      <c r="B3009" s="29" t="str">
        <f t="shared" si="46"/>
        <v>SAG-10</v>
      </c>
      <c r="C3009" s="29" t="s">
        <v>9130</v>
      </c>
      <c r="D3009" s="67" t="s">
        <v>9131</v>
      </c>
      <c r="E3009" s="96" t="s">
        <v>62</v>
      </c>
      <c r="F3009" s="29" t="s">
        <v>61</v>
      </c>
      <c r="G3009" s="29"/>
      <c r="H3009" s="103">
        <f>_xlfn.XLOOKUP(B3009,GM!$Q$5:$Q$756,GM!$J$5:$J$756)</f>
        <v>45959</v>
      </c>
    </row>
    <row r="3010" spans="1:8" hidden="1" x14ac:dyDescent="0.35">
      <c r="A3010" s="29" t="s">
        <v>15</v>
      </c>
      <c r="B3010" s="29" t="str">
        <f t="shared" si="46"/>
        <v>SAG-10</v>
      </c>
      <c r="C3010" s="29" t="s">
        <v>9132</v>
      </c>
      <c r="D3010" s="67" t="s">
        <v>9133</v>
      </c>
      <c r="E3010" s="96" t="s">
        <v>62</v>
      </c>
      <c r="F3010" s="29" t="s">
        <v>61</v>
      </c>
      <c r="G3010" s="29"/>
      <c r="H3010" s="103">
        <f>_xlfn.XLOOKUP(B3010,GM!$Q$5:$Q$756,GM!$J$5:$J$756)</f>
        <v>45959</v>
      </c>
    </row>
    <row r="3011" spans="1:8" hidden="1" x14ac:dyDescent="0.35">
      <c r="A3011" s="29" t="s">
        <v>15</v>
      </c>
      <c r="B3011" s="29" t="str">
        <f t="shared" si="46"/>
        <v>SAG-10</v>
      </c>
      <c r="C3011" s="29" t="s">
        <v>9134</v>
      </c>
      <c r="D3011" s="67" t="s">
        <v>9135</v>
      </c>
      <c r="E3011" s="96" t="s">
        <v>62</v>
      </c>
      <c r="F3011" s="29" t="s">
        <v>61</v>
      </c>
      <c r="G3011" s="29"/>
      <c r="H3011" s="103">
        <f>_xlfn.XLOOKUP(B3011,GM!$Q$5:$Q$756,GM!$J$5:$J$756)</f>
        <v>45959</v>
      </c>
    </row>
    <row r="3012" spans="1:8" hidden="1" x14ac:dyDescent="0.35">
      <c r="A3012" s="29" t="s">
        <v>15</v>
      </c>
      <c r="B3012" s="29" t="str">
        <f t="shared" si="46"/>
        <v>SAG-10</v>
      </c>
      <c r="C3012" s="29" t="s">
        <v>9136</v>
      </c>
      <c r="D3012" s="67" t="s">
        <v>9137</v>
      </c>
      <c r="E3012" s="96" t="s">
        <v>62</v>
      </c>
      <c r="F3012" s="29" t="s">
        <v>61</v>
      </c>
      <c r="G3012" s="29"/>
      <c r="H3012" s="103">
        <f>_xlfn.XLOOKUP(B3012,GM!$Q$5:$Q$756,GM!$J$5:$J$756)</f>
        <v>45959</v>
      </c>
    </row>
    <row r="3013" spans="1:8" hidden="1" x14ac:dyDescent="0.35">
      <c r="A3013" s="29" t="s">
        <v>15</v>
      </c>
      <c r="B3013" s="29" t="str">
        <f t="shared" ref="B3013:B3076" si="47">IF(OR(A3013="ARN",A3013="SDP"),MID(C3013,4,7),MID(C3013,4,6))</f>
        <v>SAG-10</v>
      </c>
      <c r="C3013" s="29" t="s">
        <v>9138</v>
      </c>
      <c r="D3013" s="67" t="s">
        <v>9139</v>
      </c>
      <c r="E3013" s="96" t="s">
        <v>62</v>
      </c>
      <c r="F3013" s="29" t="s">
        <v>61</v>
      </c>
      <c r="G3013" s="29"/>
      <c r="H3013" s="103">
        <f>_xlfn.XLOOKUP(B3013,GM!$Q$5:$Q$756,GM!$J$5:$J$756)</f>
        <v>45959</v>
      </c>
    </row>
    <row r="3014" spans="1:8" hidden="1" x14ac:dyDescent="0.35">
      <c r="A3014" s="29" t="s">
        <v>15</v>
      </c>
      <c r="B3014" s="29" t="str">
        <f t="shared" si="47"/>
        <v>SAG-10</v>
      </c>
      <c r="C3014" s="29" t="s">
        <v>9140</v>
      </c>
      <c r="D3014" s="67" t="s">
        <v>9141</v>
      </c>
      <c r="E3014" s="96" t="s">
        <v>62</v>
      </c>
      <c r="F3014" s="29" t="s">
        <v>61</v>
      </c>
      <c r="G3014" s="29"/>
      <c r="H3014" s="103">
        <f>_xlfn.XLOOKUP(B3014,GM!$Q$5:$Q$756,GM!$J$5:$J$756)</f>
        <v>45959</v>
      </c>
    </row>
    <row r="3015" spans="1:8" hidden="1" x14ac:dyDescent="0.35">
      <c r="A3015" s="29" t="s">
        <v>15</v>
      </c>
      <c r="B3015" s="29" t="str">
        <f t="shared" si="47"/>
        <v>SAG-10</v>
      </c>
      <c r="C3015" s="29" t="s">
        <v>9142</v>
      </c>
      <c r="D3015" s="67" t="s">
        <v>9143</v>
      </c>
      <c r="E3015" s="96" t="s">
        <v>62</v>
      </c>
      <c r="F3015" s="29" t="s">
        <v>61</v>
      </c>
      <c r="G3015" s="29"/>
      <c r="H3015" s="103">
        <f>_xlfn.XLOOKUP(B3015,GM!$Q$5:$Q$756,GM!$J$5:$J$756)</f>
        <v>45959</v>
      </c>
    </row>
    <row r="3016" spans="1:8" hidden="1" x14ac:dyDescent="0.35">
      <c r="A3016" s="29" t="s">
        <v>15</v>
      </c>
      <c r="B3016" s="29" t="str">
        <f t="shared" si="47"/>
        <v>SAG-11</v>
      </c>
      <c r="C3016" s="29" t="s">
        <v>9144</v>
      </c>
      <c r="D3016" s="67" t="s">
        <v>9145</v>
      </c>
      <c r="E3016" s="96" t="s">
        <v>62</v>
      </c>
      <c r="F3016" s="29" t="s">
        <v>61</v>
      </c>
      <c r="G3016" s="29"/>
      <c r="H3016" s="103">
        <f>_xlfn.XLOOKUP(B3016,GM!$Q$5:$Q$756,GM!$J$5:$J$756)</f>
        <v>46107</v>
      </c>
    </row>
    <row r="3017" spans="1:8" hidden="1" x14ac:dyDescent="0.35">
      <c r="A3017" s="29" t="s">
        <v>15</v>
      </c>
      <c r="B3017" s="29" t="str">
        <f t="shared" si="47"/>
        <v>SAG-11</v>
      </c>
      <c r="C3017" s="29" t="s">
        <v>9146</v>
      </c>
      <c r="D3017" s="67" t="s">
        <v>9147</v>
      </c>
      <c r="E3017" s="96" t="s">
        <v>62</v>
      </c>
      <c r="F3017" s="29" t="s">
        <v>61</v>
      </c>
      <c r="G3017" s="29"/>
      <c r="H3017" s="103">
        <f>_xlfn.XLOOKUP(B3017,GM!$Q$5:$Q$756,GM!$J$5:$J$756)</f>
        <v>46107</v>
      </c>
    </row>
    <row r="3018" spans="1:8" hidden="1" x14ac:dyDescent="0.35">
      <c r="A3018" s="29" t="s">
        <v>15</v>
      </c>
      <c r="B3018" s="29" t="str">
        <f t="shared" si="47"/>
        <v>SAG-11</v>
      </c>
      <c r="C3018" s="29" t="s">
        <v>9148</v>
      </c>
      <c r="D3018" s="67" t="s">
        <v>9149</v>
      </c>
      <c r="E3018" s="96" t="s">
        <v>62</v>
      </c>
      <c r="F3018" s="29" t="s">
        <v>61</v>
      </c>
      <c r="G3018" s="29"/>
      <c r="H3018" s="103">
        <f>_xlfn.XLOOKUP(B3018,GM!$Q$5:$Q$756,GM!$J$5:$J$756)</f>
        <v>46107</v>
      </c>
    </row>
    <row r="3019" spans="1:8" hidden="1" x14ac:dyDescent="0.35">
      <c r="A3019" s="29" t="s">
        <v>15</v>
      </c>
      <c r="B3019" s="29" t="str">
        <f t="shared" si="47"/>
        <v>SAG-11</v>
      </c>
      <c r="C3019" s="29" t="s">
        <v>9150</v>
      </c>
      <c r="D3019" s="67" t="s">
        <v>9151</v>
      </c>
      <c r="E3019" s="96" t="s">
        <v>62</v>
      </c>
      <c r="F3019" s="29" t="s">
        <v>61</v>
      </c>
      <c r="G3019" s="29"/>
      <c r="H3019" s="103">
        <f>_xlfn.XLOOKUP(B3019,GM!$Q$5:$Q$756,GM!$J$5:$J$756)</f>
        <v>46107</v>
      </c>
    </row>
    <row r="3020" spans="1:8" hidden="1" x14ac:dyDescent="0.35">
      <c r="A3020" s="29" t="s">
        <v>15</v>
      </c>
      <c r="B3020" s="29" t="str">
        <f t="shared" si="47"/>
        <v>SAG-12</v>
      </c>
      <c r="C3020" s="29" t="s">
        <v>9152</v>
      </c>
      <c r="D3020" s="67" t="s">
        <v>9153</v>
      </c>
      <c r="E3020" s="96" t="s">
        <v>62</v>
      </c>
      <c r="F3020" s="29" t="s">
        <v>61</v>
      </c>
      <c r="G3020" s="29"/>
      <c r="H3020" s="103">
        <f>_xlfn.XLOOKUP(B3020,GM!$Q$5:$Q$756,GM!$J$5:$J$756)</f>
        <v>46107</v>
      </c>
    </row>
    <row r="3021" spans="1:8" hidden="1" x14ac:dyDescent="0.35">
      <c r="A3021" s="29" t="s">
        <v>15</v>
      </c>
      <c r="B3021" s="29" t="str">
        <f t="shared" si="47"/>
        <v>SAG-13</v>
      </c>
      <c r="C3021" s="29" t="s">
        <v>9154</v>
      </c>
      <c r="D3021" s="67" t="s">
        <v>9155</v>
      </c>
      <c r="E3021" s="96" t="s">
        <v>62</v>
      </c>
      <c r="F3021" s="29" t="s">
        <v>61</v>
      </c>
      <c r="G3021" s="29"/>
      <c r="H3021" s="103">
        <f>_xlfn.XLOOKUP(B3021,GM!$Q$5:$Q$756,GM!$J$5:$J$756)</f>
        <v>46107</v>
      </c>
    </row>
    <row r="3022" spans="1:8" hidden="1" x14ac:dyDescent="0.35">
      <c r="A3022" s="29" t="s">
        <v>15</v>
      </c>
      <c r="B3022" s="29" t="str">
        <f t="shared" si="47"/>
        <v>SAG-13</v>
      </c>
      <c r="C3022" s="29" t="s">
        <v>9156</v>
      </c>
      <c r="D3022" s="67" t="s">
        <v>9157</v>
      </c>
      <c r="E3022" s="96" t="s">
        <v>62</v>
      </c>
      <c r="F3022" s="29" t="s">
        <v>61</v>
      </c>
      <c r="G3022" s="29"/>
      <c r="H3022" s="103">
        <f>_xlfn.XLOOKUP(B3022,GM!$Q$5:$Q$756,GM!$J$5:$J$756)</f>
        <v>46107</v>
      </c>
    </row>
    <row r="3023" spans="1:8" hidden="1" x14ac:dyDescent="0.35">
      <c r="A3023" s="29" t="s">
        <v>15</v>
      </c>
      <c r="B3023" s="29" t="str">
        <f t="shared" si="47"/>
        <v>SAG-13</v>
      </c>
      <c r="C3023" s="29" t="s">
        <v>9158</v>
      </c>
      <c r="D3023" s="67" t="s">
        <v>9159</v>
      </c>
      <c r="E3023" s="96" t="s">
        <v>62</v>
      </c>
      <c r="F3023" s="29" t="s">
        <v>61</v>
      </c>
      <c r="G3023" s="29"/>
      <c r="H3023" s="103">
        <f>_xlfn.XLOOKUP(B3023,GM!$Q$5:$Q$756,GM!$J$5:$J$756)</f>
        <v>46107</v>
      </c>
    </row>
    <row r="3024" spans="1:8" hidden="1" x14ac:dyDescent="0.35">
      <c r="A3024" s="29" t="s">
        <v>15</v>
      </c>
      <c r="B3024" s="29" t="str">
        <f t="shared" si="47"/>
        <v>SAG-13</v>
      </c>
      <c r="C3024" s="29" t="s">
        <v>9160</v>
      </c>
      <c r="D3024" s="67" t="s">
        <v>9161</v>
      </c>
      <c r="E3024" s="96" t="s">
        <v>62</v>
      </c>
      <c r="F3024" s="29" t="s">
        <v>61</v>
      </c>
      <c r="G3024" s="29"/>
      <c r="H3024" s="103">
        <f>_xlfn.XLOOKUP(B3024,GM!$Q$5:$Q$756,GM!$J$5:$J$756)</f>
        <v>46107</v>
      </c>
    </row>
    <row r="3025" spans="1:8" hidden="1" x14ac:dyDescent="0.35">
      <c r="A3025" s="29" t="s">
        <v>15</v>
      </c>
      <c r="B3025" s="29" t="str">
        <f t="shared" si="47"/>
        <v>SAG-13</v>
      </c>
      <c r="C3025" s="29" t="s">
        <v>9162</v>
      </c>
      <c r="D3025" s="67" t="s">
        <v>9163</v>
      </c>
      <c r="E3025" s="96" t="s">
        <v>62</v>
      </c>
      <c r="F3025" s="29" t="s">
        <v>61</v>
      </c>
      <c r="G3025" s="29"/>
      <c r="H3025" s="103">
        <f>_xlfn.XLOOKUP(B3025,GM!$Q$5:$Q$756,GM!$J$5:$J$756)</f>
        <v>46107</v>
      </c>
    </row>
    <row r="3026" spans="1:8" hidden="1" x14ac:dyDescent="0.35">
      <c r="A3026" s="29" t="s">
        <v>15</v>
      </c>
      <c r="B3026" s="29" t="str">
        <f t="shared" si="47"/>
        <v>SAG-13</v>
      </c>
      <c r="C3026" s="29" t="s">
        <v>9164</v>
      </c>
      <c r="D3026" s="67" t="s">
        <v>9165</v>
      </c>
      <c r="E3026" s="96" t="s">
        <v>62</v>
      </c>
      <c r="F3026" s="29" t="s">
        <v>61</v>
      </c>
      <c r="G3026" s="29"/>
      <c r="H3026" s="103">
        <f>_xlfn.XLOOKUP(B3026,GM!$Q$5:$Q$756,GM!$J$5:$J$756)</f>
        <v>46107</v>
      </c>
    </row>
    <row r="3027" spans="1:8" hidden="1" x14ac:dyDescent="0.35">
      <c r="A3027" s="29" t="s">
        <v>15</v>
      </c>
      <c r="B3027" s="29" t="str">
        <f t="shared" si="47"/>
        <v>SAG-14</v>
      </c>
      <c r="C3027" s="29" t="s">
        <v>9166</v>
      </c>
      <c r="D3027" s="67" t="s">
        <v>9167</v>
      </c>
      <c r="E3027" s="96" t="s">
        <v>62</v>
      </c>
      <c r="F3027" s="29" t="s">
        <v>61</v>
      </c>
      <c r="G3027" s="29"/>
      <c r="H3027" s="103">
        <f>_xlfn.XLOOKUP(B3027,GM!$Q$5:$Q$756,GM!$J$5:$J$756)</f>
        <v>45202</v>
      </c>
    </row>
    <row r="3028" spans="1:8" hidden="1" x14ac:dyDescent="0.35">
      <c r="A3028" s="29" t="s">
        <v>15</v>
      </c>
      <c r="B3028" s="29" t="str">
        <f t="shared" si="47"/>
        <v>SAG-15</v>
      </c>
      <c r="C3028" s="29" t="s">
        <v>9168</v>
      </c>
      <c r="D3028" s="67" t="s">
        <v>9169</v>
      </c>
      <c r="E3028" s="96" t="s">
        <v>62</v>
      </c>
      <c r="F3028" s="29" t="s">
        <v>61</v>
      </c>
      <c r="G3028" s="29"/>
      <c r="H3028" s="103">
        <f>_xlfn.XLOOKUP(B3028,GM!$Q$5:$Q$756,GM!$J$5:$J$756)</f>
        <v>46107</v>
      </c>
    </row>
    <row r="3029" spans="1:8" hidden="1" x14ac:dyDescent="0.35">
      <c r="A3029" s="29" t="s">
        <v>15</v>
      </c>
      <c r="B3029" s="29" t="str">
        <f t="shared" si="47"/>
        <v>SAG-15</v>
      </c>
      <c r="C3029" s="29" t="s">
        <v>9170</v>
      </c>
      <c r="D3029" s="67" t="s">
        <v>9171</v>
      </c>
      <c r="E3029" s="96" t="s">
        <v>62</v>
      </c>
      <c r="F3029" s="29" t="s">
        <v>61</v>
      </c>
      <c r="G3029" s="29"/>
      <c r="H3029" s="103">
        <f>_xlfn.XLOOKUP(B3029,GM!$Q$5:$Q$756,GM!$J$5:$J$756)</f>
        <v>46107</v>
      </c>
    </row>
    <row r="3030" spans="1:8" hidden="1" x14ac:dyDescent="0.35">
      <c r="A3030" s="29" t="s">
        <v>15</v>
      </c>
      <c r="B3030" s="29" t="str">
        <f t="shared" si="47"/>
        <v>SAG-15</v>
      </c>
      <c r="C3030" s="29" t="s">
        <v>9172</v>
      </c>
      <c r="D3030" s="67" t="s">
        <v>9173</v>
      </c>
      <c r="E3030" s="96" t="s">
        <v>62</v>
      </c>
      <c r="F3030" s="29" t="s">
        <v>61</v>
      </c>
      <c r="G3030" s="29"/>
      <c r="H3030" s="103">
        <f>_xlfn.XLOOKUP(B3030,GM!$Q$5:$Q$756,GM!$J$5:$J$756)</f>
        <v>46107</v>
      </c>
    </row>
    <row r="3031" spans="1:8" hidden="1" x14ac:dyDescent="0.35">
      <c r="A3031" s="29" t="s">
        <v>15</v>
      </c>
      <c r="B3031" s="29" t="str">
        <f t="shared" si="47"/>
        <v>SAG-15</v>
      </c>
      <c r="C3031" s="29" t="s">
        <v>9174</v>
      </c>
      <c r="D3031" s="67" t="s">
        <v>9175</v>
      </c>
      <c r="E3031" s="96" t="s">
        <v>62</v>
      </c>
      <c r="F3031" s="29" t="s">
        <v>61</v>
      </c>
      <c r="G3031" s="29"/>
      <c r="H3031" s="103">
        <f>_xlfn.XLOOKUP(B3031,GM!$Q$5:$Q$756,GM!$J$5:$J$756)</f>
        <v>46107</v>
      </c>
    </row>
    <row r="3032" spans="1:8" hidden="1" x14ac:dyDescent="0.35">
      <c r="A3032" s="29" t="s">
        <v>15</v>
      </c>
      <c r="B3032" s="29" t="str">
        <f t="shared" si="47"/>
        <v>SAG-15</v>
      </c>
      <c r="C3032" s="29" t="s">
        <v>9176</v>
      </c>
      <c r="D3032" s="67" t="s">
        <v>9177</v>
      </c>
      <c r="E3032" s="96" t="s">
        <v>62</v>
      </c>
      <c r="F3032" s="29" t="s">
        <v>61</v>
      </c>
      <c r="G3032" s="29"/>
      <c r="H3032" s="103">
        <f>_xlfn.XLOOKUP(B3032,GM!$Q$5:$Q$756,GM!$J$5:$J$756)</f>
        <v>46107</v>
      </c>
    </row>
    <row r="3033" spans="1:8" hidden="1" x14ac:dyDescent="0.35">
      <c r="A3033" s="29" t="s">
        <v>15</v>
      </c>
      <c r="B3033" s="29" t="str">
        <f t="shared" si="47"/>
        <v>SAG-15</v>
      </c>
      <c r="C3033" s="29" t="s">
        <v>9178</v>
      </c>
      <c r="D3033" s="67" t="s">
        <v>9179</v>
      </c>
      <c r="E3033" s="96" t="s">
        <v>62</v>
      </c>
      <c r="F3033" s="29" t="s">
        <v>61</v>
      </c>
      <c r="G3033" s="29"/>
      <c r="H3033" s="103">
        <f>_xlfn.XLOOKUP(B3033,GM!$Q$5:$Q$756,GM!$J$5:$J$756)</f>
        <v>46107</v>
      </c>
    </row>
    <row r="3034" spans="1:8" hidden="1" x14ac:dyDescent="0.35">
      <c r="A3034" s="29" t="s">
        <v>15</v>
      </c>
      <c r="B3034" s="29" t="str">
        <f t="shared" si="47"/>
        <v>SAG-15</v>
      </c>
      <c r="C3034" s="29" t="s">
        <v>9180</v>
      </c>
      <c r="D3034" s="67" t="s">
        <v>9181</v>
      </c>
      <c r="E3034" s="96" t="s">
        <v>62</v>
      </c>
      <c r="F3034" s="29" t="s">
        <v>61</v>
      </c>
      <c r="G3034" s="29"/>
      <c r="H3034" s="103">
        <f>_xlfn.XLOOKUP(B3034,GM!$Q$5:$Q$756,GM!$J$5:$J$756)</f>
        <v>46107</v>
      </c>
    </row>
    <row r="3035" spans="1:8" hidden="1" x14ac:dyDescent="0.35">
      <c r="A3035" s="29" t="s">
        <v>15</v>
      </c>
      <c r="B3035" s="29" t="str">
        <f t="shared" si="47"/>
        <v>SAG-15</v>
      </c>
      <c r="C3035" s="29" t="s">
        <v>9182</v>
      </c>
      <c r="D3035" s="67" t="s">
        <v>9183</v>
      </c>
      <c r="E3035" s="96" t="s">
        <v>62</v>
      </c>
      <c r="F3035" s="29" t="s">
        <v>61</v>
      </c>
      <c r="G3035" s="29"/>
      <c r="H3035" s="103">
        <f>_xlfn.XLOOKUP(B3035,GM!$Q$5:$Q$756,GM!$J$5:$J$756)</f>
        <v>46107</v>
      </c>
    </row>
    <row r="3036" spans="1:8" hidden="1" x14ac:dyDescent="0.35">
      <c r="A3036" s="29" t="s">
        <v>15</v>
      </c>
      <c r="B3036" s="29" t="str">
        <f t="shared" si="47"/>
        <v>SAG-15</v>
      </c>
      <c r="C3036" s="29" t="s">
        <v>9184</v>
      </c>
      <c r="D3036" s="67" t="s">
        <v>9185</v>
      </c>
      <c r="E3036" s="96" t="s">
        <v>62</v>
      </c>
      <c r="F3036" s="29" t="s">
        <v>61</v>
      </c>
      <c r="G3036" s="29"/>
      <c r="H3036" s="103">
        <f>_xlfn.XLOOKUP(B3036,GM!$Q$5:$Q$756,GM!$J$5:$J$756)</f>
        <v>46107</v>
      </c>
    </row>
    <row r="3037" spans="1:8" hidden="1" x14ac:dyDescent="0.35">
      <c r="A3037" s="29" t="s">
        <v>15</v>
      </c>
      <c r="B3037" s="29" t="str">
        <f t="shared" si="47"/>
        <v>SAG-15</v>
      </c>
      <c r="C3037" s="29" t="s">
        <v>9186</v>
      </c>
      <c r="D3037" s="67" t="s">
        <v>9187</v>
      </c>
      <c r="E3037" s="96" t="s">
        <v>62</v>
      </c>
      <c r="F3037" s="29" t="s">
        <v>61</v>
      </c>
      <c r="G3037" s="29"/>
      <c r="H3037" s="103">
        <f>_xlfn.XLOOKUP(B3037,GM!$Q$5:$Q$756,GM!$J$5:$J$756)</f>
        <v>46107</v>
      </c>
    </row>
    <row r="3038" spans="1:8" hidden="1" x14ac:dyDescent="0.35">
      <c r="A3038" s="29" t="s">
        <v>15</v>
      </c>
      <c r="B3038" s="29" t="str">
        <f t="shared" si="47"/>
        <v>SAG-15</v>
      </c>
      <c r="C3038" s="29" t="s">
        <v>9188</v>
      </c>
      <c r="D3038" s="67" t="s">
        <v>9189</v>
      </c>
      <c r="E3038" s="96" t="s">
        <v>62</v>
      </c>
      <c r="F3038" s="29" t="s">
        <v>61</v>
      </c>
      <c r="G3038" s="29"/>
      <c r="H3038" s="103">
        <f>_xlfn.XLOOKUP(B3038,GM!$Q$5:$Q$756,GM!$J$5:$J$756)</f>
        <v>46107</v>
      </c>
    </row>
    <row r="3039" spans="1:8" hidden="1" x14ac:dyDescent="0.35">
      <c r="A3039" s="29" t="s">
        <v>15</v>
      </c>
      <c r="B3039" s="29" t="str">
        <f t="shared" si="47"/>
        <v>SAG-15</v>
      </c>
      <c r="C3039" s="29" t="s">
        <v>9190</v>
      </c>
      <c r="D3039" s="67" t="s">
        <v>9191</v>
      </c>
      <c r="E3039" s="96" t="s">
        <v>62</v>
      </c>
      <c r="F3039" s="29" t="s">
        <v>61</v>
      </c>
      <c r="G3039" s="29"/>
      <c r="H3039" s="103">
        <f>_xlfn.XLOOKUP(B3039,GM!$Q$5:$Q$756,GM!$J$5:$J$756)</f>
        <v>46107</v>
      </c>
    </row>
    <row r="3040" spans="1:8" hidden="1" x14ac:dyDescent="0.35">
      <c r="A3040" s="29" t="s">
        <v>15</v>
      </c>
      <c r="B3040" s="29" t="str">
        <f t="shared" si="47"/>
        <v>SAG-15</v>
      </c>
      <c r="C3040" s="29" t="s">
        <v>9192</v>
      </c>
      <c r="D3040" s="67" t="s">
        <v>9193</v>
      </c>
      <c r="E3040" s="96" t="s">
        <v>62</v>
      </c>
      <c r="F3040" s="29" t="s">
        <v>61</v>
      </c>
      <c r="G3040" s="29"/>
      <c r="H3040" s="103">
        <f>_xlfn.XLOOKUP(B3040,GM!$Q$5:$Q$756,GM!$J$5:$J$756)</f>
        <v>46107</v>
      </c>
    </row>
    <row r="3041" spans="1:8" hidden="1" x14ac:dyDescent="0.35">
      <c r="A3041" s="29" t="s">
        <v>15</v>
      </c>
      <c r="B3041" s="29" t="str">
        <f t="shared" si="47"/>
        <v>SAG-15</v>
      </c>
      <c r="C3041" s="29" t="s">
        <v>9194</v>
      </c>
      <c r="D3041" s="67" t="s">
        <v>9195</v>
      </c>
      <c r="E3041" s="96" t="s">
        <v>62</v>
      </c>
      <c r="F3041" s="29" t="s">
        <v>61</v>
      </c>
      <c r="G3041" s="29"/>
      <c r="H3041" s="103">
        <f>_xlfn.XLOOKUP(B3041,GM!$Q$5:$Q$756,GM!$J$5:$J$756)</f>
        <v>46107</v>
      </c>
    </row>
    <row r="3042" spans="1:8" hidden="1" x14ac:dyDescent="0.35">
      <c r="A3042" s="29" t="s">
        <v>15</v>
      </c>
      <c r="B3042" s="29" t="str">
        <f t="shared" si="47"/>
        <v>SAG-15</v>
      </c>
      <c r="C3042" s="29" t="s">
        <v>9196</v>
      </c>
      <c r="D3042" s="67" t="s">
        <v>9197</v>
      </c>
      <c r="E3042" s="96" t="s">
        <v>62</v>
      </c>
      <c r="F3042" s="29" t="s">
        <v>61</v>
      </c>
      <c r="G3042" s="29"/>
      <c r="H3042" s="103">
        <f>_xlfn.XLOOKUP(B3042,GM!$Q$5:$Q$756,GM!$J$5:$J$756)</f>
        <v>46107</v>
      </c>
    </row>
    <row r="3043" spans="1:8" hidden="1" x14ac:dyDescent="0.35">
      <c r="A3043" s="29" t="s">
        <v>15</v>
      </c>
      <c r="B3043" s="29" t="str">
        <f t="shared" si="47"/>
        <v>SAG-15</v>
      </c>
      <c r="C3043" s="29" t="s">
        <v>9198</v>
      </c>
      <c r="D3043" s="67" t="s">
        <v>9199</v>
      </c>
      <c r="E3043" s="96" t="s">
        <v>62</v>
      </c>
      <c r="F3043" s="29" t="s">
        <v>61</v>
      </c>
      <c r="G3043" s="29"/>
      <c r="H3043" s="103">
        <f>_xlfn.XLOOKUP(B3043,GM!$Q$5:$Q$756,GM!$J$5:$J$756)</f>
        <v>46107</v>
      </c>
    </row>
    <row r="3044" spans="1:8" hidden="1" x14ac:dyDescent="0.35">
      <c r="A3044" s="29" t="s">
        <v>15</v>
      </c>
      <c r="B3044" s="29" t="str">
        <f t="shared" si="47"/>
        <v>SAG-15</v>
      </c>
      <c r="C3044" s="29" t="s">
        <v>9200</v>
      </c>
      <c r="D3044" s="67" t="s">
        <v>9201</v>
      </c>
      <c r="E3044" s="96" t="s">
        <v>62</v>
      </c>
      <c r="F3044" s="29" t="s">
        <v>61</v>
      </c>
      <c r="G3044" s="29"/>
      <c r="H3044" s="103">
        <f>_xlfn.XLOOKUP(B3044,GM!$Q$5:$Q$756,GM!$J$5:$J$756)</f>
        <v>46107</v>
      </c>
    </row>
    <row r="3045" spans="1:8" hidden="1" x14ac:dyDescent="0.35">
      <c r="A3045" s="29" t="s">
        <v>15</v>
      </c>
      <c r="B3045" s="29" t="str">
        <f t="shared" si="47"/>
        <v>SAG-15</v>
      </c>
      <c r="C3045" s="29" t="s">
        <v>9202</v>
      </c>
      <c r="D3045" s="67" t="s">
        <v>9203</v>
      </c>
      <c r="E3045" s="96" t="s">
        <v>62</v>
      </c>
      <c r="F3045" s="29" t="s">
        <v>61</v>
      </c>
      <c r="G3045" s="29"/>
      <c r="H3045" s="103">
        <f>_xlfn.XLOOKUP(B3045,GM!$Q$5:$Q$756,GM!$J$5:$J$756)</f>
        <v>46107</v>
      </c>
    </row>
    <row r="3046" spans="1:8" hidden="1" x14ac:dyDescent="0.35">
      <c r="A3046" s="29" t="s">
        <v>15</v>
      </c>
      <c r="B3046" s="29" t="str">
        <f t="shared" si="47"/>
        <v>SAG-15</v>
      </c>
      <c r="C3046" s="29" t="s">
        <v>9204</v>
      </c>
      <c r="D3046" s="67" t="s">
        <v>9205</v>
      </c>
      <c r="E3046" s="96" t="s">
        <v>62</v>
      </c>
      <c r="F3046" s="29" t="s">
        <v>61</v>
      </c>
      <c r="G3046" s="29"/>
      <c r="H3046" s="103">
        <f>_xlfn.XLOOKUP(B3046,GM!$Q$5:$Q$756,GM!$J$5:$J$756)</f>
        <v>46107</v>
      </c>
    </row>
    <row r="3047" spans="1:8" hidden="1" x14ac:dyDescent="0.35">
      <c r="A3047" s="29" t="s">
        <v>15</v>
      </c>
      <c r="B3047" s="29" t="str">
        <f t="shared" si="47"/>
        <v>SAG-15</v>
      </c>
      <c r="C3047" s="29" t="s">
        <v>9206</v>
      </c>
      <c r="D3047" s="67" t="s">
        <v>9207</v>
      </c>
      <c r="E3047" s="96" t="s">
        <v>62</v>
      </c>
      <c r="F3047" s="29" t="s">
        <v>61</v>
      </c>
      <c r="G3047" s="29"/>
      <c r="H3047" s="103">
        <f>_xlfn.XLOOKUP(B3047,GM!$Q$5:$Q$756,GM!$J$5:$J$756)</f>
        <v>46107</v>
      </c>
    </row>
    <row r="3048" spans="1:8" hidden="1" x14ac:dyDescent="0.35">
      <c r="A3048" s="29" t="s">
        <v>15</v>
      </c>
      <c r="B3048" s="29" t="str">
        <f t="shared" si="47"/>
        <v>SAG-15</v>
      </c>
      <c r="C3048" s="29" t="s">
        <v>9208</v>
      </c>
      <c r="D3048" s="67" t="s">
        <v>9209</v>
      </c>
      <c r="E3048" s="96" t="s">
        <v>62</v>
      </c>
      <c r="F3048" s="29" t="s">
        <v>61</v>
      </c>
      <c r="G3048" s="29"/>
      <c r="H3048" s="103">
        <f>_xlfn.XLOOKUP(B3048,GM!$Q$5:$Q$756,GM!$J$5:$J$756)</f>
        <v>46107</v>
      </c>
    </row>
    <row r="3049" spans="1:8" hidden="1" x14ac:dyDescent="0.35">
      <c r="A3049" s="29" t="s">
        <v>15</v>
      </c>
      <c r="B3049" s="29" t="str">
        <f t="shared" si="47"/>
        <v>SAG-15</v>
      </c>
      <c r="C3049" s="29" t="s">
        <v>9210</v>
      </c>
      <c r="D3049" s="67" t="s">
        <v>9211</v>
      </c>
      <c r="E3049" s="96" t="s">
        <v>62</v>
      </c>
      <c r="F3049" s="29" t="s">
        <v>61</v>
      </c>
      <c r="G3049" s="29"/>
      <c r="H3049" s="103">
        <f>_xlfn.XLOOKUP(B3049,GM!$Q$5:$Q$756,GM!$J$5:$J$756)</f>
        <v>46107</v>
      </c>
    </row>
    <row r="3050" spans="1:8" hidden="1" x14ac:dyDescent="0.35">
      <c r="A3050" s="29" t="s">
        <v>15</v>
      </c>
      <c r="B3050" s="29" t="str">
        <f t="shared" si="47"/>
        <v>SAG-15</v>
      </c>
      <c r="C3050" s="29" t="s">
        <v>9212</v>
      </c>
      <c r="D3050" s="67" t="s">
        <v>9213</v>
      </c>
      <c r="E3050" s="96" t="s">
        <v>62</v>
      </c>
      <c r="F3050" s="29" t="s">
        <v>61</v>
      </c>
      <c r="G3050" s="29"/>
      <c r="H3050" s="103">
        <f>_xlfn.XLOOKUP(B3050,GM!$Q$5:$Q$756,GM!$J$5:$J$756)</f>
        <v>46107</v>
      </c>
    </row>
    <row r="3051" spans="1:8" hidden="1" x14ac:dyDescent="0.35">
      <c r="A3051" s="29" t="s">
        <v>15</v>
      </c>
      <c r="B3051" s="29" t="str">
        <f t="shared" si="47"/>
        <v>SAG-15</v>
      </c>
      <c r="C3051" s="29" t="s">
        <v>9214</v>
      </c>
      <c r="D3051" s="67" t="s">
        <v>9215</v>
      </c>
      <c r="E3051" s="96" t="s">
        <v>62</v>
      </c>
      <c r="F3051" s="29" t="s">
        <v>61</v>
      </c>
      <c r="G3051" s="29"/>
      <c r="H3051" s="103">
        <f>_xlfn.XLOOKUP(B3051,GM!$Q$5:$Q$756,GM!$J$5:$J$756)</f>
        <v>46107</v>
      </c>
    </row>
    <row r="3052" spans="1:8" hidden="1" x14ac:dyDescent="0.35">
      <c r="A3052" s="29" t="s">
        <v>15</v>
      </c>
      <c r="B3052" s="29" t="str">
        <f t="shared" si="47"/>
        <v>SAG-15</v>
      </c>
      <c r="C3052" s="29" t="s">
        <v>9216</v>
      </c>
      <c r="D3052" s="67" t="s">
        <v>9217</v>
      </c>
      <c r="E3052" s="96" t="s">
        <v>62</v>
      </c>
      <c r="F3052" s="29" t="s">
        <v>61</v>
      </c>
      <c r="G3052" s="29"/>
      <c r="H3052" s="103">
        <f>_xlfn.XLOOKUP(B3052,GM!$Q$5:$Q$756,GM!$J$5:$J$756)</f>
        <v>46107</v>
      </c>
    </row>
    <row r="3053" spans="1:8" hidden="1" x14ac:dyDescent="0.35">
      <c r="A3053" s="29" t="s">
        <v>15</v>
      </c>
      <c r="B3053" s="29" t="str">
        <f t="shared" si="47"/>
        <v>SAG-17</v>
      </c>
      <c r="C3053" s="29" t="s">
        <v>9218</v>
      </c>
      <c r="D3053" s="67" t="s">
        <v>9219</v>
      </c>
      <c r="E3053" s="96" t="s">
        <v>62</v>
      </c>
      <c r="F3053" s="29" t="s">
        <v>61</v>
      </c>
      <c r="G3053" s="29"/>
      <c r="H3053" s="103">
        <f>_xlfn.XLOOKUP(B3053,GM!$Q$5:$Q$756,GM!$J$5:$J$756)</f>
        <v>45202</v>
      </c>
    </row>
    <row r="3054" spans="1:8" hidden="1" x14ac:dyDescent="0.35">
      <c r="A3054" s="29" t="s">
        <v>15</v>
      </c>
      <c r="B3054" s="29" t="str">
        <f t="shared" si="47"/>
        <v>SAG-17</v>
      </c>
      <c r="C3054" s="29" t="s">
        <v>9220</v>
      </c>
      <c r="D3054" s="67" t="s">
        <v>9221</v>
      </c>
      <c r="E3054" s="96" t="s">
        <v>62</v>
      </c>
      <c r="F3054" s="29" t="s">
        <v>61</v>
      </c>
      <c r="G3054" s="29"/>
      <c r="H3054" s="103">
        <f>_xlfn.XLOOKUP(B3054,GM!$Q$5:$Q$756,GM!$J$5:$J$756)</f>
        <v>45202</v>
      </c>
    </row>
    <row r="3055" spans="1:8" hidden="1" x14ac:dyDescent="0.35">
      <c r="A3055" s="29" t="s">
        <v>15</v>
      </c>
      <c r="B3055" s="29" t="str">
        <f t="shared" si="47"/>
        <v>SAG-17</v>
      </c>
      <c r="C3055" s="29" t="s">
        <v>9222</v>
      </c>
      <c r="D3055" s="67" t="s">
        <v>9223</v>
      </c>
      <c r="E3055" s="96" t="s">
        <v>62</v>
      </c>
      <c r="F3055" s="29" t="s">
        <v>61</v>
      </c>
      <c r="G3055" s="29"/>
      <c r="H3055" s="103">
        <f>_xlfn.XLOOKUP(B3055,GM!$Q$5:$Q$756,GM!$J$5:$J$756)</f>
        <v>45202</v>
      </c>
    </row>
    <row r="3056" spans="1:8" hidden="1" x14ac:dyDescent="0.35">
      <c r="A3056" s="29" t="s">
        <v>15</v>
      </c>
      <c r="B3056" s="29" t="str">
        <f t="shared" si="47"/>
        <v>SAG-17</v>
      </c>
      <c r="C3056" s="29" t="s">
        <v>9224</v>
      </c>
      <c r="D3056" s="67" t="s">
        <v>9225</v>
      </c>
      <c r="E3056" s="96" t="s">
        <v>62</v>
      </c>
      <c r="F3056" s="29" t="s">
        <v>61</v>
      </c>
      <c r="G3056" s="29"/>
      <c r="H3056" s="103">
        <f>_xlfn.XLOOKUP(B3056,GM!$Q$5:$Q$756,GM!$J$5:$J$756)</f>
        <v>45202</v>
      </c>
    </row>
    <row r="3057" spans="1:8" hidden="1" x14ac:dyDescent="0.35">
      <c r="A3057" s="29" t="s">
        <v>15</v>
      </c>
      <c r="B3057" s="29" t="str">
        <f t="shared" si="47"/>
        <v>SAG-17</v>
      </c>
      <c r="C3057" s="29" t="s">
        <v>9226</v>
      </c>
      <c r="D3057" s="67" t="s">
        <v>9227</v>
      </c>
      <c r="E3057" s="96" t="s">
        <v>62</v>
      </c>
      <c r="F3057" s="29" t="s">
        <v>61</v>
      </c>
      <c r="G3057" s="29"/>
      <c r="H3057" s="103">
        <f>_xlfn.XLOOKUP(B3057,GM!$Q$5:$Q$756,GM!$J$5:$J$756)</f>
        <v>45202</v>
      </c>
    </row>
    <row r="3058" spans="1:8" hidden="1" x14ac:dyDescent="0.35">
      <c r="A3058" s="29" t="s">
        <v>15</v>
      </c>
      <c r="B3058" s="29" t="str">
        <f t="shared" si="47"/>
        <v>SAG-17</v>
      </c>
      <c r="C3058" s="29" t="s">
        <v>9228</v>
      </c>
      <c r="D3058" s="67" t="s">
        <v>9229</v>
      </c>
      <c r="E3058" s="96" t="s">
        <v>62</v>
      </c>
      <c r="F3058" s="29" t="s">
        <v>61</v>
      </c>
      <c r="G3058" s="29"/>
      <c r="H3058" s="103">
        <f>_xlfn.XLOOKUP(B3058,GM!$Q$5:$Q$756,GM!$J$5:$J$756)</f>
        <v>45202</v>
      </c>
    </row>
    <row r="3059" spans="1:8" hidden="1" x14ac:dyDescent="0.35">
      <c r="A3059" s="29" t="s">
        <v>15</v>
      </c>
      <c r="B3059" s="29" t="str">
        <f t="shared" si="47"/>
        <v>SAG-18</v>
      </c>
      <c r="C3059" s="29" t="s">
        <v>9230</v>
      </c>
      <c r="D3059" s="67" t="s">
        <v>9231</v>
      </c>
      <c r="E3059" s="96" t="s">
        <v>62</v>
      </c>
      <c r="F3059" s="29" t="s">
        <v>61</v>
      </c>
      <c r="G3059" s="29"/>
      <c r="H3059" s="103">
        <f>_xlfn.XLOOKUP(B3059,GM!$Q$5:$Q$756,GM!$J$5:$J$756)</f>
        <v>45645</v>
      </c>
    </row>
    <row r="3060" spans="1:8" hidden="1" x14ac:dyDescent="0.35">
      <c r="A3060" s="29" t="s">
        <v>15</v>
      </c>
      <c r="B3060" s="29" t="str">
        <f t="shared" si="47"/>
        <v>SAG-18</v>
      </c>
      <c r="C3060" s="29" t="s">
        <v>9232</v>
      </c>
      <c r="D3060" s="67" t="s">
        <v>9233</v>
      </c>
      <c r="E3060" s="96" t="s">
        <v>62</v>
      </c>
      <c r="F3060" s="29" t="s">
        <v>61</v>
      </c>
      <c r="G3060" s="29"/>
      <c r="H3060" s="103">
        <f>_xlfn.XLOOKUP(B3060,GM!$Q$5:$Q$756,GM!$J$5:$J$756)</f>
        <v>45645</v>
      </c>
    </row>
    <row r="3061" spans="1:8" hidden="1" x14ac:dyDescent="0.35">
      <c r="A3061" s="29" t="s">
        <v>15</v>
      </c>
      <c r="B3061" s="29" t="str">
        <f t="shared" si="47"/>
        <v>SAG-18</v>
      </c>
      <c r="C3061" s="29" t="s">
        <v>9234</v>
      </c>
      <c r="D3061" s="67" t="s">
        <v>9235</v>
      </c>
      <c r="E3061" s="96" t="s">
        <v>62</v>
      </c>
      <c r="F3061" s="29" t="s">
        <v>61</v>
      </c>
      <c r="G3061" s="29"/>
      <c r="H3061" s="103">
        <f>_xlfn.XLOOKUP(B3061,GM!$Q$5:$Q$756,GM!$J$5:$J$756)</f>
        <v>45645</v>
      </c>
    </row>
    <row r="3062" spans="1:8" hidden="1" x14ac:dyDescent="0.35">
      <c r="A3062" s="29" t="s">
        <v>15</v>
      </c>
      <c r="B3062" s="29" t="str">
        <f t="shared" si="47"/>
        <v>SAG-18</v>
      </c>
      <c r="C3062" s="29" t="s">
        <v>9236</v>
      </c>
      <c r="D3062" s="67" t="s">
        <v>9237</v>
      </c>
      <c r="E3062" s="96" t="s">
        <v>62</v>
      </c>
      <c r="F3062" s="29" t="s">
        <v>61</v>
      </c>
      <c r="G3062" s="29"/>
      <c r="H3062" s="103">
        <f>_xlfn.XLOOKUP(B3062,GM!$Q$5:$Q$756,GM!$J$5:$J$756)</f>
        <v>45645</v>
      </c>
    </row>
    <row r="3063" spans="1:8" hidden="1" x14ac:dyDescent="0.35">
      <c r="A3063" s="29" t="s">
        <v>15</v>
      </c>
      <c r="B3063" s="29" t="str">
        <f t="shared" si="47"/>
        <v>SAG-18</v>
      </c>
      <c r="C3063" s="29" t="s">
        <v>9238</v>
      </c>
      <c r="D3063" s="67" t="s">
        <v>9239</v>
      </c>
      <c r="E3063" s="96" t="s">
        <v>62</v>
      </c>
      <c r="F3063" s="29" t="s">
        <v>61</v>
      </c>
      <c r="G3063" s="29"/>
      <c r="H3063" s="103">
        <f>_xlfn.XLOOKUP(B3063,GM!$Q$5:$Q$756,GM!$J$5:$J$756)</f>
        <v>45645</v>
      </c>
    </row>
    <row r="3064" spans="1:8" hidden="1" x14ac:dyDescent="0.35">
      <c r="A3064" s="29" t="s">
        <v>15</v>
      </c>
      <c r="B3064" s="29" t="str">
        <f t="shared" si="47"/>
        <v>SAG-18</v>
      </c>
      <c r="C3064" s="29" t="s">
        <v>9240</v>
      </c>
      <c r="D3064" s="67" t="s">
        <v>9241</v>
      </c>
      <c r="E3064" s="96" t="s">
        <v>62</v>
      </c>
      <c r="F3064" s="29" t="s">
        <v>61</v>
      </c>
      <c r="G3064" s="29"/>
      <c r="H3064" s="103">
        <f>_xlfn.XLOOKUP(B3064,GM!$Q$5:$Q$756,GM!$J$5:$J$756)</f>
        <v>45645</v>
      </c>
    </row>
    <row r="3065" spans="1:8" hidden="1" x14ac:dyDescent="0.35">
      <c r="A3065" s="29" t="s">
        <v>15</v>
      </c>
      <c r="B3065" s="29" t="str">
        <f t="shared" si="47"/>
        <v>SAG-18</v>
      </c>
      <c r="C3065" s="29" t="s">
        <v>9242</v>
      </c>
      <c r="D3065" s="67" t="s">
        <v>9243</v>
      </c>
      <c r="E3065" s="96" t="s">
        <v>62</v>
      </c>
      <c r="F3065" s="29" t="s">
        <v>61</v>
      </c>
      <c r="G3065" s="29"/>
      <c r="H3065" s="103">
        <f>_xlfn.XLOOKUP(B3065,GM!$Q$5:$Q$756,GM!$J$5:$J$756)</f>
        <v>45645</v>
      </c>
    </row>
    <row r="3066" spans="1:8" hidden="1" x14ac:dyDescent="0.35">
      <c r="A3066" s="29" t="s">
        <v>15</v>
      </c>
      <c r="B3066" s="29" t="str">
        <f t="shared" si="47"/>
        <v>SAG-18</v>
      </c>
      <c r="C3066" s="29" t="s">
        <v>9244</v>
      </c>
      <c r="D3066" s="67" t="s">
        <v>9245</v>
      </c>
      <c r="E3066" s="96" t="s">
        <v>62</v>
      </c>
      <c r="F3066" s="29" t="s">
        <v>61</v>
      </c>
      <c r="G3066" s="29"/>
      <c r="H3066" s="103">
        <f>_xlfn.XLOOKUP(B3066,GM!$Q$5:$Q$756,GM!$J$5:$J$756)</f>
        <v>45645</v>
      </c>
    </row>
    <row r="3067" spans="1:8" hidden="1" x14ac:dyDescent="0.35">
      <c r="A3067" s="29" t="s">
        <v>15</v>
      </c>
      <c r="B3067" s="29" t="str">
        <f t="shared" si="47"/>
        <v>SAG-19</v>
      </c>
      <c r="C3067" s="29" t="s">
        <v>9246</v>
      </c>
      <c r="D3067" s="67" t="s">
        <v>9247</v>
      </c>
      <c r="E3067" s="96" t="s">
        <v>62</v>
      </c>
      <c r="F3067" s="29" t="s">
        <v>61</v>
      </c>
      <c r="G3067" s="29"/>
      <c r="H3067" s="103">
        <f>_xlfn.XLOOKUP(B3067,GM!$Q$5:$Q$756,GM!$J$5:$J$756)</f>
        <v>45959</v>
      </c>
    </row>
    <row r="3068" spans="1:8" hidden="1" x14ac:dyDescent="0.35">
      <c r="A3068" s="29" t="s">
        <v>15</v>
      </c>
      <c r="B3068" s="29" t="str">
        <f t="shared" si="47"/>
        <v>SAG-19</v>
      </c>
      <c r="C3068" s="29" t="s">
        <v>9248</v>
      </c>
      <c r="D3068" s="67" t="s">
        <v>9249</v>
      </c>
      <c r="E3068" s="96" t="s">
        <v>62</v>
      </c>
      <c r="F3068" s="29" t="s">
        <v>61</v>
      </c>
      <c r="G3068" s="29"/>
      <c r="H3068" s="103">
        <f>_xlfn.XLOOKUP(B3068,GM!$Q$5:$Q$756,GM!$J$5:$J$756)</f>
        <v>45959</v>
      </c>
    </row>
    <row r="3069" spans="1:8" hidden="1" x14ac:dyDescent="0.35">
      <c r="A3069" s="29" t="s">
        <v>15</v>
      </c>
      <c r="B3069" s="29" t="str">
        <f t="shared" si="47"/>
        <v>SAG-19</v>
      </c>
      <c r="C3069" s="29" t="s">
        <v>9250</v>
      </c>
      <c r="D3069" s="67" t="s">
        <v>9251</v>
      </c>
      <c r="E3069" s="96" t="s">
        <v>62</v>
      </c>
      <c r="F3069" s="29" t="s">
        <v>61</v>
      </c>
      <c r="G3069" s="29"/>
      <c r="H3069" s="103">
        <f>_xlfn.XLOOKUP(B3069,GM!$Q$5:$Q$756,GM!$J$5:$J$756)</f>
        <v>45959</v>
      </c>
    </row>
    <row r="3070" spans="1:8" hidden="1" x14ac:dyDescent="0.35">
      <c r="A3070" s="29" t="s">
        <v>15</v>
      </c>
      <c r="B3070" s="29" t="str">
        <f t="shared" si="47"/>
        <v>SAG-19</v>
      </c>
      <c r="C3070" s="29" t="s">
        <v>9252</v>
      </c>
      <c r="D3070" s="67" t="s">
        <v>9253</v>
      </c>
      <c r="E3070" s="96" t="s">
        <v>62</v>
      </c>
      <c r="F3070" s="29" t="s">
        <v>61</v>
      </c>
      <c r="G3070" s="29"/>
      <c r="H3070" s="103">
        <f>_xlfn.XLOOKUP(B3070,GM!$Q$5:$Q$756,GM!$J$5:$J$756)</f>
        <v>45959</v>
      </c>
    </row>
    <row r="3071" spans="1:8" hidden="1" x14ac:dyDescent="0.35">
      <c r="A3071" s="29" t="s">
        <v>15</v>
      </c>
      <c r="B3071" s="29" t="str">
        <f t="shared" si="47"/>
        <v>SAG-20</v>
      </c>
      <c r="C3071" s="29" t="s">
        <v>9254</v>
      </c>
      <c r="D3071" s="67" t="s">
        <v>9255</v>
      </c>
      <c r="E3071" s="96" t="s">
        <v>62</v>
      </c>
      <c r="F3071" s="29" t="s">
        <v>61</v>
      </c>
      <c r="G3071" s="29"/>
      <c r="H3071" s="103">
        <f>_xlfn.XLOOKUP(B3071,GM!$Q$5:$Q$756,GM!$J$5:$J$756)</f>
        <v>44889</v>
      </c>
    </row>
    <row r="3072" spans="1:8" hidden="1" x14ac:dyDescent="0.35">
      <c r="A3072" s="29" t="s">
        <v>15</v>
      </c>
      <c r="B3072" s="29" t="str">
        <f t="shared" si="47"/>
        <v>SAG-20</v>
      </c>
      <c r="C3072" s="29" t="s">
        <v>9256</v>
      </c>
      <c r="D3072" s="67" t="s">
        <v>9257</v>
      </c>
      <c r="E3072" s="96" t="s">
        <v>62</v>
      </c>
      <c r="F3072" s="29" t="s">
        <v>61</v>
      </c>
      <c r="G3072" s="29"/>
      <c r="H3072" s="103">
        <f>_xlfn.XLOOKUP(B3072,GM!$Q$5:$Q$756,GM!$J$5:$J$756)</f>
        <v>44889</v>
      </c>
    </row>
    <row r="3073" spans="1:8" hidden="1" x14ac:dyDescent="0.35">
      <c r="A3073" s="29" t="s">
        <v>15</v>
      </c>
      <c r="B3073" s="29" t="str">
        <f t="shared" si="47"/>
        <v>SAG-20</v>
      </c>
      <c r="C3073" s="29" t="s">
        <v>9258</v>
      </c>
      <c r="D3073" s="67" t="s">
        <v>9259</v>
      </c>
      <c r="E3073" s="96" t="s">
        <v>62</v>
      </c>
      <c r="F3073" s="29" t="s">
        <v>61</v>
      </c>
      <c r="G3073" s="29"/>
      <c r="H3073" s="103">
        <f>_xlfn.XLOOKUP(B3073,GM!$Q$5:$Q$756,GM!$J$5:$J$756)</f>
        <v>44889</v>
      </c>
    </row>
    <row r="3074" spans="1:8" hidden="1" x14ac:dyDescent="0.35">
      <c r="A3074" s="29" t="s">
        <v>15</v>
      </c>
      <c r="B3074" s="29" t="str">
        <f t="shared" si="47"/>
        <v>SAG-20</v>
      </c>
      <c r="C3074" s="29" t="s">
        <v>9260</v>
      </c>
      <c r="D3074" s="67" t="s">
        <v>9261</v>
      </c>
      <c r="E3074" s="96" t="s">
        <v>62</v>
      </c>
      <c r="F3074" s="29" t="s">
        <v>61</v>
      </c>
      <c r="G3074" s="29"/>
      <c r="H3074" s="103">
        <f>_xlfn.XLOOKUP(B3074,GM!$Q$5:$Q$756,GM!$J$5:$J$756)</f>
        <v>44889</v>
      </c>
    </row>
    <row r="3075" spans="1:8" hidden="1" x14ac:dyDescent="0.35">
      <c r="A3075" s="29" t="s">
        <v>15</v>
      </c>
      <c r="B3075" s="29" t="str">
        <f t="shared" si="47"/>
        <v>SAG-20</v>
      </c>
      <c r="C3075" s="29" t="s">
        <v>9262</v>
      </c>
      <c r="D3075" s="67" t="s">
        <v>9263</v>
      </c>
      <c r="E3075" s="96" t="s">
        <v>62</v>
      </c>
      <c r="F3075" s="29" t="s">
        <v>61</v>
      </c>
      <c r="G3075" s="29"/>
      <c r="H3075" s="103">
        <f>_xlfn.XLOOKUP(B3075,GM!$Q$5:$Q$756,GM!$J$5:$J$756)</f>
        <v>44889</v>
      </c>
    </row>
    <row r="3076" spans="1:8" hidden="1" x14ac:dyDescent="0.35">
      <c r="A3076" s="29" t="s">
        <v>15</v>
      </c>
      <c r="B3076" s="29" t="str">
        <f t="shared" si="47"/>
        <v>SAG-20</v>
      </c>
      <c r="C3076" s="29" t="s">
        <v>9264</v>
      </c>
      <c r="D3076" s="67" t="s">
        <v>9265</v>
      </c>
      <c r="E3076" s="96" t="s">
        <v>62</v>
      </c>
      <c r="F3076" s="29" t="s">
        <v>61</v>
      </c>
      <c r="G3076" s="29"/>
      <c r="H3076" s="103">
        <f>_xlfn.XLOOKUP(B3076,GM!$Q$5:$Q$756,GM!$J$5:$J$756)</f>
        <v>44889</v>
      </c>
    </row>
    <row r="3077" spans="1:8" hidden="1" x14ac:dyDescent="0.35">
      <c r="A3077" s="29" t="s">
        <v>15</v>
      </c>
      <c r="B3077" s="29" t="str">
        <f t="shared" ref="B3077:B3140" si="48">IF(OR(A3077="ARN",A3077="SDP"),MID(C3077,4,7),MID(C3077,4,6))</f>
        <v>SAG-20</v>
      </c>
      <c r="C3077" s="29" t="s">
        <v>9266</v>
      </c>
      <c r="D3077" s="67" t="s">
        <v>9267</v>
      </c>
      <c r="E3077" s="96" t="s">
        <v>62</v>
      </c>
      <c r="F3077" s="29" t="s">
        <v>61</v>
      </c>
      <c r="G3077" s="29"/>
      <c r="H3077" s="103">
        <f>_xlfn.XLOOKUP(B3077,GM!$Q$5:$Q$756,GM!$J$5:$J$756)</f>
        <v>44889</v>
      </c>
    </row>
    <row r="3078" spans="1:8" hidden="1" x14ac:dyDescent="0.35">
      <c r="A3078" s="29" t="s">
        <v>15</v>
      </c>
      <c r="B3078" s="29" t="str">
        <f t="shared" si="48"/>
        <v>SAG-21</v>
      </c>
      <c r="C3078" s="29" t="s">
        <v>9268</v>
      </c>
      <c r="D3078" s="67" t="s">
        <v>9269</v>
      </c>
      <c r="E3078" s="96" t="s">
        <v>62</v>
      </c>
      <c r="F3078" s="29" t="s">
        <v>61</v>
      </c>
      <c r="G3078" s="29"/>
      <c r="H3078" s="103">
        <f>_xlfn.XLOOKUP(B3078,GM!$Q$5:$Q$756,GM!$J$5:$J$756)</f>
        <v>45645</v>
      </c>
    </row>
    <row r="3079" spans="1:8" hidden="1" x14ac:dyDescent="0.35">
      <c r="A3079" s="29" t="s">
        <v>15</v>
      </c>
      <c r="B3079" s="29" t="str">
        <f t="shared" si="48"/>
        <v>SAG-21</v>
      </c>
      <c r="C3079" s="29" t="s">
        <v>9270</v>
      </c>
      <c r="D3079" s="67" t="s">
        <v>9271</v>
      </c>
      <c r="E3079" s="96" t="s">
        <v>62</v>
      </c>
      <c r="F3079" s="29" t="s">
        <v>61</v>
      </c>
      <c r="G3079" s="29"/>
      <c r="H3079" s="103">
        <f>_xlfn.XLOOKUP(B3079,GM!$Q$5:$Q$756,GM!$J$5:$J$756)</f>
        <v>45645</v>
      </c>
    </row>
    <row r="3080" spans="1:8" hidden="1" x14ac:dyDescent="0.35">
      <c r="A3080" s="29" t="s">
        <v>15</v>
      </c>
      <c r="B3080" s="29" t="str">
        <f t="shared" si="48"/>
        <v>SAG-21</v>
      </c>
      <c r="C3080" s="29" t="s">
        <v>9272</v>
      </c>
      <c r="D3080" s="67" t="s">
        <v>9273</v>
      </c>
      <c r="E3080" s="96" t="s">
        <v>62</v>
      </c>
      <c r="F3080" s="29" t="s">
        <v>61</v>
      </c>
      <c r="G3080" s="29"/>
      <c r="H3080" s="103">
        <f>_xlfn.XLOOKUP(B3080,GM!$Q$5:$Q$756,GM!$J$5:$J$756)</f>
        <v>45645</v>
      </c>
    </row>
    <row r="3081" spans="1:8" hidden="1" x14ac:dyDescent="0.35">
      <c r="A3081" s="29" t="s">
        <v>15</v>
      </c>
      <c r="B3081" s="29" t="str">
        <f t="shared" si="48"/>
        <v>SAG-21</v>
      </c>
      <c r="C3081" s="29" t="s">
        <v>9274</v>
      </c>
      <c r="D3081" s="67" t="s">
        <v>9275</v>
      </c>
      <c r="E3081" s="96" t="s">
        <v>62</v>
      </c>
      <c r="F3081" s="29" t="s">
        <v>61</v>
      </c>
      <c r="G3081" s="29"/>
      <c r="H3081" s="103">
        <f>_xlfn.XLOOKUP(B3081,GM!$Q$5:$Q$756,GM!$J$5:$J$756)</f>
        <v>45645</v>
      </c>
    </row>
    <row r="3082" spans="1:8" hidden="1" x14ac:dyDescent="0.35">
      <c r="A3082" s="29" t="s">
        <v>15</v>
      </c>
      <c r="B3082" s="29" t="str">
        <f t="shared" si="48"/>
        <v>SAG-21</v>
      </c>
      <c r="C3082" s="29" t="s">
        <v>9276</v>
      </c>
      <c r="D3082" s="67" t="s">
        <v>9277</v>
      </c>
      <c r="E3082" s="96" t="s">
        <v>62</v>
      </c>
      <c r="F3082" s="29" t="s">
        <v>61</v>
      </c>
      <c r="G3082" s="29"/>
      <c r="H3082" s="103">
        <f>_xlfn.XLOOKUP(B3082,GM!$Q$5:$Q$756,GM!$J$5:$J$756)</f>
        <v>45645</v>
      </c>
    </row>
    <row r="3083" spans="1:8" hidden="1" x14ac:dyDescent="0.35">
      <c r="A3083" s="29" t="s">
        <v>15</v>
      </c>
      <c r="B3083" s="29" t="str">
        <f t="shared" si="48"/>
        <v>SAG-21</v>
      </c>
      <c r="C3083" s="29" t="s">
        <v>9278</v>
      </c>
      <c r="D3083" s="67" t="s">
        <v>9279</v>
      </c>
      <c r="E3083" s="96" t="s">
        <v>62</v>
      </c>
      <c r="F3083" s="29" t="s">
        <v>61</v>
      </c>
      <c r="G3083" s="29"/>
      <c r="H3083" s="103">
        <f>_xlfn.XLOOKUP(B3083,GM!$Q$5:$Q$756,GM!$J$5:$J$756)</f>
        <v>45645</v>
      </c>
    </row>
    <row r="3084" spans="1:8" hidden="1" x14ac:dyDescent="0.35">
      <c r="A3084" s="29" t="s">
        <v>15</v>
      </c>
      <c r="B3084" s="29" t="str">
        <f t="shared" si="48"/>
        <v>SAG-22</v>
      </c>
      <c r="C3084" s="29" t="s">
        <v>9280</v>
      </c>
      <c r="D3084" s="67" t="s">
        <v>9281</v>
      </c>
      <c r="E3084" s="96" t="s">
        <v>62</v>
      </c>
      <c r="F3084" s="29" t="s">
        <v>61</v>
      </c>
      <c r="G3084" s="29" t="s">
        <v>371</v>
      </c>
      <c r="H3084" s="103">
        <f>_xlfn.XLOOKUP(B3084,GM!$Q$5:$Q$756,GM!$J$5:$J$756)</f>
        <v>44739</v>
      </c>
    </row>
    <row r="3085" spans="1:8" hidden="1" x14ac:dyDescent="0.35">
      <c r="A3085" s="29" t="s">
        <v>15</v>
      </c>
      <c r="B3085" s="29" t="str">
        <f t="shared" si="48"/>
        <v>SAG-23</v>
      </c>
      <c r="C3085" s="29" t="s">
        <v>9282</v>
      </c>
      <c r="D3085" s="67" t="s">
        <v>9283</v>
      </c>
      <c r="E3085" s="96" t="s">
        <v>62</v>
      </c>
      <c r="F3085" s="29" t="s">
        <v>61</v>
      </c>
      <c r="G3085" s="29" t="s">
        <v>371</v>
      </c>
      <c r="H3085" s="103">
        <f>_xlfn.XLOOKUP(B3085,GM!$Q$5:$Q$756,GM!$J$5:$J$756)</f>
        <v>44739</v>
      </c>
    </row>
    <row r="3086" spans="1:8" hidden="1" x14ac:dyDescent="0.35">
      <c r="A3086" s="29" t="s">
        <v>15</v>
      </c>
      <c r="B3086" s="29" t="str">
        <f t="shared" si="48"/>
        <v>SAG-25</v>
      </c>
      <c r="C3086" s="29" t="s">
        <v>9284</v>
      </c>
      <c r="D3086" s="67" t="s">
        <v>9285</v>
      </c>
      <c r="E3086" s="96" t="s">
        <v>62</v>
      </c>
      <c r="F3086" s="29" t="s">
        <v>61</v>
      </c>
      <c r="G3086" s="29"/>
      <c r="H3086" s="103">
        <f>_xlfn.XLOOKUP(B3086,GM!$Q$5:$Q$756,GM!$J$5:$J$756)</f>
        <v>46009</v>
      </c>
    </row>
    <row r="3087" spans="1:8" hidden="1" x14ac:dyDescent="0.35">
      <c r="A3087" s="29" t="s">
        <v>15</v>
      </c>
      <c r="B3087" s="29" t="str">
        <f t="shared" si="48"/>
        <v>SAG-25</v>
      </c>
      <c r="C3087" s="29" t="s">
        <v>9286</v>
      </c>
      <c r="D3087" s="67" t="s">
        <v>9287</v>
      </c>
      <c r="E3087" s="96" t="s">
        <v>62</v>
      </c>
      <c r="F3087" s="29" t="s">
        <v>61</v>
      </c>
      <c r="G3087" s="29"/>
      <c r="H3087" s="103">
        <f>_xlfn.XLOOKUP(B3087,GM!$Q$5:$Q$756,GM!$J$5:$J$756)</f>
        <v>46009</v>
      </c>
    </row>
    <row r="3088" spans="1:8" hidden="1" x14ac:dyDescent="0.35">
      <c r="A3088" s="29" t="s">
        <v>15</v>
      </c>
      <c r="B3088" s="29" t="str">
        <f t="shared" si="48"/>
        <v>SAG-26</v>
      </c>
      <c r="C3088" s="29" t="s">
        <v>9288</v>
      </c>
      <c r="D3088" s="67" t="s">
        <v>9289</v>
      </c>
      <c r="E3088" s="96" t="s">
        <v>62</v>
      </c>
      <c r="F3088" s="29" t="s">
        <v>61</v>
      </c>
      <c r="G3088" s="29" t="s">
        <v>371</v>
      </c>
      <c r="H3088" s="103">
        <f>_xlfn.XLOOKUP(B3088,GM!$Q$5:$Q$756,GM!$J$5:$J$756)</f>
        <v>44739</v>
      </c>
    </row>
    <row r="3089" spans="1:8" hidden="1" x14ac:dyDescent="0.35">
      <c r="A3089" s="29" t="s">
        <v>15</v>
      </c>
      <c r="B3089" s="29" t="str">
        <f t="shared" si="48"/>
        <v>SAG-27</v>
      </c>
      <c r="C3089" s="29" t="s">
        <v>9290</v>
      </c>
      <c r="D3089" s="67" t="s">
        <v>9291</v>
      </c>
      <c r="E3089" s="96" t="s">
        <v>62</v>
      </c>
      <c r="F3089" s="29" t="s">
        <v>61</v>
      </c>
      <c r="G3089" s="29" t="s">
        <v>371</v>
      </c>
      <c r="H3089" s="103">
        <f>_xlfn.XLOOKUP(B3089,GM!$Q$5:$Q$756,GM!$J$5:$J$756)</f>
        <v>44739</v>
      </c>
    </row>
    <row r="3090" spans="1:8" hidden="1" x14ac:dyDescent="0.35">
      <c r="A3090" s="29" t="s">
        <v>15</v>
      </c>
      <c r="B3090" s="29" t="str">
        <f t="shared" si="48"/>
        <v>SAG-28</v>
      </c>
      <c r="C3090" s="29" t="s">
        <v>9292</v>
      </c>
      <c r="D3090" s="67" t="s">
        <v>9293</v>
      </c>
      <c r="E3090" s="96" t="s">
        <v>62</v>
      </c>
      <c r="F3090" s="29" t="s">
        <v>61</v>
      </c>
      <c r="G3090" s="29"/>
      <c r="H3090" s="103">
        <f>_xlfn.XLOOKUP(B3090,GM!$Q$5:$Q$756,GM!$J$5:$J$756)</f>
        <v>45202</v>
      </c>
    </row>
    <row r="3091" spans="1:8" hidden="1" x14ac:dyDescent="0.35">
      <c r="A3091" s="29" t="s">
        <v>15</v>
      </c>
      <c r="B3091" s="29" t="str">
        <f t="shared" si="48"/>
        <v>SAG-29</v>
      </c>
      <c r="C3091" s="29" t="s">
        <v>9294</v>
      </c>
      <c r="D3091" s="67" t="s">
        <v>9295</v>
      </c>
      <c r="E3091" s="96" t="s">
        <v>62</v>
      </c>
      <c r="F3091" s="29" t="s">
        <v>61</v>
      </c>
      <c r="G3091" s="29"/>
      <c r="H3091" s="103">
        <f>_xlfn.XLOOKUP(B3091,GM!$Q$5:$Q$756,GM!$J$5:$J$756)</f>
        <v>45202</v>
      </c>
    </row>
    <row r="3092" spans="1:8" hidden="1" x14ac:dyDescent="0.35">
      <c r="A3092" s="29" t="s">
        <v>15</v>
      </c>
      <c r="B3092" s="29" t="str">
        <f t="shared" si="48"/>
        <v>SAG-30</v>
      </c>
      <c r="C3092" s="29" t="s">
        <v>9296</v>
      </c>
      <c r="D3092" s="67" t="s">
        <v>9297</v>
      </c>
      <c r="E3092" s="96" t="s">
        <v>62</v>
      </c>
      <c r="F3092" s="29" t="s">
        <v>61</v>
      </c>
      <c r="G3092" s="29"/>
      <c r="H3092" s="103">
        <f>_xlfn.XLOOKUP(B3092,GM!$Q$5:$Q$756,GM!$J$5:$J$756)</f>
        <v>44838</v>
      </c>
    </row>
    <row r="3093" spans="1:8" hidden="1" x14ac:dyDescent="0.35">
      <c r="A3093" s="29" t="s">
        <v>15</v>
      </c>
      <c r="B3093" s="29" t="str">
        <f t="shared" si="48"/>
        <v>SAG-30</v>
      </c>
      <c r="C3093" s="29" t="s">
        <v>9298</v>
      </c>
      <c r="D3093" s="67" t="s">
        <v>9299</v>
      </c>
      <c r="E3093" s="96" t="s">
        <v>62</v>
      </c>
      <c r="F3093" s="29" t="s">
        <v>61</v>
      </c>
      <c r="G3093" s="29"/>
      <c r="H3093" s="103">
        <f>_xlfn.XLOOKUP(B3093,GM!$Q$5:$Q$756,GM!$J$5:$J$756)</f>
        <v>44838</v>
      </c>
    </row>
    <row r="3094" spans="1:8" hidden="1" x14ac:dyDescent="0.35">
      <c r="A3094" s="29" t="s">
        <v>15</v>
      </c>
      <c r="B3094" s="29" t="str">
        <f t="shared" si="48"/>
        <v>SAG-33</v>
      </c>
      <c r="C3094" s="29" t="s">
        <v>9300</v>
      </c>
      <c r="D3094" s="67" t="s">
        <v>9301</v>
      </c>
      <c r="E3094" s="96" t="s">
        <v>62</v>
      </c>
      <c r="F3094" s="29" t="s">
        <v>61</v>
      </c>
      <c r="G3094" s="29" t="s">
        <v>371</v>
      </c>
      <c r="H3094" s="103">
        <f>_xlfn.XLOOKUP(B3094,GM!$Q$5:$Q$756,GM!$J$5:$J$756)</f>
        <v>44739</v>
      </c>
    </row>
    <row r="3095" spans="1:8" hidden="1" x14ac:dyDescent="0.35">
      <c r="A3095" s="29" t="s">
        <v>15</v>
      </c>
      <c r="B3095" s="29" t="str">
        <f t="shared" si="48"/>
        <v>SAG-40</v>
      </c>
      <c r="C3095" s="29" t="s">
        <v>9302</v>
      </c>
      <c r="D3095" s="67" t="s">
        <v>9303</v>
      </c>
      <c r="E3095" s="96" t="s">
        <v>62</v>
      </c>
      <c r="F3095" s="29" t="s">
        <v>61</v>
      </c>
      <c r="G3095" s="29"/>
      <c r="H3095" s="103">
        <f>_xlfn.XLOOKUP(B3095,GM!$Q$5:$Q$756,GM!$J$5:$J$756)</f>
        <v>45202</v>
      </c>
    </row>
    <row r="3096" spans="1:8" hidden="1" x14ac:dyDescent="0.35">
      <c r="A3096" s="29" t="s">
        <v>15</v>
      </c>
      <c r="B3096" s="29" t="str">
        <f t="shared" si="48"/>
        <v>SAG-40</v>
      </c>
      <c r="C3096" s="29" t="s">
        <v>9304</v>
      </c>
      <c r="D3096" s="67" t="s">
        <v>9305</v>
      </c>
      <c r="E3096" s="96" t="s">
        <v>62</v>
      </c>
      <c r="F3096" s="29" t="s">
        <v>61</v>
      </c>
      <c r="G3096" s="29"/>
      <c r="H3096" s="103">
        <f>_xlfn.XLOOKUP(B3096,GM!$Q$5:$Q$756,GM!$J$5:$J$756)</f>
        <v>45202</v>
      </c>
    </row>
    <row r="3097" spans="1:8" hidden="1" x14ac:dyDescent="0.35">
      <c r="A3097" s="29" t="s">
        <v>15</v>
      </c>
      <c r="B3097" s="29" t="str">
        <f t="shared" si="48"/>
        <v>SAG-41</v>
      </c>
      <c r="C3097" s="29" t="s">
        <v>9306</v>
      </c>
      <c r="D3097" s="67" t="s">
        <v>9307</v>
      </c>
      <c r="E3097" s="96" t="s">
        <v>62</v>
      </c>
      <c r="F3097" s="29" t="s">
        <v>61</v>
      </c>
      <c r="G3097" s="29"/>
      <c r="H3097" s="103">
        <f>_xlfn.XLOOKUP(B3097,GM!$Q$5:$Q$756,GM!$J$5:$J$756)</f>
        <v>45202</v>
      </c>
    </row>
    <row r="3098" spans="1:8" hidden="1" x14ac:dyDescent="0.35">
      <c r="A3098" s="29" t="s">
        <v>15</v>
      </c>
      <c r="B3098" s="29" t="str">
        <f t="shared" si="48"/>
        <v>SAG-41</v>
      </c>
      <c r="C3098" s="29" t="s">
        <v>9308</v>
      </c>
      <c r="D3098" s="67" t="s">
        <v>9309</v>
      </c>
      <c r="E3098" s="96" t="s">
        <v>62</v>
      </c>
      <c r="F3098" s="29" t="s">
        <v>61</v>
      </c>
      <c r="G3098" s="29"/>
      <c r="H3098" s="103">
        <f>_xlfn.XLOOKUP(B3098,GM!$Q$5:$Q$756,GM!$J$5:$J$756)</f>
        <v>45202</v>
      </c>
    </row>
    <row r="3099" spans="1:8" hidden="1" x14ac:dyDescent="0.35">
      <c r="A3099" s="29" t="s">
        <v>15</v>
      </c>
      <c r="B3099" s="29" t="str">
        <f t="shared" si="48"/>
        <v>SAG-41</v>
      </c>
      <c r="C3099" s="29" t="s">
        <v>9310</v>
      </c>
      <c r="D3099" s="67" t="s">
        <v>9311</v>
      </c>
      <c r="E3099" s="96" t="s">
        <v>62</v>
      </c>
      <c r="F3099" s="29" t="s">
        <v>61</v>
      </c>
      <c r="G3099" s="29"/>
      <c r="H3099" s="103">
        <f>_xlfn.XLOOKUP(B3099,GM!$Q$5:$Q$756,GM!$J$5:$J$756)</f>
        <v>45202</v>
      </c>
    </row>
    <row r="3100" spans="1:8" hidden="1" x14ac:dyDescent="0.35">
      <c r="A3100" s="29" t="s">
        <v>15</v>
      </c>
      <c r="B3100" s="29" t="str">
        <f t="shared" si="48"/>
        <v>SAG-58</v>
      </c>
      <c r="C3100" s="29" t="s">
        <v>9312</v>
      </c>
      <c r="D3100" s="67" t="s">
        <v>9313</v>
      </c>
      <c r="E3100" s="96" t="s">
        <v>62</v>
      </c>
      <c r="F3100" s="29" t="s">
        <v>61</v>
      </c>
      <c r="G3100" s="29" t="s">
        <v>371</v>
      </c>
      <c r="H3100" s="103">
        <f>_xlfn.XLOOKUP(B3100,GM!$Q$5:$Q$756,GM!$J$5:$J$756)</f>
        <v>44739</v>
      </c>
    </row>
    <row r="3101" spans="1:8" hidden="1" x14ac:dyDescent="0.35">
      <c r="A3101" s="29" t="s">
        <v>15</v>
      </c>
      <c r="B3101" s="29" t="str">
        <f t="shared" si="48"/>
        <v>SAG-59</v>
      </c>
      <c r="C3101" s="29" t="s">
        <v>9314</v>
      </c>
      <c r="D3101" s="67" t="s">
        <v>9315</v>
      </c>
      <c r="E3101" s="96" t="s">
        <v>62</v>
      </c>
      <c r="F3101" s="29" t="s">
        <v>61</v>
      </c>
      <c r="G3101" s="29"/>
      <c r="H3101" s="103">
        <f>_xlfn.XLOOKUP(B3101,GM!$Q$5:$Q$756,GM!$J$5:$J$756)</f>
        <v>45462</v>
      </c>
    </row>
    <row r="3102" spans="1:8" hidden="1" x14ac:dyDescent="0.35">
      <c r="A3102" s="29" t="s">
        <v>15</v>
      </c>
      <c r="B3102" s="29" t="str">
        <f t="shared" si="48"/>
        <v>SAG-59</v>
      </c>
      <c r="C3102" s="29" t="s">
        <v>9316</v>
      </c>
      <c r="D3102" s="67" t="s">
        <v>9317</v>
      </c>
      <c r="E3102" s="96" t="s">
        <v>62</v>
      </c>
      <c r="F3102" s="29" t="s">
        <v>61</v>
      </c>
      <c r="G3102" s="29"/>
      <c r="H3102" s="103">
        <f>_xlfn.XLOOKUP(B3102,GM!$Q$5:$Q$756,GM!$J$5:$J$756)</f>
        <v>45462</v>
      </c>
    </row>
    <row r="3103" spans="1:8" hidden="1" x14ac:dyDescent="0.35">
      <c r="A3103" s="29" t="s">
        <v>15</v>
      </c>
      <c r="B3103" s="29" t="str">
        <f t="shared" si="48"/>
        <v>SAG-60</v>
      </c>
      <c r="C3103" s="29" t="s">
        <v>9318</v>
      </c>
      <c r="D3103" s="67" t="s">
        <v>9319</v>
      </c>
      <c r="E3103" s="96" t="s">
        <v>62</v>
      </c>
      <c r="F3103" s="29" t="s">
        <v>61</v>
      </c>
      <c r="G3103" s="29" t="s">
        <v>371</v>
      </c>
      <c r="H3103" s="103">
        <f>_xlfn.XLOOKUP(B3103,GM!$Q$5:$Q$756,GM!$J$5:$J$756)</f>
        <v>44819</v>
      </c>
    </row>
    <row r="3104" spans="1:8" hidden="1" x14ac:dyDescent="0.35">
      <c r="A3104" s="29" t="s">
        <v>15</v>
      </c>
      <c r="B3104" s="29" t="str">
        <f t="shared" si="48"/>
        <v>SAG-61</v>
      </c>
      <c r="C3104" s="29" t="s">
        <v>9320</v>
      </c>
      <c r="D3104" s="67" t="s">
        <v>9321</v>
      </c>
      <c r="E3104" s="96" t="s">
        <v>62</v>
      </c>
      <c r="F3104" s="29" t="s">
        <v>61</v>
      </c>
      <c r="G3104" s="29"/>
      <c r="H3104" s="103">
        <f>_xlfn.XLOOKUP(B3104,GM!$Q$5:$Q$756,GM!$J$5:$J$756)</f>
        <v>44926</v>
      </c>
    </row>
    <row r="3105" spans="1:8" hidden="1" x14ac:dyDescent="0.35">
      <c r="A3105" s="29" t="s">
        <v>15</v>
      </c>
      <c r="B3105" s="29" t="str">
        <f t="shared" si="48"/>
        <v>SAG-62</v>
      </c>
      <c r="C3105" s="29" t="s">
        <v>9322</v>
      </c>
      <c r="D3105" s="67" t="s">
        <v>9323</v>
      </c>
      <c r="E3105" s="96" t="s">
        <v>62</v>
      </c>
      <c r="F3105" s="29" t="s">
        <v>61</v>
      </c>
      <c r="G3105" s="29"/>
      <c r="H3105" s="103" t="e">
        <f>_xlfn.XLOOKUP(B3105,GM!$Q$5:$Q$756,GM!$J$5:$J$756)</f>
        <v>#N/A</v>
      </c>
    </row>
    <row r="3106" spans="1:8" hidden="1" x14ac:dyDescent="0.35">
      <c r="A3106" s="29" t="s">
        <v>15</v>
      </c>
      <c r="B3106" s="29" t="str">
        <f t="shared" si="48"/>
        <v>SAG-64</v>
      </c>
      <c r="C3106" s="29" t="s">
        <v>9324</v>
      </c>
      <c r="D3106" s="67" t="s">
        <v>9325</v>
      </c>
      <c r="E3106" s="96" t="s">
        <v>62</v>
      </c>
      <c r="F3106" s="29" t="s">
        <v>61</v>
      </c>
      <c r="G3106" s="29"/>
      <c r="H3106" s="103" t="e">
        <f>_xlfn.XLOOKUP(B3106,GM!$Q$5:$Q$756,GM!$J$5:$J$756)</f>
        <v>#N/A</v>
      </c>
    </row>
    <row r="3107" spans="1:8" hidden="1" x14ac:dyDescent="0.35">
      <c r="A3107" s="29" t="s">
        <v>15</v>
      </c>
      <c r="B3107" s="29" t="str">
        <f t="shared" si="48"/>
        <v>SAG-65</v>
      </c>
      <c r="C3107" s="29" t="s">
        <v>9326</v>
      </c>
      <c r="D3107" s="67" t="s">
        <v>9327</v>
      </c>
      <c r="E3107" s="96" t="s">
        <v>62</v>
      </c>
      <c r="F3107" s="29" t="s">
        <v>61</v>
      </c>
      <c r="G3107" s="29"/>
      <c r="H3107" s="103" t="e">
        <f>_xlfn.XLOOKUP(B3107,GM!$Q$5:$Q$756,GM!$J$5:$J$756)</f>
        <v>#N/A</v>
      </c>
    </row>
    <row r="3108" spans="1:8" hidden="1" x14ac:dyDescent="0.35">
      <c r="A3108" s="29" t="s">
        <v>15</v>
      </c>
      <c r="B3108" s="29" t="str">
        <f t="shared" si="48"/>
        <v>SAG-66</v>
      </c>
      <c r="C3108" s="29" t="s">
        <v>9328</v>
      </c>
      <c r="D3108" s="67" t="s">
        <v>9329</v>
      </c>
      <c r="E3108" s="96" t="s">
        <v>62</v>
      </c>
      <c r="F3108" s="29" t="s">
        <v>61</v>
      </c>
      <c r="G3108" s="29"/>
      <c r="H3108" s="103" t="e">
        <f>_xlfn.XLOOKUP(B3108,GM!$Q$5:$Q$756,GM!$J$5:$J$756)</f>
        <v>#N/A</v>
      </c>
    </row>
    <row r="3109" spans="1:8" hidden="1" x14ac:dyDescent="0.35">
      <c r="A3109" s="29" t="s">
        <v>15</v>
      </c>
      <c r="B3109" s="29" t="str">
        <f t="shared" si="48"/>
        <v>SAG-67</v>
      </c>
      <c r="C3109" s="29" t="s">
        <v>9330</v>
      </c>
      <c r="D3109" s="67" t="s">
        <v>9331</v>
      </c>
      <c r="E3109" s="96" t="s">
        <v>62</v>
      </c>
      <c r="F3109" s="29" t="s">
        <v>61</v>
      </c>
      <c r="G3109" s="29"/>
      <c r="H3109" s="103">
        <f>_xlfn.XLOOKUP(B3109,GM!$Q$5:$Q$756,GM!$J$5:$J$756)</f>
        <v>45202</v>
      </c>
    </row>
    <row r="3110" spans="1:8" hidden="1" x14ac:dyDescent="0.35">
      <c r="A3110" s="29" t="s">
        <v>15</v>
      </c>
      <c r="B3110" s="29" t="str">
        <f t="shared" si="48"/>
        <v>SAG-68</v>
      </c>
      <c r="C3110" s="29" t="s">
        <v>9332</v>
      </c>
      <c r="D3110" s="67" t="s">
        <v>9333</v>
      </c>
      <c r="E3110" s="96" t="s">
        <v>62</v>
      </c>
      <c r="F3110" s="29" t="s">
        <v>61</v>
      </c>
      <c r="G3110" s="29"/>
      <c r="H3110" s="103">
        <f>_xlfn.XLOOKUP(B3110,GM!$Q$5:$Q$756,GM!$J$5:$J$756)</f>
        <v>45202</v>
      </c>
    </row>
    <row r="3111" spans="1:8" hidden="1" x14ac:dyDescent="0.35">
      <c r="A3111" s="29" t="s">
        <v>25</v>
      </c>
      <c r="B3111" s="29" t="str">
        <f t="shared" si="48"/>
        <v>STO-00</v>
      </c>
      <c r="C3111" s="29" t="s">
        <v>9334</v>
      </c>
      <c r="D3111" s="67" t="s">
        <v>9335</v>
      </c>
      <c r="E3111" s="96" t="s">
        <v>62</v>
      </c>
      <c r="F3111" s="29" t="s">
        <v>61</v>
      </c>
      <c r="G3111" s="29"/>
      <c r="H3111" s="103">
        <f>_xlfn.XLOOKUP(B3111,GM!$Q$5:$Q$756,GM!$J$5:$J$756)</f>
        <v>45202</v>
      </c>
    </row>
    <row r="3112" spans="1:8" hidden="1" x14ac:dyDescent="0.35">
      <c r="A3112" s="29" t="s">
        <v>25</v>
      </c>
      <c r="B3112" s="29" t="str">
        <f t="shared" si="48"/>
        <v>STO-00</v>
      </c>
      <c r="C3112" s="29" t="s">
        <v>9336</v>
      </c>
      <c r="D3112" s="67" t="s">
        <v>9337</v>
      </c>
      <c r="E3112" s="96" t="s">
        <v>62</v>
      </c>
      <c r="F3112" s="29" t="s">
        <v>61</v>
      </c>
      <c r="G3112" s="29"/>
      <c r="H3112" s="103">
        <f>_xlfn.XLOOKUP(B3112,GM!$Q$5:$Q$756,GM!$J$5:$J$756)</f>
        <v>45202</v>
      </c>
    </row>
    <row r="3113" spans="1:8" hidden="1" x14ac:dyDescent="0.35">
      <c r="A3113" s="29" t="s">
        <v>25</v>
      </c>
      <c r="B3113" s="29" t="str">
        <f t="shared" si="48"/>
        <v>STO-00</v>
      </c>
      <c r="C3113" s="29" t="s">
        <v>9338</v>
      </c>
      <c r="D3113" s="67" t="s">
        <v>9339</v>
      </c>
      <c r="E3113" s="96" t="s">
        <v>62</v>
      </c>
      <c r="F3113" s="29" t="s">
        <v>61</v>
      </c>
      <c r="G3113" s="29"/>
      <c r="H3113" s="103">
        <f>_xlfn.XLOOKUP(B3113,GM!$Q$5:$Q$756,GM!$J$5:$J$756)</f>
        <v>45202</v>
      </c>
    </row>
    <row r="3114" spans="1:8" hidden="1" x14ac:dyDescent="0.35">
      <c r="A3114" s="29" t="s">
        <v>25</v>
      </c>
      <c r="B3114" s="29" t="str">
        <f t="shared" si="48"/>
        <v>STO-00</v>
      </c>
      <c r="C3114" s="29" t="s">
        <v>9340</v>
      </c>
      <c r="D3114" s="67" t="s">
        <v>9341</v>
      </c>
      <c r="E3114" s="96" t="s">
        <v>62</v>
      </c>
      <c r="F3114" s="29" t="s">
        <v>61</v>
      </c>
      <c r="G3114" s="29"/>
      <c r="H3114" s="103">
        <f>_xlfn.XLOOKUP(B3114,GM!$Q$5:$Q$756,GM!$J$5:$J$756)</f>
        <v>45202</v>
      </c>
    </row>
    <row r="3115" spans="1:8" hidden="1" x14ac:dyDescent="0.35">
      <c r="A3115" s="29" t="s">
        <v>25</v>
      </c>
      <c r="B3115" s="29" t="str">
        <f t="shared" si="48"/>
        <v>STO-00</v>
      </c>
      <c r="C3115" s="29" t="s">
        <v>9342</v>
      </c>
      <c r="D3115" s="67" t="s">
        <v>9343</v>
      </c>
      <c r="E3115" s="96" t="s">
        <v>62</v>
      </c>
      <c r="F3115" s="29" t="s">
        <v>61</v>
      </c>
      <c r="G3115" s="29"/>
      <c r="H3115" s="103">
        <f>_xlfn.XLOOKUP(B3115,GM!$Q$5:$Q$756,GM!$J$5:$J$756)</f>
        <v>45202</v>
      </c>
    </row>
    <row r="3116" spans="1:8" hidden="1" x14ac:dyDescent="0.35">
      <c r="A3116" s="29" t="s">
        <v>25</v>
      </c>
      <c r="B3116" s="29" t="str">
        <f t="shared" si="48"/>
        <v>STO-00</v>
      </c>
      <c r="C3116" s="29" t="s">
        <v>9344</v>
      </c>
      <c r="D3116" s="67" t="s">
        <v>9345</v>
      </c>
      <c r="E3116" s="96" t="s">
        <v>62</v>
      </c>
      <c r="F3116" s="29" t="s">
        <v>61</v>
      </c>
      <c r="G3116" s="29"/>
      <c r="H3116" s="103">
        <f>_xlfn.XLOOKUP(B3116,GM!$Q$5:$Q$756,GM!$J$5:$J$756)</f>
        <v>45202</v>
      </c>
    </row>
    <row r="3117" spans="1:8" hidden="1" x14ac:dyDescent="0.35">
      <c r="A3117" s="29" t="s">
        <v>25</v>
      </c>
      <c r="B3117" s="29" t="str">
        <f t="shared" si="48"/>
        <v>STO-00</v>
      </c>
      <c r="C3117" s="29" t="s">
        <v>9346</v>
      </c>
      <c r="D3117" s="67" t="s">
        <v>9347</v>
      </c>
      <c r="E3117" s="96" t="s">
        <v>62</v>
      </c>
      <c r="F3117" s="29" t="s">
        <v>61</v>
      </c>
      <c r="G3117" s="29"/>
      <c r="H3117" s="103">
        <f>_xlfn.XLOOKUP(B3117,GM!$Q$5:$Q$756,GM!$J$5:$J$756)</f>
        <v>45202</v>
      </c>
    </row>
    <row r="3118" spans="1:8" hidden="1" x14ac:dyDescent="0.35">
      <c r="A3118" s="29" t="s">
        <v>25</v>
      </c>
      <c r="B3118" s="29" t="str">
        <f t="shared" si="48"/>
        <v>STO-00</v>
      </c>
      <c r="C3118" s="29" t="s">
        <v>9348</v>
      </c>
      <c r="D3118" s="67" t="s">
        <v>9349</v>
      </c>
      <c r="E3118" s="96" t="s">
        <v>62</v>
      </c>
      <c r="F3118" s="29" t="s">
        <v>61</v>
      </c>
      <c r="G3118" s="29"/>
      <c r="H3118" s="103">
        <f>_xlfn.XLOOKUP(B3118,GM!$Q$5:$Q$756,GM!$J$5:$J$756)</f>
        <v>45202</v>
      </c>
    </row>
    <row r="3119" spans="1:8" hidden="1" x14ac:dyDescent="0.35">
      <c r="A3119" s="29" t="s">
        <v>25</v>
      </c>
      <c r="B3119" s="29" t="str">
        <f t="shared" si="48"/>
        <v>STO-00</v>
      </c>
      <c r="C3119" s="29" t="s">
        <v>9350</v>
      </c>
      <c r="D3119" s="67" t="s">
        <v>9351</v>
      </c>
      <c r="E3119" s="96" t="s">
        <v>62</v>
      </c>
      <c r="F3119" s="29" t="s">
        <v>61</v>
      </c>
      <c r="G3119" s="29"/>
      <c r="H3119" s="103">
        <f>_xlfn.XLOOKUP(B3119,GM!$Q$5:$Q$756,GM!$J$5:$J$756)</f>
        <v>45202</v>
      </c>
    </row>
    <row r="3120" spans="1:8" hidden="1" x14ac:dyDescent="0.35">
      <c r="A3120" s="29" t="s">
        <v>25</v>
      </c>
      <c r="B3120" s="29" t="str">
        <f t="shared" si="48"/>
        <v>STO-01</v>
      </c>
      <c r="C3120" s="29" t="s">
        <v>9352</v>
      </c>
      <c r="D3120" s="67" t="s">
        <v>9353</v>
      </c>
      <c r="E3120" s="96" t="s">
        <v>62</v>
      </c>
      <c r="F3120" s="29" t="s">
        <v>61</v>
      </c>
      <c r="G3120" s="29"/>
      <c r="H3120" s="103">
        <f>_xlfn.XLOOKUP(B3120,GM!$Q$5:$Q$756,GM!$J$5:$J$756)</f>
        <v>44739</v>
      </c>
    </row>
    <row r="3121" spans="1:8" hidden="1" x14ac:dyDescent="0.35">
      <c r="A3121" s="29" t="s">
        <v>25</v>
      </c>
      <c r="B3121" s="29" t="str">
        <f t="shared" si="48"/>
        <v>STO-01</v>
      </c>
      <c r="C3121" s="29" t="s">
        <v>9354</v>
      </c>
      <c r="D3121" s="67" t="s">
        <v>9355</v>
      </c>
      <c r="E3121" s="96" t="s">
        <v>62</v>
      </c>
      <c r="F3121" s="29" t="s">
        <v>61</v>
      </c>
      <c r="G3121" s="29"/>
      <c r="H3121" s="103">
        <f>_xlfn.XLOOKUP(B3121,GM!$Q$5:$Q$756,GM!$J$5:$J$756)</f>
        <v>44739</v>
      </c>
    </row>
    <row r="3122" spans="1:8" hidden="1" x14ac:dyDescent="0.35">
      <c r="A3122" s="29" t="s">
        <v>25</v>
      </c>
      <c r="B3122" s="29" t="str">
        <f t="shared" si="48"/>
        <v>STO-01</v>
      </c>
      <c r="C3122" s="29" t="s">
        <v>9356</v>
      </c>
      <c r="D3122" s="67" t="s">
        <v>9357</v>
      </c>
      <c r="E3122" s="96" t="s">
        <v>62</v>
      </c>
      <c r="F3122" s="29" t="s">
        <v>61</v>
      </c>
      <c r="G3122" s="29"/>
      <c r="H3122" s="103">
        <f>_xlfn.XLOOKUP(B3122,GM!$Q$5:$Q$756,GM!$J$5:$J$756)</f>
        <v>44739</v>
      </c>
    </row>
    <row r="3123" spans="1:8" hidden="1" x14ac:dyDescent="0.35">
      <c r="A3123" s="29" t="s">
        <v>25</v>
      </c>
      <c r="B3123" s="29" t="str">
        <f t="shared" si="48"/>
        <v>STO-01</v>
      </c>
      <c r="C3123" s="29" t="s">
        <v>9358</v>
      </c>
      <c r="D3123" s="67" t="s">
        <v>9359</v>
      </c>
      <c r="E3123" s="96" t="s">
        <v>62</v>
      </c>
      <c r="F3123" s="29" t="s">
        <v>61</v>
      </c>
      <c r="G3123" s="29"/>
      <c r="H3123" s="103">
        <f>_xlfn.XLOOKUP(B3123,GM!$Q$5:$Q$756,GM!$J$5:$J$756)</f>
        <v>44739</v>
      </c>
    </row>
    <row r="3124" spans="1:8" hidden="1" x14ac:dyDescent="0.35">
      <c r="A3124" s="29" t="s">
        <v>25</v>
      </c>
      <c r="B3124" s="29" t="str">
        <f t="shared" si="48"/>
        <v>STO-01</v>
      </c>
      <c r="C3124" s="29" t="s">
        <v>9360</v>
      </c>
      <c r="D3124" s="67" t="s">
        <v>9361</v>
      </c>
      <c r="E3124" s="96" t="s">
        <v>62</v>
      </c>
      <c r="F3124" s="29" t="s">
        <v>61</v>
      </c>
      <c r="G3124" s="29"/>
      <c r="H3124" s="103">
        <f>_xlfn.XLOOKUP(B3124,GM!$Q$5:$Q$756,GM!$J$5:$J$756)</f>
        <v>44739</v>
      </c>
    </row>
    <row r="3125" spans="1:8" hidden="1" x14ac:dyDescent="0.35">
      <c r="A3125" s="29" t="s">
        <v>25</v>
      </c>
      <c r="B3125" s="29" t="str">
        <f t="shared" si="48"/>
        <v>STO-01</v>
      </c>
      <c r="C3125" s="29" t="s">
        <v>9362</v>
      </c>
      <c r="D3125" s="67" t="s">
        <v>9363</v>
      </c>
      <c r="E3125" s="96" t="s">
        <v>62</v>
      </c>
      <c r="F3125" s="29" t="s">
        <v>61</v>
      </c>
      <c r="G3125" s="29"/>
      <c r="H3125" s="103">
        <f>_xlfn.XLOOKUP(B3125,GM!$Q$5:$Q$756,GM!$J$5:$J$756)</f>
        <v>44739</v>
      </c>
    </row>
    <row r="3126" spans="1:8" hidden="1" x14ac:dyDescent="0.35">
      <c r="A3126" s="29" t="s">
        <v>25</v>
      </c>
      <c r="B3126" s="29" t="str">
        <f t="shared" si="48"/>
        <v>STO-01</v>
      </c>
      <c r="C3126" s="29" t="s">
        <v>9364</v>
      </c>
      <c r="D3126" s="67" t="s">
        <v>9365</v>
      </c>
      <c r="E3126" s="96" t="s">
        <v>62</v>
      </c>
      <c r="F3126" s="29" t="s">
        <v>61</v>
      </c>
      <c r="G3126" s="29"/>
      <c r="H3126" s="103">
        <f>_xlfn.XLOOKUP(B3126,GM!$Q$5:$Q$756,GM!$J$5:$J$756)</f>
        <v>44739</v>
      </c>
    </row>
    <row r="3127" spans="1:8" hidden="1" x14ac:dyDescent="0.35">
      <c r="A3127" s="29" t="s">
        <v>25</v>
      </c>
      <c r="B3127" s="29" t="str">
        <f t="shared" si="48"/>
        <v>STO-01</v>
      </c>
      <c r="C3127" s="29" t="s">
        <v>9366</v>
      </c>
      <c r="D3127" s="67" t="s">
        <v>9367</v>
      </c>
      <c r="E3127" s="96" t="s">
        <v>62</v>
      </c>
      <c r="F3127" s="29" t="s">
        <v>61</v>
      </c>
      <c r="G3127" s="29"/>
      <c r="H3127" s="103">
        <f>_xlfn.XLOOKUP(B3127,GM!$Q$5:$Q$756,GM!$J$5:$J$756)</f>
        <v>44739</v>
      </c>
    </row>
    <row r="3128" spans="1:8" hidden="1" x14ac:dyDescent="0.35">
      <c r="A3128" s="29" t="s">
        <v>25</v>
      </c>
      <c r="B3128" s="29" t="str">
        <f t="shared" si="48"/>
        <v>STO-01</v>
      </c>
      <c r="C3128" s="29" t="s">
        <v>9368</v>
      </c>
      <c r="D3128" s="67" t="s">
        <v>9369</v>
      </c>
      <c r="E3128" s="96" t="s">
        <v>62</v>
      </c>
      <c r="F3128" s="29" t="s">
        <v>61</v>
      </c>
      <c r="G3128" s="29"/>
      <c r="H3128" s="103">
        <f>_xlfn.XLOOKUP(B3128,GM!$Q$5:$Q$756,GM!$J$5:$J$756)</f>
        <v>44739</v>
      </c>
    </row>
    <row r="3129" spans="1:8" hidden="1" x14ac:dyDescent="0.35">
      <c r="A3129" s="29" t="s">
        <v>25</v>
      </c>
      <c r="B3129" s="29" t="str">
        <f t="shared" si="48"/>
        <v>STO-01</v>
      </c>
      <c r="C3129" s="29" t="s">
        <v>9370</v>
      </c>
      <c r="D3129" s="67" t="s">
        <v>9371</v>
      </c>
      <c r="E3129" s="96" t="s">
        <v>62</v>
      </c>
      <c r="F3129" s="29" t="s">
        <v>61</v>
      </c>
      <c r="G3129" s="29"/>
      <c r="H3129" s="103">
        <f>_xlfn.XLOOKUP(B3129,GM!$Q$5:$Q$756,GM!$J$5:$J$756)</f>
        <v>44739</v>
      </c>
    </row>
    <row r="3130" spans="1:8" hidden="1" x14ac:dyDescent="0.35">
      <c r="A3130" s="29" t="s">
        <v>25</v>
      </c>
      <c r="B3130" s="29" t="str">
        <f t="shared" si="48"/>
        <v>STO-01</v>
      </c>
      <c r="C3130" s="29" t="s">
        <v>9372</v>
      </c>
      <c r="D3130" s="67" t="s">
        <v>9373</v>
      </c>
      <c r="E3130" s="96" t="s">
        <v>62</v>
      </c>
      <c r="F3130" s="29" t="s">
        <v>61</v>
      </c>
      <c r="G3130" s="29"/>
      <c r="H3130" s="103">
        <f>_xlfn.XLOOKUP(B3130,GM!$Q$5:$Q$756,GM!$J$5:$J$756)</f>
        <v>44739</v>
      </c>
    </row>
    <row r="3131" spans="1:8" hidden="1" x14ac:dyDescent="0.35">
      <c r="A3131" s="29" t="s">
        <v>25</v>
      </c>
      <c r="B3131" s="29" t="str">
        <f t="shared" si="48"/>
        <v>STO-01</v>
      </c>
      <c r="C3131" s="29" t="s">
        <v>9374</v>
      </c>
      <c r="D3131" s="67" t="s">
        <v>9375</v>
      </c>
      <c r="E3131" s="96" t="s">
        <v>62</v>
      </c>
      <c r="F3131" s="29" t="s">
        <v>61</v>
      </c>
      <c r="G3131" s="29"/>
      <c r="H3131" s="103">
        <f>_xlfn.XLOOKUP(B3131,GM!$Q$5:$Q$756,GM!$J$5:$J$756)</f>
        <v>44739</v>
      </c>
    </row>
    <row r="3132" spans="1:8" hidden="1" x14ac:dyDescent="0.35">
      <c r="A3132" s="29" t="s">
        <v>25</v>
      </c>
      <c r="B3132" s="29" t="str">
        <f t="shared" si="48"/>
        <v>STO-01</v>
      </c>
      <c r="C3132" s="29" t="s">
        <v>9376</v>
      </c>
      <c r="D3132" s="67" t="s">
        <v>9377</v>
      </c>
      <c r="E3132" s="96" t="s">
        <v>62</v>
      </c>
      <c r="F3132" s="29" t="s">
        <v>61</v>
      </c>
      <c r="G3132" s="29"/>
      <c r="H3132" s="103">
        <f>_xlfn.XLOOKUP(B3132,GM!$Q$5:$Q$756,GM!$J$5:$J$756)</f>
        <v>44739</v>
      </c>
    </row>
    <row r="3133" spans="1:8" hidden="1" x14ac:dyDescent="0.35">
      <c r="A3133" s="29" t="s">
        <v>25</v>
      </c>
      <c r="B3133" s="29" t="str">
        <f t="shared" si="48"/>
        <v>STO-01</v>
      </c>
      <c r="C3133" s="29" t="s">
        <v>9378</v>
      </c>
      <c r="D3133" s="67" t="s">
        <v>9379</v>
      </c>
      <c r="E3133" s="96" t="s">
        <v>62</v>
      </c>
      <c r="F3133" s="29" t="s">
        <v>61</v>
      </c>
      <c r="G3133" s="29"/>
      <c r="H3133" s="103">
        <f>_xlfn.XLOOKUP(B3133,GM!$Q$5:$Q$756,GM!$J$5:$J$756)</f>
        <v>44739</v>
      </c>
    </row>
    <row r="3134" spans="1:8" hidden="1" x14ac:dyDescent="0.35">
      <c r="A3134" s="29" t="s">
        <v>25</v>
      </c>
      <c r="B3134" s="29" t="str">
        <f t="shared" si="48"/>
        <v>STO-01</v>
      </c>
      <c r="C3134" s="29" t="s">
        <v>9380</v>
      </c>
      <c r="D3134" s="67" t="s">
        <v>9381</v>
      </c>
      <c r="E3134" s="96" t="s">
        <v>62</v>
      </c>
      <c r="F3134" s="29" t="s">
        <v>61</v>
      </c>
      <c r="G3134" s="29"/>
      <c r="H3134" s="103">
        <f>_xlfn.XLOOKUP(B3134,GM!$Q$5:$Q$756,GM!$J$5:$J$756)</f>
        <v>44739</v>
      </c>
    </row>
    <row r="3135" spans="1:8" hidden="1" x14ac:dyDescent="0.35">
      <c r="A3135" s="29" t="s">
        <v>25</v>
      </c>
      <c r="B3135" s="29" t="str">
        <f t="shared" si="48"/>
        <v>STO-01</v>
      </c>
      <c r="C3135" s="29" t="s">
        <v>9382</v>
      </c>
      <c r="D3135" s="67" t="s">
        <v>9383</v>
      </c>
      <c r="E3135" s="96" t="s">
        <v>62</v>
      </c>
      <c r="F3135" s="29" t="s">
        <v>61</v>
      </c>
      <c r="G3135" s="29"/>
      <c r="H3135" s="103">
        <f>_xlfn.XLOOKUP(B3135,GM!$Q$5:$Q$756,GM!$J$5:$J$756)</f>
        <v>44739</v>
      </c>
    </row>
    <row r="3136" spans="1:8" hidden="1" x14ac:dyDescent="0.35">
      <c r="A3136" s="29" t="s">
        <v>25</v>
      </c>
      <c r="B3136" s="29" t="str">
        <f t="shared" si="48"/>
        <v>STO-02</v>
      </c>
      <c r="C3136" s="29" t="s">
        <v>9384</v>
      </c>
      <c r="D3136" s="67" t="s">
        <v>9385</v>
      </c>
      <c r="E3136" s="96" t="s">
        <v>62</v>
      </c>
      <c r="F3136" s="29" t="s">
        <v>61</v>
      </c>
      <c r="G3136" s="29"/>
      <c r="H3136" s="103">
        <f>_xlfn.XLOOKUP(B3136,GM!$Q$5:$Q$756,GM!$J$5:$J$756)</f>
        <v>44739</v>
      </c>
    </row>
    <row r="3137" spans="1:8" hidden="1" x14ac:dyDescent="0.35">
      <c r="A3137" s="29" t="s">
        <v>25</v>
      </c>
      <c r="B3137" s="29" t="str">
        <f t="shared" si="48"/>
        <v>STO-02</v>
      </c>
      <c r="C3137" s="29" t="s">
        <v>9386</v>
      </c>
      <c r="D3137" s="67" t="s">
        <v>9387</v>
      </c>
      <c r="E3137" s="96" t="s">
        <v>62</v>
      </c>
      <c r="F3137" s="29" t="s">
        <v>61</v>
      </c>
      <c r="G3137" s="29"/>
      <c r="H3137" s="103">
        <f>_xlfn.XLOOKUP(B3137,GM!$Q$5:$Q$756,GM!$J$5:$J$756)</f>
        <v>44739</v>
      </c>
    </row>
    <row r="3138" spans="1:8" hidden="1" x14ac:dyDescent="0.35">
      <c r="A3138" s="29" t="s">
        <v>25</v>
      </c>
      <c r="B3138" s="29" t="str">
        <f t="shared" si="48"/>
        <v>STO-02</v>
      </c>
      <c r="C3138" s="29" t="s">
        <v>9388</v>
      </c>
      <c r="D3138" s="67" t="s">
        <v>9389</v>
      </c>
      <c r="E3138" s="96" t="s">
        <v>62</v>
      </c>
      <c r="F3138" s="29" t="s">
        <v>61</v>
      </c>
      <c r="G3138" s="29"/>
      <c r="H3138" s="103">
        <f>_xlfn.XLOOKUP(B3138,GM!$Q$5:$Q$756,GM!$J$5:$J$756)</f>
        <v>44739</v>
      </c>
    </row>
    <row r="3139" spans="1:8" hidden="1" x14ac:dyDescent="0.35">
      <c r="A3139" s="29" t="s">
        <v>25</v>
      </c>
      <c r="B3139" s="29" t="str">
        <f t="shared" si="48"/>
        <v>STO-02</v>
      </c>
      <c r="C3139" s="29" t="s">
        <v>9390</v>
      </c>
      <c r="D3139" s="67" t="s">
        <v>9391</v>
      </c>
      <c r="E3139" s="96" t="s">
        <v>62</v>
      </c>
      <c r="F3139" s="29" t="s">
        <v>61</v>
      </c>
      <c r="G3139" s="29"/>
      <c r="H3139" s="103">
        <f>_xlfn.XLOOKUP(B3139,GM!$Q$5:$Q$756,GM!$J$5:$J$756)</f>
        <v>44739</v>
      </c>
    </row>
    <row r="3140" spans="1:8" hidden="1" x14ac:dyDescent="0.35">
      <c r="A3140" s="29" t="s">
        <v>25</v>
      </c>
      <c r="B3140" s="29" t="str">
        <f t="shared" si="48"/>
        <v>STO-02</v>
      </c>
      <c r="C3140" s="29" t="s">
        <v>9392</v>
      </c>
      <c r="D3140" s="67" t="s">
        <v>9393</v>
      </c>
      <c r="E3140" s="96" t="s">
        <v>62</v>
      </c>
      <c r="F3140" s="29" t="s">
        <v>61</v>
      </c>
      <c r="G3140" s="29"/>
      <c r="H3140" s="103">
        <f>_xlfn.XLOOKUP(B3140,GM!$Q$5:$Q$756,GM!$J$5:$J$756)</f>
        <v>44739</v>
      </c>
    </row>
    <row r="3141" spans="1:8" hidden="1" x14ac:dyDescent="0.35">
      <c r="A3141" s="29" t="s">
        <v>25</v>
      </c>
      <c r="B3141" s="29" t="str">
        <f t="shared" ref="B3141:B3204" si="49">IF(OR(A3141="ARN",A3141="SDP"),MID(C3141,4,7),MID(C3141,4,6))</f>
        <v>STO-02</v>
      </c>
      <c r="C3141" s="29" t="s">
        <v>9394</v>
      </c>
      <c r="D3141" s="67" t="s">
        <v>9395</v>
      </c>
      <c r="E3141" s="96" t="s">
        <v>62</v>
      </c>
      <c r="F3141" s="29" t="s">
        <v>61</v>
      </c>
      <c r="G3141" s="29"/>
      <c r="H3141" s="103">
        <f>_xlfn.XLOOKUP(B3141,GM!$Q$5:$Q$756,GM!$J$5:$J$756)</f>
        <v>44739</v>
      </c>
    </row>
    <row r="3142" spans="1:8" hidden="1" x14ac:dyDescent="0.35">
      <c r="A3142" s="29" t="s">
        <v>25</v>
      </c>
      <c r="B3142" s="29" t="str">
        <f t="shared" si="49"/>
        <v>STO-02</v>
      </c>
      <c r="C3142" s="29" t="s">
        <v>9396</v>
      </c>
      <c r="D3142" s="67" t="s">
        <v>9397</v>
      </c>
      <c r="E3142" s="96" t="s">
        <v>62</v>
      </c>
      <c r="F3142" s="29" t="s">
        <v>61</v>
      </c>
      <c r="G3142" s="29"/>
      <c r="H3142" s="103">
        <f>_xlfn.XLOOKUP(B3142,GM!$Q$5:$Q$756,GM!$J$5:$J$756)</f>
        <v>44739</v>
      </c>
    </row>
    <row r="3143" spans="1:8" hidden="1" x14ac:dyDescent="0.35">
      <c r="A3143" s="29" t="s">
        <v>25</v>
      </c>
      <c r="B3143" s="29" t="str">
        <f t="shared" si="49"/>
        <v>STO-02</v>
      </c>
      <c r="C3143" s="29" t="s">
        <v>9398</v>
      </c>
      <c r="D3143" s="67" t="s">
        <v>9399</v>
      </c>
      <c r="E3143" s="96" t="s">
        <v>62</v>
      </c>
      <c r="F3143" s="29" t="s">
        <v>61</v>
      </c>
      <c r="G3143" s="29"/>
      <c r="H3143" s="103">
        <f>_xlfn.XLOOKUP(B3143,GM!$Q$5:$Q$756,GM!$J$5:$J$756)</f>
        <v>44739</v>
      </c>
    </row>
    <row r="3144" spans="1:8" hidden="1" x14ac:dyDescent="0.35">
      <c r="A3144" s="29" t="s">
        <v>25</v>
      </c>
      <c r="B3144" s="29" t="str">
        <f t="shared" si="49"/>
        <v>STO-02</v>
      </c>
      <c r="C3144" s="29" t="s">
        <v>9400</v>
      </c>
      <c r="D3144" s="67" t="s">
        <v>9401</v>
      </c>
      <c r="E3144" s="96" t="s">
        <v>62</v>
      </c>
      <c r="F3144" s="29" t="s">
        <v>61</v>
      </c>
      <c r="G3144" s="29"/>
      <c r="H3144" s="103">
        <f>_xlfn.XLOOKUP(B3144,GM!$Q$5:$Q$756,GM!$J$5:$J$756)</f>
        <v>44739</v>
      </c>
    </row>
    <row r="3145" spans="1:8" hidden="1" x14ac:dyDescent="0.35">
      <c r="A3145" s="29" t="s">
        <v>25</v>
      </c>
      <c r="B3145" s="29" t="str">
        <f t="shared" si="49"/>
        <v>STO-02</v>
      </c>
      <c r="C3145" s="29" t="s">
        <v>9402</v>
      </c>
      <c r="D3145" s="67" t="s">
        <v>9403</v>
      </c>
      <c r="E3145" s="96" t="s">
        <v>62</v>
      </c>
      <c r="F3145" s="29" t="s">
        <v>61</v>
      </c>
      <c r="G3145" s="29"/>
      <c r="H3145" s="103">
        <f>_xlfn.XLOOKUP(B3145,GM!$Q$5:$Q$756,GM!$J$5:$J$756)</f>
        <v>44739</v>
      </c>
    </row>
    <row r="3146" spans="1:8" hidden="1" x14ac:dyDescent="0.35">
      <c r="A3146" s="29" t="s">
        <v>25</v>
      </c>
      <c r="B3146" s="29" t="str">
        <f t="shared" si="49"/>
        <v>STO-02</v>
      </c>
      <c r="C3146" s="29" t="s">
        <v>9404</v>
      </c>
      <c r="D3146" s="67" t="s">
        <v>9405</v>
      </c>
      <c r="E3146" s="96" t="s">
        <v>62</v>
      </c>
      <c r="F3146" s="29" t="s">
        <v>61</v>
      </c>
      <c r="G3146" s="29"/>
      <c r="H3146" s="103">
        <f>_xlfn.XLOOKUP(B3146,GM!$Q$5:$Q$756,GM!$J$5:$J$756)</f>
        <v>44739</v>
      </c>
    </row>
    <row r="3147" spans="1:8" hidden="1" x14ac:dyDescent="0.35">
      <c r="A3147" s="29" t="s">
        <v>25</v>
      </c>
      <c r="B3147" s="29" t="str">
        <f t="shared" si="49"/>
        <v>STO-02</v>
      </c>
      <c r="C3147" s="29" t="s">
        <v>9406</v>
      </c>
      <c r="D3147" s="67" t="s">
        <v>9407</v>
      </c>
      <c r="E3147" s="96" t="s">
        <v>62</v>
      </c>
      <c r="F3147" s="29" t="s">
        <v>61</v>
      </c>
      <c r="G3147" s="29"/>
      <c r="H3147" s="103">
        <f>_xlfn.XLOOKUP(B3147,GM!$Q$5:$Q$756,GM!$J$5:$J$756)</f>
        <v>44739</v>
      </c>
    </row>
    <row r="3148" spans="1:8" hidden="1" x14ac:dyDescent="0.35">
      <c r="A3148" s="29" t="s">
        <v>25</v>
      </c>
      <c r="B3148" s="29" t="str">
        <f t="shared" si="49"/>
        <v>STO-02</v>
      </c>
      <c r="C3148" s="29" t="s">
        <v>9408</v>
      </c>
      <c r="D3148" s="67" t="s">
        <v>9409</v>
      </c>
      <c r="E3148" s="96" t="s">
        <v>62</v>
      </c>
      <c r="F3148" s="29" t="s">
        <v>61</v>
      </c>
      <c r="G3148" s="29"/>
      <c r="H3148" s="103">
        <f>_xlfn.XLOOKUP(B3148,GM!$Q$5:$Q$756,GM!$J$5:$J$756)</f>
        <v>44739</v>
      </c>
    </row>
    <row r="3149" spans="1:8" hidden="1" x14ac:dyDescent="0.35">
      <c r="A3149" s="29" t="s">
        <v>25</v>
      </c>
      <c r="B3149" s="29" t="str">
        <f t="shared" si="49"/>
        <v>STO-02</v>
      </c>
      <c r="C3149" s="29" t="s">
        <v>9410</v>
      </c>
      <c r="D3149" s="67" t="s">
        <v>9411</v>
      </c>
      <c r="E3149" s="96" t="s">
        <v>62</v>
      </c>
      <c r="F3149" s="29" t="s">
        <v>61</v>
      </c>
      <c r="G3149" s="29"/>
      <c r="H3149" s="103">
        <f>_xlfn.XLOOKUP(B3149,GM!$Q$5:$Q$756,GM!$J$5:$J$756)</f>
        <v>44739</v>
      </c>
    </row>
    <row r="3150" spans="1:8" hidden="1" x14ac:dyDescent="0.35">
      <c r="A3150" s="29" t="s">
        <v>25</v>
      </c>
      <c r="B3150" s="29" t="str">
        <f t="shared" si="49"/>
        <v>STO-02</v>
      </c>
      <c r="C3150" s="29" t="s">
        <v>9412</v>
      </c>
      <c r="D3150" s="67" t="s">
        <v>9413</v>
      </c>
      <c r="E3150" s="96" t="s">
        <v>62</v>
      </c>
      <c r="F3150" s="29" t="s">
        <v>61</v>
      </c>
      <c r="G3150" s="29"/>
      <c r="H3150" s="103">
        <f>_xlfn.XLOOKUP(B3150,GM!$Q$5:$Q$756,GM!$J$5:$J$756)</f>
        <v>44739</v>
      </c>
    </row>
    <row r="3151" spans="1:8" hidden="1" x14ac:dyDescent="0.35">
      <c r="A3151" s="29" t="s">
        <v>25</v>
      </c>
      <c r="B3151" s="29" t="str">
        <f t="shared" si="49"/>
        <v>STO-02</v>
      </c>
      <c r="C3151" s="29" t="s">
        <v>9414</v>
      </c>
      <c r="D3151" s="67" t="s">
        <v>9415</v>
      </c>
      <c r="E3151" s="96" t="s">
        <v>62</v>
      </c>
      <c r="F3151" s="29" t="s">
        <v>61</v>
      </c>
      <c r="G3151" s="29"/>
      <c r="H3151" s="103">
        <f>_xlfn.XLOOKUP(B3151,GM!$Q$5:$Q$756,GM!$J$5:$J$756)</f>
        <v>44739</v>
      </c>
    </row>
    <row r="3152" spans="1:8" hidden="1" x14ac:dyDescent="0.35">
      <c r="A3152" s="29" t="s">
        <v>25</v>
      </c>
      <c r="B3152" s="29" t="str">
        <f t="shared" si="49"/>
        <v>STO-02</v>
      </c>
      <c r="C3152" s="29" t="s">
        <v>9416</v>
      </c>
      <c r="D3152" s="67" t="s">
        <v>9417</v>
      </c>
      <c r="E3152" s="96" t="s">
        <v>62</v>
      </c>
      <c r="F3152" s="29" t="s">
        <v>61</v>
      </c>
      <c r="G3152" s="29"/>
      <c r="H3152" s="103">
        <f>_xlfn.XLOOKUP(B3152,GM!$Q$5:$Q$756,GM!$J$5:$J$756)</f>
        <v>44739</v>
      </c>
    </row>
    <row r="3153" spans="1:8" hidden="1" x14ac:dyDescent="0.35">
      <c r="A3153" s="29" t="s">
        <v>25</v>
      </c>
      <c r="B3153" s="29" t="str">
        <f t="shared" si="49"/>
        <v>STO-02</v>
      </c>
      <c r="C3153" s="29" t="s">
        <v>9418</v>
      </c>
      <c r="D3153" s="67" t="s">
        <v>9419</v>
      </c>
      <c r="E3153" s="96" t="s">
        <v>62</v>
      </c>
      <c r="F3153" s="29" t="s">
        <v>61</v>
      </c>
      <c r="G3153" s="29"/>
      <c r="H3153" s="103">
        <f>_xlfn.XLOOKUP(B3153,GM!$Q$5:$Q$756,GM!$J$5:$J$756)</f>
        <v>44739</v>
      </c>
    </row>
    <row r="3154" spans="1:8" hidden="1" x14ac:dyDescent="0.35">
      <c r="A3154" s="29" t="s">
        <v>25</v>
      </c>
      <c r="B3154" s="29" t="str">
        <f t="shared" si="49"/>
        <v>STO-02</v>
      </c>
      <c r="C3154" s="29" t="s">
        <v>9420</v>
      </c>
      <c r="D3154" s="67" t="s">
        <v>9421</v>
      </c>
      <c r="E3154" s="96" t="s">
        <v>62</v>
      </c>
      <c r="F3154" s="29" t="s">
        <v>61</v>
      </c>
      <c r="G3154" s="29"/>
      <c r="H3154" s="103">
        <f>_xlfn.XLOOKUP(B3154,GM!$Q$5:$Q$756,GM!$J$5:$J$756)</f>
        <v>44739</v>
      </c>
    </row>
    <row r="3155" spans="1:8" hidden="1" x14ac:dyDescent="0.35">
      <c r="A3155" s="29" t="s">
        <v>25</v>
      </c>
      <c r="B3155" s="29" t="str">
        <f t="shared" si="49"/>
        <v>STO-02</v>
      </c>
      <c r="C3155" s="29" t="s">
        <v>9422</v>
      </c>
      <c r="D3155" s="67" t="s">
        <v>9423</v>
      </c>
      <c r="E3155" s="96" t="s">
        <v>62</v>
      </c>
      <c r="F3155" s="29" t="s">
        <v>61</v>
      </c>
      <c r="G3155" s="29"/>
      <c r="H3155" s="103">
        <f>_xlfn.XLOOKUP(B3155,GM!$Q$5:$Q$756,GM!$J$5:$J$756)</f>
        <v>44739</v>
      </c>
    </row>
    <row r="3156" spans="1:8" hidden="1" x14ac:dyDescent="0.35">
      <c r="A3156" s="29" t="s">
        <v>25</v>
      </c>
      <c r="B3156" s="29" t="str">
        <f t="shared" si="49"/>
        <v>STO-02</v>
      </c>
      <c r="C3156" s="29" t="s">
        <v>9424</v>
      </c>
      <c r="D3156" s="67" t="s">
        <v>9425</v>
      </c>
      <c r="E3156" s="96" t="s">
        <v>62</v>
      </c>
      <c r="F3156" s="29" t="s">
        <v>61</v>
      </c>
      <c r="G3156" s="29"/>
      <c r="H3156" s="103">
        <f>_xlfn.XLOOKUP(B3156,GM!$Q$5:$Q$756,GM!$J$5:$J$756)</f>
        <v>44739</v>
      </c>
    </row>
    <row r="3157" spans="1:8" hidden="1" x14ac:dyDescent="0.35">
      <c r="A3157" s="29" t="s">
        <v>25</v>
      </c>
      <c r="B3157" s="29" t="str">
        <f t="shared" si="49"/>
        <v>STO-02</v>
      </c>
      <c r="C3157" s="29" t="s">
        <v>9426</v>
      </c>
      <c r="D3157" s="67" t="s">
        <v>9427</v>
      </c>
      <c r="E3157" s="96" t="s">
        <v>62</v>
      </c>
      <c r="F3157" s="29" t="s">
        <v>61</v>
      </c>
      <c r="G3157" s="29"/>
      <c r="H3157" s="103">
        <f>_xlfn.XLOOKUP(B3157,GM!$Q$5:$Q$756,GM!$J$5:$J$756)</f>
        <v>44739</v>
      </c>
    </row>
    <row r="3158" spans="1:8" hidden="1" x14ac:dyDescent="0.35">
      <c r="A3158" s="29" t="s">
        <v>25</v>
      </c>
      <c r="B3158" s="29" t="str">
        <f t="shared" si="49"/>
        <v>STO-02</v>
      </c>
      <c r="C3158" s="29" t="s">
        <v>9428</v>
      </c>
      <c r="D3158" s="67" t="s">
        <v>9429</v>
      </c>
      <c r="E3158" s="96" t="s">
        <v>62</v>
      </c>
      <c r="F3158" s="29" t="s">
        <v>61</v>
      </c>
      <c r="G3158" s="29"/>
      <c r="H3158" s="103">
        <f>_xlfn.XLOOKUP(B3158,GM!$Q$5:$Q$756,GM!$J$5:$J$756)</f>
        <v>44739</v>
      </c>
    </row>
    <row r="3159" spans="1:8" hidden="1" x14ac:dyDescent="0.35">
      <c r="A3159" s="29" t="s">
        <v>25</v>
      </c>
      <c r="B3159" s="29" t="str">
        <f t="shared" si="49"/>
        <v>STO-02</v>
      </c>
      <c r="C3159" s="29" t="s">
        <v>9430</v>
      </c>
      <c r="D3159" s="67" t="s">
        <v>9431</v>
      </c>
      <c r="E3159" s="96" t="s">
        <v>62</v>
      </c>
      <c r="F3159" s="29" t="s">
        <v>61</v>
      </c>
      <c r="G3159" s="29"/>
      <c r="H3159" s="103">
        <f>_xlfn.XLOOKUP(B3159,GM!$Q$5:$Q$756,GM!$J$5:$J$756)</f>
        <v>44739</v>
      </c>
    </row>
    <row r="3160" spans="1:8" hidden="1" x14ac:dyDescent="0.35">
      <c r="A3160" s="29" t="s">
        <v>25</v>
      </c>
      <c r="B3160" s="29" t="str">
        <f t="shared" si="49"/>
        <v>STO-02</v>
      </c>
      <c r="C3160" s="29" t="s">
        <v>9432</v>
      </c>
      <c r="D3160" s="67" t="s">
        <v>9433</v>
      </c>
      <c r="E3160" s="96" t="s">
        <v>62</v>
      </c>
      <c r="F3160" s="29" t="s">
        <v>61</v>
      </c>
      <c r="G3160" s="29"/>
      <c r="H3160" s="103">
        <f>_xlfn.XLOOKUP(B3160,GM!$Q$5:$Q$756,GM!$J$5:$J$756)</f>
        <v>44739</v>
      </c>
    </row>
    <row r="3161" spans="1:8" hidden="1" x14ac:dyDescent="0.35">
      <c r="A3161" s="29" t="s">
        <v>25</v>
      </c>
      <c r="B3161" s="29" t="str">
        <f t="shared" si="49"/>
        <v>STO-03</v>
      </c>
      <c r="C3161" s="29" t="s">
        <v>9434</v>
      </c>
      <c r="D3161" s="67" t="s">
        <v>9435</v>
      </c>
      <c r="E3161" s="96" t="s">
        <v>62</v>
      </c>
      <c r="F3161" s="29" t="s">
        <v>61</v>
      </c>
      <c r="G3161" s="29"/>
      <c r="H3161" s="103">
        <f>_xlfn.XLOOKUP(B3161,GM!$Q$5:$Q$756,GM!$J$5:$J$756)</f>
        <v>45506</v>
      </c>
    </row>
    <row r="3162" spans="1:8" hidden="1" x14ac:dyDescent="0.35">
      <c r="A3162" s="29" t="s">
        <v>25</v>
      </c>
      <c r="B3162" s="29" t="str">
        <f t="shared" si="49"/>
        <v>STO-03</v>
      </c>
      <c r="C3162" s="29" t="s">
        <v>9436</v>
      </c>
      <c r="D3162" s="67" t="s">
        <v>9437</v>
      </c>
      <c r="E3162" s="96" t="s">
        <v>62</v>
      </c>
      <c r="F3162" s="29" t="s">
        <v>61</v>
      </c>
      <c r="G3162" s="29"/>
      <c r="H3162" s="103">
        <f>_xlfn.XLOOKUP(B3162,GM!$Q$5:$Q$756,GM!$J$5:$J$756)</f>
        <v>45506</v>
      </c>
    </row>
    <row r="3163" spans="1:8" hidden="1" x14ac:dyDescent="0.35">
      <c r="A3163" s="29" t="s">
        <v>25</v>
      </c>
      <c r="B3163" s="29" t="str">
        <f t="shared" si="49"/>
        <v>STO-03</v>
      </c>
      <c r="C3163" s="29" t="s">
        <v>9438</v>
      </c>
      <c r="D3163" s="67" t="s">
        <v>9439</v>
      </c>
      <c r="E3163" s="96" t="s">
        <v>62</v>
      </c>
      <c r="F3163" s="29" t="s">
        <v>61</v>
      </c>
      <c r="G3163" s="29"/>
      <c r="H3163" s="103">
        <f>_xlfn.XLOOKUP(B3163,GM!$Q$5:$Q$756,GM!$J$5:$J$756)</f>
        <v>45506</v>
      </c>
    </row>
    <row r="3164" spans="1:8" hidden="1" x14ac:dyDescent="0.35">
      <c r="A3164" s="29" t="s">
        <v>25</v>
      </c>
      <c r="B3164" s="29" t="str">
        <f t="shared" si="49"/>
        <v>STO-03</v>
      </c>
      <c r="C3164" s="29" t="s">
        <v>9440</v>
      </c>
      <c r="D3164" s="67" t="s">
        <v>9441</v>
      </c>
      <c r="E3164" s="96" t="s">
        <v>62</v>
      </c>
      <c r="F3164" s="29" t="s">
        <v>61</v>
      </c>
      <c r="G3164" s="29"/>
      <c r="H3164" s="103">
        <f>_xlfn.XLOOKUP(B3164,GM!$Q$5:$Q$756,GM!$J$5:$J$756)</f>
        <v>45506</v>
      </c>
    </row>
    <row r="3165" spans="1:8" hidden="1" x14ac:dyDescent="0.35">
      <c r="A3165" s="29" t="s">
        <v>25</v>
      </c>
      <c r="B3165" s="29" t="str">
        <f t="shared" si="49"/>
        <v>STO-03</v>
      </c>
      <c r="C3165" s="29" t="s">
        <v>9442</v>
      </c>
      <c r="D3165" s="67" t="s">
        <v>9443</v>
      </c>
      <c r="E3165" s="96" t="s">
        <v>62</v>
      </c>
      <c r="F3165" s="29" t="s">
        <v>61</v>
      </c>
      <c r="G3165" s="29"/>
      <c r="H3165" s="103">
        <f>_xlfn.XLOOKUP(B3165,GM!$Q$5:$Q$756,GM!$J$5:$J$756)</f>
        <v>45506</v>
      </c>
    </row>
    <row r="3166" spans="1:8" hidden="1" x14ac:dyDescent="0.35">
      <c r="A3166" s="29" t="s">
        <v>25</v>
      </c>
      <c r="B3166" s="29" t="str">
        <f t="shared" si="49"/>
        <v>STO-03</v>
      </c>
      <c r="C3166" s="29" t="s">
        <v>9444</v>
      </c>
      <c r="D3166" s="67" t="s">
        <v>9445</v>
      </c>
      <c r="E3166" s="96" t="s">
        <v>62</v>
      </c>
      <c r="F3166" s="29" t="s">
        <v>61</v>
      </c>
      <c r="G3166" s="29"/>
      <c r="H3166" s="103">
        <f>_xlfn.XLOOKUP(B3166,GM!$Q$5:$Q$756,GM!$J$5:$J$756)</f>
        <v>45506</v>
      </c>
    </row>
    <row r="3167" spans="1:8" hidden="1" x14ac:dyDescent="0.35">
      <c r="A3167" s="29" t="s">
        <v>25</v>
      </c>
      <c r="B3167" s="29" t="str">
        <f t="shared" si="49"/>
        <v>STO-03</v>
      </c>
      <c r="C3167" s="29" t="s">
        <v>9446</v>
      </c>
      <c r="D3167" s="67" t="s">
        <v>9447</v>
      </c>
      <c r="E3167" s="96" t="s">
        <v>62</v>
      </c>
      <c r="F3167" s="29" t="s">
        <v>61</v>
      </c>
      <c r="G3167" s="29"/>
      <c r="H3167" s="103">
        <f>_xlfn.XLOOKUP(B3167,GM!$Q$5:$Q$756,GM!$J$5:$J$756)</f>
        <v>45506</v>
      </c>
    </row>
    <row r="3168" spans="1:8" hidden="1" x14ac:dyDescent="0.35">
      <c r="A3168" s="29" t="s">
        <v>25</v>
      </c>
      <c r="B3168" s="29" t="str">
        <f t="shared" si="49"/>
        <v>STO-03</v>
      </c>
      <c r="C3168" s="29" t="s">
        <v>9448</v>
      </c>
      <c r="D3168" s="67" t="s">
        <v>9449</v>
      </c>
      <c r="E3168" s="96" t="s">
        <v>62</v>
      </c>
      <c r="F3168" s="29" t="s">
        <v>61</v>
      </c>
      <c r="G3168" s="29"/>
      <c r="H3168" s="103">
        <f>_xlfn.XLOOKUP(B3168,GM!$Q$5:$Q$756,GM!$J$5:$J$756)</f>
        <v>45506</v>
      </c>
    </row>
    <row r="3169" spans="1:8" hidden="1" x14ac:dyDescent="0.35">
      <c r="A3169" s="29" t="s">
        <v>25</v>
      </c>
      <c r="B3169" s="29" t="str">
        <f t="shared" si="49"/>
        <v>STO-03</v>
      </c>
      <c r="C3169" s="29" t="s">
        <v>9450</v>
      </c>
      <c r="D3169" s="67" t="s">
        <v>9451</v>
      </c>
      <c r="E3169" s="96" t="s">
        <v>62</v>
      </c>
      <c r="F3169" s="29" t="s">
        <v>61</v>
      </c>
      <c r="G3169" s="29"/>
      <c r="H3169" s="103">
        <f>_xlfn.XLOOKUP(B3169,GM!$Q$5:$Q$756,GM!$J$5:$J$756)</f>
        <v>45506</v>
      </c>
    </row>
    <row r="3170" spans="1:8" hidden="1" x14ac:dyDescent="0.35">
      <c r="A3170" s="29" t="s">
        <v>25</v>
      </c>
      <c r="B3170" s="29" t="str">
        <f t="shared" si="49"/>
        <v>STO-03</v>
      </c>
      <c r="C3170" s="29" t="s">
        <v>9452</v>
      </c>
      <c r="D3170" s="67" t="s">
        <v>9453</v>
      </c>
      <c r="E3170" s="96" t="s">
        <v>62</v>
      </c>
      <c r="F3170" s="29" t="s">
        <v>61</v>
      </c>
      <c r="G3170" s="29"/>
      <c r="H3170" s="103">
        <f>_xlfn.XLOOKUP(B3170,GM!$Q$5:$Q$756,GM!$J$5:$J$756)</f>
        <v>45506</v>
      </c>
    </row>
    <row r="3171" spans="1:8" hidden="1" x14ac:dyDescent="0.35">
      <c r="A3171" s="29" t="s">
        <v>25</v>
      </c>
      <c r="B3171" s="29" t="str">
        <f t="shared" si="49"/>
        <v>STO-03</v>
      </c>
      <c r="C3171" s="29" t="s">
        <v>9454</v>
      </c>
      <c r="D3171" s="67" t="s">
        <v>9455</v>
      </c>
      <c r="E3171" s="96" t="s">
        <v>62</v>
      </c>
      <c r="F3171" s="29" t="s">
        <v>61</v>
      </c>
      <c r="G3171" s="29"/>
      <c r="H3171" s="103">
        <f>_xlfn.XLOOKUP(B3171,GM!$Q$5:$Q$756,GM!$J$5:$J$756)</f>
        <v>45506</v>
      </c>
    </row>
    <row r="3172" spans="1:8" hidden="1" x14ac:dyDescent="0.35">
      <c r="A3172" s="29" t="s">
        <v>25</v>
      </c>
      <c r="B3172" s="29" t="str">
        <f t="shared" si="49"/>
        <v>STO-03</v>
      </c>
      <c r="C3172" s="29" t="s">
        <v>9456</v>
      </c>
      <c r="D3172" s="67" t="s">
        <v>9457</v>
      </c>
      <c r="E3172" s="96" t="s">
        <v>62</v>
      </c>
      <c r="F3172" s="29" t="s">
        <v>61</v>
      </c>
      <c r="G3172" s="29"/>
      <c r="H3172" s="103">
        <f>_xlfn.XLOOKUP(B3172,GM!$Q$5:$Q$756,GM!$J$5:$J$756)</f>
        <v>45506</v>
      </c>
    </row>
    <row r="3173" spans="1:8" hidden="1" x14ac:dyDescent="0.35">
      <c r="A3173" s="29" t="s">
        <v>25</v>
      </c>
      <c r="B3173" s="29" t="str">
        <f t="shared" si="49"/>
        <v>STO-03</v>
      </c>
      <c r="C3173" s="29" t="s">
        <v>9458</v>
      </c>
      <c r="D3173" s="67" t="s">
        <v>9459</v>
      </c>
      <c r="E3173" s="96" t="s">
        <v>62</v>
      </c>
      <c r="F3173" s="29" t="s">
        <v>61</v>
      </c>
      <c r="G3173" s="29"/>
      <c r="H3173" s="103">
        <f>_xlfn.XLOOKUP(B3173,GM!$Q$5:$Q$756,GM!$J$5:$J$756)</f>
        <v>45506</v>
      </c>
    </row>
    <row r="3174" spans="1:8" hidden="1" x14ac:dyDescent="0.35">
      <c r="A3174" s="29" t="s">
        <v>25</v>
      </c>
      <c r="B3174" s="29" t="str">
        <f t="shared" si="49"/>
        <v>STO-03</v>
      </c>
      <c r="C3174" s="29" t="s">
        <v>9460</v>
      </c>
      <c r="D3174" s="67" t="s">
        <v>9461</v>
      </c>
      <c r="E3174" s="96" t="s">
        <v>62</v>
      </c>
      <c r="F3174" s="29" t="s">
        <v>61</v>
      </c>
      <c r="G3174" s="29"/>
      <c r="H3174" s="103">
        <f>_xlfn.XLOOKUP(B3174,GM!$Q$5:$Q$756,GM!$J$5:$J$756)</f>
        <v>45506</v>
      </c>
    </row>
    <row r="3175" spans="1:8" hidden="1" x14ac:dyDescent="0.35">
      <c r="A3175" s="29" t="s">
        <v>25</v>
      </c>
      <c r="B3175" s="29" t="str">
        <f t="shared" si="49"/>
        <v>STO-03</v>
      </c>
      <c r="C3175" s="29" t="s">
        <v>9462</v>
      </c>
      <c r="D3175" s="67" t="s">
        <v>9463</v>
      </c>
      <c r="E3175" s="96" t="s">
        <v>62</v>
      </c>
      <c r="F3175" s="29" t="s">
        <v>61</v>
      </c>
      <c r="G3175" s="29"/>
      <c r="H3175" s="103">
        <f>_xlfn.XLOOKUP(B3175,GM!$Q$5:$Q$756,GM!$J$5:$J$756)</f>
        <v>45506</v>
      </c>
    </row>
    <row r="3176" spans="1:8" hidden="1" x14ac:dyDescent="0.35">
      <c r="A3176" s="29" t="s">
        <v>25</v>
      </c>
      <c r="B3176" s="29" t="str">
        <f t="shared" si="49"/>
        <v>STO-04</v>
      </c>
      <c r="C3176" s="29" t="s">
        <v>9464</v>
      </c>
      <c r="D3176" s="67" t="s">
        <v>9465</v>
      </c>
      <c r="E3176" s="96" t="s">
        <v>62</v>
      </c>
      <c r="F3176" s="29" t="s">
        <v>61</v>
      </c>
      <c r="G3176" s="29"/>
      <c r="H3176" s="103">
        <f>_xlfn.XLOOKUP(B3176,GM!$Q$5:$Q$756,GM!$J$5:$J$756)</f>
        <v>46107</v>
      </c>
    </row>
    <row r="3177" spans="1:8" hidden="1" x14ac:dyDescent="0.35">
      <c r="A3177" s="29" t="s">
        <v>25</v>
      </c>
      <c r="B3177" s="29" t="str">
        <f t="shared" si="49"/>
        <v>STO-04</v>
      </c>
      <c r="C3177" s="29" t="s">
        <v>9466</v>
      </c>
      <c r="D3177" s="67" t="s">
        <v>9467</v>
      </c>
      <c r="E3177" s="96" t="s">
        <v>62</v>
      </c>
      <c r="F3177" s="29" t="s">
        <v>61</v>
      </c>
      <c r="G3177" s="29"/>
      <c r="H3177" s="103">
        <f>_xlfn.XLOOKUP(B3177,GM!$Q$5:$Q$756,GM!$J$5:$J$756)</f>
        <v>46107</v>
      </c>
    </row>
    <row r="3178" spans="1:8" hidden="1" x14ac:dyDescent="0.35">
      <c r="A3178" s="29" t="s">
        <v>25</v>
      </c>
      <c r="B3178" s="29" t="str">
        <f t="shared" si="49"/>
        <v>STO-04</v>
      </c>
      <c r="C3178" s="29" t="s">
        <v>9468</v>
      </c>
      <c r="D3178" s="67" t="s">
        <v>9469</v>
      </c>
      <c r="E3178" s="96" t="s">
        <v>62</v>
      </c>
      <c r="F3178" s="29" t="s">
        <v>61</v>
      </c>
      <c r="G3178" s="29"/>
      <c r="H3178" s="103">
        <f>_xlfn.XLOOKUP(B3178,GM!$Q$5:$Q$756,GM!$J$5:$J$756)</f>
        <v>46107</v>
      </c>
    </row>
    <row r="3179" spans="1:8" hidden="1" x14ac:dyDescent="0.35">
      <c r="A3179" s="29" t="s">
        <v>25</v>
      </c>
      <c r="B3179" s="29" t="str">
        <f t="shared" si="49"/>
        <v>STO-04</v>
      </c>
      <c r="C3179" s="29" t="s">
        <v>9470</v>
      </c>
      <c r="D3179" s="67" t="s">
        <v>9471</v>
      </c>
      <c r="E3179" s="96" t="s">
        <v>62</v>
      </c>
      <c r="F3179" s="29" t="s">
        <v>61</v>
      </c>
      <c r="G3179" s="29"/>
      <c r="H3179" s="103">
        <f>_xlfn.XLOOKUP(B3179,GM!$Q$5:$Q$756,GM!$J$5:$J$756)</f>
        <v>46107</v>
      </c>
    </row>
    <row r="3180" spans="1:8" hidden="1" x14ac:dyDescent="0.35">
      <c r="A3180" s="29" t="s">
        <v>25</v>
      </c>
      <c r="B3180" s="29" t="str">
        <f t="shared" si="49"/>
        <v>STO-04</v>
      </c>
      <c r="C3180" s="29" t="s">
        <v>9472</v>
      </c>
      <c r="D3180" s="67" t="s">
        <v>9473</v>
      </c>
      <c r="E3180" s="96" t="s">
        <v>62</v>
      </c>
      <c r="F3180" s="29" t="s">
        <v>61</v>
      </c>
      <c r="G3180" s="29"/>
      <c r="H3180" s="103">
        <f>_xlfn.XLOOKUP(B3180,GM!$Q$5:$Q$756,GM!$J$5:$J$756)</f>
        <v>46107</v>
      </c>
    </row>
    <row r="3181" spans="1:8" hidden="1" x14ac:dyDescent="0.35">
      <c r="A3181" s="29" t="s">
        <v>25</v>
      </c>
      <c r="B3181" s="29" t="str">
        <f t="shared" si="49"/>
        <v>STO-04</v>
      </c>
      <c r="C3181" s="29" t="s">
        <v>9474</v>
      </c>
      <c r="D3181" s="67" t="s">
        <v>9475</v>
      </c>
      <c r="E3181" s="96" t="s">
        <v>62</v>
      </c>
      <c r="F3181" s="29" t="s">
        <v>61</v>
      </c>
      <c r="G3181" s="29"/>
      <c r="H3181" s="103">
        <f>_xlfn.XLOOKUP(B3181,GM!$Q$5:$Q$756,GM!$J$5:$J$756)</f>
        <v>46107</v>
      </c>
    </row>
    <row r="3182" spans="1:8" hidden="1" x14ac:dyDescent="0.35">
      <c r="A3182" s="29" t="s">
        <v>25</v>
      </c>
      <c r="B3182" s="29" t="str">
        <f t="shared" si="49"/>
        <v>STO-04</v>
      </c>
      <c r="C3182" s="29" t="s">
        <v>9476</v>
      </c>
      <c r="D3182" s="67" t="s">
        <v>9477</v>
      </c>
      <c r="E3182" s="96" t="s">
        <v>62</v>
      </c>
      <c r="F3182" s="29" t="s">
        <v>61</v>
      </c>
      <c r="G3182" s="29"/>
      <c r="H3182" s="103">
        <f>_xlfn.XLOOKUP(B3182,GM!$Q$5:$Q$756,GM!$J$5:$J$756)</f>
        <v>46107</v>
      </c>
    </row>
    <row r="3183" spans="1:8" hidden="1" x14ac:dyDescent="0.35">
      <c r="A3183" s="29" t="s">
        <v>25</v>
      </c>
      <c r="B3183" s="29" t="str">
        <f t="shared" si="49"/>
        <v>STO-04</v>
      </c>
      <c r="C3183" s="29" t="s">
        <v>9478</v>
      </c>
      <c r="D3183" s="67" t="s">
        <v>9479</v>
      </c>
      <c r="E3183" s="96" t="s">
        <v>62</v>
      </c>
      <c r="F3183" s="29" t="s">
        <v>61</v>
      </c>
      <c r="G3183" s="29"/>
      <c r="H3183" s="103">
        <f>_xlfn.XLOOKUP(B3183,GM!$Q$5:$Q$756,GM!$J$5:$J$756)</f>
        <v>46107</v>
      </c>
    </row>
    <row r="3184" spans="1:8" hidden="1" x14ac:dyDescent="0.35">
      <c r="A3184" s="29" t="s">
        <v>25</v>
      </c>
      <c r="B3184" s="29" t="str">
        <f t="shared" si="49"/>
        <v>STO-04</v>
      </c>
      <c r="C3184" s="29" t="s">
        <v>9480</v>
      </c>
      <c r="D3184" s="67" t="s">
        <v>9481</v>
      </c>
      <c r="E3184" s="96" t="s">
        <v>62</v>
      </c>
      <c r="F3184" s="29" t="s">
        <v>61</v>
      </c>
      <c r="G3184" s="29"/>
      <c r="H3184" s="103">
        <f>_xlfn.XLOOKUP(B3184,GM!$Q$5:$Q$756,GM!$J$5:$J$756)</f>
        <v>46107</v>
      </c>
    </row>
    <row r="3185" spans="1:8" hidden="1" x14ac:dyDescent="0.35">
      <c r="A3185" s="29" t="s">
        <v>25</v>
      </c>
      <c r="B3185" s="29" t="str">
        <f t="shared" si="49"/>
        <v>STO-04</v>
      </c>
      <c r="C3185" s="29" t="s">
        <v>9482</v>
      </c>
      <c r="D3185" s="67" t="s">
        <v>9483</v>
      </c>
      <c r="E3185" s="96" t="s">
        <v>62</v>
      </c>
      <c r="F3185" s="29" t="s">
        <v>61</v>
      </c>
      <c r="G3185" s="29"/>
      <c r="H3185" s="103">
        <f>_xlfn.XLOOKUP(B3185,GM!$Q$5:$Q$756,GM!$J$5:$J$756)</f>
        <v>46107</v>
      </c>
    </row>
    <row r="3186" spans="1:8" hidden="1" x14ac:dyDescent="0.35">
      <c r="A3186" s="29" t="s">
        <v>25</v>
      </c>
      <c r="B3186" s="29" t="str">
        <f t="shared" si="49"/>
        <v>STO-04</v>
      </c>
      <c r="C3186" s="29" t="s">
        <v>9484</v>
      </c>
      <c r="D3186" s="67" t="s">
        <v>9485</v>
      </c>
      <c r="E3186" s="96" t="s">
        <v>62</v>
      </c>
      <c r="F3186" s="29" t="s">
        <v>61</v>
      </c>
      <c r="G3186" s="29"/>
      <c r="H3186" s="103">
        <f>_xlfn.XLOOKUP(B3186,GM!$Q$5:$Q$756,GM!$J$5:$J$756)</f>
        <v>46107</v>
      </c>
    </row>
    <row r="3187" spans="1:8" hidden="1" x14ac:dyDescent="0.35">
      <c r="A3187" s="29" t="s">
        <v>25</v>
      </c>
      <c r="B3187" s="29" t="str">
        <f t="shared" si="49"/>
        <v>STO-04</v>
      </c>
      <c r="C3187" s="29" t="s">
        <v>9486</v>
      </c>
      <c r="D3187" s="67" t="s">
        <v>9487</v>
      </c>
      <c r="E3187" s="96" t="s">
        <v>62</v>
      </c>
      <c r="F3187" s="29" t="s">
        <v>61</v>
      </c>
      <c r="G3187" s="29"/>
      <c r="H3187" s="103">
        <f>_xlfn.XLOOKUP(B3187,GM!$Q$5:$Q$756,GM!$J$5:$J$756)</f>
        <v>46107</v>
      </c>
    </row>
    <row r="3188" spans="1:8" hidden="1" x14ac:dyDescent="0.35">
      <c r="A3188" s="29" t="s">
        <v>25</v>
      </c>
      <c r="B3188" s="29" t="str">
        <f t="shared" si="49"/>
        <v>STO-04</v>
      </c>
      <c r="C3188" s="29" t="s">
        <v>9488</v>
      </c>
      <c r="D3188" s="67" t="s">
        <v>9489</v>
      </c>
      <c r="E3188" s="96" t="s">
        <v>62</v>
      </c>
      <c r="F3188" s="29" t="s">
        <v>61</v>
      </c>
      <c r="G3188" s="29"/>
      <c r="H3188" s="103">
        <f>_xlfn.XLOOKUP(B3188,GM!$Q$5:$Q$756,GM!$J$5:$J$756)</f>
        <v>46107</v>
      </c>
    </row>
    <row r="3189" spans="1:8" hidden="1" x14ac:dyDescent="0.35">
      <c r="A3189" s="29" t="s">
        <v>25</v>
      </c>
      <c r="B3189" s="29" t="str">
        <f t="shared" si="49"/>
        <v>STO-04</v>
      </c>
      <c r="C3189" s="29" t="s">
        <v>9490</v>
      </c>
      <c r="D3189" s="67" t="s">
        <v>9491</v>
      </c>
      <c r="E3189" s="96" t="s">
        <v>62</v>
      </c>
      <c r="F3189" s="29" t="s">
        <v>61</v>
      </c>
      <c r="G3189" s="29"/>
      <c r="H3189" s="103">
        <f>_xlfn.XLOOKUP(B3189,GM!$Q$5:$Q$756,GM!$J$5:$J$756)</f>
        <v>46107</v>
      </c>
    </row>
    <row r="3190" spans="1:8" hidden="1" x14ac:dyDescent="0.35">
      <c r="A3190" s="29" t="s">
        <v>25</v>
      </c>
      <c r="B3190" s="29" t="str">
        <f t="shared" si="49"/>
        <v>STO-04</v>
      </c>
      <c r="C3190" s="29" t="s">
        <v>9492</v>
      </c>
      <c r="D3190" s="67" t="s">
        <v>9493</v>
      </c>
      <c r="E3190" s="96" t="s">
        <v>62</v>
      </c>
      <c r="F3190" s="29" t="s">
        <v>61</v>
      </c>
      <c r="G3190" s="29"/>
      <c r="H3190" s="103">
        <f>_xlfn.XLOOKUP(B3190,GM!$Q$5:$Q$756,GM!$J$5:$J$756)</f>
        <v>46107</v>
      </c>
    </row>
    <row r="3191" spans="1:8" hidden="1" x14ac:dyDescent="0.35">
      <c r="A3191" s="29" t="s">
        <v>25</v>
      </c>
      <c r="B3191" s="29" t="str">
        <f t="shared" si="49"/>
        <v>STO-04</v>
      </c>
      <c r="C3191" s="29" t="s">
        <v>9494</v>
      </c>
      <c r="D3191" s="67" t="s">
        <v>9495</v>
      </c>
      <c r="E3191" s="96" t="s">
        <v>62</v>
      </c>
      <c r="F3191" s="29" t="s">
        <v>61</v>
      </c>
      <c r="G3191" s="29"/>
      <c r="H3191" s="103">
        <f>_xlfn.XLOOKUP(B3191,GM!$Q$5:$Q$756,GM!$J$5:$J$756)</f>
        <v>46107</v>
      </c>
    </row>
    <row r="3192" spans="1:8" hidden="1" x14ac:dyDescent="0.35">
      <c r="A3192" s="29" t="s">
        <v>25</v>
      </c>
      <c r="B3192" s="29" t="str">
        <f t="shared" si="49"/>
        <v>STO-04</v>
      </c>
      <c r="C3192" s="29" t="s">
        <v>9496</v>
      </c>
      <c r="D3192" s="67" t="s">
        <v>9497</v>
      </c>
      <c r="E3192" s="96" t="s">
        <v>62</v>
      </c>
      <c r="F3192" s="29" t="s">
        <v>61</v>
      </c>
      <c r="G3192" s="29"/>
      <c r="H3192" s="103">
        <f>_xlfn.XLOOKUP(B3192,GM!$Q$5:$Q$756,GM!$J$5:$J$756)</f>
        <v>46107</v>
      </c>
    </row>
    <row r="3193" spans="1:8" hidden="1" x14ac:dyDescent="0.35">
      <c r="A3193" s="29" t="s">
        <v>25</v>
      </c>
      <c r="B3193" s="29" t="str">
        <f t="shared" si="49"/>
        <v>STO-04</v>
      </c>
      <c r="C3193" s="29" t="s">
        <v>9498</v>
      </c>
      <c r="D3193" s="67" t="s">
        <v>9499</v>
      </c>
      <c r="E3193" s="96" t="s">
        <v>62</v>
      </c>
      <c r="F3193" s="29" t="s">
        <v>61</v>
      </c>
      <c r="G3193" s="29"/>
      <c r="H3193" s="103">
        <f>_xlfn.XLOOKUP(B3193,GM!$Q$5:$Q$756,GM!$J$5:$J$756)</f>
        <v>46107</v>
      </c>
    </row>
    <row r="3194" spans="1:8" hidden="1" x14ac:dyDescent="0.35">
      <c r="A3194" s="29" t="s">
        <v>25</v>
      </c>
      <c r="B3194" s="29" t="str">
        <f t="shared" si="49"/>
        <v>STO-04</v>
      </c>
      <c r="C3194" s="29" t="s">
        <v>9500</v>
      </c>
      <c r="D3194" s="67" t="s">
        <v>9501</v>
      </c>
      <c r="E3194" s="96" t="s">
        <v>62</v>
      </c>
      <c r="F3194" s="29" t="s">
        <v>61</v>
      </c>
      <c r="G3194" s="29"/>
      <c r="H3194" s="103">
        <f>_xlfn.XLOOKUP(B3194,GM!$Q$5:$Q$756,GM!$J$5:$J$756)</f>
        <v>46107</v>
      </c>
    </row>
    <row r="3195" spans="1:8" hidden="1" x14ac:dyDescent="0.35">
      <c r="A3195" s="29" t="s">
        <v>25</v>
      </c>
      <c r="B3195" s="29" t="str">
        <f t="shared" si="49"/>
        <v>STO-04</v>
      </c>
      <c r="C3195" s="29" t="s">
        <v>9502</v>
      </c>
      <c r="D3195" s="67" t="s">
        <v>9503</v>
      </c>
      <c r="E3195" s="96" t="s">
        <v>62</v>
      </c>
      <c r="F3195" s="29" t="s">
        <v>61</v>
      </c>
      <c r="G3195" s="29"/>
      <c r="H3195" s="103">
        <f>_xlfn.XLOOKUP(B3195,GM!$Q$5:$Q$756,GM!$J$5:$J$756)</f>
        <v>46107</v>
      </c>
    </row>
    <row r="3196" spans="1:8" hidden="1" x14ac:dyDescent="0.35">
      <c r="A3196" s="29" t="s">
        <v>25</v>
      </c>
      <c r="B3196" s="29" t="str">
        <f t="shared" si="49"/>
        <v>STO-04</v>
      </c>
      <c r="C3196" s="29" t="s">
        <v>9504</v>
      </c>
      <c r="D3196" s="67" t="s">
        <v>9505</v>
      </c>
      <c r="E3196" s="96" t="s">
        <v>62</v>
      </c>
      <c r="F3196" s="29" t="s">
        <v>61</v>
      </c>
      <c r="G3196" s="29"/>
      <c r="H3196" s="103">
        <f>_xlfn.XLOOKUP(B3196,GM!$Q$5:$Q$756,GM!$J$5:$J$756)</f>
        <v>46107</v>
      </c>
    </row>
    <row r="3197" spans="1:8" hidden="1" x14ac:dyDescent="0.35">
      <c r="A3197" s="29" t="s">
        <v>25</v>
      </c>
      <c r="B3197" s="29" t="str">
        <f t="shared" si="49"/>
        <v>STO-04</v>
      </c>
      <c r="C3197" s="29" t="s">
        <v>9506</v>
      </c>
      <c r="D3197" s="67" t="s">
        <v>9507</v>
      </c>
      <c r="E3197" s="96" t="s">
        <v>62</v>
      </c>
      <c r="F3197" s="29" t="s">
        <v>61</v>
      </c>
      <c r="G3197" s="29"/>
      <c r="H3197" s="103">
        <f>_xlfn.XLOOKUP(B3197,GM!$Q$5:$Q$756,GM!$J$5:$J$756)</f>
        <v>46107</v>
      </c>
    </row>
    <row r="3198" spans="1:8" hidden="1" x14ac:dyDescent="0.35">
      <c r="A3198" s="29" t="s">
        <v>25</v>
      </c>
      <c r="B3198" s="29" t="str">
        <f t="shared" si="49"/>
        <v>STO-05</v>
      </c>
      <c r="C3198" s="29" t="s">
        <v>9508</v>
      </c>
      <c r="D3198" s="67" t="s">
        <v>9509</v>
      </c>
      <c r="E3198" s="96" t="s">
        <v>62</v>
      </c>
      <c r="F3198" s="29" t="s">
        <v>61</v>
      </c>
      <c r="G3198" s="29"/>
      <c r="H3198" s="103">
        <f>_xlfn.XLOOKUP(B3198,GM!$Q$5:$Q$756,GM!$J$5:$J$756)</f>
        <v>46107</v>
      </c>
    </row>
    <row r="3199" spans="1:8" hidden="1" x14ac:dyDescent="0.35">
      <c r="A3199" s="29" t="s">
        <v>25</v>
      </c>
      <c r="B3199" s="29" t="str">
        <f t="shared" si="49"/>
        <v>STO-05</v>
      </c>
      <c r="C3199" s="29" t="s">
        <v>9510</v>
      </c>
      <c r="D3199" s="67" t="s">
        <v>9511</v>
      </c>
      <c r="E3199" s="96" t="s">
        <v>62</v>
      </c>
      <c r="F3199" s="29" t="s">
        <v>61</v>
      </c>
      <c r="G3199" s="29"/>
      <c r="H3199" s="103">
        <f>_xlfn.XLOOKUP(B3199,GM!$Q$5:$Q$756,GM!$J$5:$J$756)</f>
        <v>46107</v>
      </c>
    </row>
    <row r="3200" spans="1:8" hidden="1" x14ac:dyDescent="0.35">
      <c r="A3200" s="29" t="s">
        <v>25</v>
      </c>
      <c r="B3200" s="29" t="str">
        <f t="shared" si="49"/>
        <v>STO-05</v>
      </c>
      <c r="C3200" s="29" t="s">
        <v>9512</v>
      </c>
      <c r="D3200" s="67" t="s">
        <v>9513</v>
      </c>
      <c r="E3200" s="96" t="s">
        <v>62</v>
      </c>
      <c r="F3200" s="29" t="s">
        <v>61</v>
      </c>
      <c r="G3200" s="29"/>
      <c r="H3200" s="103">
        <f>_xlfn.XLOOKUP(B3200,GM!$Q$5:$Q$756,GM!$J$5:$J$756)</f>
        <v>46107</v>
      </c>
    </row>
    <row r="3201" spans="1:8" hidden="1" x14ac:dyDescent="0.35">
      <c r="A3201" s="29" t="s">
        <v>25</v>
      </c>
      <c r="B3201" s="29" t="str">
        <f t="shared" si="49"/>
        <v>STO-05</v>
      </c>
      <c r="C3201" s="29" t="s">
        <v>9514</v>
      </c>
      <c r="D3201" s="67" t="s">
        <v>9515</v>
      </c>
      <c r="E3201" s="96" t="s">
        <v>62</v>
      </c>
      <c r="F3201" s="29" t="s">
        <v>61</v>
      </c>
      <c r="G3201" s="29"/>
      <c r="H3201" s="103">
        <f>_xlfn.XLOOKUP(B3201,GM!$Q$5:$Q$756,GM!$J$5:$J$756)</f>
        <v>46107</v>
      </c>
    </row>
    <row r="3202" spans="1:8" hidden="1" x14ac:dyDescent="0.35">
      <c r="A3202" s="29" t="s">
        <v>25</v>
      </c>
      <c r="B3202" s="29" t="str">
        <f t="shared" si="49"/>
        <v>STO-05</v>
      </c>
      <c r="C3202" s="29" t="s">
        <v>9516</v>
      </c>
      <c r="D3202" s="67" t="s">
        <v>9517</v>
      </c>
      <c r="E3202" s="96" t="s">
        <v>62</v>
      </c>
      <c r="F3202" s="29" t="s">
        <v>61</v>
      </c>
      <c r="G3202" s="29"/>
      <c r="H3202" s="103">
        <f>_xlfn.XLOOKUP(B3202,GM!$Q$5:$Q$756,GM!$J$5:$J$756)</f>
        <v>46107</v>
      </c>
    </row>
    <row r="3203" spans="1:8" hidden="1" x14ac:dyDescent="0.35">
      <c r="A3203" s="29" t="s">
        <v>25</v>
      </c>
      <c r="B3203" s="29" t="str">
        <f t="shared" si="49"/>
        <v>STO-05</v>
      </c>
      <c r="C3203" s="29" t="s">
        <v>9518</v>
      </c>
      <c r="D3203" s="67" t="s">
        <v>9519</v>
      </c>
      <c r="E3203" s="96" t="s">
        <v>62</v>
      </c>
      <c r="F3203" s="29" t="s">
        <v>61</v>
      </c>
      <c r="G3203" s="29"/>
      <c r="H3203" s="103">
        <f>_xlfn.XLOOKUP(B3203,GM!$Q$5:$Q$756,GM!$J$5:$J$756)</f>
        <v>46107</v>
      </c>
    </row>
    <row r="3204" spans="1:8" hidden="1" x14ac:dyDescent="0.35">
      <c r="A3204" s="29" t="s">
        <v>25</v>
      </c>
      <c r="B3204" s="29" t="str">
        <f t="shared" si="49"/>
        <v>STO-06</v>
      </c>
      <c r="C3204" s="29" t="s">
        <v>9520</v>
      </c>
      <c r="D3204" s="67" t="s">
        <v>9521</v>
      </c>
      <c r="E3204" s="96" t="s">
        <v>62</v>
      </c>
      <c r="F3204" s="29" t="s">
        <v>61</v>
      </c>
      <c r="G3204" s="29"/>
      <c r="H3204" s="103">
        <f>_xlfn.XLOOKUP(B3204,GM!$Q$5:$Q$756,GM!$J$5:$J$756)</f>
        <v>46107</v>
      </c>
    </row>
    <row r="3205" spans="1:8" hidden="1" x14ac:dyDescent="0.35">
      <c r="A3205" s="29" t="s">
        <v>25</v>
      </c>
      <c r="B3205" s="29" t="str">
        <f t="shared" ref="B3205:B3268" si="50">IF(OR(A3205="ARN",A3205="SDP"),MID(C3205,4,7),MID(C3205,4,6))</f>
        <v>STO-06</v>
      </c>
      <c r="C3205" s="29" t="s">
        <v>9522</v>
      </c>
      <c r="D3205" s="67" t="s">
        <v>9523</v>
      </c>
      <c r="E3205" s="96" t="s">
        <v>62</v>
      </c>
      <c r="F3205" s="29" t="s">
        <v>61</v>
      </c>
      <c r="G3205" s="29"/>
      <c r="H3205" s="103">
        <f>_xlfn.XLOOKUP(B3205,GM!$Q$5:$Q$756,GM!$J$5:$J$756)</f>
        <v>46107</v>
      </c>
    </row>
    <row r="3206" spans="1:8" hidden="1" x14ac:dyDescent="0.35">
      <c r="A3206" s="29" t="s">
        <v>25</v>
      </c>
      <c r="B3206" s="29" t="str">
        <f t="shared" si="50"/>
        <v>STO-06</v>
      </c>
      <c r="C3206" s="29" t="s">
        <v>9524</v>
      </c>
      <c r="D3206" s="67" t="s">
        <v>9525</v>
      </c>
      <c r="E3206" s="96" t="s">
        <v>62</v>
      </c>
      <c r="F3206" s="29" t="s">
        <v>61</v>
      </c>
      <c r="G3206" s="29"/>
      <c r="H3206" s="103">
        <f>_xlfn.XLOOKUP(B3206,GM!$Q$5:$Q$756,GM!$J$5:$J$756)</f>
        <v>46107</v>
      </c>
    </row>
    <row r="3207" spans="1:8" hidden="1" x14ac:dyDescent="0.35">
      <c r="A3207" s="29" t="s">
        <v>25</v>
      </c>
      <c r="B3207" s="29" t="str">
        <f t="shared" si="50"/>
        <v>STO-06</v>
      </c>
      <c r="C3207" s="29" t="s">
        <v>9526</v>
      </c>
      <c r="D3207" s="67" t="s">
        <v>9527</v>
      </c>
      <c r="E3207" s="96" t="s">
        <v>62</v>
      </c>
      <c r="F3207" s="29" t="s">
        <v>61</v>
      </c>
      <c r="G3207" s="29"/>
      <c r="H3207" s="103">
        <f>_xlfn.XLOOKUP(B3207,GM!$Q$5:$Q$756,GM!$J$5:$J$756)</f>
        <v>46107</v>
      </c>
    </row>
    <row r="3208" spans="1:8" hidden="1" x14ac:dyDescent="0.35">
      <c r="A3208" s="29" t="s">
        <v>25</v>
      </c>
      <c r="B3208" s="29" t="str">
        <f t="shared" si="50"/>
        <v>STO-06</v>
      </c>
      <c r="C3208" s="29" t="s">
        <v>9528</v>
      </c>
      <c r="D3208" s="67" t="s">
        <v>9529</v>
      </c>
      <c r="E3208" s="96" t="s">
        <v>62</v>
      </c>
      <c r="F3208" s="29" t="s">
        <v>61</v>
      </c>
      <c r="G3208" s="29"/>
      <c r="H3208" s="103">
        <f>_xlfn.XLOOKUP(B3208,GM!$Q$5:$Q$756,GM!$J$5:$J$756)</f>
        <v>46107</v>
      </c>
    </row>
    <row r="3209" spans="1:8" hidden="1" x14ac:dyDescent="0.35">
      <c r="A3209" s="29" t="s">
        <v>25</v>
      </c>
      <c r="B3209" s="29" t="str">
        <f t="shared" si="50"/>
        <v>STO-06</v>
      </c>
      <c r="C3209" s="29" t="s">
        <v>9530</v>
      </c>
      <c r="D3209" s="67" t="s">
        <v>9531</v>
      </c>
      <c r="E3209" s="96" t="s">
        <v>62</v>
      </c>
      <c r="F3209" s="29" t="s">
        <v>61</v>
      </c>
      <c r="G3209" s="29"/>
      <c r="H3209" s="103">
        <f>_xlfn.XLOOKUP(B3209,GM!$Q$5:$Q$756,GM!$J$5:$J$756)</f>
        <v>46107</v>
      </c>
    </row>
    <row r="3210" spans="1:8" hidden="1" x14ac:dyDescent="0.35">
      <c r="A3210" s="29" t="s">
        <v>25</v>
      </c>
      <c r="B3210" s="29" t="str">
        <f t="shared" si="50"/>
        <v>STO-06</v>
      </c>
      <c r="C3210" s="29" t="s">
        <v>9532</v>
      </c>
      <c r="D3210" s="67" t="s">
        <v>9533</v>
      </c>
      <c r="E3210" s="96" t="s">
        <v>62</v>
      </c>
      <c r="F3210" s="29" t="s">
        <v>61</v>
      </c>
      <c r="G3210" s="29"/>
      <c r="H3210" s="103">
        <f>_xlfn.XLOOKUP(B3210,GM!$Q$5:$Q$756,GM!$J$5:$J$756)</f>
        <v>46107</v>
      </c>
    </row>
    <row r="3211" spans="1:8" hidden="1" x14ac:dyDescent="0.35">
      <c r="A3211" s="29" t="s">
        <v>25</v>
      </c>
      <c r="B3211" s="29" t="str">
        <f t="shared" si="50"/>
        <v>STO-06</v>
      </c>
      <c r="C3211" s="29" t="s">
        <v>9534</v>
      </c>
      <c r="D3211" s="67" t="s">
        <v>9535</v>
      </c>
      <c r="E3211" s="96" t="s">
        <v>62</v>
      </c>
      <c r="F3211" s="29" t="s">
        <v>61</v>
      </c>
      <c r="G3211" s="29"/>
      <c r="H3211" s="103">
        <f>_xlfn.XLOOKUP(B3211,GM!$Q$5:$Q$756,GM!$J$5:$J$756)</f>
        <v>46107</v>
      </c>
    </row>
    <row r="3212" spans="1:8" hidden="1" x14ac:dyDescent="0.35">
      <c r="A3212" s="29" t="s">
        <v>25</v>
      </c>
      <c r="B3212" s="29" t="str">
        <f t="shared" si="50"/>
        <v>STO-06</v>
      </c>
      <c r="C3212" s="29" t="s">
        <v>9536</v>
      </c>
      <c r="D3212" s="67" t="s">
        <v>9537</v>
      </c>
      <c r="E3212" s="96" t="s">
        <v>62</v>
      </c>
      <c r="F3212" s="29" t="s">
        <v>61</v>
      </c>
      <c r="G3212" s="29"/>
      <c r="H3212" s="103">
        <f>_xlfn.XLOOKUP(B3212,GM!$Q$5:$Q$756,GM!$J$5:$J$756)</f>
        <v>46107</v>
      </c>
    </row>
    <row r="3213" spans="1:8" hidden="1" x14ac:dyDescent="0.35">
      <c r="A3213" s="29" t="s">
        <v>25</v>
      </c>
      <c r="B3213" s="29" t="str">
        <f t="shared" si="50"/>
        <v>STO-06</v>
      </c>
      <c r="C3213" s="29" t="s">
        <v>9538</v>
      </c>
      <c r="D3213" s="67" t="s">
        <v>9539</v>
      </c>
      <c r="E3213" s="96" t="s">
        <v>62</v>
      </c>
      <c r="F3213" s="29" t="s">
        <v>61</v>
      </c>
      <c r="G3213" s="29"/>
      <c r="H3213" s="103">
        <f>_xlfn.XLOOKUP(B3213,GM!$Q$5:$Q$756,GM!$J$5:$J$756)</f>
        <v>46107</v>
      </c>
    </row>
    <row r="3214" spans="1:8" hidden="1" x14ac:dyDescent="0.35">
      <c r="A3214" s="29" t="s">
        <v>25</v>
      </c>
      <c r="B3214" s="29" t="str">
        <f t="shared" si="50"/>
        <v>STO-06</v>
      </c>
      <c r="C3214" s="29" t="s">
        <v>9540</v>
      </c>
      <c r="D3214" s="67" t="s">
        <v>9541</v>
      </c>
      <c r="E3214" s="96" t="s">
        <v>62</v>
      </c>
      <c r="F3214" s="29" t="s">
        <v>61</v>
      </c>
      <c r="G3214" s="29"/>
      <c r="H3214" s="103">
        <f>_xlfn.XLOOKUP(B3214,GM!$Q$5:$Q$756,GM!$J$5:$J$756)</f>
        <v>46107</v>
      </c>
    </row>
    <row r="3215" spans="1:8" hidden="1" x14ac:dyDescent="0.35">
      <c r="A3215" s="29" t="s">
        <v>25</v>
      </c>
      <c r="B3215" s="29" t="str">
        <f t="shared" si="50"/>
        <v>STO-06</v>
      </c>
      <c r="C3215" s="29" t="s">
        <v>9542</v>
      </c>
      <c r="D3215" s="67" t="s">
        <v>9543</v>
      </c>
      <c r="E3215" s="96" t="s">
        <v>62</v>
      </c>
      <c r="F3215" s="29" t="s">
        <v>61</v>
      </c>
      <c r="G3215" s="29"/>
      <c r="H3215" s="103">
        <f>_xlfn.XLOOKUP(B3215,GM!$Q$5:$Q$756,GM!$J$5:$J$756)</f>
        <v>46107</v>
      </c>
    </row>
    <row r="3216" spans="1:8" hidden="1" x14ac:dyDescent="0.35">
      <c r="A3216" s="29" t="s">
        <v>25</v>
      </c>
      <c r="B3216" s="29" t="str">
        <f t="shared" si="50"/>
        <v>STO-06</v>
      </c>
      <c r="C3216" s="29" t="s">
        <v>9544</v>
      </c>
      <c r="D3216" s="67" t="s">
        <v>9545</v>
      </c>
      <c r="E3216" s="96" t="s">
        <v>62</v>
      </c>
      <c r="F3216" s="29" t="s">
        <v>61</v>
      </c>
      <c r="G3216" s="29"/>
      <c r="H3216" s="103">
        <f>_xlfn.XLOOKUP(B3216,GM!$Q$5:$Q$756,GM!$J$5:$J$756)</f>
        <v>46107</v>
      </c>
    </row>
    <row r="3217" spans="1:8" hidden="1" x14ac:dyDescent="0.35">
      <c r="A3217" s="29" t="s">
        <v>25</v>
      </c>
      <c r="B3217" s="29" t="str">
        <f t="shared" si="50"/>
        <v>STO-06</v>
      </c>
      <c r="C3217" s="29" t="s">
        <v>9546</v>
      </c>
      <c r="D3217" s="67" t="s">
        <v>9547</v>
      </c>
      <c r="E3217" s="96" t="s">
        <v>62</v>
      </c>
      <c r="F3217" s="29" t="s">
        <v>61</v>
      </c>
      <c r="G3217" s="29"/>
      <c r="H3217" s="103">
        <f>_xlfn.XLOOKUP(B3217,GM!$Q$5:$Q$756,GM!$J$5:$J$756)</f>
        <v>46107</v>
      </c>
    </row>
    <row r="3218" spans="1:8" hidden="1" x14ac:dyDescent="0.35">
      <c r="A3218" s="29" t="s">
        <v>25</v>
      </c>
      <c r="B3218" s="29" t="str">
        <f t="shared" si="50"/>
        <v>STO-06</v>
      </c>
      <c r="C3218" s="29" t="s">
        <v>9548</v>
      </c>
      <c r="D3218" s="67" t="s">
        <v>9549</v>
      </c>
      <c r="E3218" s="96" t="s">
        <v>62</v>
      </c>
      <c r="F3218" s="29" t="s">
        <v>61</v>
      </c>
      <c r="G3218" s="29"/>
      <c r="H3218" s="103">
        <f>_xlfn.XLOOKUP(B3218,GM!$Q$5:$Q$756,GM!$J$5:$J$756)</f>
        <v>46107</v>
      </c>
    </row>
    <row r="3219" spans="1:8" hidden="1" x14ac:dyDescent="0.35">
      <c r="A3219" s="29" t="s">
        <v>25</v>
      </c>
      <c r="B3219" s="29" t="str">
        <f t="shared" si="50"/>
        <v>STO-06</v>
      </c>
      <c r="C3219" s="29" t="s">
        <v>9550</v>
      </c>
      <c r="D3219" s="67" t="s">
        <v>9551</v>
      </c>
      <c r="E3219" s="96" t="s">
        <v>62</v>
      </c>
      <c r="F3219" s="29" t="s">
        <v>61</v>
      </c>
      <c r="G3219" s="29"/>
      <c r="H3219" s="103">
        <f>_xlfn.XLOOKUP(B3219,GM!$Q$5:$Q$756,GM!$J$5:$J$756)</f>
        <v>46107</v>
      </c>
    </row>
    <row r="3220" spans="1:8" hidden="1" x14ac:dyDescent="0.35">
      <c r="A3220" s="29" t="s">
        <v>25</v>
      </c>
      <c r="B3220" s="29" t="str">
        <f t="shared" si="50"/>
        <v>STO-06</v>
      </c>
      <c r="C3220" s="29" t="s">
        <v>9550</v>
      </c>
      <c r="D3220" s="67" t="s">
        <v>9552</v>
      </c>
      <c r="E3220" s="96" t="s">
        <v>62</v>
      </c>
      <c r="F3220" s="29" t="s">
        <v>61</v>
      </c>
      <c r="G3220" s="29"/>
      <c r="H3220" s="103">
        <f>_xlfn.XLOOKUP(B3220,GM!$Q$5:$Q$756,GM!$J$5:$J$756)</f>
        <v>46107</v>
      </c>
    </row>
    <row r="3221" spans="1:8" hidden="1" x14ac:dyDescent="0.35">
      <c r="A3221" s="29" t="s">
        <v>25</v>
      </c>
      <c r="B3221" s="29" t="str">
        <f t="shared" si="50"/>
        <v>STO-06</v>
      </c>
      <c r="C3221" s="29" t="s">
        <v>9553</v>
      </c>
      <c r="D3221" s="67" t="s">
        <v>9554</v>
      </c>
      <c r="E3221" s="96" t="s">
        <v>62</v>
      </c>
      <c r="F3221" s="29" t="s">
        <v>61</v>
      </c>
      <c r="G3221" s="29"/>
      <c r="H3221" s="103">
        <f>_xlfn.XLOOKUP(B3221,GM!$Q$5:$Q$756,GM!$J$5:$J$756)</f>
        <v>46107</v>
      </c>
    </row>
    <row r="3222" spans="1:8" hidden="1" x14ac:dyDescent="0.35">
      <c r="A3222" s="29" t="s">
        <v>25</v>
      </c>
      <c r="B3222" s="29" t="str">
        <f t="shared" si="50"/>
        <v>STO-07</v>
      </c>
      <c r="C3222" s="29" t="s">
        <v>9555</v>
      </c>
      <c r="D3222" s="67" t="s">
        <v>9556</v>
      </c>
      <c r="E3222" s="96" t="s">
        <v>62</v>
      </c>
      <c r="F3222" s="29" t="s">
        <v>61</v>
      </c>
      <c r="G3222" s="29"/>
      <c r="H3222" s="103">
        <f>_xlfn.XLOOKUP(B3222,GM!$Q$5:$Q$756,GM!$J$5:$J$756)</f>
        <v>45959</v>
      </c>
    </row>
    <row r="3223" spans="1:8" hidden="1" x14ac:dyDescent="0.35">
      <c r="A3223" s="29" t="s">
        <v>25</v>
      </c>
      <c r="B3223" s="29" t="str">
        <f t="shared" si="50"/>
        <v>STO-07</v>
      </c>
      <c r="C3223" s="29" t="s">
        <v>9557</v>
      </c>
      <c r="D3223" s="67" t="s">
        <v>9558</v>
      </c>
      <c r="E3223" s="96" t="s">
        <v>62</v>
      </c>
      <c r="F3223" s="29" t="s">
        <v>61</v>
      </c>
      <c r="G3223" s="29"/>
      <c r="H3223" s="103">
        <f>_xlfn.XLOOKUP(B3223,GM!$Q$5:$Q$756,GM!$J$5:$J$756)</f>
        <v>45959</v>
      </c>
    </row>
    <row r="3224" spans="1:8" hidden="1" x14ac:dyDescent="0.35">
      <c r="A3224" s="29" t="s">
        <v>25</v>
      </c>
      <c r="B3224" s="29" t="str">
        <f t="shared" si="50"/>
        <v>STO-07</v>
      </c>
      <c r="C3224" s="29" t="s">
        <v>9559</v>
      </c>
      <c r="D3224" s="67" t="s">
        <v>9560</v>
      </c>
      <c r="E3224" s="96" t="s">
        <v>62</v>
      </c>
      <c r="F3224" s="29" t="s">
        <v>61</v>
      </c>
      <c r="G3224" s="29"/>
      <c r="H3224" s="103">
        <f>_xlfn.XLOOKUP(B3224,GM!$Q$5:$Q$756,GM!$J$5:$J$756)</f>
        <v>45959</v>
      </c>
    </row>
    <row r="3225" spans="1:8" hidden="1" x14ac:dyDescent="0.35">
      <c r="A3225" s="29" t="s">
        <v>25</v>
      </c>
      <c r="B3225" s="29" t="str">
        <f t="shared" si="50"/>
        <v>STO-07</v>
      </c>
      <c r="C3225" s="29" t="s">
        <v>9561</v>
      </c>
      <c r="D3225" s="67" t="s">
        <v>9562</v>
      </c>
      <c r="E3225" s="96" t="s">
        <v>62</v>
      </c>
      <c r="F3225" s="29" t="s">
        <v>61</v>
      </c>
      <c r="G3225" s="29"/>
      <c r="H3225" s="103">
        <f>_xlfn.XLOOKUP(B3225,GM!$Q$5:$Q$756,GM!$J$5:$J$756)</f>
        <v>45959</v>
      </c>
    </row>
    <row r="3226" spans="1:8" hidden="1" x14ac:dyDescent="0.35">
      <c r="A3226" s="29" t="s">
        <v>25</v>
      </c>
      <c r="B3226" s="29" t="str">
        <f t="shared" si="50"/>
        <v>STO-07</v>
      </c>
      <c r="C3226" s="29" t="s">
        <v>9563</v>
      </c>
      <c r="D3226" s="67" t="s">
        <v>9564</v>
      </c>
      <c r="E3226" s="96" t="s">
        <v>62</v>
      </c>
      <c r="F3226" s="29" t="s">
        <v>61</v>
      </c>
      <c r="G3226" s="29"/>
      <c r="H3226" s="103">
        <f>_xlfn.XLOOKUP(B3226,GM!$Q$5:$Q$756,GM!$J$5:$J$756)</f>
        <v>45959</v>
      </c>
    </row>
    <row r="3227" spans="1:8" hidden="1" x14ac:dyDescent="0.35">
      <c r="A3227" s="29" t="s">
        <v>25</v>
      </c>
      <c r="B3227" s="29" t="str">
        <f t="shared" si="50"/>
        <v>STO-09</v>
      </c>
      <c r="C3227" s="29" t="s">
        <v>9565</v>
      </c>
      <c r="D3227" s="67" t="s">
        <v>9566</v>
      </c>
      <c r="E3227" s="96" t="s">
        <v>62</v>
      </c>
      <c r="F3227" s="29" t="s">
        <v>61</v>
      </c>
      <c r="G3227" s="29"/>
      <c r="H3227" s="103">
        <f>_xlfn.XLOOKUP(B3227,GM!$Q$5:$Q$756,GM!$J$5:$J$756)</f>
        <v>45959</v>
      </c>
    </row>
    <row r="3228" spans="1:8" hidden="1" x14ac:dyDescent="0.35">
      <c r="A3228" s="29" t="s">
        <v>25</v>
      </c>
      <c r="B3228" s="29" t="str">
        <f t="shared" si="50"/>
        <v>STO-09</v>
      </c>
      <c r="C3228" s="29" t="s">
        <v>9567</v>
      </c>
      <c r="D3228" s="67" t="s">
        <v>9568</v>
      </c>
      <c r="E3228" s="96" t="s">
        <v>62</v>
      </c>
      <c r="F3228" s="29" t="s">
        <v>61</v>
      </c>
      <c r="G3228" s="29"/>
      <c r="H3228" s="103">
        <f>_xlfn.XLOOKUP(B3228,GM!$Q$5:$Q$756,GM!$J$5:$J$756)</f>
        <v>45959</v>
      </c>
    </row>
    <row r="3229" spans="1:8" hidden="1" x14ac:dyDescent="0.35">
      <c r="A3229" s="29" t="s">
        <v>25</v>
      </c>
      <c r="B3229" s="29" t="str">
        <f t="shared" si="50"/>
        <v>STO-09</v>
      </c>
      <c r="C3229" s="29" t="s">
        <v>9569</v>
      </c>
      <c r="D3229" s="67" t="s">
        <v>9570</v>
      </c>
      <c r="E3229" s="96" t="s">
        <v>62</v>
      </c>
      <c r="F3229" s="29" t="s">
        <v>61</v>
      </c>
      <c r="G3229" s="29"/>
      <c r="H3229" s="103">
        <f>_xlfn.XLOOKUP(B3229,GM!$Q$5:$Q$756,GM!$J$5:$J$756)</f>
        <v>45959</v>
      </c>
    </row>
    <row r="3230" spans="1:8" hidden="1" x14ac:dyDescent="0.35">
      <c r="A3230" s="29" t="s">
        <v>25</v>
      </c>
      <c r="B3230" s="29" t="str">
        <f t="shared" si="50"/>
        <v>STO-09</v>
      </c>
      <c r="C3230" s="29" t="s">
        <v>9571</v>
      </c>
      <c r="D3230" s="67" t="s">
        <v>9572</v>
      </c>
      <c r="E3230" s="96" t="s">
        <v>62</v>
      </c>
      <c r="F3230" s="29" t="s">
        <v>61</v>
      </c>
      <c r="G3230" s="29"/>
      <c r="H3230" s="103">
        <f>_xlfn.XLOOKUP(B3230,GM!$Q$5:$Q$756,GM!$J$5:$J$756)</f>
        <v>45959</v>
      </c>
    </row>
    <row r="3231" spans="1:8" hidden="1" x14ac:dyDescent="0.35">
      <c r="A3231" s="29" t="s">
        <v>25</v>
      </c>
      <c r="B3231" s="29" t="str">
        <f t="shared" si="50"/>
        <v>STO-09</v>
      </c>
      <c r="C3231" s="29" t="s">
        <v>9573</v>
      </c>
      <c r="D3231" s="67" t="s">
        <v>9574</v>
      </c>
      <c r="E3231" s="96" t="s">
        <v>62</v>
      </c>
      <c r="F3231" s="29" t="s">
        <v>61</v>
      </c>
      <c r="G3231" s="29"/>
      <c r="H3231" s="103">
        <f>_xlfn.XLOOKUP(B3231,GM!$Q$5:$Q$756,GM!$J$5:$J$756)</f>
        <v>45959</v>
      </c>
    </row>
    <row r="3232" spans="1:8" hidden="1" x14ac:dyDescent="0.35">
      <c r="A3232" s="29" t="s">
        <v>25</v>
      </c>
      <c r="B3232" s="29" t="str">
        <f t="shared" si="50"/>
        <v>STO-09</v>
      </c>
      <c r="C3232" s="29" t="s">
        <v>9575</v>
      </c>
      <c r="D3232" s="67" t="s">
        <v>9576</v>
      </c>
      <c r="E3232" s="96" t="s">
        <v>62</v>
      </c>
      <c r="F3232" s="29" t="s">
        <v>61</v>
      </c>
      <c r="G3232" s="29"/>
      <c r="H3232" s="103">
        <f>_xlfn.XLOOKUP(B3232,GM!$Q$5:$Q$756,GM!$J$5:$J$756)</f>
        <v>45959</v>
      </c>
    </row>
    <row r="3233" spans="1:8" hidden="1" x14ac:dyDescent="0.35">
      <c r="A3233" s="29" t="s">
        <v>25</v>
      </c>
      <c r="B3233" s="29" t="str">
        <f t="shared" si="50"/>
        <v>STO-09</v>
      </c>
      <c r="C3233" s="29" t="s">
        <v>9577</v>
      </c>
      <c r="D3233" s="67" t="s">
        <v>9578</v>
      </c>
      <c r="E3233" s="96" t="s">
        <v>62</v>
      </c>
      <c r="F3233" s="29" t="s">
        <v>61</v>
      </c>
      <c r="G3233" s="29"/>
      <c r="H3233" s="103">
        <f>_xlfn.XLOOKUP(B3233,GM!$Q$5:$Q$756,GM!$J$5:$J$756)</f>
        <v>45959</v>
      </c>
    </row>
    <row r="3234" spans="1:8" hidden="1" x14ac:dyDescent="0.35">
      <c r="A3234" s="29" t="s">
        <v>25</v>
      </c>
      <c r="B3234" s="29" t="str">
        <f t="shared" si="50"/>
        <v>STO-09</v>
      </c>
      <c r="C3234" s="29" t="s">
        <v>9579</v>
      </c>
      <c r="D3234" s="67" t="s">
        <v>9580</v>
      </c>
      <c r="E3234" s="96" t="s">
        <v>62</v>
      </c>
      <c r="F3234" s="29" t="s">
        <v>61</v>
      </c>
      <c r="G3234" s="29"/>
      <c r="H3234" s="103">
        <f>_xlfn.XLOOKUP(B3234,GM!$Q$5:$Q$756,GM!$J$5:$J$756)</f>
        <v>45959</v>
      </c>
    </row>
    <row r="3235" spans="1:8" hidden="1" x14ac:dyDescent="0.35">
      <c r="A3235" s="29" t="s">
        <v>25</v>
      </c>
      <c r="B3235" s="29" t="str">
        <f t="shared" si="50"/>
        <v>STO-09</v>
      </c>
      <c r="C3235" s="29" t="s">
        <v>9581</v>
      </c>
      <c r="D3235" s="67" t="s">
        <v>9582</v>
      </c>
      <c r="E3235" s="96" t="s">
        <v>62</v>
      </c>
      <c r="F3235" s="29" t="s">
        <v>61</v>
      </c>
      <c r="G3235" s="29"/>
      <c r="H3235" s="103">
        <f>_xlfn.XLOOKUP(B3235,GM!$Q$5:$Q$756,GM!$J$5:$J$756)</f>
        <v>45959</v>
      </c>
    </row>
    <row r="3236" spans="1:8" hidden="1" x14ac:dyDescent="0.35">
      <c r="A3236" s="29" t="s">
        <v>25</v>
      </c>
      <c r="B3236" s="29" t="str">
        <f t="shared" si="50"/>
        <v>STO-10</v>
      </c>
      <c r="C3236" s="29" t="s">
        <v>9583</v>
      </c>
      <c r="D3236" s="67" t="s">
        <v>9584</v>
      </c>
      <c r="E3236" s="96" t="s">
        <v>62</v>
      </c>
      <c r="F3236" s="29" t="s">
        <v>61</v>
      </c>
      <c r="G3236" s="29"/>
      <c r="H3236" s="103">
        <f>_xlfn.XLOOKUP(B3236,GM!$Q$5:$Q$756,GM!$J$5:$J$756)</f>
        <v>45959</v>
      </c>
    </row>
    <row r="3237" spans="1:8" hidden="1" x14ac:dyDescent="0.35">
      <c r="A3237" s="29" t="s">
        <v>25</v>
      </c>
      <c r="B3237" s="29" t="str">
        <f t="shared" si="50"/>
        <v>STO-10</v>
      </c>
      <c r="C3237" s="29" t="s">
        <v>9585</v>
      </c>
      <c r="D3237" s="67" t="s">
        <v>9586</v>
      </c>
      <c r="E3237" s="96" t="s">
        <v>62</v>
      </c>
      <c r="F3237" s="29" t="s">
        <v>61</v>
      </c>
      <c r="G3237" s="29"/>
      <c r="H3237" s="103">
        <f>_xlfn.XLOOKUP(B3237,GM!$Q$5:$Q$756,GM!$J$5:$J$756)</f>
        <v>45959</v>
      </c>
    </row>
    <row r="3238" spans="1:8" hidden="1" x14ac:dyDescent="0.35">
      <c r="A3238" s="29" t="s">
        <v>25</v>
      </c>
      <c r="B3238" s="29" t="str">
        <f t="shared" si="50"/>
        <v>STO-10</v>
      </c>
      <c r="C3238" s="29" t="s">
        <v>9587</v>
      </c>
      <c r="D3238" s="67" t="s">
        <v>9588</v>
      </c>
      <c r="E3238" s="96" t="s">
        <v>62</v>
      </c>
      <c r="F3238" s="29" t="s">
        <v>61</v>
      </c>
      <c r="G3238" s="29"/>
      <c r="H3238" s="103">
        <f>_xlfn.XLOOKUP(B3238,GM!$Q$5:$Q$756,GM!$J$5:$J$756)</f>
        <v>45959</v>
      </c>
    </row>
    <row r="3239" spans="1:8" hidden="1" x14ac:dyDescent="0.35">
      <c r="A3239" s="29" t="s">
        <v>25</v>
      </c>
      <c r="B3239" s="29" t="str">
        <f t="shared" si="50"/>
        <v>STO-10</v>
      </c>
      <c r="C3239" s="29" t="s">
        <v>9589</v>
      </c>
      <c r="D3239" s="67" t="s">
        <v>9590</v>
      </c>
      <c r="E3239" s="96" t="s">
        <v>62</v>
      </c>
      <c r="F3239" s="29" t="s">
        <v>61</v>
      </c>
      <c r="G3239" s="29"/>
      <c r="H3239" s="103">
        <f>_xlfn.XLOOKUP(B3239,GM!$Q$5:$Q$756,GM!$J$5:$J$756)</f>
        <v>45959</v>
      </c>
    </row>
    <row r="3240" spans="1:8" hidden="1" x14ac:dyDescent="0.35">
      <c r="A3240" s="29" t="s">
        <v>25</v>
      </c>
      <c r="B3240" s="29" t="str">
        <f t="shared" si="50"/>
        <v>STO-10</v>
      </c>
      <c r="C3240" s="29" t="s">
        <v>9591</v>
      </c>
      <c r="D3240" s="67" t="s">
        <v>9592</v>
      </c>
      <c r="E3240" s="96" t="s">
        <v>62</v>
      </c>
      <c r="F3240" s="29" t="s">
        <v>61</v>
      </c>
      <c r="G3240" s="29"/>
      <c r="H3240" s="103">
        <f>_xlfn.XLOOKUP(B3240,GM!$Q$5:$Q$756,GM!$J$5:$J$756)</f>
        <v>45959</v>
      </c>
    </row>
    <row r="3241" spans="1:8" hidden="1" x14ac:dyDescent="0.35">
      <c r="A3241" s="29" t="s">
        <v>25</v>
      </c>
      <c r="B3241" s="29" t="str">
        <f t="shared" si="50"/>
        <v>STO-10</v>
      </c>
      <c r="C3241" s="29" t="s">
        <v>9593</v>
      </c>
      <c r="D3241" s="67" t="s">
        <v>9594</v>
      </c>
      <c r="E3241" s="96" t="s">
        <v>62</v>
      </c>
      <c r="F3241" s="29" t="s">
        <v>61</v>
      </c>
      <c r="G3241" s="29"/>
      <c r="H3241" s="103">
        <f>_xlfn.XLOOKUP(B3241,GM!$Q$5:$Q$756,GM!$J$5:$J$756)</f>
        <v>45959</v>
      </c>
    </row>
    <row r="3242" spans="1:8" hidden="1" x14ac:dyDescent="0.35">
      <c r="A3242" s="29" t="s">
        <v>25</v>
      </c>
      <c r="B3242" s="29" t="str">
        <f t="shared" si="50"/>
        <v>STO-10</v>
      </c>
      <c r="C3242" s="29" t="s">
        <v>9595</v>
      </c>
      <c r="D3242" s="67" t="s">
        <v>9596</v>
      </c>
      <c r="E3242" s="96" t="s">
        <v>62</v>
      </c>
      <c r="F3242" s="29" t="s">
        <v>61</v>
      </c>
      <c r="G3242" s="29"/>
      <c r="H3242" s="103">
        <f>_xlfn.XLOOKUP(B3242,GM!$Q$5:$Q$756,GM!$J$5:$J$756)</f>
        <v>45959</v>
      </c>
    </row>
    <row r="3243" spans="1:8" hidden="1" x14ac:dyDescent="0.35">
      <c r="A3243" s="29" t="s">
        <v>25</v>
      </c>
      <c r="B3243" s="29" t="str">
        <f t="shared" si="50"/>
        <v>STO-10</v>
      </c>
      <c r="C3243" s="29" t="s">
        <v>9597</v>
      </c>
      <c r="D3243" s="67" t="s">
        <v>9598</v>
      </c>
      <c r="E3243" s="96" t="s">
        <v>62</v>
      </c>
      <c r="F3243" s="29" t="s">
        <v>61</v>
      </c>
      <c r="G3243" s="29"/>
      <c r="H3243" s="103">
        <f>_xlfn.XLOOKUP(B3243,GM!$Q$5:$Q$756,GM!$J$5:$J$756)</f>
        <v>45959</v>
      </c>
    </row>
    <row r="3244" spans="1:8" hidden="1" x14ac:dyDescent="0.35">
      <c r="A3244" s="29" t="s">
        <v>25</v>
      </c>
      <c r="B3244" s="29" t="str">
        <f t="shared" si="50"/>
        <v>STO-11</v>
      </c>
      <c r="C3244" s="29" t="s">
        <v>9599</v>
      </c>
      <c r="D3244" s="67" t="s">
        <v>9600</v>
      </c>
      <c r="E3244" s="96" t="s">
        <v>62</v>
      </c>
      <c r="F3244" s="29" t="s">
        <v>61</v>
      </c>
      <c r="G3244" s="29"/>
      <c r="H3244" s="103">
        <f>_xlfn.XLOOKUP(B3244,GM!$Q$5:$Q$756,GM!$J$5:$J$756)</f>
        <v>46107</v>
      </c>
    </row>
    <row r="3245" spans="1:8" hidden="1" x14ac:dyDescent="0.35">
      <c r="A3245" s="29" t="s">
        <v>25</v>
      </c>
      <c r="B3245" s="29" t="str">
        <f t="shared" si="50"/>
        <v>STO-11</v>
      </c>
      <c r="C3245" s="29" t="s">
        <v>9601</v>
      </c>
      <c r="D3245" s="67" t="s">
        <v>9602</v>
      </c>
      <c r="E3245" s="96" t="s">
        <v>62</v>
      </c>
      <c r="F3245" s="29" t="s">
        <v>61</v>
      </c>
      <c r="G3245" s="29"/>
      <c r="H3245" s="103">
        <f>_xlfn.XLOOKUP(B3245,GM!$Q$5:$Q$756,GM!$J$5:$J$756)</f>
        <v>46107</v>
      </c>
    </row>
    <row r="3246" spans="1:8" hidden="1" x14ac:dyDescent="0.35">
      <c r="A3246" s="29" t="s">
        <v>25</v>
      </c>
      <c r="B3246" s="29" t="str">
        <f t="shared" si="50"/>
        <v>STO-11</v>
      </c>
      <c r="C3246" s="29" t="s">
        <v>9603</v>
      </c>
      <c r="D3246" s="67" t="s">
        <v>9604</v>
      </c>
      <c r="E3246" s="96" t="s">
        <v>62</v>
      </c>
      <c r="F3246" s="29" t="s">
        <v>61</v>
      </c>
      <c r="G3246" s="29"/>
      <c r="H3246" s="103">
        <f>_xlfn.XLOOKUP(B3246,GM!$Q$5:$Q$756,GM!$J$5:$J$756)</f>
        <v>46107</v>
      </c>
    </row>
    <row r="3247" spans="1:8" hidden="1" x14ac:dyDescent="0.35">
      <c r="A3247" s="29" t="s">
        <v>25</v>
      </c>
      <c r="B3247" s="29" t="str">
        <f t="shared" si="50"/>
        <v>STO-11</v>
      </c>
      <c r="C3247" s="29" t="s">
        <v>9605</v>
      </c>
      <c r="D3247" s="67" t="s">
        <v>9606</v>
      </c>
      <c r="E3247" s="96" t="s">
        <v>62</v>
      </c>
      <c r="F3247" s="29" t="s">
        <v>61</v>
      </c>
      <c r="G3247" s="29"/>
      <c r="H3247" s="103">
        <f>_xlfn.XLOOKUP(B3247,GM!$Q$5:$Q$756,GM!$J$5:$J$756)</f>
        <v>46107</v>
      </c>
    </row>
    <row r="3248" spans="1:8" hidden="1" x14ac:dyDescent="0.35">
      <c r="A3248" s="29" t="s">
        <v>25</v>
      </c>
      <c r="B3248" s="29" t="str">
        <f t="shared" si="50"/>
        <v>STO-12</v>
      </c>
      <c r="C3248" s="29" t="s">
        <v>9607</v>
      </c>
      <c r="D3248" s="67" t="s">
        <v>9608</v>
      </c>
      <c r="E3248" s="96" t="s">
        <v>62</v>
      </c>
      <c r="F3248" s="29" t="s">
        <v>61</v>
      </c>
      <c r="G3248" s="29"/>
      <c r="H3248" s="103">
        <f>_xlfn.XLOOKUP(B3248,GM!$Q$5:$Q$756,GM!$J$5:$J$756)</f>
        <v>46107</v>
      </c>
    </row>
    <row r="3249" spans="1:8" hidden="1" x14ac:dyDescent="0.35">
      <c r="A3249" s="29" t="s">
        <v>25</v>
      </c>
      <c r="B3249" s="29" t="str">
        <f t="shared" si="50"/>
        <v>STO-13</v>
      </c>
      <c r="C3249" s="29" t="s">
        <v>9609</v>
      </c>
      <c r="D3249" s="67" t="s">
        <v>9610</v>
      </c>
      <c r="E3249" s="96" t="s">
        <v>62</v>
      </c>
      <c r="F3249" s="29" t="s">
        <v>61</v>
      </c>
      <c r="G3249" s="29"/>
      <c r="H3249" s="103">
        <f>_xlfn.XLOOKUP(B3249,GM!$Q$5:$Q$756,GM!$J$5:$J$756)</f>
        <v>46107</v>
      </c>
    </row>
    <row r="3250" spans="1:8" hidden="1" x14ac:dyDescent="0.35">
      <c r="A3250" s="29" t="s">
        <v>25</v>
      </c>
      <c r="B3250" s="29" t="str">
        <f t="shared" si="50"/>
        <v>STO-13</v>
      </c>
      <c r="C3250" s="29" t="s">
        <v>9611</v>
      </c>
      <c r="D3250" s="67" t="s">
        <v>9612</v>
      </c>
      <c r="E3250" s="96" t="s">
        <v>62</v>
      </c>
      <c r="F3250" s="29" t="s">
        <v>61</v>
      </c>
      <c r="G3250" s="29"/>
      <c r="H3250" s="103">
        <f>_xlfn.XLOOKUP(B3250,GM!$Q$5:$Q$756,GM!$J$5:$J$756)</f>
        <v>46107</v>
      </c>
    </row>
    <row r="3251" spans="1:8" hidden="1" x14ac:dyDescent="0.35">
      <c r="A3251" s="29" t="s">
        <v>25</v>
      </c>
      <c r="B3251" s="29" t="str">
        <f t="shared" si="50"/>
        <v>STO-13</v>
      </c>
      <c r="C3251" s="29" t="s">
        <v>9613</v>
      </c>
      <c r="D3251" s="67" t="s">
        <v>9614</v>
      </c>
      <c r="E3251" s="96" t="s">
        <v>62</v>
      </c>
      <c r="F3251" s="29" t="s">
        <v>61</v>
      </c>
      <c r="G3251" s="29"/>
      <c r="H3251" s="103">
        <f>_xlfn.XLOOKUP(B3251,GM!$Q$5:$Q$756,GM!$J$5:$J$756)</f>
        <v>46107</v>
      </c>
    </row>
    <row r="3252" spans="1:8" hidden="1" x14ac:dyDescent="0.35">
      <c r="A3252" s="29" t="s">
        <v>25</v>
      </c>
      <c r="B3252" s="29" t="str">
        <f t="shared" si="50"/>
        <v>STO-13</v>
      </c>
      <c r="C3252" s="29" t="s">
        <v>9615</v>
      </c>
      <c r="D3252" s="67" t="s">
        <v>9616</v>
      </c>
      <c r="E3252" s="96" t="s">
        <v>62</v>
      </c>
      <c r="F3252" s="29" t="s">
        <v>61</v>
      </c>
      <c r="G3252" s="29"/>
      <c r="H3252" s="103">
        <f>_xlfn.XLOOKUP(B3252,GM!$Q$5:$Q$756,GM!$J$5:$J$756)</f>
        <v>46107</v>
      </c>
    </row>
    <row r="3253" spans="1:8" hidden="1" x14ac:dyDescent="0.35">
      <c r="A3253" s="29" t="s">
        <v>25</v>
      </c>
      <c r="B3253" s="29" t="str">
        <f t="shared" si="50"/>
        <v>STO-13</v>
      </c>
      <c r="C3253" s="29" t="s">
        <v>9617</v>
      </c>
      <c r="D3253" s="67" t="s">
        <v>9618</v>
      </c>
      <c r="E3253" s="96" t="s">
        <v>62</v>
      </c>
      <c r="F3253" s="29" t="s">
        <v>61</v>
      </c>
      <c r="G3253" s="29"/>
      <c r="H3253" s="103">
        <f>_xlfn.XLOOKUP(B3253,GM!$Q$5:$Q$756,GM!$J$5:$J$756)</f>
        <v>46107</v>
      </c>
    </row>
    <row r="3254" spans="1:8" hidden="1" x14ac:dyDescent="0.35">
      <c r="A3254" s="29" t="s">
        <v>25</v>
      </c>
      <c r="B3254" s="29" t="str">
        <f t="shared" si="50"/>
        <v>STO-13</v>
      </c>
      <c r="C3254" s="29" t="s">
        <v>9619</v>
      </c>
      <c r="D3254" s="67" t="s">
        <v>9620</v>
      </c>
      <c r="E3254" s="96" t="s">
        <v>62</v>
      </c>
      <c r="F3254" s="29" t="s">
        <v>61</v>
      </c>
      <c r="G3254" s="29"/>
      <c r="H3254" s="103">
        <f>_xlfn.XLOOKUP(B3254,GM!$Q$5:$Q$756,GM!$J$5:$J$756)</f>
        <v>46107</v>
      </c>
    </row>
    <row r="3255" spans="1:8" hidden="1" x14ac:dyDescent="0.35">
      <c r="A3255" s="29" t="s">
        <v>25</v>
      </c>
      <c r="B3255" s="29" t="str">
        <f t="shared" si="50"/>
        <v>STO-14</v>
      </c>
      <c r="C3255" s="29" t="s">
        <v>9621</v>
      </c>
      <c r="D3255" s="67" t="s">
        <v>9622</v>
      </c>
      <c r="E3255" s="96" t="s">
        <v>62</v>
      </c>
      <c r="F3255" s="29" t="s">
        <v>61</v>
      </c>
      <c r="G3255" s="29"/>
      <c r="H3255" s="103">
        <f>_xlfn.XLOOKUP(B3255,GM!$Q$5:$Q$756,GM!$J$5:$J$756)</f>
        <v>45202</v>
      </c>
    </row>
    <row r="3256" spans="1:8" hidden="1" x14ac:dyDescent="0.35">
      <c r="A3256" s="29" t="s">
        <v>25</v>
      </c>
      <c r="B3256" s="29" t="str">
        <f t="shared" si="50"/>
        <v>STO-15</v>
      </c>
      <c r="C3256" s="29" t="s">
        <v>9623</v>
      </c>
      <c r="D3256" s="67" t="s">
        <v>9624</v>
      </c>
      <c r="E3256" s="96" t="s">
        <v>62</v>
      </c>
      <c r="F3256" s="29" t="s">
        <v>61</v>
      </c>
      <c r="G3256" s="29"/>
      <c r="H3256" s="103">
        <f>_xlfn.XLOOKUP(B3256,GM!$Q$5:$Q$756,GM!$J$5:$J$756)</f>
        <v>46107</v>
      </c>
    </row>
    <row r="3257" spans="1:8" hidden="1" x14ac:dyDescent="0.35">
      <c r="A3257" s="29" t="s">
        <v>25</v>
      </c>
      <c r="B3257" s="29" t="str">
        <f t="shared" si="50"/>
        <v>STO-15</v>
      </c>
      <c r="C3257" s="29" t="s">
        <v>9625</v>
      </c>
      <c r="D3257" s="67" t="s">
        <v>9626</v>
      </c>
      <c r="E3257" s="96" t="s">
        <v>62</v>
      </c>
      <c r="F3257" s="29" t="s">
        <v>61</v>
      </c>
      <c r="G3257" s="29"/>
      <c r="H3257" s="103">
        <f>_xlfn.XLOOKUP(B3257,GM!$Q$5:$Q$756,GM!$J$5:$J$756)</f>
        <v>46107</v>
      </c>
    </row>
    <row r="3258" spans="1:8" hidden="1" x14ac:dyDescent="0.35">
      <c r="A3258" s="29" t="s">
        <v>25</v>
      </c>
      <c r="B3258" s="29" t="str">
        <f t="shared" si="50"/>
        <v>STO-15</v>
      </c>
      <c r="C3258" s="29" t="s">
        <v>9627</v>
      </c>
      <c r="D3258" s="67" t="s">
        <v>9628</v>
      </c>
      <c r="E3258" s="96" t="s">
        <v>62</v>
      </c>
      <c r="F3258" s="29" t="s">
        <v>61</v>
      </c>
      <c r="G3258" s="29"/>
      <c r="H3258" s="103">
        <f>_xlfn.XLOOKUP(B3258,GM!$Q$5:$Q$756,GM!$J$5:$J$756)</f>
        <v>46107</v>
      </c>
    </row>
    <row r="3259" spans="1:8" hidden="1" x14ac:dyDescent="0.35">
      <c r="A3259" s="29" t="s">
        <v>25</v>
      </c>
      <c r="B3259" s="29" t="str">
        <f t="shared" si="50"/>
        <v>STO-15</v>
      </c>
      <c r="C3259" s="29" t="s">
        <v>9629</v>
      </c>
      <c r="D3259" s="67" t="s">
        <v>9630</v>
      </c>
      <c r="E3259" s="96" t="s">
        <v>62</v>
      </c>
      <c r="F3259" s="29" t="s">
        <v>61</v>
      </c>
      <c r="G3259" s="29"/>
      <c r="H3259" s="103">
        <f>_xlfn.XLOOKUP(B3259,GM!$Q$5:$Q$756,GM!$J$5:$J$756)</f>
        <v>46107</v>
      </c>
    </row>
    <row r="3260" spans="1:8" hidden="1" x14ac:dyDescent="0.35">
      <c r="A3260" s="29" t="s">
        <v>25</v>
      </c>
      <c r="B3260" s="29" t="str">
        <f t="shared" si="50"/>
        <v>STO-15</v>
      </c>
      <c r="C3260" s="29" t="s">
        <v>9631</v>
      </c>
      <c r="D3260" s="67" t="s">
        <v>9632</v>
      </c>
      <c r="E3260" s="96" t="s">
        <v>62</v>
      </c>
      <c r="F3260" s="29" t="s">
        <v>61</v>
      </c>
      <c r="G3260" s="29"/>
      <c r="H3260" s="103">
        <f>_xlfn.XLOOKUP(B3260,GM!$Q$5:$Q$756,GM!$J$5:$J$756)</f>
        <v>46107</v>
      </c>
    </row>
    <row r="3261" spans="1:8" hidden="1" x14ac:dyDescent="0.35">
      <c r="A3261" s="29" t="s">
        <v>25</v>
      </c>
      <c r="B3261" s="29" t="str">
        <f t="shared" si="50"/>
        <v>STO-15</v>
      </c>
      <c r="C3261" s="29" t="s">
        <v>9633</v>
      </c>
      <c r="D3261" s="67" t="s">
        <v>9634</v>
      </c>
      <c r="E3261" s="96" t="s">
        <v>62</v>
      </c>
      <c r="F3261" s="29" t="s">
        <v>61</v>
      </c>
      <c r="G3261" s="29"/>
      <c r="H3261" s="103">
        <f>_xlfn.XLOOKUP(B3261,GM!$Q$5:$Q$756,GM!$J$5:$J$756)</f>
        <v>46107</v>
      </c>
    </row>
    <row r="3262" spans="1:8" hidden="1" x14ac:dyDescent="0.35">
      <c r="A3262" s="29" t="s">
        <v>25</v>
      </c>
      <c r="B3262" s="29" t="str">
        <f t="shared" si="50"/>
        <v>STO-15</v>
      </c>
      <c r="C3262" s="29" t="s">
        <v>9635</v>
      </c>
      <c r="D3262" s="67" t="s">
        <v>9636</v>
      </c>
      <c r="E3262" s="96" t="s">
        <v>62</v>
      </c>
      <c r="F3262" s="29" t="s">
        <v>61</v>
      </c>
      <c r="G3262" s="29"/>
      <c r="H3262" s="103">
        <f>_xlfn.XLOOKUP(B3262,GM!$Q$5:$Q$756,GM!$J$5:$J$756)</f>
        <v>46107</v>
      </c>
    </row>
    <row r="3263" spans="1:8" hidden="1" x14ac:dyDescent="0.35">
      <c r="A3263" s="29" t="s">
        <v>25</v>
      </c>
      <c r="B3263" s="29" t="str">
        <f t="shared" si="50"/>
        <v>STO-15</v>
      </c>
      <c r="C3263" s="29" t="s">
        <v>9637</v>
      </c>
      <c r="D3263" s="67" t="s">
        <v>9638</v>
      </c>
      <c r="E3263" s="96" t="s">
        <v>62</v>
      </c>
      <c r="F3263" s="29" t="s">
        <v>61</v>
      </c>
      <c r="G3263" s="29"/>
      <c r="H3263" s="103">
        <f>_xlfn.XLOOKUP(B3263,GM!$Q$5:$Q$756,GM!$J$5:$J$756)</f>
        <v>46107</v>
      </c>
    </row>
    <row r="3264" spans="1:8" hidden="1" x14ac:dyDescent="0.35">
      <c r="A3264" s="29" t="s">
        <v>25</v>
      </c>
      <c r="B3264" s="29" t="str">
        <f t="shared" si="50"/>
        <v>STO-15</v>
      </c>
      <c r="C3264" s="29" t="s">
        <v>9639</v>
      </c>
      <c r="D3264" s="67" t="s">
        <v>9640</v>
      </c>
      <c r="E3264" s="96" t="s">
        <v>62</v>
      </c>
      <c r="F3264" s="29" t="s">
        <v>61</v>
      </c>
      <c r="G3264" s="29"/>
      <c r="H3264" s="103">
        <f>_xlfn.XLOOKUP(B3264,GM!$Q$5:$Q$756,GM!$J$5:$J$756)</f>
        <v>46107</v>
      </c>
    </row>
    <row r="3265" spans="1:8" hidden="1" x14ac:dyDescent="0.35">
      <c r="A3265" s="29" t="s">
        <v>25</v>
      </c>
      <c r="B3265" s="29" t="str">
        <f t="shared" si="50"/>
        <v>STO-15</v>
      </c>
      <c r="C3265" s="29" t="s">
        <v>9641</v>
      </c>
      <c r="D3265" s="67" t="s">
        <v>9642</v>
      </c>
      <c r="E3265" s="96" t="s">
        <v>62</v>
      </c>
      <c r="F3265" s="29" t="s">
        <v>61</v>
      </c>
      <c r="G3265" s="29"/>
      <c r="H3265" s="103">
        <f>_xlfn.XLOOKUP(B3265,GM!$Q$5:$Q$756,GM!$J$5:$J$756)</f>
        <v>46107</v>
      </c>
    </row>
    <row r="3266" spans="1:8" hidden="1" x14ac:dyDescent="0.35">
      <c r="A3266" s="29" t="s">
        <v>25</v>
      </c>
      <c r="B3266" s="29" t="str">
        <f t="shared" si="50"/>
        <v>STO-15</v>
      </c>
      <c r="C3266" s="29" t="s">
        <v>9643</v>
      </c>
      <c r="D3266" s="67" t="s">
        <v>9644</v>
      </c>
      <c r="E3266" s="96" t="s">
        <v>62</v>
      </c>
      <c r="F3266" s="29" t="s">
        <v>61</v>
      </c>
      <c r="G3266" s="29"/>
      <c r="H3266" s="103">
        <f>_xlfn.XLOOKUP(B3266,GM!$Q$5:$Q$756,GM!$J$5:$J$756)</f>
        <v>46107</v>
      </c>
    </row>
    <row r="3267" spans="1:8" hidden="1" x14ac:dyDescent="0.35">
      <c r="A3267" s="29" t="s">
        <v>25</v>
      </c>
      <c r="B3267" s="29" t="str">
        <f t="shared" si="50"/>
        <v>STO-15</v>
      </c>
      <c r="C3267" s="29" t="s">
        <v>9645</v>
      </c>
      <c r="D3267" s="67" t="s">
        <v>9646</v>
      </c>
      <c r="E3267" s="96" t="s">
        <v>62</v>
      </c>
      <c r="F3267" s="29" t="s">
        <v>61</v>
      </c>
      <c r="G3267" s="29"/>
      <c r="H3267" s="103">
        <f>_xlfn.XLOOKUP(B3267,GM!$Q$5:$Q$756,GM!$J$5:$J$756)</f>
        <v>46107</v>
      </c>
    </row>
    <row r="3268" spans="1:8" hidden="1" x14ac:dyDescent="0.35">
      <c r="A3268" s="29" t="s">
        <v>25</v>
      </c>
      <c r="B3268" s="29" t="str">
        <f t="shared" si="50"/>
        <v>STO-15</v>
      </c>
      <c r="C3268" s="29" t="s">
        <v>9647</v>
      </c>
      <c r="D3268" s="67" t="s">
        <v>9648</v>
      </c>
      <c r="E3268" s="96" t="s">
        <v>62</v>
      </c>
      <c r="F3268" s="29" t="s">
        <v>61</v>
      </c>
      <c r="G3268" s="29"/>
      <c r="H3268" s="103">
        <f>_xlfn.XLOOKUP(B3268,GM!$Q$5:$Q$756,GM!$J$5:$J$756)</f>
        <v>46107</v>
      </c>
    </row>
    <row r="3269" spans="1:8" hidden="1" x14ac:dyDescent="0.35">
      <c r="A3269" s="29" t="s">
        <v>25</v>
      </c>
      <c r="B3269" s="29" t="str">
        <f t="shared" ref="B3269:B3332" si="51">IF(OR(A3269="ARN",A3269="SDP"),MID(C3269,4,7),MID(C3269,4,6))</f>
        <v>STO-15</v>
      </c>
      <c r="C3269" s="29" t="s">
        <v>9649</v>
      </c>
      <c r="D3269" s="67" t="s">
        <v>9650</v>
      </c>
      <c r="E3269" s="96" t="s">
        <v>62</v>
      </c>
      <c r="F3269" s="29" t="s">
        <v>61</v>
      </c>
      <c r="G3269" s="29"/>
      <c r="H3269" s="103">
        <f>_xlfn.XLOOKUP(B3269,GM!$Q$5:$Q$756,GM!$J$5:$J$756)</f>
        <v>46107</v>
      </c>
    </row>
    <row r="3270" spans="1:8" hidden="1" x14ac:dyDescent="0.35">
      <c r="A3270" s="29" t="s">
        <v>25</v>
      </c>
      <c r="B3270" s="29" t="str">
        <f t="shared" si="51"/>
        <v>STO-15</v>
      </c>
      <c r="C3270" s="29" t="s">
        <v>9651</v>
      </c>
      <c r="D3270" s="67" t="s">
        <v>9652</v>
      </c>
      <c r="E3270" s="96" t="s">
        <v>62</v>
      </c>
      <c r="F3270" s="29" t="s">
        <v>61</v>
      </c>
      <c r="G3270" s="29"/>
      <c r="H3270" s="103">
        <f>_xlfn.XLOOKUP(B3270,GM!$Q$5:$Q$756,GM!$J$5:$J$756)</f>
        <v>46107</v>
      </c>
    </row>
    <row r="3271" spans="1:8" hidden="1" x14ac:dyDescent="0.35">
      <c r="A3271" s="29" t="s">
        <v>25</v>
      </c>
      <c r="B3271" s="29" t="str">
        <f t="shared" si="51"/>
        <v>STO-15</v>
      </c>
      <c r="C3271" s="29" t="s">
        <v>9653</v>
      </c>
      <c r="D3271" s="67" t="s">
        <v>9654</v>
      </c>
      <c r="E3271" s="96" t="s">
        <v>62</v>
      </c>
      <c r="F3271" s="29" t="s">
        <v>61</v>
      </c>
      <c r="G3271" s="29"/>
      <c r="H3271" s="103">
        <f>_xlfn.XLOOKUP(B3271,GM!$Q$5:$Q$756,GM!$J$5:$J$756)</f>
        <v>46107</v>
      </c>
    </row>
    <row r="3272" spans="1:8" hidden="1" x14ac:dyDescent="0.35">
      <c r="A3272" s="29" t="s">
        <v>25</v>
      </c>
      <c r="B3272" s="29" t="str">
        <f t="shared" si="51"/>
        <v>STO-15</v>
      </c>
      <c r="C3272" s="29" t="s">
        <v>9655</v>
      </c>
      <c r="D3272" s="67" t="s">
        <v>9656</v>
      </c>
      <c r="E3272" s="96" t="s">
        <v>62</v>
      </c>
      <c r="F3272" s="29" t="s">
        <v>61</v>
      </c>
      <c r="G3272" s="29"/>
      <c r="H3272" s="103">
        <f>_xlfn.XLOOKUP(B3272,GM!$Q$5:$Q$756,GM!$J$5:$J$756)</f>
        <v>46107</v>
      </c>
    </row>
    <row r="3273" spans="1:8" hidden="1" x14ac:dyDescent="0.35">
      <c r="A3273" s="29" t="s">
        <v>25</v>
      </c>
      <c r="B3273" s="29" t="str">
        <f t="shared" si="51"/>
        <v>STO-15</v>
      </c>
      <c r="C3273" s="29" t="s">
        <v>9657</v>
      </c>
      <c r="D3273" s="67" t="s">
        <v>9658</v>
      </c>
      <c r="E3273" s="96" t="s">
        <v>62</v>
      </c>
      <c r="F3273" s="29" t="s">
        <v>61</v>
      </c>
      <c r="G3273" s="29"/>
      <c r="H3273" s="103">
        <f>_xlfn.XLOOKUP(B3273,GM!$Q$5:$Q$756,GM!$J$5:$J$756)</f>
        <v>46107</v>
      </c>
    </row>
    <row r="3274" spans="1:8" hidden="1" x14ac:dyDescent="0.35">
      <c r="A3274" s="29" t="s">
        <v>25</v>
      </c>
      <c r="B3274" s="29" t="str">
        <f t="shared" si="51"/>
        <v>STO-15</v>
      </c>
      <c r="C3274" s="29" t="s">
        <v>9659</v>
      </c>
      <c r="D3274" s="67" t="s">
        <v>9660</v>
      </c>
      <c r="E3274" s="96" t="s">
        <v>62</v>
      </c>
      <c r="F3274" s="29" t="s">
        <v>61</v>
      </c>
      <c r="G3274" s="29"/>
      <c r="H3274" s="103">
        <f>_xlfn.XLOOKUP(B3274,GM!$Q$5:$Q$756,GM!$J$5:$J$756)</f>
        <v>46107</v>
      </c>
    </row>
    <row r="3275" spans="1:8" hidden="1" x14ac:dyDescent="0.35">
      <c r="A3275" s="29" t="s">
        <v>25</v>
      </c>
      <c r="B3275" s="29" t="str">
        <f t="shared" si="51"/>
        <v>STO-15</v>
      </c>
      <c r="C3275" s="29" t="s">
        <v>9661</v>
      </c>
      <c r="D3275" s="67" t="s">
        <v>9662</v>
      </c>
      <c r="E3275" s="96" t="s">
        <v>62</v>
      </c>
      <c r="F3275" s="29" t="s">
        <v>61</v>
      </c>
      <c r="G3275" s="29"/>
      <c r="H3275" s="103">
        <f>_xlfn.XLOOKUP(B3275,GM!$Q$5:$Q$756,GM!$J$5:$J$756)</f>
        <v>46107</v>
      </c>
    </row>
    <row r="3276" spans="1:8" hidden="1" x14ac:dyDescent="0.35">
      <c r="A3276" s="29" t="s">
        <v>25</v>
      </c>
      <c r="B3276" s="29" t="str">
        <f t="shared" si="51"/>
        <v>STO-15</v>
      </c>
      <c r="C3276" s="29" t="s">
        <v>9663</v>
      </c>
      <c r="D3276" s="67" t="s">
        <v>9664</v>
      </c>
      <c r="E3276" s="96" t="s">
        <v>62</v>
      </c>
      <c r="F3276" s="29" t="s">
        <v>61</v>
      </c>
      <c r="G3276" s="29"/>
      <c r="H3276" s="103">
        <f>_xlfn.XLOOKUP(B3276,GM!$Q$5:$Q$756,GM!$J$5:$J$756)</f>
        <v>46107</v>
      </c>
    </row>
    <row r="3277" spans="1:8" hidden="1" x14ac:dyDescent="0.35">
      <c r="A3277" s="29" t="s">
        <v>25</v>
      </c>
      <c r="B3277" s="29" t="str">
        <f t="shared" si="51"/>
        <v>STO-15</v>
      </c>
      <c r="C3277" s="29" t="s">
        <v>9665</v>
      </c>
      <c r="D3277" s="67" t="s">
        <v>9666</v>
      </c>
      <c r="E3277" s="96" t="s">
        <v>62</v>
      </c>
      <c r="F3277" s="29" t="s">
        <v>61</v>
      </c>
      <c r="G3277" s="29"/>
      <c r="H3277" s="103">
        <f>_xlfn.XLOOKUP(B3277,GM!$Q$5:$Q$756,GM!$J$5:$J$756)</f>
        <v>46107</v>
      </c>
    </row>
    <row r="3278" spans="1:8" hidden="1" x14ac:dyDescent="0.35">
      <c r="A3278" s="29" t="s">
        <v>25</v>
      </c>
      <c r="B3278" s="29" t="str">
        <f t="shared" si="51"/>
        <v>STO-15</v>
      </c>
      <c r="C3278" s="29" t="s">
        <v>9667</v>
      </c>
      <c r="D3278" s="67" t="s">
        <v>9668</v>
      </c>
      <c r="E3278" s="96" t="s">
        <v>62</v>
      </c>
      <c r="F3278" s="29" t="s">
        <v>61</v>
      </c>
      <c r="G3278" s="29"/>
      <c r="H3278" s="103">
        <f>_xlfn.XLOOKUP(B3278,GM!$Q$5:$Q$756,GM!$J$5:$J$756)</f>
        <v>46107</v>
      </c>
    </row>
    <row r="3279" spans="1:8" hidden="1" x14ac:dyDescent="0.35">
      <c r="A3279" s="29" t="s">
        <v>25</v>
      </c>
      <c r="B3279" s="29" t="str">
        <f t="shared" si="51"/>
        <v>STO-15</v>
      </c>
      <c r="C3279" s="29" t="s">
        <v>9669</v>
      </c>
      <c r="D3279" s="67" t="s">
        <v>9670</v>
      </c>
      <c r="E3279" s="96" t="s">
        <v>62</v>
      </c>
      <c r="F3279" s="29" t="s">
        <v>61</v>
      </c>
      <c r="G3279" s="29"/>
      <c r="H3279" s="103">
        <f>_xlfn.XLOOKUP(B3279,GM!$Q$5:$Q$756,GM!$J$5:$J$756)</f>
        <v>46107</v>
      </c>
    </row>
    <row r="3280" spans="1:8" hidden="1" x14ac:dyDescent="0.35">
      <c r="A3280" s="29" t="s">
        <v>25</v>
      </c>
      <c r="B3280" s="29" t="str">
        <f t="shared" si="51"/>
        <v>STO-15</v>
      </c>
      <c r="C3280" s="29" t="s">
        <v>9671</v>
      </c>
      <c r="D3280" s="67" t="s">
        <v>9672</v>
      </c>
      <c r="E3280" s="96" t="s">
        <v>62</v>
      </c>
      <c r="F3280" s="29" t="s">
        <v>61</v>
      </c>
      <c r="G3280" s="29"/>
      <c r="H3280" s="103">
        <f>_xlfn.XLOOKUP(B3280,GM!$Q$5:$Q$756,GM!$J$5:$J$756)</f>
        <v>46107</v>
      </c>
    </row>
    <row r="3281" spans="1:8" hidden="1" x14ac:dyDescent="0.35">
      <c r="A3281" s="29" t="s">
        <v>25</v>
      </c>
      <c r="B3281" s="29" t="str">
        <f t="shared" si="51"/>
        <v>STO-17</v>
      </c>
      <c r="C3281" s="29" t="s">
        <v>9673</v>
      </c>
      <c r="D3281" s="67" t="s">
        <v>9674</v>
      </c>
      <c r="E3281" s="96" t="s">
        <v>62</v>
      </c>
      <c r="F3281" s="29" t="s">
        <v>61</v>
      </c>
      <c r="G3281" s="29"/>
      <c r="H3281" s="103">
        <f>_xlfn.XLOOKUP(B3281,GM!$Q$5:$Q$756,GM!$J$5:$J$756)</f>
        <v>45202</v>
      </c>
    </row>
    <row r="3282" spans="1:8" hidden="1" x14ac:dyDescent="0.35">
      <c r="A3282" s="29" t="s">
        <v>25</v>
      </c>
      <c r="B3282" s="29" t="str">
        <f t="shared" si="51"/>
        <v>STO-17</v>
      </c>
      <c r="C3282" s="29" t="s">
        <v>9675</v>
      </c>
      <c r="D3282" s="67" t="s">
        <v>9676</v>
      </c>
      <c r="E3282" s="96" t="s">
        <v>62</v>
      </c>
      <c r="F3282" s="29" t="s">
        <v>61</v>
      </c>
      <c r="G3282" s="29"/>
      <c r="H3282" s="103">
        <f>_xlfn.XLOOKUP(B3282,GM!$Q$5:$Q$756,GM!$J$5:$J$756)</f>
        <v>45202</v>
      </c>
    </row>
    <row r="3283" spans="1:8" hidden="1" x14ac:dyDescent="0.35">
      <c r="A3283" s="29" t="s">
        <v>25</v>
      </c>
      <c r="B3283" s="29" t="str">
        <f t="shared" si="51"/>
        <v>STO-17</v>
      </c>
      <c r="C3283" s="29" t="s">
        <v>9677</v>
      </c>
      <c r="D3283" s="67" t="s">
        <v>9678</v>
      </c>
      <c r="E3283" s="96" t="s">
        <v>62</v>
      </c>
      <c r="F3283" s="29" t="s">
        <v>61</v>
      </c>
      <c r="G3283" s="29"/>
      <c r="H3283" s="103">
        <f>_xlfn.XLOOKUP(B3283,GM!$Q$5:$Q$756,GM!$J$5:$J$756)</f>
        <v>45202</v>
      </c>
    </row>
    <row r="3284" spans="1:8" hidden="1" x14ac:dyDescent="0.35">
      <c r="A3284" s="29" t="s">
        <v>25</v>
      </c>
      <c r="B3284" s="29" t="str">
        <f t="shared" si="51"/>
        <v>STO-17</v>
      </c>
      <c r="C3284" s="29" t="s">
        <v>9679</v>
      </c>
      <c r="D3284" s="67" t="s">
        <v>9680</v>
      </c>
      <c r="E3284" s="96" t="s">
        <v>62</v>
      </c>
      <c r="F3284" s="29" t="s">
        <v>61</v>
      </c>
      <c r="G3284" s="29"/>
      <c r="H3284" s="103">
        <f>_xlfn.XLOOKUP(B3284,GM!$Q$5:$Q$756,GM!$J$5:$J$756)</f>
        <v>45202</v>
      </c>
    </row>
    <row r="3285" spans="1:8" hidden="1" x14ac:dyDescent="0.35">
      <c r="A3285" s="29" t="s">
        <v>25</v>
      </c>
      <c r="B3285" s="29" t="str">
        <f t="shared" si="51"/>
        <v>STO-17</v>
      </c>
      <c r="C3285" s="29" t="s">
        <v>9681</v>
      </c>
      <c r="D3285" s="67" t="s">
        <v>9682</v>
      </c>
      <c r="E3285" s="96" t="s">
        <v>62</v>
      </c>
      <c r="F3285" s="29" t="s">
        <v>61</v>
      </c>
      <c r="G3285" s="29"/>
      <c r="H3285" s="103">
        <f>_xlfn.XLOOKUP(B3285,GM!$Q$5:$Q$756,GM!$J$5:$J$756)</f>
        <v>45202</v>
      </c>
    </row>
    <row r="3286" spans="1:8" hidden="1" x14ac:dyDescent="0.35">
      <c r="A3286" s="29" t="s">
        <v>25</v>
      </c>
      <c r="B3286" s="29" t="str">
        <f t="shared" si="51"/>
        <v>STO-17</v>
      </c>
      <c r="C3286" s="29" t="s">
        <v>9683</v>
      </c>
      <c r="D3286" s="67" t="s">
        <v>9684</v>
      </c>
      <c r="E3286" s="96" t="s">
        <v>62</v>
      </c>
      <c r="F3286" s="29" t="s">
        <v>61</v>
      </c>
      <c r="G3286" s="29"/>
      <c r="H3286" s="103">
        <f>_xlfn.XLOOKUP(B3286,GM!$Q$5:$Q$756,GM!$J$5:$J$756)</f>
        <v>45202</v>
      </c>
    </row>
    <row r="3287" spans="1:8" hidden="1" x14ac:dyDescent="0.35">
      <c r="A3287" s="29" t="s">
        <v>25</v>
      </c>
      <c r="B3287" s="29" t="str">
        <f t="shared" si="51"/>
        <v>STO-18</v>
      </c>
      <c r="C3287" s="29" t="s">
        <v>9685</v>
      </c>
      <c r="D3287" s="67" t="s">
        <v>9686</v>
      </c>
      <c r="E3287" s="96" t="s">
        <v>62</v>
      </c>
      <c r="F3287" s="29" t="s">
        <v>61</v>
      </c>
      <c r="G3287" s="29"/>
      <c r="H3287" s="103">
        <f>_xlfn.XLOOKUP(B3287,GM!$Q$5:$Q$756,GM!$J$5:$J$756)</f>
        <v>45645</v>
      </c>
    </row>
    <row r="3288" spans="1:8" hidden="1" x14ac:dyDescent="0.35">
      <c r="A3288" s="29" t="s">
        <v>25</v>
      </c>
      <c r="B3288" s="29" t="str">
        <f t="shared" si="51"/>
        <v>STO-18</v>
      </c>
      <c r="C3288" s="29" t="s">
        <v>9687</v>
      </c>
      <c r="D3288" s="67" t="s">
        <v>9688</v>
      </c>
      <c r="E3288" s="96" t="s">
        <v>62</v>
      </c>
      <c r="F3288" s="29" t="s">
        <v>61</v>
      </c>
      <c r="G3288" s="29"/>
      <c r="H3288" s="103">
        <f>_xlfn.XLOOKUP(B3288,GM!$Q$5:$Q$756,GM!$J$5:$J$756)</f>
        <v>45645</v>
      </c>
    </row>
    <row r="3289" spans="1:8" hidden="1" x14ac:dyDescent="0.35">
      <c r="A3289" s="29" t="s">
        <v>25</v>
      </c>
      <c r="B3289" s="29" t="str">
        <f t="shared" si="51"/>
        <v>STO-18</v>
      </c>
      <c r="C3289" s="29" t="s">
        <v>9689</v>
      </c>
      <c r="D3289" s="67" t="s">
        <v>9690</v>
      </c>
      <c r="E3289" s="96" t="s">
        <v>62</v>
      </c>
      <c r="F3289" s="29" t="s">
        <v>61</v>
      </c>
      <c r="G3289" s="29"/>
      <c r="H3289" s="103">
        <f>_xlfn.XLOOKUP(B3289,GM!$Q$5:$Q$756,GM!$J$5:$J$756)</f>
        <v>45645</v>
      </c>
    </row>
    <row r="3290" spans="1:8" hidden="1" x14ac:dyDescent="0.35">
      <c r="A3290" s="29" t="s">
        <v>25</v>
      </c>
      <c r="B3290" s="29" t="str">
        <f t="shared" si="51"/>
        <v>STO-18</v>
      </c>
      <c r="C3290" s="29" t="s">
        <v>9691</v>
      </c>
      <c r="D3290" s="67" t="s">
        <v>9692</v>
      </c>
      <c r="E3290" s="96" t="s">
        <v>62</v>
      </c>
      <c r="F3290" s="29" t="s">
        <v>61</v>
      </c>
      <c r="G3290" s="29"/>
      <c r="H3290" s="103">
        <f>_xlfn.XLOOKUP(B3290,GM!$Q$5:$Q$756,GM!$J$5:$J$756)</f>
        <v>45645</v>
      </c>
    </row>
    <row r="3291" spans="1:8" hidden="1" x14ac:dyDescent="0.35">
      <c r="A3291" s="29" t="s">
        <v>25</v>
      </c>
      <c r="B3291" s="29" t="str">
        <f t="shared" si="51"/>
        <v>STO-18</v>
      </c>
      <c r="C3291" s="29" t="s">
        <v>9693</v>
      </c>
      <c r="D3291" s="67" t="s">
        <v>9694</v>
      </c>
      <c r="E3291" s="96" t="s">
        <v>62</v>
      </c>
      <c r="F3291" s="29" t="s">
        <v>61</v>
      </c>
      <c r="G3291" s="29"/>
      <c r="H3291" s="103">
        <f>_xlfn.XLOOKUP(B3291,GM!$Q$5:$Q$756,GM!$J$5:$J$756)</f>
        <v>45645</v>
      </c>
    </row>
    <row r="3292" spans="1:8" hidden="1" x14ac:dyDescent="0.35">
      <c r="A3292" s="29" t="s">
        <v>25</v>
      </c>
      <c r="B3292" s="29" t="str">
        <f t="shared" si="51"/>
        <v>STO-18</v>
      </c>
      <c r="C3292" s="29" t="s">
        <v>9695</v>
      </c>
      <c r="D3292" s="67" t="s">
        <v>9696</v>
      </c>
      <c r="E3292" s="96" t="s">
        <v>62</v>
      </c>
      <c r="F3292" s="29" t="s">
        <v>61</v>
      </c>
      <c r="G3292" s="29"/>
      <c r="H3292" s="103">
        <f>_xlfn.XLOOKUP(B3292,GM!$Q$5:$Q$756,GM!$J$5:$J$756)</f>
        <v>45645</v>
      </c>
    </row>
    <row r="3293" spans="1:8" hidden="1" x14ac:dyDescent="0.35">
      <c r="A3293" s="29" t="s">
        <v>25</v>
      </c>
      <c r="B3293" s="29" t="str">
        <f t="shared" si="51"/>
        <v>STO-18</v>
      </c>
      <c r="C3293" s="29" t="s">
        <v>9697</v>
      </c>
      <c r="D3293" s="67" t="s">
        <v>9698</v>
      </c>
      <c r="E3293" s="96" t="s">
        <v>62</v>
      </c>
      <c r="F3293" s="29" t="s">
        <v>61</v>
      </c>
      <c r="G3293" s="29"/>
      <c r="H3293" s="103">
        <f>_xlfn.XLOOKUP(B3293,GM!$Q$5:$Q$756,GM!$J$5:$J$756)</f>
        <v>45645</v>
      </c>
    </row>
    <row r="3294" spans="1:8" hidden="1" x14ac:dyDescent="0.35">
      <c r="A3294" s="29" t="s">
        <v>25</v>
      </c>
      <c r="B3294" s="29" t="str">
        <f t="shared" si="51"/>
        <v>STO-18</v>
      </c>
      <c r="C3294" s="29" t="s">
        <v>9699</v>
      </c>
      <c r="D3294" s="67" t="s">
        <v>9700</v>
      </c>
      <c r="E3294" s="96" t="s">
        <v>62</v>
      </c>
      <c r="F3294" s="29" t="s">
        <v>61</v>
      </c>
      <c r="G3294" s="29"/>
      <c r="H3294" s="103">
        <f>_xlfn.XLOOKUP(B3294,GM!$Q$5:$Q$756,GM!$J$5:$J$756)</f>
        <v>45645</v>
      </c>
    </row>
    <row r="3295" spans="1:8" hidden="1" x14ac:dyDescent="0.35">
      <c r="A3295" s="29" t="s">
        <v>25</v>
      </c>
      <c r="B3295" s="29" t="str">
        <f t="shared" si="51"/>
        <v>STO-19</v>
      </c>
      <c r="C3295" s="29" t="s">
        <v>9701</v>
      </c>
      <c r="D3295" s="67" t="s">
        <v>9702</v>
      </c>
      <c r="E3295" s="96" t="s">
        <v>62</v>
      </c>
      <c r="F3295" s="29" t="s">
        <v>61</v>
      </c>
      <c r="G3295" s="29"/>
      <c r="H3295" s="103">
        <f>_xlfn.XLOOKUP(B3295,GM!$Q$5:$Q$756,GM!$J$5:$J$756)</f>
        <v>45959</v>
      </c>
    </row>
    <row r="3296" spans="1:8" hidden="1" x14ac:dyDescent="0.35">
      <c r="A3296" s="29" t="s">
        <v>25</v>
      </c>
      <c r="B3296" s="29" t="str">
        <f t="shared" si="51"/>
        <v>STO-19</v>
      </c>
      <c r="C3296" s="29" t="s">
        <v>9703</v>
      </c>
      <c r="D3296" s="67" t="s">
        <v>9704</v>
      </c>
      <c r="E3296" s="96" t="s">
        <v>62</v>
      </c>
      <c r="F3296" s="29" t="s">
        <v>61</v>
      </c>
      <c r="G3296" s="29"/>
      <c r="H3296" s="103">
        <f>_xlfn.XLOOKUP(B3296,GM!$Q$5:$Q$756,GM!$J$5:$J$756)</f>
        <v>45959</v>
      </c>
    </row>
    <row r="3297" spans="1:8" hidden="1" x14ac:dyDescent="0.35">
      <c r="A3297" s="29" t="s">
        <v>25</v>
      </c>
      <c r="B3297" s="29" t="str">
        <f t="shared" si="51"/>
        <v>STO-19</v>
      </c>
      <c r="C3297" s="29" t="s">
        <v>9705</v>
      </c>
      <c r="D3297" s="67" t="s">
        <v>9706</v>
      </c>
      <c r="E3297" s="96" t="s">
        <v>62</v>
      </c>
      <c r="F3297" s="29" t="s">
        <v>61</v>
      </c>
      <c r="G3297" s="29"/>
      <c r="H3297" s="103">
        <f>_xlfn.XLOOKUP(B3297,GM!$Q$5:$Q$756,GM!$J$5:$J$756)</f>
        <v>45959</v>
      </c>
    </row>
    <row r="3298" spans="1:8" hidden="1" x14ac:dyDescent="0.35">
      <c r="A3298" s="29" t="s">
        <v>25</v>
      </c>
      <c r="B3298" s="29" t="str">
        <f t="shared" si="51"/>
        <v>STO-19</v>
      </c>
      <c r="C3298" s="29" t="s">
        <v>9707</v>
      </c>
      <c r="D3298" s="67" t="s">
        <v>9708</v>
      </c>
      <c r="E3298" s="96" t="s">
        <v>62</v>
      </c>
      <c r="F3298" s="29" t="s">
        <v>61</v>
      </c>
      <c r="G3298" s="29"/>
      <c r="H3298" s="103">
        <f>_xlfn.XLOOKUP(B3298,GM!$Q$5:$Q$756,GM!$J$5:$J$756)</f>
        <v>45959</v>
      </c>
    </row>
    <row r="3299" spans="1:8" hidden="1" x14ac:dyDescent="0.35">
      <c r="A3299" s="29" t="s">
        <v>25</v>
      </c>
      <c r="B3299" s="29" t="str">
        <f t="shared" si="51"/>
        <v>STO-20</v>
      </c>
      <c r="C3299" s="29" t="s">
        <v>9709</v>
      </c>
      <c r="D3299" s="67" t="s">
        <v>9710</v>
      </c>
      <c r="E3299" s="96" t="s">
        <v>62</v>
      </c>
      <c r="F3299" s="29" t="s">
        <v>61</v>
      </c>
      <c r="G3299" s="29"/>
      <c r="H3299" s="103">
        <f>_xlfn.XLOOKUP(B3299,GM!$Q$5:$Q$756,GM!$J$5:$J$756)</f>
        <v>44889</v>
      </c>
    </row>
    <row r="3300" spans="1:8" hidden="1" x14ac:dyDescent="0.35">
      <c r="A3300" s="29" t="s">
        <v>25</v>
      </c>
      <c r="B3300" s="29" t="str">
        <f t="shared" si="51"/>
        <v>STO-20</v>
      </c>
      <c r="C3300" s="29" t="s">
        <v>9711</v>
      </c>
      <c r="D3300" s="67" t="s">
        <v>9712</v>
      </c>
      <c r="E3300" s="96" t="s">
        <v>62</v>
      </c>
      <c r="F3300" s="29" t="s">
        <v>61</v>
      </c>
      <c r="G3300" s="29"/>
      <c r="H3300" s="103">
        <f>_xlfn.XLOOKUP(B3300,GM!$Q$5:$Q$756,GM!$J$5:$J$756)</f>
        <v>44889</v>
      </c>
    </row>
    <row r="3301" spans="1:8" hidden="1" x14ac:dyDescent="0.35">
      <c r="A3301" s="29" t="s">
        <v>25</v>
      </c>
      <c r="B3301" s="29" t="str">
        <f t="shared" si="51"/>
        <v>STO-20</v>
      </c>
      <c r="C3301" s="29" t="s">
        <v>9713</v>
      </c>
      <c r="D3301" s="67" t="s">
        <v>9714</v>
      </c>
      <c r="E3301" s="96" t="s">
        <v>62</v>
      </c>
      <c r="F3301" s="29" t="s">
        <v>61</v>
      </c>
      <c r="G3301" s="29"/>
      <c r="H3301" s="103">
        <f>_xlfn.XLOOKUP(B3301,GM!$Q$5:$Q$756,GM!$J$5:$J$756)</f>
        <v>44889</v>
      </c>
    </row>
    <row r="3302" spans="1:8" hidden="1" x14ac:dyDescent="0.35">
      <c r="A3302" s="29" t="s">
        <v>25</v>
      </c>
      <c r="B3302" s="29" t="str">
        <f t="shared" si="51"/>
        <v>STO-20</v>
      </c>
      <c r="C3302" s="29" t="s">
        <v>9715</v>
      </c>
      <c r="D3302" s="67" t="s">
        <v>9716</v>
      </c>
      <c r="E3302" s="96" t="s">
        <v>62</v>
      </c>
      <c r="F3302" s="29" t="s">
        <v>61</v>
      </c>
      <c r="G3302" s="29"/>
      <c r="H3302" s="103">
        <f>_xlfn.XLOOKUP(B3302,GM!$Q$5:$Q$756,GM!$J$5:$J$756)</f>
        <v>44889</v>
      </c>
    </row>
    <row r="3303" spans="1:8" hidden="1" x14ac:dyDescent="0.35">
      <c r="A3303" s="29" t="s">
        <v>25</v>
      </c>
      <c r="B3303" s="29" t="str">
        <f t="shared" si="51"/>
        <v>STO-20</v>
      </c>
      <c r="C3303" s="29" t="s">
        <v>9717</v>
      </c>
      <c r="D3303" s="67" t="s">
        <v>9718</v>
      </c>
      <c r="E3303" s="96" t="s">
        <v>62</v>
      </c>
      <c r="F3303" s="29" t="s">
        <v>61</v>
      </c>
      <c r="G3303" s="29"/>
      <c r="H3303" s="103">
        <f>_xlfn.XLOOKUP(B3303,GM!$Q$5:$Q$756,GM!$J$5:$J$756)</f>
        <v>44889</v>
      </c>
    </row>
    <row r="3304" spans="1:8" hidden="1" x14ac:dyDescent="0.35">
      <c r="A3304" s="29" t="s">
        <v>25</v>
      </c>
      <c r="B3304" s="29" t="str">
        <f t="shared" si="51"/>
        <v>STO-20</v>
      </c>
      <c r="C3304" s="29" t="s">
        <v>9719</v>
      </c>
      <c r="D3304" s="67" t="s">
        <v>9720</v>
      </c>
      <c r="E3304" s="96" t="s">
        <v>62</v>
      </c>
      <c r="F3304" s="29" t="s">
        <v>61</v>
      </c>
      <c r="G3304" s="29"/>
      <c r="H3304" s="103">
        <f>_xlfn.XLOOKUP(B3304,GM!$Q$5:$Q$756,GM!$J$5:$J$756)</f>
        <v>44889</v>
      </c>
    </row>
    <row r="3305" spans="1:8" hidden="1" x14ac:dyDescent="0.35">
      <c r="A3305" s="29" t="s">
        <v>25</v>
      </c>
      <c r="B3305" s="29" t="str">
        <f t="shared" si="51"/>
        <v>STO-20</v>
      </c>
      <c r="C3305" s="29" t="s">
        <v>9721</v>
      </c>
      <c r="D3305" s="67" t="s">
        <v>9722</v>
      </c>
      <c r="E3305" s="96" t="s">
        <v>62</v>
      </c>
      <c r="F3305" s="29" t="s">
        <v>61</v>
      </c>
      <c r="G3305" s="29"/>
      <c r="H3305" s="103">
        <f>_xlfn.XLOOKUP(B3305,GM!$Q$5:$Q$756,GM!$J$5:$J$756)</f>
        <v>44889</v>
      </c>
    </row>
    <row r="3306" spans="1:8" hidden="1" x14ac:dyDescent="0.35">
      <c r="A3306" s="29" t="s">
        <v>25</v>
      </c>
      <c r="B3306" s="29" t="str">
        <f t="shared" si="51"/>
        <v>STO-21</v>
      </c>
      <c r="C3306" s="29" t="s">
        <v>9723</v>
      </c>
      <c r="D3306" s="67" t="s">
        <v>9724</v>
      </c>
      <c r="E3306" s="96" t="s">
        <v>62</v>
      </c>
      <c r="F3306" s="29" t="s">
        <v>61</v>
      </c>
      <c r="G3306" s="29"/>
      <c r="H3306" s="103">
        <f>_xlfn.XLOOKUP(B3306,GM!$Q$5:$Q$756,GM!$J$5:$J$756)</f>
        <v>45645</v>
      </c>
    </row>
    <row r="3307" spans="1:8" hidden="1" x14ac:dyDescent="0.35">
      <c r="A3307" s="29" t="s">
        <v>25</v>
      </c>
      <c r="B3307" s="29" t="str">
        <f t="shared" si="51"/>
        <v>STO-21</v>
      </c>
      <c r="C3307" s="29" t="s">
        <v>9725</v>
      </c>
      <c r="D3307" s="67" t="s">
        <v>9726</v>
      </c>
      <c r="E3307" s="96" t="s">
        <v>62</v>
      </c>
      <c r="F3307" s="29" t="s">
        <v>61</v>
      </c>
      <c r="G3307" s="29"/>
      <c r="H3307" s="103">
        <f>_xlfn.XLOOKUP(B3307,GM!$Q$5:$Q$756,GM!$J$5:$J$756)</f>
        <v>45645</v>
      </c>
    </row>
    <row r="3308" spans="1:8" hidden="1" x14ac:dyDescent="0.35">
      <c r="A3308" s="29" t="s">
        <v>25</v>
      </c>
      <c r="B3308" s="29" t="str">
        <f t="shared" si="51"/>
        <v>STO-21</v>
      </c>
      <c r="C3308" s="29" t="s">
        <v>9727</v>
      </c>
      <c r="D3308" s="67" t="s">
        <v>9728</v>
      </c>
      <c r="E3308" s="96" t="s">
        <v>62</v>
      </c>
      <c r="F3308" s="29" t="s">
        <v>61</v>
      </c>
      <c r="G3308" s="29"/>
      <c r="H3308" s="103">
        <f>_xlfn.XLOOKUP(B3308,GM!$Q$5:$Q$756,GM!$J$5:$J$756)</f>
        <v>45645</v>
      </c>
    </row>
    <row r="3309" spans="1:8" hidden="1" x14ac:dyDescent="0.35">
      <c r="A3309" s="29" t="s">
        <v>25</v>
      </c>
      <c r="B3309" s="29" t="str">
        <f t="shared" si="51"/>
        <v>STO-21</v>
      </c>
      <c r="C3309" s="29" t="s">
        <v>9729</v>
      </c>
      <c r="D3309" s="67" t="s">
        <v>9730</v>
      </c>
      <c r="E3309" s="96" t="s">
        <v>62</v>
      </c>
      <c r="F3309" s="29" t="s">
        <v>61</v>
      </c>
      <c r="G3309" s="29"/>
      <c r="H3309" s="103">
        <f>_xlfn.XLOOKUP(B3309,GM!$Q$5:$Q$756,GM!$J$5:$J$756)</f>
        <v>45645</v>
      </c>
    </row>
    <row r="3310" spans="1:8" hidden="1" x14ac:dyDescent="0.35">
      <c r="A3310" s="29" t="s">
        <v>25</v>
      </c>
      <c r="B3310" s="29" t="str">
        <f t="shared" si="51"/>
        <v>STO-21</v>
      </c>
      <c r="C3310" s="29" t="s">
        <v>9731</v>
      </c>
      <c r="D3310" s="67" t="s">
        <v>9732</v>
      </c>
      <c r="E3310" s="96" t="s">
        <v>62</v>
      </c>
      <c r="F3310" s="29" t="s">
        <v>61</v>
      </c>
      <c r="G3310" s="29"/>
      <c r="H3310" s="103">
        <f>_xlfn.XLOOKUP(B3310,GM!$Q$5:$Q$756,GM!$J$5:$J$756)</f>
        <v>45645</v>
      </c>
    </row>
    <row r="3311" spans="1:8" hidden="1" x14ac:dyDescent="0.35">
      <c r="A3311" s="29" t="s">
        <v>25</v>
      </c>
      <c r="B3311" s="29" t="str">
        <f t="shared" si="51"/>
        <v>STO-21</v>
      </c>
      <c r="C3311" s="29" t="s">
        <v>9733</v>
      </c>
      <c r="D3311" s="67" t="s">
        <v>9734</v>
      </c>
      <c r="E3311" s="96" t="s">
        <v>62</v>
      </c>
      <c r="F3311" s="29" t="s">
        <v>61</v>
      </c>
      <c r="G3311" s="29"/>
      <c r="H3311" s="103">
        <f>_xlfn.XLOOKUP(B3311,GM!$Q$5:$Q$756,GM!$J$5:$J$756)</f>
        <v>45645</v>
      </c>
    </row>
    <row r="3312" spans="1:8" hidden="1" x14ac:dyDescent="0.35">
      <c r="A3312" s="29" t="s">
        <v>25</v>
      </c>
      <c r="B3312" s="29" t="str">
        <f t="shared" si="51"/>
        <v>STO-22</v>
      </c>
      <c r="C3312" s="29" t="s">
        <v>9735</v>
      </c>
      <c r="D3312" s="67" t="s">
        <v>9736</v>
      </c>
      <c r="E3312" s="96" t="s">
        <v>62</v>
      </c>
      <c r="F3312" s="29" t="s">
        <v>61</v>
      </c>
      <c r="G3312" s="29" t="s">
        <v>371</v>
      </c>
      <c r="H3312" s="103">
        <f>_xlfn.XLOOKUP(B3312,GM!$Q$5:$Q$756,GM!$J$5:$J$756)</f>
        <v>44739</v>
      </c>
    </row>
    <row r="3313" spans="1:8" hidden="1" x14ac:dyDescent="0.35">
      <c r="A3313" s="29" t="s">
        <v>25</v>
      </c>
      <c r="B3313" s="29" t="str">
        <f t="shared" si="51"/>
        <v>STO-23</v>
      </c>
      <c r="C3313" s="29" t="s">
        <v>9737</v>
      </c>
      <c r="D3313" s="67" t="s">
        <v>9738</v>
      </c>
      <c r="E3313" s="96" t="s">
        <v>62</v>
      </c>
      <c r="F3313" s="29" t="s">
        <v>61</v>
      </c>
      <c r="G3313" s="29" t="s">
        <v>371</v>
      </c>
      <c r="H3313" s="103">
        <f>_xlfn.XLOOKUP(B3313,GM!$Q$5:$Q$756,GM!$J$5:$J$756)</f>
        <v>44739</v>
      </c>
    </row>
    <row r="3314" spans="1:8" hidden="1" x14ac:dyDescent="0.35">
      <c r="A3314" s="29" t="s">
        <v>25</v>
      </c>
      <c r="B3314" s="29" t="str">
        <f t="shared" si="51"/>
        <v>STO-24</v>
      </c>
      <c r="C3314" s="29" t="s">
        <v>9739</v>
      </c>
      <c r="D3314" s="67" t="s">
        <v>9740</v>
      </c>
      <c r="E3314" s="96" t="s">
        <v>62</v>
      </c>
      <c r="F3314" s="29" t="s">
        <v>61</v>
      </c>
      <c r="G3314" s="29" t="s">
        <v>371</v>
      </c>
      <c r="H3314" s="103">
        <f>_xlfn.XLOOKUP(B3314,GM!$Q$5:$Q$756,GM!$J$5:$J$756)</f>
        <v>44739</v>
      </c>
    </row>
    <row r="3315" spans="1:8" hidden="1" x14ac:dyDescent="0.35">
      <c r="A3315" s="29" t="s">
        <v>25</v>
      </c>
      <c r="B3315" s="29" t="str">
        <f t="shared" si="51"/>
        <v>STO-25</v>
      </c>
      <c r="C3315" s="29" t="s">
        <v>9741</v>
      </c>
      <c r="D3315" s="67" t="s">
        <v>9742</v>
      </c>
      <c r="E3315" s="96" t="s">
        <v>62</v>
      </c>
      <c r="F3315" s="29" t="s">
        <v>61</v>
      </c>
      <c r="G3315" s="29"/>
      <c r="H3315" s="103">
        <f>_xlfn.XLOOKUP(B3315,GM!$Q$5:$Q$756,GM!$J$5:$J$756)</f>
        <v>46009</v>
      </c>
    </row>
    <row r="3316" spans="1:8" hidden="1" x14ac:dyDescent="0.35">
      <c r="A3316" s="29" t="s">
        <v>25</v>
      </c>
      <c r="B3316" s="29" t="str">
        <f t="shared" si="51"/>
        <v>STO-25</v>
      </c>
      <c r="C3316" s="29" t="s">
        <v>9743</v>
      </c>
      <c r="D3316" s="67" t="s">
        <v>9744</v>
      </c>
      <c r="E3316" s="96" t="s">
        <v>62</v>
      </c>
      <c r="F3316" s="29" t="s">
        <v>61</v>
      </c>
      <c r="G3316" s="29"/>
      <c r="H3316" s="103">
        <f>_xlfn.XLOOKUP(B3316,GM!$Q$5:$Q$756,GM!$J$5:$J$756)</f>
        <v>46009</v>
      </c>
    </row>
    <row r="3317" spans="1:8" hidden="1" x14ac:dyDescent="0.35">
      <c r="A3317" s="29" t="s">
        <v>25</v>
      </c>
      <c r="B3317" s="29" t="str">
        <f t="shared" si="51"/>
        <v>STO-26</v>
      </c>
      <c r="C3317" s="29" t="s">
        <v>9745</v>
      </c>
      <c r="D3317" s="67" t="s">
        <v>9746</v>
      </c>
      <c r="E3317" s="96" t="s">
        <v>62</v>
      </c>
      <c r="F3317" s="29" t="s">
        <v>61</v>
      </c>
      <c r="G3317" s="29" t="s">
        <v>371</v>
      </c>
      <c r="H3317" s="103">
        <f>_xlfn.XLOOKUP(B3317,GM!$Q$5:$Q$756,GM!$J$5:$J$756)</f>
        <v>44739</v>
      </c>
    </row>
    <row r="3318" spans="1:8" hidden="1" x14ac:dyDescent="0.35">
      <c r="A3318" s="29" t="s">
        <v>25</v>
      </c>
      <c r="B3318" s="29" t="str">
        <f t="shared" si="51"/>
        <v>STO-27</v>
      </c>
      <c r="C3318" s="29" t="s">
        <v>9747</v>
      </c>
      <c r="D3318" s="67" t="s">
        <v>9748</v>
      </c>
      <c r="E3318" s="96" t="s">
        <v>62</v>
      </c>
      <c r="F3318" s="29" t="s">
        <v>61</v>
      </c>
      <c r="G3318" s="29" t="s">
        <v>61</v>
      </c>
      <c r="H3318" s="103">
        <f>_xlfn.XLOOKUP(B3318,GM!$Q$5:$Q$756,GM!$J$5:$J$756)</f>
        <v>44739</v>
      </c>
    </row>
    <row r="3319" spans="1:8" hidden="1" x14ac:dyDescent="0.35">
      <c r="A3319" s="29" t="s">
        <v>25</v>
      </c>
      <c r="B3319" s="29" t="str">
        <f t="shared" si="51"/>
        <v>STO-28</v>
      </c>
      <c r="C3319" s="29" t="s">
        <v>9749</v>
      </c>
      <c r="D3319" s="67" t="s">
        <v>9750</v>
      </c>
      <c r="E3319" s="96" t="s">
        <v>62</v>
      </c>
      <c r="F3319" s="29" t="s">
        <v>61</v>
      </c>
      <c r="G3319" s="29"/>
      <c r="H3319" s="103">
        <f>_xlfn.XLOOKUP(B3319,GM!$Q$5:$Q$756,GM!$J$5:$J$756)</f>
        <v>45202</v>
      </c>
    </row>
    <row r="3320" spans="1:8" hidden="1" x14ac:dyDescent="0.35">
      <c r="A3320" s="29" t="s">
        <v>25</v>
      </c>
      <c r="B3320" s="29" t="str">
        <f t="shared" si="51"/>
        <v>STO-29</v>
      </c>
      <c r="C3320" s="29" t="s">
        <v>9751</v>
      </c>
      <c r="D3320" s="67" t="s">
        <v>9752</v>
      </c>
      <c r="E3320" s="96" t="s">
        <v>62</v>
      </c>
      <c r="F3320" s="29" t="s">
        <v>61</v>
      </c>
      <c r="G3320" s="29"/>
      <c r="H3320" s="103">
        <f>_xlfn.XLOOKUP(B3320,GM!$Q$5:$Q$756,GM!$J$5:$J$756)</f>
        <v>45202</v>
      </c>
    </row>
    <row r="3321" spans="1:8" hidden="1" x14ac:dyDescent="0.35">
      <c r="A3321" s="29" t="s">
        <v>25</v>
      </c>
      <c r="B3321" s="29" t="str">
        <f t="shared" si="51"/>
        <v>STO-30</v>
      </c>
      <c r="C3321" s="29" t="s">
        <v>9753</v>
      </c>
      <c r="D3321" s="67" t="s">
        <v>9754</v>
      </c>
      <c r="E3321" s="96" t="s">
        <v>62</v>
      </c>
      <c r="F3321" s="29" t="s">
        <v>61</v>
      </c>
      <c r="G3321" s="29"/>
      <c r="H3321" s="103">
        <f>_xlfn.XLOOKUP(B3321,GM!$Q$5:$Q$756,GM!$J$5:$J$756)</f>
        <v>44838</v>
      </c>
    </row>
    <row r="3322" spans="1:8" hidden="1" x14ac:dyDescent="0.35">
      <c r="A3322" s="29" t="s">
        <v>25</v>
      </c>
      <c r="B3322" s="29" t="str">
        <f t="shared" si="51"/>
        <v>STO-30</v>
      </c>
      <c r="C3322" s="29" t="s">
        <v>9755</v>
      </c>
      <c r="D3322" s="67" t="s">
        <v>9756</v>
      </c>
      <c r="E3322" s="96" t="s">
        <v>62</v>
      </c>
      <c r="F3322" s="29" t="s">
        <v>61</v>
      </c>
      <c r="G3322" s="29"/>
      <c r="H3322" s="103">
        <f>_xlfn.XLOOKUP(B3322,GM!$Q$5:$Q$756,GM!$J$5:$J$756)</f>
        <v>44838</v>
      </c>
    </row>
    <row r="3323" spans="1:8" hidden="1" x14ac:dyDescent="0.35">
      <c r="A3323" s="29" t="s">
        <v>25</v>
      </c>
      <c r="B3323" s="29" t="str">
        <f t="shared" si="51"/>
        <v>STO-33</v>
      </c>
      <c r="C3323" s="29" t="s">
        <v>9757</v>
      </c>
      <c r="D3323" s="67" t="s">
        <v>9758</v>
      </c>
      <c r="E3323" s="96" t="s">
        <v>62</v>
      </c>
      <c r="F3323" s="29" t="s">
        <v>61</v>
      </c>
      <c r="G3323" s="29" t="s">
        <v>371</v>
      </c>
      <c r="H3323" s="103" t="e">
        <f>_xlfn.XLOOKUP(B3323,GM!$Q$5:$Q$756,GM!$J$5:$J$756)</f>
        <v>#N/A</v>
      </c>
    </row>
    <row r="3324" spans="1:8" hidden="1" x14ac:dyDescent="0.35">
      <c r="A3324" s="29" t="s">
        <v>25</v>
      </c>
      <c r="B3324" s="29" t="str">
        <f t="shared" si="51"/>
        <v>STO-40</v>
      </c>
      <c r="C3324" s="29" t="s">
        <v>9759</v>
      </c>
      <c r="D3324" s="67" t="s">
        <v>9760</v>
      </c>
      <c r="E3324" s="96" t="s">
        <v>62</v>
      </c>
      <c r="F3324" s="29" t="s">
        <v>61</v>
      </c>
      <c r="G3324" s="29"/>
      <c r="H3324" s="103">
        <f>_xlfn.XLOOKUP(B3324,GM!$Q$5:$Q$756,GM!$J$5:$J$756)</f>
        <v>45202</v>
      </c>
    </row>
    <row r="3325" spans="1:8" hidden="1" x14ac:dyDescent="0.35">
      <c r="A3325" s="29" t="s">
        <v>25</v>
      </c>
      <c r="B3325" s="29" t="str">
        <f t="shared" si="51"/>
        <v>STO-40</v>
      </c>
      <c r="C3325" s="29" t="s">
        <v>9761</v>
      </c>
      <c r="D3325" s="67" t="s">
        <v>9762</v>
      </c>
      <c r="E3325" s="96" t="s">
        <v>62</v>
      </c>
      <c r="F3325" s="29" t="s">
        <v>61</v>
      </c>
      <c r="G3325" s="29"/>
      <c r="H3325" s="103">
        <f>_xlfn.XLOOKUP(B3325,GM!$Q$5:$Q$756,GM!$J$5:$J$756)</f>
        <v>45202</v>
      </c>
    </row>
    <row r="3326" spans="1:8" hidden="1" x14ac:dyDescent="0.35">
      <c r="A3326" s="29" t="s">
        <v>25</v>
      </c>
      <c r="B3326" s="29" t="str">
        <f t="shared" si="51"/>
        <v>STO-41</v>
      </c>
      <c r="C3326" s="29" t="s">
        <v>9763</v>
      </c>
      <c r="D3326" s="67" t="s">
        <v>9764</v>
      </c>
      <c r="E3326" s="96" t="s">
        <v>62</v>
      </c>
      <c r="F3326" s="29" t="s">
        <v>61</v>
      </c>
      <c r="G3326" s="29"/>
      <c r="H3326" s="103">
        <f>_xlfn.XLOOKUP(B3326,GM!$Q$5:$Q$756,GM!$J$5:$J$756)</f>
        <v>45202</v>
      </c>
    </row>
    <row r="3327" spans="1:8" hidden="1" x14ac:dyDescent="0.35">
      <c r="A3327" s="29" t="s">
        <v>25</v>
      </c>
      <c r="B3327" s="29" t="str">
        <f t="shared" si="51"/>
        <v>STO-41</v>
      </c>
      <c r="C3327" s="29" t="s">
        <v>9765</v>
      </c>
      <c r="D3327" s="67" t="s">
        <v>9766</v>
      </c>
      <c r="E3327" s="96" t="s">
        <v>62</v>
      </c>
      <c r="F3327" s="29" t="s">
        <v>61</v>
      </c>
      <c r="G3327" s="29"/>
      <c r="H3327" s="103">
        <f>_xlfn.XLOOKUP(B3327,GM!$Q$5:$Q$756,GM!$J$5:$J$756)</f>
        <v>45202</v>
      </c>
    </row>
    <row r="3328" spans="1:8" hidden="1" x14ac:dyDescent="0.35">
      <c r="A3328" s="29" t="s">
        <v>25</v>
      </c>
      <c r="B3328" s="29" t="str">
        <f t="shared" si="51"/>
        <v>STO-41</v>
      </c>
      <c r="C3328" s="29" t="s">
        <v>9767</v>
      </c>
      <c r="D3328" s="67" t="s">
        <v>9768</v>
      </c>
      <c r="E3328" s="96" t="s">
        <v>62</v>
      </c>
      <c r="F3328" s="29" t="s">
        <v>61</v>
      </c>
      <c r="G3328" s="29"/>
      <c r="H3328" s="103">
        <f>_xlfn.XLOOKUP(B3328,GM!$Q$5:$Q$756,GM!$J$5:$J$756)</f>
        <v>45202</v>
      </c>
    </row>
    <row r="3329" spans="1:8" hidden="1" x14ac:dyDescent="0.35">
      <c r="A3329" s="29" t="s">
        <v>25</v>
      </c>
      <c r="B3329" s="29" t="str">
        <f t="shared" si="51"/>
        <v>STO-56</v>
      </c>
      <c r="C3329" s="29" t="s">
        <v>9769</v>
      </c>
      <c r="D3329" s="67" t="s">
        <v>9770</v>
      </c>
      <c r="E3329" s="96" t="s">
        <v>62</v>
      </c>
      <c r="F3329" s="29" t="s">
        <v>61</v>
      </c>
      <c r="G3329" s="29"/>
      <c r="H3329" s="103">
        <f>_xlfn.XLOOKUP(B3329,GM!$Q$5:$Q$756,GM!$J$5:$J$756)</f>
        <v>46107</v>
      </c>
    </row>
    <row r="3330" spans="1:8" hidden="1" x14ac:dyDescent="0.35">
      <c r="A3330" s="29" t="s">
        <v>25</v>
      </c>
      <c r="B3330" s="29" t="str">
        <f t="shared" si="51"/>
        <v>STO-56</v>
      </c>
      <c r="C3330" s="29" t="s">
        <v>9771</v>
      </c>
      <c r="D3330" s="67" t="s">
        <v>9772</v>
      </c>
      <c r="E3330" s="96" t="s">
        <v>62</v>
      </c>
      <c r="F3330" s="29" t="s">
        <v>61</v>
      </c>
      <c r="G3330" s="29"/>
      <c r="H3330" s="103">
        <f>_xlfn.XLOOKUP(B3330,GM!$Q$5:$Q$756,GM!$J$5:$J$756)</f>
        <v>46107</v>
      </c>
    </row>
    <row r="3331" spans="1:8" hidden="1" x14ac:dyDescent="0.35">
      <c r="A3331" s="29" t="s">
        <v>25</v>
      </c>
      <c r="B3331" s="29" t="str">
        <f t="shared" si="51"/>
        <v>STO-56</v>
      </c>
      <c r="C3331" s="29" t="s">
        <v>9773</v>
      </c>
      <c r="D3331" s="67" t="s">
        <v>9774</v>
      </c>
      <c r="E3331" s="96" t="s">
        <v>62</v>
      </c>
      <c r="F3331" s="29" t="s">
        <v>61</v>
      </c>
      <c r="G3331" s="29"/>
      <c r="H3331" s="103">
        <f>_xlfn.XLOOKUP(B3331,GM!$Q$5:$Q$756,GM!$J$5:$J$756)</f>
        <v>46107</v>
      </c>
    </row>
    <row r="3332" spans="1:8" hidden="1" x14ac:dyDescent="0.35">
      <c r="A3332" s="29" t="s">
        <v>25</v>
      </c>
      <c r="B3332" s="29" t="str">
        <f t="shared" si="51"/>
        <v>STO-56</v>
      </c>
      <c r="C3332" s="29" t="s">
        <v>9775</v>
      </c>
      <c r="D3332" s="67" t="s">
        <v>9776</v>
      </c>
      <c r="E3332" s="96" t="s">
        <v>62</v>
      </c>
      <c r="F3332" s="29" t="s">
        <v>61</v>
      </c>
      <c r="G3332" s="29"/>
      <c r="H3332" s="103">
        <f>_xlfn.XLOOKUP(B3332,GM!$Q$5:$Q$756,GM!$J$5:$J$756)</f>
        <v>46107</v>
      </c>
    </row>
    <row r="3333" spans="1:8" hidden="1" x14ac:dyDescent="0.35">
      <c r="A3333" s="29" t="s">
        <v>25</v>
      </c>
      <c r="B3333" s="29" t="str">
        <f t="shared" ref="B3333:B3396" si="52">IF(OR(A3333="ARN",A3333="SDP"),MID(C3333,4,7),MID(C3333,4,6))</f>
        <v>STO-57</v>
      </c>
      <c r="C3333" s="29" t="s">
        <v>9777</v>
      </c>
      <c r="D3333" s="67" t="s">
        <v>9778</v>
      </c>
      <c r="E3333" s="96" t="s">
        <v>62</v>
      </c>
      <c r="F3333" s="29" t="s">
        <v>61</v>
      </c>
      <c r="G3333" s="29"/>
      <c r="H3333" s="103">
        <f>_xlfn.XLOOKUP(B3333,GM!$Q$5:$Q$756,GM!$J$5:$J$756)</f>
        <v>46107</v>
      </c>
    </row>
    <row r="3334" spans="1:8" hidden="1" x14ac:dyDescent="0.35">
      <c r="A3334" s="29" t="s">
        <v>25</v>
      </c>
      <c r="B3334" s="29" t="str">
        <f t="shared" si="52"/>
        <v>STO-57</v>
      </c>
      <c r="C3334" s="29" t="s">
        <v>9779</v>
      </c>
      <c r="D3334" s="67" t="s">
        <v>9780</v>
      </c>
      <c r="E3334" s="96" t="s">
        <v>62</v>
      </c>
      <c r="F3334" s="29" t="s">
        <v>61</v>
      </c>
      <c r="G3334" s="29"/>
      <c r="H3334" s="103">
        <f>_xlfn.XLOOKUP(B3334,GM!$Q$5:$Q$756,GM!$J$5:$J$756)</f>
        <v>46107</v>
      </c>
    </row>
    <row r="3335" spans="1:8" hidden="1" x14ac:dyDescent="0.35">
      <c r="A3335" s="29" t="s">
        <v>25</v>
      </c>
      <c r="B3335" s="29" t="str">
        <f t="shared" si="52"/>
        <v>STO-57</v>
      </c>
      <c r="C3335" s="29" t="s">
        <v>9781</v>
      </c>
      <c r="D3335" s="67" t="s">
        <v>9782</v>
      </c>
      <c r="E3335" s="96" t="s">
        <v>62</v>
      </c>
      <c r="F3335" s="29" t="s">
        <v>61</v>
      </c>
      <c r="G3335" s="29"/>
      <c r="H3335" s="103">
        <f>_xlfn.XLOOKUP(B3335,GM!$Q$5:$Q$756,GM!$J$5:$J$756)</f>
        <v>46107</v>
      </c>
    </row>
    <row r="3336" spans="1:8" hidden="1" x14ac:dyDescent="0.35">
      <c r="A3336" s="29" t="s">
        <v>25</v>
      </c>
      <c r="B3336" s="29" t="str">
        <f t="shared" si="52"/>
        <v>STO-57</v>
      </c>
      <c r="C3336" s="29" t="s">
        <v>9783</v>
      </c>
      <c r="D3336" s="67" t="s">
        <v>9784</v>
      </c>
      <c r="E3336" s="96" t="s">
        <v>62</v>
      </c>
      <c r="F3336" s="29" t="s">
        <v>61</v>
      </c>
      <c r="G3336" s="29"/>
      <c r="H3336" s="103">
        <f>_xlfn.XLOOKUP(B3336,GM!$Q$5:$Q$756,GM!$J$5:$J$756)</f>
        <v>46107</v>
      </c>
    </row>
    <row r="3337" spans="1:8" hidden="1" x14ac:dyDescent="0.35">
      <c r="A3337" s="29" t="s">
        <v>25</v>
      </c>
      <c r="B3337" s="29" t="str">
        <f t="shared" si="52"/>
        <v>STO-57</v>
      </c>
      <c r="C3337" s="29" t="s">
        <v>9785</v>
      </c>
      <c r="D3337" s="67" t="s">
        <v>9786</v>
      </c>
      <c r="E3337" s="96" t="s">
        <v>62</v>
      </c>
      <c r="F3337" s="29" t="s">
        <v>61</v>
      </c>
      <c r="G3337" s="29"/>
      <c r="H3337" s="103">
        <f>_xlfn.XLOOKUP(B3337,GM!$Q$5:$Q$756,GM!$J$5:$J$756)</f>
        <v>46107</v>
      </c>
    </row>
    <row r="3338" spans="1:8" hidden="1" x14ac:dyDescent="0.35">
      <c r="A3338" s="29" t="s">
        <v>25</v>
      </c>
      <c r="B3338" s="29" t="str">
        <f t="shared" si="52"/>
        <v>STO-58</v>
      </c>
      <c r="C3338" s="29" t="s">
        <v>9787</v>
      </c>
      <c r="D3338" s="67" t="s">
        <v>9788</v>
      </c>
      <c r="E3338" s="96" t="s">
        <v>62</v>
      </c>
      <c r="F3338" s="29" t="s">
        <v>61</v>
      </c>
      <c r="G3338" s="29" t="s">
        <v>371</v>
      </c>
      <c r="H3338" s="103">
        <f>_xlfn.XLOOKUP(B3338,GM!$Q$5:$Q$756,GM!$J$5:$J$756)</f>
        <v>44739</v>
      </c>
    </row>
    <row r="3339" spans="1:8" hidden="1" x14ac:dyDescent="0.35">
      <c r="A3339" s="29" t="s">
        <v>25</v>
      </c>
      <c r="B3339" s="29" t="str">
        <f t="shared" si="52"/>
        <v>STO-59</v>
      </c>
      <c r="C3339" s="29" t="s">
        <v>9789</v>
      </c>
      <c r="D3339" s="67" t="s">
        <v>9790</v>
      </c>
      <c r="E3339" s="96" t="s">
        <v>62</v>
      </c>
      <c r="F3339" s="29" t="s">
        <v>61</v>
      </c>
      <c r="G3339" s="29"/>
      <c r="H3339" s="103">
        <f>_xlfn.XLOOKUP(B3339,GM!$Q$5:$Q$756,GM!$J$5:$J$756)</f>
        <v>45462</v>
      </c>
    </row>
    <row r="3340" spans="1:8" hidden="1" x14ac:dyDescent="0.35">
      <c r="A3340" s="29" t="s">
        <v>25</v>
      </c>
      <c r="B3340" s="29" t="str">
        <f t="shared" si="52"/>
        <v>STO-59</v>
      </c>
      <c r="C3340" s="29" t="s">
        <v>9791</v>
      </c>
      <c r="D3340" s="67" t="s">
        <v>9792</v>
      </c>
      <c r="E3340" s="96" t="s">
        <v>62</v>
      </c>
      <c r="F3340" s="29" t="s">
        <v>61</v>
      </c>
      <c r="G3340" s="29"/>
      <c r="H3340" s="103">
        <f>_xlfn.XLOOKUP(B3340,GM!$Q$5:$Q$756,GM!$J$5:$J$756)</f>
        <v>45462</v>
      </c>
    </row>
    <row r="3341" spans="1:8" hidden="1" x14ac:dyDescent="0.35">
      <c r="A3341" s="29" t="s">
        <v>25</v>
      </c>
      <c r="B3341" s="29" t="str">
        <f t="shared" si="52"/>
        <v>STO-60</v>
      </c>
      <c r="C3341" s="29" t="s">
        <v>9793</v>
      </c>
      <c r="D3341" s="67" t="s">
        <v>9794</v>
      </c>
      <c r="E3341" s="96" t="s">
        <v>62</v>
      </c>
      <c r="F3341" s="29" t="s">
        <v>61</v>
      </c>
      <c r="G3341" s="29" t="s">
        <v>371</v>
      </c>
      <c r="H3341" s="103">
        <f>_xlfn.XLOOKUP(B3341,GM!$Q$5:$Q$756,GM!$J$5:$J$756)</f>
        <v>44819</v>
      </c>
    </row>
    <row r="3342" spans="1:8" hidden="1" x14ac:dyDescent="0.35">
      <c r="A3342" s="29" t="s">
        <v>25</v>
      </c>
      <c r="B3342" s="29" t="str">
        <f t="shared" si="52"/>
        <v>STO-61</v>
      </c>
      <c r="C3342" s="29" t="s">
        <v>9795</v>
      </c>
      <c r="D3342" s="67" t="s">
        <v>9796</v>
      </c>
      <c r="E3342" s="96" t="s">
        <v>62</v>
      </c>
      <c r="F3342" s="29" t="s">
        <v>61</v>
      </c>
      <c r="G3342" s="29"/>
      <c r="H3342" s="103">
        <f>_xlfn.XLOOKUP(B3342,GM!$Q$5:$Q$756,GM!$J$5:$J$756)</f>
        <v>44926</v>
      </c>
    </row>
    <row r="3343" spans="1:8" hidden="1" x14ac:dyDescent="0.35">
      <c r="A3343" s="29" t="s">
        <v>25</v>
      </c>
      <c r="B3343" s="29" t="str">
        <f t="shared" si="52"/>
        <v>STO-62</v>
      </c>
      <c r="C3343" s="29" t="s">
        <v>9797</v>
      </c>
      <c r="D3343" s="67" t="s">
        <v>9798</v>
      </c>
      <c r="E3343" s="96" t="s">
        <v>62</v>
      </c>
      <c r="F3343" s="29" t="s">
        <v>61</v>
      </c>
      <c r="G3343" s="29"/>
      <c r="H3343" s="103">
        <f>_xlfn.XLOOKUP(B3343,GM!$Q$5:$Q$756,GM!$J$5:$J$756)</f>
        <v>44926</v>
      </c>
    </row>
    <row r="3344" spans="1:8" hidden="1" x14ac:dyDescent="0.35">
      <c r="A3344" s="29" t="s">
        <v>25</v>
      </c>
      <c r="B3344" s="29" t="str">
        <f t="shared" si="52"/>
        <v>STO-64</v>
      </c>
      <c r="C3344" s="29" t="s">
        <v>9799</v>
      </c>
      <c r="D3344" s="67" t="s">
        <v>9800</v>
      </c>
      <c r="E3344" s="96" t="s">
        <v>62</v>
      </c>
      <c r="F3344" s="29" t="s">
        <v>61</v>
      </c>
      <c r="G3344" s="29"/>
      <c r="H3344" s="103" t="e">
        <f>_xlfn.XLOOKUP(B3344,GM!$Q$5:$Q$756,GM!$J$5:$J$756)</f>
        <v>#N/A</v>
      </c>
    </row>
    <row r="3345" spans="1:8" hidden="1" x14ac:dyDescent="0.35">
      <c r="A3345" s="29" t="s">
        <v>25</v>
      </c>
      <c r="B3345" s="29" t="str">
        <f t="shared" si="52"/>
        <v>STO-65</v>
      </c>
      <c r="C3345" s="29" t="s">
        <v>9801</v>
      </c>
      <c r="D3345" s="67" t="s">
        <v>9802</v>
      </c>
      <c r="E3345" s="96" t="s">
        <v>62</v>
      </c>
      <c r="F3345" s="29" t="s">
        <v>61</v>
      </c>
      <c r="G3345" s="29"/>
      <c r="H3345" s="103">
        <f>_xlfn.XLOOKUP(B3345,GM!$Q$5:$Q$756,GM!$J$5:$J$756)</f>
        <v>45202</v>
      </c>
    </row>
    <row r="3346" spans="1:8" hidden="1" x14ac:dyDescent="0.35">
      <c r="A3346" s="29" t="s">
        <v>25</v>
      </c>
      <c r="B3346" s="29" t="str">
        <f t="shared" si="52"/>
        <v>STO-66</v>
      </c>
      <c r="C3346" s="29" t="s">
        <v>9803</v>
      </c>
      <c r="D3346" s="67" t="s">
        <v>9804</v>
      </c>
      <c r="E3346" s="96" t="s">
        <v>62</v>
      </c>
      <c r="F3346" s="29" t="s">
        <v>61</v>
      </c>
      <c r="G3346" s="29"/>
      <c r="H3346" s="103" t="e">
        <f>_xlfn.XLOOKUP(B3346,GM!$Q$5:$Q$756,GM!$J$5:$J$756)</f>
        <v>#N/A</v>
      </c>
    </row>
    <row r="3347" spans="1:8" hidden="1" x14ac:dyDescent="0.35">
      <c r="A3347" s="29" t="s">
        <v>25</v>
      </c>
      <c r="B3347" s="29" t="str">
        <f t="shared" si="52"/>
        <v>STO-67</v>
      </c>
      <c r="C3347" s="29" t="s">
        <v>9805</v>
      </c>
      <c r="D3347" s="67" t="s">
        <v>9806</v>
      </c>
      <c r="E3347" s="96" t="s">
        <v>62</v>
      </c>
      <c r="F3347" s="29" t="s">
        <v>61</v>
      </c>
      <c r="G3347" s="29"/>
      <c r="H3347" s="103" t="e">
        <f>_xlfn.XLOOKUP(B3347,GM!$Q$5:$Q$756,GM!$J$5:$J$756)</f>
        <v>#N/A</v>
      </c>
    </row>
    <row r="3348" spans="1:8" hidden="1" x14ac:dyDescent="0.35">
      <c r="A3348" s="29" t="s">
        <v>25</v>
      </c>
      <c r="B3348" s="29" t="str">
        <f t="shared" si="52"/>
        <v>STO-68</v>
      </c>
      <c r="C3348" s="29" t="s">
        <v>9807</v>
      </c>
      <c r="D3348" s="67" t="s">
        <v>9808</v>
      </c>
      <c r="E3348" s="96" t="s">
        <v>62</v>
      </c>
      <c r="F3348" s="29" t="s">
        <v>61</v>
      </c>
      <c r="G3348" s="29"/>
      <c r="H3348" s="103" t="e">
        <f>_xlfn.XLOOKUP(B3348,GM!$Q$5:$Q$756,GM!$J$5:$J$756)</f>
        <v>#N/A</v>
      </c>
    </row>
    <row r="3349" spans="1:8" hidden="1" x14ac:dyDescent="0.35">
      <c r="A3349" s="29" t="s">
        <v>19</v>
      </c>
      <c r="B3349" s="29" t="str">
        <f t="shared" si="52"/>
        <v>TAQ-00</v>
      </c>
      <c r="C3349" s="29" t="s">
        <v>9809</v>
      </c>
      <c r="D3349" s="67" t="s">
        <v>9810</v>
      </c>
      <c r="E3349" s="96" t="s">
        <v>62</v>
      </c>
      <c r="F3349" s="29" t="s">
        <v>61</v>
      </c>
      <c r="G3349" s="29"/>
      <c r="H3349" s="103">
        <f>_xlfn.XLOOKUP(B3349,GM!$Q$5:$Q$756,GM!$J$5:$J$756)</f>
        <v>45202</v>
      </c>
    </row>
    <row r="3350" spans="1:8" hidden="1" x14ac:dyDescent="0.35">
      <c r="A3350" s="29" t="s">
        <v>19</v>
      </c>
      <c r="B3350" s="29" t="str">
        <f t="shared" si="52"/>
        <v>TAQ-00</v>
      </c>
      <c r="C3350" s="29" t="s">
        <v>9811</v>
      </c>
      <c r="D3350" s="67" t="s">
        <v>9812</v>
      </c>
      <c r="E3350" s="96" t="s">
        <v>62</v>
      </c>
      <c r="F3350" s="29" t="s">
        <v>61</v>
      </c>
      <c r="G3350" s="29"/>
      <c r="H3350" s="103">
        <f>_xlfn.XLOOKUP(B3350,GM!$Q$5:$Q$756,GM!$J$5:$J$756)</f>
        <v>45202</v>
      </c>
    </row>
    <row r="3351" spans="1:8" hidden="1" x14ac:dyDescent="0.35">
      <c r="A3351" s="29" t="s">
        <v>19</v>
      </c>
      <c r="B3351" s="29" t="str">
        <f t="shared" si="52"/>
        <v>TAQ-00</v>
      </c>
      <c r="C3351" s="29" t="s">
        <v>9813</v>
      </c>
      <c r="D3351" s="67" t="s">
        <v>9814</v>
      </c>
      <c r="E3351" s="96" t="s">
        <v>62</v>
      </c>
      <c r="F3351" s="29" t="s">
        <v>61</v>
      </c>
      <c r="G3351" s="29"/>
      <c r="H3351" s="103">
        <f>_xlfn.XLOOKUP(B3351,GM!$Q$5:$Q$756,GM!$J$5:$J$756)</f>
        <v>45202</v>
      </c>
    </row>
    <row r="3352" spans="1:8" hidden="1" x14ac:dyDescent="0.35">
      <c r="A3352" s="29" t="s">
        <v>19</v>
      </c>
      <c r="B3352" s="29" t="str">
        <f t="shared" si="52"/>
        <v>TAQ-00</v>
      </c>
      <c r="C3352" s="29" t="s">
        <v>9815</v>
      </c>
      <c r="D3352" s="67" t="s">
        <v>9816</v>
      </c>
      <c r="E3352" s="96" t="s">
        <v>62</v>
      </c>
      <c r="F3352" s="29" t="s">
        <v>61</v>
      </c>
      <c r="G3352" s="29"/>
      <c r="H3352" s="103">
        <f>_xlfn.XLOOKUP(B3352,GM!$Q$5:$Q$756,GM!$J$5:$J$756)</f>
        <v>45202</v>
      </c>
    </row>
    <row r="3353" spans="1:8" hidden="1" x14ac:dyDescent="0.35">
      <c r="A3353" s="29" t="s">
        <v>19</v>
      </c>
      <c r="B3353" s="29" t="str">
        <f t="shared" si="52"/>
        <v>TAQ-00</v>
      </c>
      <c r="C3353" s="29" t="s">
        <v>9817</v>
      </c>
      <c r="D3353" s="67" t="s">
        <v>9818</v>
      </c>
      <c r="E3353" s="96" t="s">
        <v>62</v>
      </c>
      <c r="F3353" s="29" t="s">
        <v>61</v>
      </c>
      <c r="G3353" s="29"/>
      <c r="H3353" s="103">
        <f>_xlfn.XLOOKUP(B3353,GM!$Q$5:$Q$756,GM!$J$5:$J$756)</f>
        <v>45202</v>
      </c>
    </row>
    <row r="3354" spans="1:8" hidden="1" x14ac:dyDescent="0.35">
      <c r="A3354" s="29" t="s">
        <v>19</v>
      </c>
      <c r="B3354" s="29" t="str">
        <f t="shared" si="52"/>
        <v>TAQ-00</v>
      </c>
      <c r="C3354" s="29" t="s">
        <v>9819</v>
      </c>
      <c r="D3354" s="67" t="s">
        <v>9820</v>
      </c>
      <c r="E3354" s="96" t="s">
        <v>62</v>
      </c>
      <c r="F3354" s="29" t="s">
        <v>61</v>
      </c>
      <c r="G3354" s="29"/>
      <c r="H3354" s="103">
        <f>_xlfn.XLOOKUP(B3354,GM!$Q$5:$Q$756,GM!$J$5:$J$756)</f>
        <v>45202</v>
      </c>
    </row>
    <row r="3355" spans="1:8" hidden="1" x14ac:dyDescent="0.35">
      <c r="A3355" s="29" t="s">
        <v>19</v>
      </c>
      <c r="B3355" s="29" t="str">
        <f t="shared" si="52"/>
        <v>TAQ-00</v>
      </c>
      <c r="C3355" s="29" t="s">
        <v>9821</v>
      </c>
      <c r="D3355" s="67" t="s">
        <v>9822</v>
      </c>
      <c r="E3355" s="96" t="s">
        <v>62</v>
      </c>
      <c r="F3355" s="29" t="s">
        <v>61</v>
      </c>
      <c r="G3355" s="29"/>
      <c r="H3355" s="103">
        <f>_xlfn.XLOOKUP(B3355,GM!$Q$5:$Q$756,GM!$J$5:$J$756)</f>
        <v>45202</v>
      </c>
    </row>
    <row r="3356" spans="1:8" hidden="1" x14ac:dyDescent="0.35">
      <c r="A3356" s="29" t="s">
        <v>19</v>
      </c>
      <c r="B3356" s="29" t="str">
        <f t="shared" si="52"/>
        <v>TAQ-00</v>
      </c>
      <c r="C3356" s="29" t="s">
        <v>9823</v>
      </c>
      <c r="D3356" s="67" t="s">
        <v>9824</v>
      </c>
      <c r="E3356" s="96" t="s">
        <v>62</v>
      </c>
      <c r="F3356" s="29" t="s">
        <v>61</v>
      </c>
      <c r="G3356" s="29"/>
      <c r="H3356" s="103">
        <f>_xlfn.XLOOKUP(B3356,GM!$Q$5:$Q$756,GM!$J$5:$J$756)</f>
        <v>45202</v>
      </c>
    </row>
    <row r="3357" spans="1:8" hidden="1" x14ac:dyDescent="0.35">
      <c r="A3357" s="29" t="s">
        <v>19</v>
      </c>
      <c r="B3357" s="29" t="str">
        <f t="shared" si="52"/>
        <v>TAQ-00</v>
      </c>
      <c r="C3357" s="29" t="s">
        <v>9825</v>
      </c>
      <c r="D3357" s="67" t="s">
        <v>9826</v>
      </c>
      <c r="E3357" s="96" t="s">
        <v>62</v>
      </c>
      <c r="F3357" s="29" t="s">
        <v>61</v>
      </c>
      <c r="G3357" s="29"/>
      <c r="H3357" s="103">
        <f>_xlfn.XLOOKUP(B3357,GM!$Q$5:$Q$756,GM!$J$5:$J$756)</f>
        <v>45202</v>
      </c>
    </row>
    <row r="3358" spans="1:8" hidden="1" x14ac:dyDescent="0.35">
      <c r="A3358" s="29" t="s">
        <v>19</v>
      </c>
      <c r="B3358" s="29" t="str">
        <f t="shared" si="52"/>
        <v>TAQ-01</v>
      </c>
      <c r="C3358" s="29" t="s">
        <v>9827</v>
      </c>
      <c r="D3358" s="67" t="s">
        <v>9828</v>
      </c>
      <c r="E3358" s="96" t="s">
        <v>62</v>
      </c>
      <c r="F3358" s="29" t="s">
        <v>61</v>
      </c>
      <c r="G3358" s="29"/>
      <c r="H3358" s="103">
        <f>_xlfn.XLOOKUP(B3358,GM!$Q$5:$Q$756,GM!$J$5:$J$756)</f>
        <v>44739</v>
      </c>
    </row>
    <row r="3359" spans="1:8" hidden="1" x14ac:dyDescent="0.35">
      <c r="A3359" s="29" t="s">
        <v>19</v>
      </c>
      <c r="B3359" s="29" t="str">
        <f t="shared" si="52"/>
        <v>TAQ-01</v>
      </c>
      <c r="C3359" s="29" t="s">
        <v>9829</v>
      </c>
      <c r="D3359" s="67" t="s">
        <v>9830</v>
      </c>
      <c r="E3359" s="96" t="s">
        <v>62</v>
      </c>
      <c r="F3359" s="29" t="s">
        <v>61</v>
      </c>
      <c r="G3359" s="29"/>
      <c r="H3359" s="103">
        <f>_xlfn.XLOOKUP(B3359,GM!$Q$5:$Q$756,GM!$J$5:$J$756)</f>
        <v>44739</v>
      </c>
    </row>
    <row r="3360" spans="1:8" hidden="1" x14ac:dyDescent="0.35">
      <c r="A3360" s="29" t="s">
        <v>19</v>
      </c>
      <c r="B3360" s="29" t="str">
        <f t="shared" si="52"/>
        <v>TAQ-01</v>
      </c>
      <c r="C3360" s="29" t="s">
        <v>9831</v>
      </c>
      <c r="D3360" s="67" t="s">
        <v>9832</v>
      </c>
      <c r="E3360" s="96" t="s">
        <v>62</v>
      </c>
      <c r="F3360" s="29" t="s">
        <v>61</v>
      </c>
      <c r="G3360" s="29"/>
      <c r="H3360" s="103">
        <f>_xlfn.XLOOKUP(B3360,GM!$Q$5:$Q$756,GM!$J$5:$J$756)</f>
        <v>44739</v>
      </c>
    </row>
    <row r="3361" spans="1:8" hidden="1" x14ac:dyDescent="0.35">
      <c r="A3361" s="29" t="s">
        <v>19</v>
      </c>
      <c r="B3361" s="29" t="str">
        <f t="shared" si="52"/>
        <v>TAQ-01</v>
      </c>
      <c r="C3361" s="29" t="s">
        <v>9833</v>
      </c>
      <c r="D3361" s="67" t="s">
        <v>9834</v>
      </c>
      <c r="E3361" s="96" t="s">
        <v>62</v>
      </c>
      <c r="F3361" s="29" t="s">
        <v>61</v>
      </c>
      <c r="G3361" s="29"/>
      <c r="H3361" s="103">
        <f>_xlfn.XLOOKUP(B3361,GM!$Q$5:$Q$756,GM!$J$5:$J$756)</f>
        <v>44739</v>
      </c>
    </row>
    <row r="3362" spans="1:8" hidden="1" x14ac:dyDescent="0.35">
      <c r="A3362" s="29" t="s">
        <v>19</v>
      </c>
      <c r="B3362" s="29" t="str">
        <f t="shared" si="52"/>
        <v>TAQ-01</v>
      </c>
      <c r="C3362" s="29" t="s">
        <v>9835</v>
      </c>
      <c r="D3362" s="67" t="s">
        <v>9836</v>
      </c>
      <c r="E3362" s="96" t="s">
        <v>62</v>
      </c>
      <c r="F3362" s="29" t="s">
        <v>61</v>
      </c>
      <c r="G3362" s="29"/>
      <c r="H3362" s="103">
        <f>_xlfn.XLOOKUP(B3362,GM!$Q$5:$Q$756,GM!$J$5:$J$756)</f>
        <v>44739</v>
      </c>
    </row>
    <row r="3363" spans="1:8" hidden="1" x14ac:dyDescent="0.35">
      <c r="A3363" s="29" t="s">
        <v>19</v>
      </c>
      <c r="B3363" s="29" t="str">
        <f t="shared" si="52"/>
        <v>TAQ-01</v>
      </c>
      <c r="C3363" s="29" t="s">
        <v>9837</v>
      </c>
      <c r="D3363" s="67" t="s">
        <v>9838</v>
      </c>
      <c r="E3363" s="96" t="s">
        <v>62</v>
      </c>
      <c r="F3363" s="29" t="s">
        <v>61</v>
      </c>
      <c r="G3363" s="29"/>
      <c r="H3363" s="103">
        <f>_xlfn.XLOOKUP(B3363,GM!$Q$5:$Q$756,GM!$J$5:$J$756)</f>
        <v>44739</v>
      </c>
    </row>
    <row r="3364" spans="1:8" hidden="1" x14ac:dyDescent="0.35">
      <c r="A3364" s="29" t="s">
        <v>19</v>
      </c>
      <c r="B3364" s="29" t="str">
        <f t="shared" si="52"/>
        <v>TAQ-01</v>
      </c>
      <c r="C3364" s="29" t="s">
        <v>9839</v>
      </c>
      <c r="D3364" s="67" t="s">
        <v>9840</v>
      </c>
      <c r="E3364" s="96" t="s">
        <v>62</v>
      </c>
      <c r="F3364" s="29" t="s">
        <v>61</v>
      </c>
      <c r="G3364" s="29"/>
      <c r="H3364" s="103">
        <f>_xlfn.XLOOKUP(B3364,GM!$Q$5:$Q$756,GM!$J$5:$J$756)</f>
        <v>44739</v>
      </c>
    </row>
    <row r="3365" spans="1:8" hidden="1" x14ac:dyDescent="0.35">
      <c r="A3365" s="29" t="s">
        <v>19</v>
      </c>
      <c r="B3365" s="29" t="str">
        <f t="shared" si="52"/>
        <v>TAQ-01</v>
      </c>
      <c r="C3365" s="29" t="s">
        <v>9841</v>
      </c>
      <c r="D3365" s="67" t="s">
        <v>9842</v>
      </c>
      <c r="E3365" s="96" t="s">
        <v>62</v>
      </c>
      <c r="F3365" s="29" t="s">
        <v>61</v>
      </c>
      <c r="G3365" s="29"/>
      <c r="H3365" s="103">
        <f>_xlfn.XLOOKUP(B3365,GM!$Q$5:$Q$756,GM!$J$5:$J$756)</f>
        <v>44739</v>
      </c>
    </row>
    <row r="3366" spans="1:8" hidden="1" x14ac:dyDescent="0.35">
      <c r="A3366" s="29" t="s">
        <v>19</v>
      </c>
      <c r="B3366" s="29" t="str">
        <f t="shared" si="52"/>
        <v>TAQ-01</v>
      </c>
      <c r="C3366" s="29" t="s">
        <v>9843</v>
      </c>
      <c r="D3366" s="67" t="s">
        <v>9844</v>
      </c>
      <c r="E3366" s="96" t="s">
        <v>62</v>
      </c>
      <c r="F3366" s="29" t="s">
        <v>61</v>
      </c>
      <c r="G3366" s="29"/>
      <c r="H3366" s="103">
        <f>_xlfn.XLOOKUP(B3366,GM!$Q$5:$Q$756,GM!$J$5:$J$756)</f>
        <v>44739</v>
      </c>
    </row>
    <row r="3367" spans="1:8" hidden="1" x14ac:dyDescent="0.35">
      <c r="A3367" s="29" t="s">
        <v>19</v>
      </c>
      <c r="B3367" s="29" t="str">
        <f t="shared" si="52"/>
        <v>TAQ-01</v>
      </c>
      <c r="C3367" s="29" t="s">
        <v>9845</v>
      </c>
      <c r="D3367" s="67" t="s">
        <v>9846</v>
      </c>
      <c r="E3367" s="96" t="s">
        <v>62</v>
      </c>
      <c r="F3367" s="29" t="s">
        <v>61</v>
      </c>
      <c r="G3367" s="29"/>
      <c r="H3367" s="103">
        <f>_xlfn.XLOOKUP(B3367,GM!$Q$5:$Q$756,GM!$J$5:$J$756)</f>
        <v>44739</v>
      </c>
    </row>
    <row r="3368" spans="1:8" hidden="1" x14ac:dyDescent="0.35">
      <c r="A3368" s="29" t="s">
        <v>19</v>
      </c>
      <c r="B3368" s="29" t="str">
        <f t="shared" si="52"/>
        <v>TAQ-01</v>
      </c>
      <c r="C3368" s="29" t="s">
        <v>9847</v>
      </c>
      <c r="D3368" s="67" t="s">
        <v>9848</v>
      </c>
      <c r="E3368" s="96" t="s">
        <v>62</v>
      </c>
      <c r="F3368" s="29" t="s">
        <v>61</v>
      </c>
      <c r="G3368" s="29"/>
      <c r="H3368" s="103">
        <f>_xlfn.XLOOKUP(B3368,GM!$Q$5:$Q$756,GM!$J$5:$J$756)</f>
        <v>44739</v>
      </c>
    </row>
    <row r="3369" spans="1:8" hidden="1" x14ac:dyDescent="0.35">
      <c r="A3369" s="29" t="s">
        <v>19</v>
      </c>
      <c r="B3369" s="29" t="str">
        <f t="shared" si="52"/>
        <v>TAQ-01</v>
      </c>
      <c r="C3369" s="29" t="s">
        <v>9849</v>
      </c>
      <c r="D3369" s="67" t="s">
        <v>9850</v>
      </c>
      <c r="E3369" s="96" t="s">
        <v>62</v>
      </c>
      <c r="F3369" s="29" t="s">
        <v>61</v>
      </c>
      <c r="G3369" s="29"/>
      <c r="H3369" s="103">
        <f>_xlfn.XLOOKUP(B3369,GM!$Q$5:$Q$756,GM!$J$5:$J$756)</f>
        <v>44739</v>
      </c>
    </row>
    <row r="3370" spans="1:8" hidden="1" x14ac:dyDescent="0.35">
      <c r="A3370" s="29" t="s">
        <v>19</v>
      </c>
      <c r="B3370" s="29" t="str">
        <f t="shared" si="52"/>
        <v>TAQ-01</v>
      </c>
      <c r="C3370" s="29" t="s">
        <v>9851</v>
      </c>
      <c r="D3370" s="67" t="s">
        <v>9852</v>
      </c>
      <c r="E3370" s="96" t="s">
        <v>62</v>
      </c>
      <c r="F3370" s="29" t="s">
        <v>61</v>
      </c>
      <c r="G3370" s="29"/>
      <c r="H3370" s="103">
        <f>_xlfn.XLOOKUP(B3370,GM!$Q$5:$Q$756,GM!$J$5:$J$756)</f>
        <v>44739</v>
      </c>
    </row>
    <row r="3371" spans="1:8" hidden="1" x14ac:dyDescent="0.35">
      <c r="A3371" s="29" t="s">
        <v>19</v>
      </c>
      <c r="B3371" s="29" t="str">
        <f t="shared" si="52"/>
        <v>TAQ-01</v>
      </c>
      <c r="C3371" s="29" t="s">
        <v>9853</v>
      </c>
      <c r="D3371" s="67" t="s">
        <v>9854</v>
      </c>
      <c r="E3371" s="96" t="s">
        <v>62</v>
      </c>
      <c r="F3371" s="29" t="s">
        <v>61</v>
      </c>
      <c r="G3371" s="29"/>
      <c r="H3371" s="103">
        <f>_xlfn.XLOOKUP(B3371,GM!$Q$5:$Q$756,GM!$J$5:$J$756)</f>
        <v>44739</v>
      </c>
    </row>
    <row r="3372" spans="1:8" hidden="1" x14ac:dyDescent="0.35">
      <c r="A3372" s="29" t="s">
        <v>19</v>
      </c>
      <c r="B3372" s="29" t="str">
        <f t="shared" si="52"/>
        <v>TAQ-01</v>
      </c>
      <c r="C3372" s="29" t="s">
        <v>9855</v>
      </c>
      <c r="D3372" s="67" t="s">
        <v>9856</v>
      </c>
      <c r="E3372" s="96" t="s">
        <v>62</v>
      </c>
      <c r="F3372" s="29" t="s">
        <v>61</v>
      </c>
      <c r="G3372" s="29"/>
      <c r="H3372" s="103">
        <f>_xlfn.XLOOKUP(B3372,GM!$Q$5:$Q$756,GM!$J$5:$J$756)</f>
        <v>44739</v>
      </c>
    </row>
    <row r="3373" spans="1:8" hidden="1" x14ac:dyDescent="0.35">
      <c r="A3373" s="29" t="s">
        <v>19</v>
      </c>
      <c r="B3373" s="29" t="str">
        <f t="shared" si="52"/>
        <v>TAQ-01</v>
      </c>
      <c r="C3373" s="29" t="s">
        <v>9857</v>
      </c>
      <c r="D3373" s="67" t="s">
        <v>9858</v>
      </c>
      <c r="E3373" s="96" t="s">
        <v>62</v>
      </c>
      <c r="F3373" s="29" t="s">
        <v>61</v>
      </c>
      <c r="G3373" s="29"/>
      <c r="H3373" s="103">
        <f>_xlfn.XLOOKUP(B3373,GM!$Q$5:$Q$756,GM!$J$5:$J$756)</f>
        <v>44739</v>
      </c>
    </row>
    <row r="3374" spans="1:8" hidden="1" x14ac:dyDescent="0.35">
      <c r="A3374" s="29" t="s">
        <v>19</v>
      </c>
      <c r="B3374" s="29" t="str">
        <f t="shared" si="52"/>
        <v>TAQ-01</v>
      </c>
      <c r="C3374" s="29" t="s">
        <v>9859</v>
      </c>
      <c r="D3374" s="67" t="s">
        <v>9860</v>
      </c>
      <c r="E3374" s="96" t="s">
        <v>62</v>
      </c>
      <c r="F3374" s="29" t="s">
        <v>61</v>
      </c>
      <c r="G3374" s="29"/>
      <c r="H3374" s="103">
        <f>_xlfn.XLOOKUP(B3374,GM!$Q$5:$Q$756,GM!$J$5:$J$756)</f>
        <v>44739</v>
      </c>
    </row>
    <row r="3375" spans="1:8" hidden="1" x14ac:dyDescent="0.35">
      <c r="A3375" s="29" t="s">
        <v>19</v>
      </c>
      <c r="B3375" s="29" t="str">
        <f t="shared" si="52"/>
        <v>TAQ-01</v>
      </c>
      <c r="C3375" s="29" t="s">
        <v>9861</v>
      </c>
      <c r="D3375" s="67" t="s">
        <v>9862</v>
      </c>
      <c r="E3375" s="96" t="s">
        <v>62</v>
      </c>
      <c r="F3375" s="29" t="s">
        <v>61</v>
      </c>
      <c r="G3375" s="29"/>
      <c r="H3375" s="103">
        <f>_xlfn.XLOOKUP(B3375,GM!$Q$5:$Q$756,GM!$J$5:$J$756)</f>
        <v>44739</v>
      </c>
    </row>
    <row r="3376" spans="1:8" hidden="1" x14ac:dyDescent="0.35">
      <c r="A3376" s="29" t="s">
        <v>19</v>
      </c>
      <c r="B3376" s="29" t="str">
        <f t="shared" si="52"/>
        <v>TAQ-01</v>
      </c>
      <c r="C3376" s="29" t="s">
        <v>9863</v>
      </c>
      <c r="D3376" s="67" t="s">
        <v>9864</v>
      </c>
      <c r="E3376" s="96" t="s">
        <v>62</v>
      </c>
      <c r="F3376" s="29" t="s">
        <v>61</v>
      </c>
      <c r="G3376" s="29"/>
      <c r="H3376" s="103">
        <f>_xlfn.XLOOKUP(B3376,GM!$Q$5:$Q$756,GM!$J$5:$J$756)</f>
        <v>44739</v>
      </c>
    </row>
    <row r="3377" spans="1:8" hidden="1" x14ac:dyDescent="0.35">
      <c r="A3377" s="29" t="s">
        <v>19</v>
      </c>
      <c r="B3377" s="29" t="str">
        <f t="shared" si="52"/>
        <v>TAQ-01</v>
      </c>
      <c r="C3377" s="29" t="s">
        <v>9865</v>
      </c>
      <c r="D3377" s="67" t="s">
        <v>9866</v>
      </c>
      <c r="E3377" s="96" t="s">
        <v>62</v>
      </c>
      <c r="F3377" s="29" t="s">
        <v>61</v>
      </c>
      <c r="G3377" s="29"/>
      <c r="H3377" s="103">
        <f>_xlfn.XLOOKUP(B3377,GM!$Q$5:$Q$756,GM!$J$5:$J$756)</f>
        <v>44739</v>
      </c>
    </row>
    <row r="3378" spans="1:8" hidden="1" x14ac:dyDescent="0.35">
      <c r="A3378" s="29" t="s">
        <v>19</v>
      </c>
      <c r="B3378" s="29" t="str">
        <f t="shared" si="52"/>
        <v>TAQ-01</v>
      </c>
      <c r="C3378" s="29" t="s">
        <v>9867</v>
      </c>
      <c r="D3378" s="67" t="s">
        <v>9868</v>
      </c>
      <c r="E3378" s="96" t="s">
        <v>62</v>
      </c>
      <c r="F3378" s="29" t="s">
        <v>61</v>
      </c>
      <c r="G3378" s="29"/>
      <c r="H3378" s="103">
        <f>_xlfn.XLOOKUP(B3378,GM!$Q$5:$Q$756,GM!$J$5:$J$756)</f>
        <v>44739</v>
      </c>
    </row>
    <row r="3379" spans="1:8" hidden="1" x14ac:dyDescent="0.35">
      <c r="A3379" s="29" t="s">
        <v>19</v>
      </c>
      <c r="B3379" s="29" t="str">
        <f t="shared" si="52"/>
        <v>TAQ-01</v>
      </c>
      <c r="C3379" s="29" t="s">
        <v>9869</v>
      </c>
      <c r="D3379" s="67" t="s">
        <v>9870</v>
      </c>
      <c r="E3379" s="96" t="s">
        <v>62</v>
      </c>
      <c r="F3379" s="29" t="s">
        <v>61</v>
      </c>
      <c r="G3379" s="29"/>
      <c r="H3379" s="103">
        <f>_xlfn.XLOOKUP(B3379,GM!$Q$5:$Q$756,GM!$J$5:$J$756)</f>
        <v>44739</v>
      </c>
    </row>
    <row r="3380" spans="1:8" hidden="1" x14ac:dyDescent="0.35">
      <c r="A3380" s="29" t="s">
        <v>19</v>
      </c>
      <c r="B3380" s="29" t="str">
        <f t="shared" si="52"/>
        <v>TAQ-01</v>
      </c>
      <c r="C3380" s="29" t="s">
        <v>9871</v>
      </c>
      <c r="D3380" s="67" t="s">
        <v>9872</v>
      </c>
      <c r="E3380" s="96" t="s">
        <v>62</v>
      </c>
      <c r="F3380" s="29" t="s">
        <v>61</v>
      </c>
      <c r="G3380" s="29"/>
      <c r="H3380" s="103">
        <f>_xlfn.XLOOKUP(B3380,GM!$Q$5:$Q$756,GM!$J$5:$J$756)</f>
        <v>44739</v>
      </c>
    </row>
    <row r="3381" spans="1:8" hidden="1" x14ac:dyDescent="0.35">
      <c r="A3381" s="29" t="s">
        <v>19</v>
      </c>
      <c r="B3381" s="29" t="str">
        <f t="shared" si="52"/>
        <v>TAQ-01</v>
      </c>
      <c r="C3381" s="29" t="s">
        <v>9873</v>
      </c>
      <c r="D3381" s="67" t="s">
        <v>9874</v>
      </c>
      <c r="E3381" s="96" t="s">
        <v>62</v>
      </c>
      <c r="F3381" s="29" t="s">
        <v>61</v>
      </c>
      <c r="G3381" s="29"/>
      <c r="H3381" s="103">
        <f>_xlfn.XLOOKUP(B3381,GM!$Q$5:$Q$756,GM!$J$5:$J$756)</f>
        <v>44739</v>
      </c>
    </row>
    <row r="3382" spans="1:8" hidden="1" x14ac:dyDescent="0.35">
      <c r="A3382" s="29" t="s">
        <v>19</v>
      </c>
      <c r="B3382" s="29" t="str">
        <f t="shared" si="52"/>
        <v>TAQ-01</v>
      </c>
      <c r="C3382" s="29" t="s">
        <v>9875</v>
      </c>
      <c r="D3382" s="67" t="s">
        <v>9876</v>
      </c>
      <c r="E3382" s="96" t="s">
        <v>62</v>
      </c>
      <c r="F3382" s="29" t="s">
        <v>61</v>
      </c>
      <c r="G3382" s="29"/>
      <c r="H3382" s="103">
        <f>_xlfn.XLOOKUP(B3382,GM!$Q$5:$Q$756,GM!$J$5:$J$756)</f>
        <v>44739</v>
      </c>
    </row>
    <row r="3383" spans="1:8" hidden="1" x14ac:dyDescent="0.35">
      <c r="A3383" s="29" t="s">
        <v>19</v>
      </c>
      <c r="B3383" s="29" t="str">
        <f t="shared" si="52"/>
        <v>TAQ-02</v>
      </c>
      <c r="C3383" s="29" t="s">
        <v>9877</v>
      </c>
      <c r="D3383" s="67" t="s">
        <v>9878</v>
      </c>
      <c r="E3383" s="96" t="s">
        <v>62</v>
      </c>
      <c r="F3383" s="29" t="s">
        <v>61</v>
      </c>
      <c r="G3383" s="29"/>
      <c r="H3383" s="103">
        <f>_xlfn.XLOOKUP(B3383,GM!$Q$5:$Q$756,GM!$J$5:$J$756)</f>
        <v>44739</v>
      </c>
    </row>
    <row r="3384" spans="1:8" hidden="1" x14ac:dyDescent="0.35">
      <c r="A3384" s="29" t="s">
        <v>19</v>
      </c>
      <c r="B3384" s="29" t="str">
        <f t="shared" si="52"/>
        <v>TAQ-02</v>
      </c>
      <c r="C3384" s="29" t="s">
        <v>9879</v>
      </c>
      <c r="D3384" s="67" t="s">
        <v>9880</v>
      </c>
      <c r="E3384" s="96" t="s">
        <v>62</v>
      </c>
      <c r="F3384" s="29" t="s">
        <v>61</v>
      </c>
      <c r="G3384" s="29"/>
      <c r="H3384" s="103">
        <f>_xlfn.XLOOKUP(B3384,GM!$Q$5:$Q$756,GM!$J$5:$J$756)</f>
        <v>44739</v>
      </c>
    </row>
    <row r="3385" spans="1:8" hidden="1" x14ac:dyDescent="0.35">
      <c r="A3385" s="29" t="s">
        <v>19</v>
      </c>
      <c r="B3385" s="29" t="str">
        <f t="shared" si="52"/>
        <v>TAQ-02</v>
      </c>
      <c r="C3385" s="29" t="s">
        <v>9881</v>
      </c>
      <c r="D3385" s="67" t="s">
        <v>9882</v>
      </c>
      <c r="E3385" s="96" t="s">
        <v>62</v>
      </c>
      <c r="F3385" s="29" t="s">
        <v>61</v>
      </c>
      <c r="G3385" s="29"/>
      <c r="H3385" s="103">
        <f>_xlfn.XLOOKUP(B3385,GM!$Q$5:$Q$756,GM!$J$5:$J$756)</f>
        <v>44739</v>
      </c>
    </row>
    <row r="3386" spans="1:8" hidden="1" x14ac:dyDescent="0.35">
      <c r="A3386" s="29" t="s">
        <v>19</v>
      </c>
      <c r="B3386" s="29" t="str">
        <f t="shared" si="52"/>
        <v>TAQ-02</v>
      </c>
      <c r="C3386" s="29" t="s">
        <v>9883</v>
      </c>
      <c r="D3386" s="67" t="s">
        <v>9884</v>
      </c>
      <c r="E3386" s="96" t="s">
        <v>62</v>
      </c>
      <c r="F3386" s="29" t="s">
        <v>61</v>
      </c>
      <c r="G3386" s="29"/>
      <c r="H3386" s="103">
        <f>_xlfn.XLOOKUP(B3386,GM!$Q$5:$Q$756,GM!$J$5:$J$756)</f>
        <v>44739</v>
      </c>
    </row>
    <row r="3387" spans="1:8" hidden="1" x14ac:dyDescent="0.35">
      <c r="A3387" s="29" t="s">
        <v>19</v>
      </c>
      <c r="B3387" s="29" t="str">
        <f t="shared" si="52"/>
        <v>TAQ-02</v>
      </c>
      <c r="C3387" s="29" t="s">
        <v>9885</v>
      </c>
      <c r="D3387" s="67" t="s">
        <v>9886</v>
      </c>
      <c r="E3387" s="96" t="s">
        <v>62</v>
      </c>
      <c r="F3387" s="29" t="s">
        <v>61</v>
      </c>
      <c r="G3387" s="29"/>
      <c r="H3387" s="103">
        <f>_xlfn.XLOOKUP(B3387,GM!$Q$5:$Q$756,GM!$J$5:$J$756)</f>
        <v>44739</v>
      </c>
    </row>
    <row r="3388" spans="1:8" hidden="1" x14ac:dyDescent="0.35">
      <c r="A3388" s="29" t="s">
        <v>19</v>
      </c>
      <c r="B3388" s="29" t="str">
        <f t="shared" si="52"/>
        <v>TAQ-02</v>
      </c>
      <c r="C3388" s="29" t="s">
        <v>9887</v>
      </c>
      <c r="D3388" s="67" t="s">
        <v>9888</v>
      </c>
      <c r="E3388" s="96" t="s">
        <v>62</v>
      </c>
      <c r="F3388" s="29" t="s">
        <v>61</v>
      </c>
      <c r="G3388" s="29"/>
      <c r="H3388" s="103">
        <f>_xlfn.XLOOKUP(B3388,GM!$Q$5:$Q$756,GM!$J$5:$J$756)</f>
        <v>44739</v>
      </c>
    </row>
    <row r="3389" spans="1:8" hidden="1" x14ac:dyDescent="0.35">
      <c r="A3389" s="29" t="s">
        <v>19</v>
      </c>
      <c r="B3389" s="29" t="str">
        <f t="shared" si="52"/>
        <v>TAQ-02</v>
      </c>
      <c r="C3389" s="29" t="s">
        <v>9889</v>
      </c>
      <c r="D3389" s="67" t="s">
        <v>9890</v>
      </c>
      <c r="E3389" s="96" t="s">
        <v>62</v>
      </c>
      <c r="F3389" s="29" t="s">
        <v>61</v>
      </c>
      <c r="G3389" s="29"/>
      <c r="H3389" s="103">
        <f>_xlfn.XLOOKUP(B3389,GM!$Q$5:$Q$756,GM!$J$5:$J$756)</f>
        <v>44739</v>
      </c>
    </row>
    <row r="3390" spans="1:8" hidden="1" x14ac:dyDescent="0.35">
      <c r="A3390" s="29" t="s">
        <v>19</v>
      </c>
      <c r="B3390" s="29" t="str">
        <f t="shared" si="52"/>
        <v>TAQ-02</v>
      </c>
      <c r="C3390" s="29" t="s">
        <v>9891</v>
      </c>
      <c r="D3390" s="67" t="s">
        <v>9892</v>
      </c>
      <c r="E3390" s="96" t="s">
        <v>62</v>
      </c>
      <c r="F3390" s="29" t="s">
        <v>61</v>
      </c>
      <c r="G3390" s="29"/>
      <c r="H3390" s="103">
        <f>_xlfn.XLOOKUP(B3390,GM!$Q$5:$Q$756,GM!$J$5:$J$756)</f>
        <v>44739</v>
      </c>
    </row>
    <row r="3391" spans="1:8" hidden="1" x14ac:dyDescent="0.35">
      <c r="A3391" s="29" t="s">
        <v>19</v>
      </c>
      <c r="B3391" s="29" t="str">
        <f t="shared" si="52"/>
        <v>TAQ-02</v>
      </c>
      <c r="C3391" s="29" t="s">
        <v>9893</v>
      </c>
      <c r="D3391" s="67" t="s">
        <v>9894</v>
      </c>
      <c r="E3391" s="96" t="s">
        <v>62</v>
      </c>
      <c r="F3391" s="29" t="s">
        <v>61</v>
      </c>
      <c r="G3391" s="29"/>
      <c r="H3391" s="103">
        <f>_xlfn.XLOOKUP(B3391,GM!$Q$5:$Q$756,GM!$J$5:$J$756)</f>
        <v>44739</v>
      </c>
    </row>
    <row r="3392" spans="1:8" hidden="1" x14ac:dyDescent="0.35">
      <c r="A3392" s="29" t="s">
        <v>19</v>
      </c>
      <c r="B3392" s="29" t="str">
        <f t="shared" si="52"/>
        <v>TAQ-02</v>
      </c>
      <c r="C3392" s="29" t="s">
        <v>9895</v>
      </c>
      <c r="D3392" s="67" t="s">
        <v>9896</v>
      </c>
      <c r="E3392" s="96" t="s">
        <v>62</v>
      </c>
      <c r="F3392" s="29" t="s">
        <v>61</v>
      </c>
      <c r="G3392" s="29"/>
      <c r="H3392" s="103">
        <f>_xlfn.XLOOKUP(B3392,GM!$Q$5:$Q$756,GM!$J$5:$J$756)</f>
        <v>44739</v>
      </c>
    </row>
    <row r="3393" spans="1:8" hidden="1" x14ac:dyDescent="0.35">
      <c r="A3393" s="29" t="s">
        <v>19</v>
      </c>
      <c r="B3393" s="29" t="str">
        <f t="shared" si="52"/>
        <v>TAQ-02</v>
      </c>
      <c r="C3393" s="29" t="s">
        <v>9897</v>
      </c>
      <c r="D3393" s="67" t="s">
        <v>9898</v>
      </c>
      <c r="E3393" s="96" t="s">
        <v>62</v>
      </c>
      <c r="F3393" s="29" t="s">
        <v>61</v>
      </c>
      <c r="G3393" s="29"/>
      <c r="H3393" s="103">
        <f>_xlfn.XLOOKUP(B3393,GM!$Q$5:$Q$756,GM!$J$5:$J$756)</f>
        <v>44739</v>
      </c>
    </row>
    <row r="3394" spans="1:8" hidden="1" x14ac:dyDescent="0.35">
      <c r="A3394" s="29" t="s">
        <v>19</v>
      </c>
      <c r="B3394" s="29" t="str">
        <f t="shared" si="52"/>
        <v>TAQ-02</v>
      </c>
      <c r="C3394" s="29" t="s">
        <v>9899</v>
      </c>
      <c r="D3394" s="67" t="s">
        <v>9900</v>
      </c>
      <c r="E3394" s="96" t="s">
        <v>62</v>
      </c>
      <c r="F3394" s="29" t="s">
        <v>61</v>
      </c>
      <c r="G3394" s="29"/>
      <c r="H3394" s="103">
        <f>_xlfn.XLOOKUP(B3394,GM!$Q$5:$Q$756,GM!$J$5:$J$756)</f>
        <v>44739</v>
      </c>
    </row>
    <row r="3395" spans="1:8" hidden="1" x14ac:dyDescent="0.35">
      <c r="A3395" s="29" t="s">
        <v>19</v>
      </c>
      <c r="B3395" s="29" t="str">
        <f t="shared" si="52"/>
        <v>TAQ-02</v>
      </c>
      <c r="C3395" s="29" t="s">
        <v>9901</v>
      </c>
      <c r="D3395" s="67" t="s">
        <v>9902</v>
      </c>
      <c r="E3395" s="96" t="s">
        <v>62</v>
      </c>
      <c r="F3395" s="29" t="s">
        <v>61</v>
      </c>
      <c r="G3395" s="29"/>
      <c r="H3395" s="103">
        <f>_xlfn.XLOOKUP(B3395,GM!$Q$5:$Q$756,GM!$J$5:$J$756)</f>
        <v>44739</v>
      </c>
    </row>
    <row r="3396" spans="1:8" hidden="1" x14ac:dyDescent="0.35">
      <c r="A3396" s="29" t="s">
        <v>19</v>
      </c>
      <c r="B3396" s="29" t="str">
        <f t="shared" si="52"/>
        <v>TAQ-02</v>
      </c>
      <c r="C3396" s="29" t="s">
        <v>9903</v>
      </c>
      <c r="D3396" s="67" t="s">
        <v>9904</v>
      </c>
      <c r="E3396" s="96" t="s">
        <v>62</v>
      </c>
      <c r="F3396" s="29" t="s">
        <v>61</v>
      </c>
      <c r="G3396" s="29"/>
      <c r="H3396" s="103">
        <f>_xlfn.XLOOKUP(B3396,GM!$Q$5:$Q$756,GM!$J$5:$J$756)</f>
        <v>44739</v>
      </c>
    </row>
    <row r="3397" spans="1:8" hidden="1" x14ac:dyDescent="0.35">
      <c r="A3397" s="29" t="s">
        <v>19</v>
      </c>
      <c r="B3397" s="29" t="str">
        <f t="shared" ref="B3397:B3460" si="53">IF(OR(A3397="ARN",A3397="SDP"),MID(C3397,4,7),MID(C3397,4,6))</f>
        <v>TAQ-02</v>
      </c>
      <c r="C3397" s="29" t="s">
        <v>9905</v>
      </c>
      <c r="D3397" s="67" t="s">
        <v>9906</v>
      </c>
      <c r="E3397" s="96" t="s">
        <v>62</v>
      </c>
      <c r="F3397" s="29" t="s">
        <v>61</v>
      </c>
      <c r="G3397" s="29"/>
      <c r="H3397" s="103">
        <f>_xlfn.XLOOKUP(B3397,GM!$Q$5:$Q$756,GM!$J$5:$J$756)</f>
        <v>44739</v>
      </c>
    </row>
    <row r="3398" spans="1:8" hidden="1" x14ac:dyDescent="0.35">
      <c r="A3398" s="29" t="s">
        <v>19</v>
      </c>
      <c r="B3398" s="29" t="str">
        <f t="shared" si="53"/>
        <v>TAQ-02</v>
      </c>
      <c r="C3398" s="29" t="s">
        <v>9907</v>
      </c>
      <c r="D3398" s="67" t="s">
        <v>9908</v>
      </c>
      <c r="E3398" s="96" t="s">
        <v>62</v>
      </c>
      <c r="F3398" s="29" t="s">
        <v>61</v>
      </c>
      <c r="G3398" s="29"/>
      <c r="H3398" s="103">
        <f>_xlfn.XLOOKUP(B3398,GM!$Q$5:$Q$756,GM!$J$5:$J$756)</f>
        <v>44739</v>
      </c>
    </row>
    <row r="3399" spans="1:8" hidden="1" x14ac:dyDescent="0.35">
      <c r="A3399" s="29" t="s">
        <v>19</v>
      </c>
      <c r="B3399" s="29" t="str">
        <f t="shared" si="53"/>
        <v>TAQ-02</v>
      </c>
      <c r="C3399" s="29" t="s">
        <v>9909</v>
      </c>
      <c r="D3399" s="67" t="s">
        <v>9910</v>
      </c>
      <c r="E3399" s="96" t="s">
        <v>62</v>
      </c>
      <c r="F3399" s="29" t="s">
        <v>61</v>
      </c>
      <c r="G3399" s="29"/>
      <c r="H3399" s="103">
        <f>_xlfn.XLOOKUP(B3399,GM!$Q$5:$Q$756,GM!$J$5:$J$756)</f>
        <v>44739</v>
      </c>
    </row>
    <row r="3400" spans="1:8" hidden="1" x14ac:dyDescent="0.35">
      <c r="A3400" s="29" t="s">
        <v>19</v>
      </c>
      <c r="B3400" s="29" t="str">
        <f t="shared" si="53"/>
        <v>TAQ-02</v>
      </c>
      <c r="C3400" s="29" t="s">
        <v>9911</v>
      </c>
      <c r="D3400" s="67" t="s">
        <v>9912</v>
      </c>
      <c r="E3400" s="96" t="s">
        <v>62</v>
      </c>
      <c r="F3400" s="29" t="s">
        <v>61</v>
      </c>
      <c r="G3400" s="29"/>
      <c r="H3400" s="103">
        <f>_xlfn.XLOOKUP(B3400,GM!$Q$5:$Q$756,GM!$J$5:$J$756)</f>
        <v>44739</v>
      </c>
    </row>
    <row r="3401" spans="1:8" hidden="1" x14ac:dyDescent="0.35">
      <c r="A3401" s="29" t="s">
        <v>19</v>
      </c>
      <c r="B3401" s="29" t="str">
        <f t="shared" si="53"/>
        <v>TAQ-02</v>
      </c>
      <c r="C3401" s="29" t="s">
        <v>9913</v>
      </c>
      <c r="D3401" s="67" t="s">
        <v>9914</v>
      </c>
      <c r="E3401" s="96" t="s">
        <v>62</v>
      </c>
      <c r="F3401" s="29" t="s">
        <v>61</v>
      </c>
      <c r="G3401" s="29"/>
      <c r="H3401" s="103">
        <f>_xlfn.XLOOKUP(B3401,GM!$Q$5:$Q$756,GM!$J$5:$J$756)</f>
        <v>44739</v>
      </c>
    </row>
    <row r="3402" spans="1:8" hidden="1" x14ac:dyDescent="0.35">
      <c r="A3402" s="29" t="s">
        <v>19</v>
      </c>
      <c r="B3402" s="29" t="str">
        <f t="shared" si="53"/>
        <v>TAQ-02</v>
      </c>
      <c r="C3402" s="29" t="s">
        <v>9915</v>
      </c>
      <c r="D3402" s="67" t="s">
        <v>9916</v>
      </c>
      <c r="E3402" s="96" t="s">
        <v>62</v>
      </c>
      <c r="F3402" s="29" t="s">
        <v>61</v>
      </c>
      <c r="G3402" s="29"/>
      <c r="H3402" s="103">
        <f>_xlfn.XLOOKUP(B3402,GM!$Q$5:$Q$756,GM!$J$5:$J$756)</f>
        <v>44739</v>
      </c>
    </row>
    <row r="3403" spans="1:8" hidden="1" x14ac:dyDescent="0.35">
      <c r="A3403" s="29" t="s">
        <v>19</v>
      </c>
      <c r="B3403" s="29" t="str">
        <f t="shared" si="53"/>
        <v>TAQ-02</v>
      </c>
      <c r="C3403" s="29" t="s">
        <v>9917</v>
      </c>
      <c r="D3403" s="67" t="s">
        <v>9918</v>
      </c>
      <c r="E3403" s="96" t="s">
        <v>62</v>
      </c>
      <c r="F3403" s="29" t="s">
        <v>61</v>
      </c>
      <c r="G3403" s="29"/>
      <c r="H3403" s="103">
        <f>_xlfn.XLOOKUP(B3403,GM!$Q$5:$Q$756,GM!$J$5:$J$756)</f>
        <v>44739</v>
      </c>
    </row>
    <row r="3404" spans="1:8" hidden="1" x14ac:dyDescent="0.35">
      <c r="A3404" s="29" t="s">
        <v>19</v>
      </c>
      <c r="B3404" s="29" t="str">
        <f t="shared" si="53"/>
        <v>TAQ-02</v>
      </c>
      <c r="C3404" s="29" t="s">
        <v>9919</v>
      </c>
      <c r="D3404" s="67" t="s">
        <v>9920</v>
      </c>
      <c r="E3404" s="96" t="s">
        <v>62</v>
      </c>
      <c r="F3404" s="29" t="s">
        <v>61</v>
      </c>
      <c r="G3404" s="29"/>
      <c r="H3404" s="103">
        <f>_xlfn.XLOOKUP(B3404,GM!$Q$5:$Q$756,GM!$J$5:$J$756)</f>
        <v>44739</v>
      </c>
    </row>
    <row r="3405" spans="1:8" hidden="1" x14ac:dyDescent="0.35">
      <c r="A3405" s="29" t="s">
        <v>19</v>
      </c>
      <c r="B3405" s="29" t="str">
        <f t="shared" si="53"/>
        <v>TAQ-02</v>
      </c>
      <c r="C3405" s="29" t="s">
        <v>9921</v>
      </c>
      <c r="D3405" s="67" t="s">
        <v>9922</v>
      </c>
      <c r="E3405" s="96" t="s">
        <v>62</v>
      </c>
      <c r="F3405" s="29" t="s">
        <v>61</v>
      </c>
      <c r="G3405" s="29"/>
      <c r="H3405" s="103">
        <f>_xlfn.XLOOKUP(B3405,GM!$Q$5:$Q$756,GM!$J$5:$J$756)</f>
        <v>44739</v>
      </c>
    </row>
    <row r="3406" spans="1:8" hidden="1" x14ac:dyDescent="0.35">
      <c r="A3406" s="29" t="s">
        <v>19</v>
      </c>
      <c r="B3406" s="29" t="str">
        <f t="shared" si="53"/>
        <v>TAQ-02</v>
      </c>
      <c r="C3406" s="29" t="s">
        <v>9923</v>
      </c>
      <c r="D3406" s="67" t="s">
        <v>9924</v>
      </c>
      <c r="E3406" s="96" t="s">
        <v>62</v>
      </c>
      <c r="F3406" s="29" t="s">
        <v>61</v>
      </c>
      <c r="G3406" s="29"/>
      <c r="H3406" s="103">
        <f>_xlfn.XLOOKUP(B3406,GM!$Q$5:$Q$756,GM!$J$5:$J$756)</f>
        <v>44739</v>
      </c>
    </row>
    <row r="3407" spans="1:8" hidden="1" x14ac:dyDescent="0.35">
      <c r="A3407" s="29" t="s">
        <v>19</v>
      </c>
      <c r="B3407" s="29" t="str">
        <f t="shared" si="53"/>
        <v>TAQ-02</v>
      </c>
      <c r="C3407" s="29" t="s">
        <v>9925</v>
      </c>
      <c r="D3407" s="67" t="s">
        <v>9926</v>
      </c>
      <c r="E3407" s="96" t="s">
        <v>62</v>
      </c>
      <c r="F3407" s="29" t="s">
        <v>61</v>
      </c>
      <c r="G3407" s="29"/>
      <c r="H3407" s="103">
        <f>_xlfn.XLOOKUP(B3407,GM!$Q$5:$Q$756,GM!$J$5:$J$756)</f>
        <v>44739</v>
      </c>
    </row>
    <row r="3408" spans="1:8" hidden="1" x14ac:dyDescent="0.35">
      <c r="A3408" s="29" t="s">
        <v>19</v>
      </c>
      <c r="B3408" s="29" t="str">
        <f t="shared" si="53"/>
        <v>TAQ-02</v>
      </c>
      <c r="C3408" s="29" t="s">
        <v>9927</v>
      </c>
      <c r="D3408" s="67" t="s">
        <v>9928</v>
      </c>
      <c r="E3408" s="96" t="s">
        <v>62</v>
      </c>
      <c r="F3408" s="29" t="s">
        <v>61</v>
      </c>
      <c r="G3408" s="29"/>
      <c r="H3408" s="103">
        <f>_xlfn.XLOOKUP(B3408,GM!$Q$5:$Q$756,GM!$J$5:$J$756)</f>
        <v>44739</v>
      </c>
    </row>
    <row r="3409" spans="1:8" hidden="1" x14ac:dyDescent="0.35">
      <c r="A3409" s="29" t="s">
        <v>19</v>
      </c>
      <c r="B3409" s="29" t="str">
        <f t="shared" si="53"/>
        <v>TAQ-02</v>
      </c>
      <c r="C3409" s="29" t="s">
        <v>9929</v>
      </c>
      <c r="D3409" s="67" t="s">
        <v>9930</v>
      </c>
      <c r="E3409" s="96" t="s">
        <v>62</v>
      </c>
      <c r="F3409" s="29" t="s">
        <v>61</v>
      </c>
      <c r="G3409" s="29"/>
      <c r="H3409" s="103">
        <f>_xlfn.XLOOKUP(B3409,GM!$Q$5:$Q$756,GM!$J$5:$J$756)</f>
        <v>44739</v>
      </c>
    </row>
    <row r="3410" spans="1:8" hidden="1" x14ac:dyDescent="0.35">
      <c r="A3410" s="29" t="s">
        <v>19</v>
      </c>
      <c r="B3410" s="29" t="str">
        <f t="shared" si="53"/>
        <v>TAQ-02</v>
      </c>
      <c r="C3410" s="29" t="s">
        <v>9931</v>
      </c>
      <c r="D3410" s="67" t="s">
        <v>9932</v>
      </c>
      <c r="E3410" s="96" t="s">
        <v>62</v>
      </c>
      <c r="F3410" s="29" t="s">
        <v>61</v>
      </c>
      <c r="G3410" s="29"/>
      <c r="H3410" s="103">
        <f>_xlfn.XLOOKUP(B3410,GM!$Q$5:$Q$756,GM!$J$5:$J$756)</f>
        <v>44739</v>
      </c>
    </row>
    <row r="3411" spans="1:8" hidden="1" x14ac:dyDescent="0.35">
      <c r="A3411" s="29" t="s">
        <v>19</v>
      </c>
      <c r="B3411" s="29" t="str">
        <f t="shared" si="53"/>
        <v>TAQ-02</v>
      </c>
      <c r="C3411" s="29" t="s">
        <v>9933</v>
      </c>
      <c r="D3411" s="67" t="s">
        <v>9934</v>
      </c>
      <c r="E3411" s="96" t="s">
        <v>62</v>
      </c>
      <c r="F3411" s="29" t="s">
        <v>61</v>
      </c>
      <c r="G3411" s="29"/>
      <c r="H3411" s="103">
        <f>_xlfn.XLOOKUP(B3411,GM!$Q$5:$Q$756,GM!$J$5:$J$756)</f>
        <v>44739</v>
      </c>
    </row>
    <row r="3412" spans="1:8" hidden="1" x14ac:dyDescent="0.35">
      <c r="A3412" s="29" t="s">
        <v>19</v>
      </c>
      <c r="B3412" s="29" t="str">
        <f t="shared" si="53"/>
        <v>TAQ-02</v>
      </c>
      <c r="C3412" s="29" t="s">
        <v>9935</v>
      </c>
      <c r="D3412" s="67" t="s">
        <v>9936</v>
      </c>
      <c r="E3412" s="96" t="s">
        <v>62</v>
      </c>
      <c r="F3412" s="29" t="s">
        <v>61</v>
      </c>
      <c r="G3412" s="29"/>
      <c r="H3412" s="103">
        <f>_xlfn.XLOOKUP(B3412,GM!$Q$5:$Q$756,GM!$J$5:$J$756)</f>
        <v>44739</v>
      </c>
    </row>
    <row r="3413" spans="1:8" hidden="1" x14ac:dyDescent="0.35">
      <c r="A3413" s="29" t="s">
        <v>19</v>
      </c>
      <c r="B3413" s="29" t="str">
        <f t="shared" si="53"/>
        <v>TAQ-02</v>
      </c>
      <c r="C3413" s="29" t="s">
        <v>9937</v>
      </c>
      <c r="D3413" s="67" t="s">
        <v>9938</v>
      </c>
      <c r="E3413" s="96" t="s">
        <v>62</v>
      </c>
      <c r="F3413" s="29" t="s">
        <v>61</v>
      </c>
      <c r="G3413" s="29"/>
      <c r="H3413" s="103">
        <f>_xlfn.XLOOKUP(B3413,GM!$Q$5:$Q$756,GM!$J$5:$J$756)</f>
        <v>44739</v>
      </c>
    </row>
    <row r="3414" spans="1:8" hidden="1" x14ac:dyDescent="0.35">
      <c r="A3414" s="29" t="s">
        <v>19</v>
      </c>
      <c r="B3414" s="29" t="str">
        <f t="shared" si="53"/>
        <v>TAQ-02</v>
      </c>
      <c r="C3414" s="29" t="s">
        <v>9939</v>
      </c>
      <c r="D3414" s="67" t="s">
        <v>9940</v>
      </c>
      <c r="E3414" s="96" t="s">
        <v>62</v>
      </c>
      <c r="F3414" s="29" t="s">
        <v>61</v>
      </c>
      <c r="G3414" s="29"/>
      <c r="H3414" s="103">
        <f>_xlfn.XLOOKUP(B3414,GM!$Q$5:$Q$756,GM!$J$5:$J$756)</f>
        <v>44739</v>
      </c>
    </row>
    <row r="3415" spans="1:8" hidden="1" x14ac:dyDescent="0.35">
      <c r="A3415" s="29" t="s">
        <v>19</v>
      </c>
      <c r="B3415" s="29" t="str">
        <f t="shared" si="53"/>
        <v>TAQ-03</v>
      </c>
      <c r="C3415" s="29" t="s">
        <v>9941</v>
      </c>
      <c r="D3415" s="67" t="s">
        <v>9942</v>
      </c>
      <c r="E3415" s="96" t="s">
        <v>62</v>
      </c>
      <c r="F3415" s="29" t="s">
        <v>61</v>
      </c>
      <c r="G3415" s="29"/>
      <c r="H3415" s="103">
        <f>_xlfn.XLOOKUP(B3415,GM!$Q$5:$Q$756,GM!$J$5:$J$756)</f>
        <v>45506</v>
      </c>
    </row>
    <row r="3416" spans="1:8" hidden="1" x14ac:dyDescent="0.35">
      <c r="A3416" s="29" t="s">
        <v>19</v>
      </c>
      <c r="B3416" s="29" t="str">
        <f t="shared" si="53"/>
        <v>TAQ-03</v>
      </c>
      <c r="C3416" s="29" t="s">
        <v>9943</v>
      </c>
      <c r="D3416" s="67" t="s">
        <v>9944</v>
      </c>
      <c r="E3416" s="96" t="s">
        <v>62</v>
      </c>
      <c r="F3416" s="29" t="s">
        <v>61</v>
      </c>
      <c r="G3416" s="29"/>
      <c r="H3416" s="103">
        <f>_xlfn.XLOOKUP(B3416,GM!$Q$5:$Q$756,GM!$J$5:$J$756)</f>
        <v>45506</v>
      </c>
    </row>
    <row r="3417" spans="1:8" hidden="1" x14ac:dyDescent="0.35">
      <c r="A3417" s="29" t="s">
        <v>19</v>
      </c>
      <c r="B3417" s="29" t="str">
        <f t="shared" si="53"/>
        <v>TAQ-03</v>
      </c>
      <c r="C3417" s="29" t="s">
        <v>9945</v>
      </c>
      <c r="D3417" s="67" t="s">
        <v>9946</v>
      </c>
      <c r="E3417" s="96" t="s">
        <v>62</v>
      </c>
      <c r="F3417" s="29" t="s">
        <v>61</v>
      </c>
      <c r="G3417" s="29"/>
      <c r="H3417" s="103">
        <f>_xlfn.XLOOKUP(B3417,GM!$Q$5:$Q$756,GM!$J$5:$J$756)</f>
        <v>45506</v>
      </c>
    </row>
    <row r="3418" spans="1:8" hidden="1" x14ac:dyDescent="0.35">
      <c r="A3418" s="29" t="s">
        <v>19</v>
      </c>
      <c r="B3418" s="29" t="str">
        <f t="shared" si="53"/>
        <v>TAQ-03</v>
      </c>
      <c r="C3418" s="29" t="s">
        <v>9947</v>
      </c>
      <c r="D3418" s="67" t="s">
        <v>9948</v>
      </c>
      <c r="E3418" s="96" t="s">
        <v>62</v>
      </c>
      <c r="F3418" s="29" t="s">
        <v>61</v>
      </c>
      <c r="G3418" s="29"/>
      <c r="H3418" s="103">
        <f>_xlfn.XLOOKUP(B3418,GM!$Q$5:$Q$756,GM!$J$5:$J$756)</f>
        <v>45506</v>
      </c>
    </row>
    <row r="3419" spans="1:8" hidden="1" x14ac:dyDescent="0.35">
      <c r="A3419" s="29" t="s">
        <v>19</v>
      </c>
      <c r="B3419" s="29" t="str">
        <f t="shared" si="53"/>
        <v>TAQ-03</v>
      </c>
      <c r="C3419" s="29" t="s">
        <v>9949</v>
      </c>
      <c r="D3419" s="67" t="s">
        <v>9950</v>
      </c>
      <c r="E3419" s="96" t="s">
        <v>62</v>
      </c>
      <c r="F3419" s="29" t="s">
        <v>61</v>
      </c>
      <c r="G3419" s="29"/>
      <c r="H3419" s="103">
        <f>_xlfn.XLOOKUP(B3419,GM!$Q$5:$Q$756,GM!$J$5:$J$756)</f>
        <v>45506</v>
      </c>
    </row>
    <row r="3420" spans="1:8" hidden="1" x14ac:dyDescent="0.35">
      <c r="A3420" s="29" t="s">
        <v>19</v>
      </c>
      <c r="B3420" s="29" t="str">
        <f t="shared" si="53"/>
        <v>TAQ-03</v>
      </c>
      <c r="C3420" s="29" t="s">
        <v>9951</v>
      </c>
      <c r="D3420" s="67" t="s">
        <v>9952</v>
      </c>
      <c r="E3420" s="96" t="s">
        <v>62</v>
      </c>
      <c r="F3420" s="29" t="s">
        <v>61</v>
      </c>
      <c r="G3420" s="29"/>
      <c r="H3420" s="103">
        <f>_xlfn.XLOOKUP(B3420,GM!$Q$5:$Q$756,GM!$J$5:$J$756)</f>
        <v>45506</v>
      </c>
    </row>
    <row r="3421" spans="1:8" hidden="1" x14ac:dyDescent="0.35">
      <c r="A3421" s="29" t="s">
        <v>19</v>
      </c>
      <c r="B3421" s="29" t="str">
        <f t="shared" si="53"/>
        <v>TAQ-03</v>
      </c>
      <c r="C3421" s="29" t="s">
        <v>9953</v>
      </c>
      <c r="D3421" s="67" t="s">
        <v>9954</v>
      </c>
      <c r="E3421" s="96" t="s">
        <v>62</v>
      </c>
      <c r="F3421" s="29" t="s">
        <v>61</v>
      </c>
      <c r="G3421" s="29"/>
      <c r="H3421" s="103">
        <f>_xlfn.XLOOKUP(B3421,GM!$Q$5:$Q$756,GM!$J$5:$J$756)</f>
        <v>45506</v>
      </c>
    </row>
    <row r="3422" spans="1:8" hidden="1" x14ac:dyDescent="0.35">
      <c r="A3422" s="29" t="s">
        <v>19</v>
      </c>
      <c r="B3422" s="29" t="str">
        <f t="shared" si="53"/>
        <v>TAQ-03</v>
      </c>
      <c r="C3422" s="29" t="s">
        <v>9955</v>
      </c>
      <c r="D3422" s="67" t="s">
        <v>9956</v>
      </c>
      <c r="E3422" s="96" t="s">
        <v>62</v>
      </c>
      <c r="F3422" s="29" t="s">
        <v>61</v>
      </c>
      <c r="G3422" s="29"/>
      <c r="H3422" s="103">
        <f>_xlfn.XLOOKUP(B3422,GM!$Q$5:$Q$756,GM!$J$5:$J$756)</f>
        <v>45506</v>
      </c>
    </row>
    <row r="3423" spans="1:8" hidden="1" x14ac:dyDescent="0.35">
      <c r="A3423" s="29" t="s">
        <v>19</v>
      </c>
      <c r="B3423" s="29" t="str">
        <f t="shared" si="53"/>
        <v>TAQ-03</v>
      </c>
      <c r="C3423" s="29" t="s">
        <v>9957</v>
      </c>
      <c r="D3423" s="67" t="s">
        <v>9958</v>
      </c>
      <c r="E3423" s="96" t="s">
        <v>62</v>
      </c>
      <c r="F3423" s="29" t="s">
        <v>61</v>
      </c>
      <c r="G3423" s="29"/>
      <c r="H3423" s="103">
        <f>_xlfn.XLOOKUP(B3423,GM!$Q$5:$Q$756,GM!$J$5:$J$756)</f>
        <v>45506</v>
      </c>
    </row>
    <row r="3424" spans="1:8" hidden="1" x14ac:dyDescent="0.35">
      <c r="A3424" s="29" t="s">
        <v>19</v>
      </c>
      <c r="B3424" s="29" t="str">
        <f t="shared" si="53"/>
        <v>TAQ-03</v>
      </c>
      <c r="C3424" s="29" t="s">
        <v>9959</v>
      </c>
      <c r="D3424" s="67" t="s">
        <v>9960</v>
      </c>
      <c r="E3424" s="96" t="s">
        <v>62</v>
      </c>
      <c r="F3424" s="29" t="s">
        <v>61</v>
      </c>
      <c r="G3424" s="29"/>
      <c r="H3424" s="103">
        <f>_xlfn.XLOOKUP(B3424,GM!$Q$5:$Q$756,GM!$J$5:$J$756)</f>
        <v>45506</v>
      </c>
    </row>
    <row r="3425" spans="1:8" hidden="1" x14ac:dyDescent="0.35">
      <c r="A3425" s="29" t="s">
        <v>19</v>
      </c>
      <c r="B3425" s="29" t="str">
        <f t="shared" si="53"/>
        <v>TAQ-03</v>
      </c>
      <c r="C3425" s="29" t="s">
        <v>9961</v>
      </c>
      <c r="D3425" s="67" t="s">
        <v>9962</v>
      </c>
      <c r="E3425" s="96" t="s">
        <v>62</v>
      </c>
      <c r="F3425" s="29" t="s">
        <v>61</v>
      </c>
      <c r="G3425" s="29"/>
      <c r="H3425" s="103">
        <f>_xlfn.XLOOKUP(B3425,GM!$Q$5:$Q$756,GM!$J$5:$J$756)</f>
        <v>45506</v>
      </c>
    </row>
    <row r="3426" spans="1:8" hidden="1" x14ac:dyDescent="0.35">
      <c r="A3426" s="29" t="s">
        <v>19</v>
      </c>
      <c r="B3426" s="29" t="str">
        <f t="shared" si="53"/>
        <v>TAQ-03</v>
      </c>
      <c r="C3426" s="29" t="s">
        <v>9963</v>
      </c>
      <c r="D3426" s="67" t="s">
        <v>9964</v>
      </c>
      <c r="E3426" s="96" t="s">
        <v>62</v>
      </c>
      <c r="F3426" s="29" t="s">
        <v>61</v>
      </c>
      <c r="G3426" s="29"/>
      <c r="H3426" s="103">
        <f>_xlfn.XLOOKUP(B3426,GM!$Q$5:$Q$756,GM!$J$5:$J$756)</f>
        <v>45506</v>
      </c>
    </row>
    <row r="3427" spans="1:8" hidden="1" x14ac:dyDescent="0.35">
      <c r="A3427" s="29" t="s">
        <v>19</v>
      </c>
      <c r="B3427" s="29" t="str">
        <f t="shared" si="53"/>
        <v>TAQ-03</v>
      </c>
      <c r="C3427" s="29" t="s">
        <v>9965</v>
      </c>
      <c r="D3427" s="67" t="s">
        <v>9966</v>
      </c>
      <c r="E3427" s="96" t="s">
        <v>62</v>
      </c>
      <c r="F3427" s="29" t="s">
        <v>61</v>
      </c>
      <c r="G3427" s="29"/>
      <c r="H3427" s="103">
        <f>_xlfn.XLOOKUP(B3427,GM!$Q$5:$Q$756,GM!$J$5:$J$756)</f>
        <v>45506</v>
      </c>
    </row>
    <row r="3428" spans="1:8" hidden="1" x14ac:dyDescent="0.35">
      <c r="A3428" s="29" t="s">
        <v>19</v>
      </c>
      <c r="B3428" s="29" t="str">
        <f t="shared" si="53"/>
        <v>TAQ-03</v>
      </c>
      <c r="C3428" s="29" t="s">
        <v>9967</v>
      </c>
      <c r="D3428" s="67" t="s">
        <v>9968</v>
      </c>
      <c r="E3428" s="96" t="s">
        <v>62</v>
      </c>
      <c r="F3428" s="29" t="s">
        <v>61</v>
      </c>
      <c r="G3428" s="29"/>
      <c r="H3428" s="103">
        <f>_xlfn.XLOOKUP(B3428,GM!$Q$5:$Q$756,GM!$J$5:$J$756)</f>
        <v>45506</v>
      </c>
    </row>
    <row r="3429" spans="1:8" hidden="1" x14ac:dyDescent="0.35">
      <c r="A3429" s="29" t="s">
        <v>19</v>
      </c>
      <c r="B3429" s="29" t="str">
        <f t="shared" si="53"/>
        <v>TAQ-03</v>
      </c>
      <c r="C3429" s="29" t="s">
        <v>9969</v>
      </c>
      <c r="D3429" s="67" t="s">
        <v>9970</v>
      </c>
      <c r="E3429" s="96" t="s">
        <v>62</v>
      </c>
      <c r="F3429" s="29" t="s">
        <v>61</v>
      </c>
      <c r="G3429" s="29"/>
      <c r="H3429" s="103">
        <f>_xlfn.XLOOKUP(B3429,GM!$Q$5:$Q$756,GM!$J$5:$J$756)</f>
        <v>45506</v>
      </c>
    </row>
    <row r="3430" spans="1:8" hidden="1" x14ac:dyDescent="0.35">
      <c r="A3430" s="29" t="s">
        <v>19</v>
      </c>
      <c r="B3430" s="29" t="str">
        <f t="shared" si="53"/>
        <v>TAQ-03</v>
      </c>
      <c r="C3430" s="29" t="s">
        <v>9971</v>
      </c>
      <c r="D3430" s="67" t="s">
        <v>9972</v>
      </c>
      <c r="E3430" s="96" t="s">
        <v>62</v>
      </c>
      <c r="F3430" s="29" t="s">
        <v>61</v>
      </c>
      <c r="G3430" s="29"/>
      <c r="H3430" s="103">
        <f>_xlfn.XLOOKUP(B3430,GM!$Q$5:$Q$756,GM!$J$5:$J$756)</f>
        <v>45506</v>
      </c>
    </row>
    <row r="3431" spans="1:8" hidden="1" x14ac:dyDescent="0.35">
      <c r="A3431" s="29" t="s">
        <v>19</v>
      </c>
      <c r="B3431" s="29" t="str">
        <f t="shared" si="53"/>
        <v>TAQ-03</v>
      </c>
      <c r="C3431" s="29" t="s">
        <v>9973</v>
      </c>
      <c r="D3431" s="67" t="s">
        <v>9974</v>
      </c>
      <c r="E3431" s="96" t="s">
        <v>62</v>
      </c>
      <c r="F3431" s="29" t="s">
        <v>61</v>
      </c>
      <c r="G3431" s="29"/>
      <c r="H3431" s="103">
        <f>_xlfn.XLOOKUP(B3431,GM!$Q$5:$Q$756,GM!$J$5:$J$756)</f>
        <v>45506</v>
      </c>
    </row>
    <row r="3432" spans="1:8" hidden="1" x14ac:dyDescent="0.35">
      <c r="A3432" s="29" t="s">
        <v>19</v>
      </c>
      <c r="B3432" s="29" t="str">
        <f t="shared" si="53"/>
        <v>TAQ-03</v>
      </c>
      <c r="C3432" s="29" t="s">
        <v>9975</v>
      </c>
      <c r="D3432" s="67" t="s">
        <v>9976</v>
      </c>
      <c r="E3432" s="96" t="s">
        <v>62</v>
      </c>
      <c r="F3432" s="29" t="s">
        <v>61</v>
      </c>
      <c r="G3432" s="29"/>
      <c r="H3432" s="103">
        <f>_xlfn.XLOOKUP(B3432,GM!$Q$5:$Q$756,GM!$J$5:$J$756)</f>
        <v>45506</v>
      </c>
    </row>
    <row r="3433" spans="1:8" hidden="1" x14ac:dyDescent="0.35">
      <c r="A3433" s="29" t="s">
        <v>19</v>
      </c>
      <c r="B3433" s="29" t="str">
        <f t="shared" si="53"/>
        <v>TAQ-03</v>
      </c>
      <c r="C3433" s="29" t="s">
        <v>9975</v>
      </c>
      <c r="D3433" s="67" t="s">
        <v>9977</v>
      </c>
      <c r="E3433" s="96" t="s">
        <v>62</v>
      </c>
      <c r="F3433" s="29" t="s">
        <v>61</v>
      </c>
      <c r="G3433" s="29"/>
      <c r="H3433" s="103">
        <f>_xlfn.XLOOKUP(B3433,GM!$Q$5:$Q$756,GM!$J$5:$J$756)</f>
        <v>45506</v>
      </c>
    </row>
    <row r="3434" spans="1:8" hidden="1" x14ac:dyDescent="0.35">
      <c r="A3434" s="29" t="s">
        <v>19</v>
      </c>
      <c r="B3434" s="29" t="str">
        <f t="shared" si="53"/>
        <v>TAQ-03</v>
      </c>
      <c r="C3434" s="29" t="s">
        <v>9978</v>
      </c>
      <c r="D3434" s="67" t="s">
        <v>9979</v>
      </c>
      <c r="E3434" s="96" t="s">
        <v>62</v>
      </c>
      <c r="F3434" s="29" t="s">
        <v>61</v>
      </c>
      <c r="G3434" s="29"/>
      <c r="H3434" s="103">
        <f>_xlfn.XLOOKUP(B3434,GM!$Q$5:$Q$756,GM!$J$5:$J$756)</f>
        <v>45506</v>
      </c>
    </row>
    <row r="3435" spans="1:8" hidden="1" x14ac:dyDescent="0.35">
      <c r="A3435" s="29" t="s">
        <v>19</v>
      </c>
      <c r="B3435" s="29" t="str">
        <f t="shared" si="53"/>
        <v>TAQ-03</v>
      </c>
      <c r="C3435" s="29" t="s">
        <v>9980</v>
      </c>
      <c r="D3435" s="67" t="s">
        <v>9981</v>
      </c>
      <c r="E3435" s="96" t="s">
        <v>62</v>
      </c>
      <c r="F3435" s="29" t="s">
        <v>61</v>
      </c>
      <c r="G3435" s="29"/>
      <c r="H3435" s="103">
        <f>_xlfn.XLOOKUP(B3435,GM!$Q$5:$Q$756,GM!$J$5:$J$756)</f>
        <v>45506</v>
      </c>
    </row>
    <row r="3436" spans="1:8" hidden="1" x14ac:dyDescent="0.35">
      <c r="A3436" s="29" t="s">
        <v>19</v>
      </c>
      <c r="B3436" s="29" t="str">
        <f t="shared" si="53"/>
        <v>TAQ-03</v>
      </c>
      <c r="C3436" s="29" t="s">
        <v>9982</v>
      </c>
      <c r="D3436" s="67" t="s">
        <v>9983</v>
      </c>
      <c r="E3436" s="96" t="s">
        <v>62</v>
      </c>
      <c r="F3436" s="29" t="s">
        <v>61</v>
      </c>
      <c r="G3436" s="29"/>
      <c r="H3436" s="103">
        <f>_xlfn.XLOOKUP(B3436,GM!$Q$5:$Q$756,GM!$J$5:$J$756)</f>
        <v>45506</v>
      </c>
    </row>
    <row r="3437" spans="1:8" hidden="1" x14ac:dyDescent="0.35">
      <c r="A3437" s="29" t="s">
        <v>19</v>
      </c>
      <c r="B3437" s="29" t="str">
        <f t="shared" si="53"/>
        <v>TAQ-03</v>
      </c>
      <c r="C3437" s="29" t="s">
        <v>9984</v>
      </c>
      <c r="D3437" s="67" t="s">
        <v>9985</v>
      </c>
      <c r="E3437" s="96" t="s">
        <v>62</v>
      </c>
      <c r="F3437" s="29" t="s">
        <v>61</v>
      </c>
      <c r="G3437" s="29"/>
      <c r="H3437" s="103">
        <f>_xlfn.XLOOKUP(B3437,GM!$Q$5:$Q$756,GM!$J$5:$J$756)</f>
        <v>45506</v>
      </c>
    </row>
    <row r="3438" spans="1:8" hidden="1" x14ac:dyDescent="0.35">
      <c r="A3438" s="29" t="s">
        <v>19</v>
      </c>
      <c r="B3438" s="29" t="str">
        <f t="shared" si="53"/>
        <v>TAQ-03</v>
      </c>
      <c r="C3438" s="29" t="s">
        <v>9986</v>
      </c>
      <c r="D3438" s="67" t="s">
        <v>9987</v>
      </c>
      <c r="E3438" s="96" t="s">
        <v>62</v>
      </c>
      <c r="F3438" s="29" t="s">
        <v>61</v>
      </c>
      <c r="G3438" s="29"/>
      <c r="H3438" s="103">
        <f>_xlfn.XLOOKUP(B3438,GM!$Q$5:$Q$756,GM!$J$5:$J$756)</f>
        <v>45506</v>
      </c>
    </row>
    <row r="3439" spans="1:8" hidden="1" x14ac:dyDescent="0.35">
      <c r="A3439" s="29" t="s">
        <v>19</v>
      </c>
      <c r="B3439" s="29" t="str">
        <f t="shared" si="53"/>
        <v>TAQ-03</v>
      </c>
      <c r="C3439" s="29" t="s">
        <v>9988</v>
      </c>
      <c r="D3439" s="67" t="s">
        <v>9989</v>
      </c>
      <c r="E3439" s="96" t="s">
        <v>62</v>
      </c>
      <c r="F3439" s="29" t="s">
        <v>61</v>
      </c>
      <c r="G3439" s="29"/>
      <c r="H3439" s="103">
        <f>_xlfn.XLOOKUP(B3439,GM!$Q$5:$Q$756,GM!$J$5:$J$756)</f>
        <v>45506</v>
      </c>
    </row>
    <row r="3440" spans="1:8" hidden="1" x14ac:dyDescent="0.35">
      <c r="A3440" s="29" t="s">
        <v>19</v>
      </c>
      <c r="B3440" s="29" t="str">
        <f t="shared" si="53"/>
        <v>TAQ-03</v>
      </c>
      <c r="C3440" s="29" t="s">
        <v>9990</v>
      </c>
      <c r="D3440" s="67" t="s">
        <v>9991</v>
      </c>
      <c r="E3440" s="96" t="s">
        <v>62</v>
      </c>
      <c r="F3440" s="29" t="s">
        <v>61</v>
      </c>
      <c r="G3440" s="29"/>
      <c r="H3440" s="103">
        <f>_xlfn.XLOOKUP(B3440,GM!$Q$5:$Q$756,GM!$J$5:$J$756)</f>
        <v>45506</v>
      </c>
    </row>
    <row r="3441" spans="1:8" hidden="1" x14ac:dyDescent="0.35">
      <c r="A3441" s="29" t="s">
        <v>19</v>
      </c>
      <c r="B3441" s="29" t="str">
        <f t="shared" si="53"/>
        <v>TAQ-03</v>
      </c>
      <c r="C3441" s="29" t="s">
        <v>9992</v>
      </c>
      <c r="D3441" s="67" t="s">
        <v>9993</v>
      </c>
      <c r="E3441" s="96" t="s">
        <v>62</v>
      </c>
      <c r="F3441" s="29" t="s">
        <v>61</v>
      </c>
      <c r="G3441" s="29"/>
      <c r="H3441" s="103">
        <f>_xlfn.XLOOKUP(B3441,GM!$Q$5:$Q$756,GM!$J$5:$J$756)</f>
        <v>45506</v>
      </c>
    </row>
    <row r="3442" spans="1:8" hidden="1" x14ac:dyDescent="0.35">
      <c r="A3442" s="29" t="s">
        <v>19</v>
      </c>
      <c r="B3442" s="29" t="str">
        <f t="shared" si="53"/>
        <v>TAQ-03</v>
      </c>
      <c r="C3442" s="29" t="s">
        <v>9994</v>
      </c>
      <c r="D3442" s="67" t="s">
        <v>9995</v>
      </c>
      <c r="E3442" s="96" t="s">
        <v>62</v>
      </c>
      <c r="F3442" s="29" t="s">
        <v>61</v>
      </c>
      <c r="G3442" s="29"/>
      <c r="H3442" s="103">
        <f>_xlfn.XLOOKUP(B3442,GM!$Q$5:$Q$756,GM!$J$5:$J$756)</f>
        <v>45506</v>
      </c>
    </row>
    <row r="3443" spans="1:8" hidden="1" x14ac:dyDescent="0.35">
      <c r="A3443" s="29" t="s">
        <v>19</v>
      </c>
      <c r="B3443" s="29" t="str">
        <f t="shared" si="53"/>
        <v>TAQ-03</v>
      </c>
      <c r="C3443" s="29" t="s">
        <v>9996</v>
      </c>
      <c r="D3443" s="67" t="s">
        <v>9997</v>
      </c>
      <c r="E3443" s="96" t="s">
        <v>62</v>
      </c>
      <c r="F3443" s="29" t="s">
        <v>61</v>
      </c>
      <c r="G3443" s="29"/>
      <c r="H3443" s="103">
        <f>_xlfn.XLOOKUP(B3443,GM!$Q$5:$Q$756,GM!$J$5:$J$756)</f>
        <v>45506</v>
      </c>
    </row>
    <row r="3444" spans="1:8" hidden="1" x14ac:dyDescent="0.35">
      <c r="A3444" s="29" t="s">
        <v>19</v>
      </c>
      <c r="B3444" s="29" t="str">
        <f t="shared" si="53"/>
        <v>TAQ-03</v>
      </c>
      <c r="C3444" s="29" t="s">
        <v>9998</v>
      </c>
      <c r="D3444" s="67" t="s">
        <v>9999</v>
      </c>
      <c r="E3444" s="96" t="s">
        <v>62</v>
      </c>
      <c r="F3444" s="29" t="s">
        <v>61</v>
      </c>
      <c r="G3444" s="29"/>
      <c r="H3444" s="103">
        <f>_xlfn.XLOOKUP(B3444,GM!$Q$5:$Q$756,GM!$J$5:$J$756)</f>
        <v>45506</v>
      </c>
    </row>
    <row r="3445" spans="1:8" hidden="1" x14ac:dyDescent="0.35">
      <c r="A3445" s="29" t="s">
        <v>19</v>
      </c>
      <c r="B3445" s="29" t="str">
        <f t="shared" si="53"/>
        <v>TAQ-03</v>
      </c>
      <c r="C3445" s="29" t="s">
        <v>10000</v>
      </c>
      <c r="D3445" s="67" t="s">
        <v>10001</v>
      </c>
      <c r="E3445" s="96" t="s">
        <v>62</v>
      </c>
      <c r="F3445" s="29" t="s">
        <v>61</v>
      </c>
      <c r="G3445" s="29"/>
      <c r="H3445" s="103">
        <f>_xlfn.XLOOKUP(B3445,GM!$Q$5:$Q$756,GM!$J$5:$J$756)</f>
        <v>45506</v>
      </c>
    </row>
    <row r="3446" spans="1:8" hidden="1" x14ac:dyDescent="0.35">
      <c r="A3446" s="29" t="s">
        <v>19</v>
      </c>
      <c r="B3446" s="29" t="str">
        <f t="shared" si="53"/>
        <v>TAQ-03</v>
      </c>
      <c r="C3446" s="29" t="s">
        <v>10002</v>
      </c>
      <c r="D3446" s="67" t="s">
        <v>10003</v>
      </c>
      <c r="E3446" s="96" t="s">
        <v>62</v>
      </c>
      <c r="F3446" s="29" t="s">
        <v>61</v>
      </c>
      <c r="G3446" s="29"/>
      <c r="H3446" s="103">
        <f>_xlfn.XLOOKUP(B3446,GM!$Q$5:$Q$756,GM!$J$5:$J$756)</f>
        <v>45506</v>
      </c>
    </row>
    <row r="3447" spans="1:8" hidden="1" x14ac:dyDescent="0.35">
      <c r="A3447" s="29" t="s">
        <v>19</v>
      </c>
      <c r="B3447" s="29" t="str">
        <f t="shared" si="53"/>
        <v>TAQ-03</v>
      </c>
      <c r="C3447" s="29" t="s">
        <v>10004</v>
      </c>
      <c r="D3447" s="67" t="s">
        <v>10005</v>
      </c>
      <c r="E3447" s="96" t="s">
        <v>62</v>
      </c>
      <c r="F3447" s="29" t="s">
        <v>61</v>
      </c>
      <c r="G3447" s="29"/>
      <c r="H3447" s="103">
        <f>_xlfn.XLOOKUP(B3447,GM!$Q$5:$Q$756,GM!$J$5:$J$756)</f>
        <v>45506</v>
      </c>
    </row>
    <row r="3448" spans="1:8" hidden="1" x14ac:dyDescent="0.35">
      <c r="A3448" s="29" t="s">
        <v>19</v>
      </c>
      <c r="B3448" s="29" t="str">
        <f t="shared" si="53"/>
        <v>TAQ-04</v>
      </c>
      <c r="C3448" s="29" t="s">
        <v>10006</v>
      </c>
      <c r="D3448" s="67" t="s">
        <v>10007</v>
      </c>
      <c r="E3448" s="96" t="s">
        <v>62</v>
      </c>
      <c r="F3448" s="29" t="s">
        <v>61</v>
      </c>
      <c r="G3448" s="29"/>
      <c r="H3448" s="103">
        <f>_xlfn.XLOOKUP(B3448,GM!$Q$5:$Q$756,GM!$J$5:$J$756)</f>
        <v>46104</v>
      </c>
    </row>
    <row r="3449" spans="1:8" hidden="1" x14ac:dyDescent="0.35">
      <c r="A3449" s="29" t="s">
        <v>19</v>
      </c>
      <c r="B3449" s="29" t="str">
        <f t="shared" si="53"/>
        <v>TAQ-04</v>
      </c>
      <c r="C3449" s="29" t="s">
        <v>10008</v>
      </c>
      <c r="D3449" s="67" t="s">
        <v>10009</v>
      </c>
      <c r="E3449" s="96" t="s">
        <v>62</v>
      </c>
      <c r="F3449" s="29" t="s">
        <v>61</v>
      </c>
      <c r="G3449" s="29"/>
      <c r="H3449" s="103">
        <f>_xlfn.XLOOKUP(B3449,GM!$Q$5:$Q$756,GM!$J$5:$J$756)</f>
        <v>46104</v>
      </c>
    </row>
    <row r="3450" spans="1:8" hidden="1" x14ac:dyDescent="0.35">
      <c r="A3450" s="29" t="s">
        <v>19</v>
      </c>
      <c r="B3450" s="29" t="str">
        <f t="shared" si="53"/>
        <v>TAQ-04</v>
      </c>
      <c r="C3450" s="29" t="s">
        <v>10010</v>
      </c>
      <c r="D3450" s="67" t="s">
        <v>10011</v>
      </c>
      <c r="E3450" s="96" t="s">
        <v>62</v>
      </c>
      <c r="F3450" s="29" t="s">
        <v>61</v>
      </c>
      <c r="G3450" s="29"/>
      <c r="H3450" s="103">
        <f>_xlfn.XLOOKUP(B3450,GM!$Q$5:$Q$756,GM!$J$5:$J$756)</f>
        <v>46104</v>
      </c>
    </row>
    <row r="3451" spans="1:8" hidden="1" x14ac:dyDescent="0.35">
      <c r="A3451" s="29" t="s">
        <v>19</v>
      </c>
      <c r="B3451" s="29" t="str">
        <f t="shared" si="53"/>
        <v>TAQ-04</v>
      </c>
      <c r="C3451" s="29" t="s">
        <v>10012</v>
      </c>
      <c r="D3451" s="67" t="s">
        <v>10013</v>
      </c>
      <c r="E3451" s="96" t="s">
        <v>62</v>
      </c>
      <c r="F3451" s="29" t="s">
        <v>61</v>
      </c>
      <c r="G3451" s="29"/>
      <c r="H3451" s="103">
        <f>_xlfn.XLOOKUP(B3451,GM!$Q$5:$Q$756,GM!$J$5:$J$756)</f>
        <v>46104</v>
      </c>
    </row>
    <row r="3452" spans="1:8" hidden="1" x14ac:dyDescent="0.35">
      <c r="A3452" s="29" t="s">
        <v>19</v>
      </c>
      <c r="B3452" s="29" t="str">
        <f t="shared" si="53"/>
        <v>TAQ-04</v>
      </c>
      <c r="C3452" s="29" t="s">
        <v>10014</v>
      </c>
      <c r="D3452" s="67" t="s">
        <v>10015</v>
      </c>
      <c r="E3452" s="96" t="s">
        <v>62</v>
      </c>
      <c r="F3452" s="29" t="s">
        <v>61</v>
      </c>
      <c r="G3452" s="29"/>
      <c r="H3452" s="103">
        <f>_xlfn.XLOOKUP(B3452,GM!$Q$5:$Q$756,GM!$J$5:$J$756)</f>
        <v>46104</v>
      </c>
    </row>
    <row r="3453" spans="1:8" hidden="1" x14ac:dyDescent="0.35">
      <c r="A3453" s="29" t="s">
        <v>19</v>
      </c>
      <c r="B3453" s="29" t="str">
        <f t="shared" si="53"/>
        <v>TAQ-04</v>
      </c>
      <c r="C3453" s="29" t="s">
        <v>10016</v>
      </c>
      <c r="D3453" s="67" t="s">
        <v>10017</v>
      </c>
      <c r="E3453" s="96" t="s">
        <v>62</v>
      </c>
      <c r="F3453" s="29" t="s">
        <v>61</v>
      </c>
      <c r="G3453" s="29"/>
      <c r="H3453" s="103">
        <f>_xlfn.XLOOKUP(B3453,GM!$Q$5:$Q$756,GM!$J$5:$J$756)</f>
        <v>46104</v>
      </c>
    </row>
    <row r="3454" spans="1:8" hidden="1" x14ac:dyDescent="0.35">
      <c r="A3454" s="29" t="s">
        <v>19</v>
      </c>
      <c r="B3454" s="29" t="str">
        <f t="shared" si="53"/>
        <v>TAQ-04</v>
      </c>
      <c r="C3454" s="29" t="s">
        <v>10018</v>
      </c>
      <c r="D3454" s="67" t="s">
        <v>10019</v>
      </c>
      <c r="E3454" s="96" t="s">
        <v>62</v>
      </c>
      <c r="F3454" s="29" t="s">
        <v>61</v>
      </c>
      <c r="G3454" s="29"/>
      <c r="H3454" s="103">
        <f>_xlfn.XLOOKUP(B3454,GM!$Q$5:$Q$756,GM!$J$5:$J$756)</f>
        <v>46104</v>
      </c>
    </row>
    <row r="3455" spans="1:8" hidden="1" x14ac:dyDescent="0.35">
      <c r="A3455" s="29" t="s">
        <v>19</v>
      </c>
      <c r="B3455" s="29" t="str">
        <f t="shared" si="53"/>
        <v>TAQ-04</v>
      </c>
      <c r="C3455" s="29" t="s">
        <v>10020</v>
      </c>
      <c r="D3455" s="67" t="s">
        <v>10021</v>
      </c>
      <c r="E3455" s="96" t="s">
        <v>62</v>
      </c>
      <c r="F3455" s="29" t="s">
        <v>61</v>
      </c>
      <c r="G3455" s="29"/>
      <c r="H3455" s="103">
        <f>_xlfn.XLOOKUP(B3455,GM!$Q$5:$Q$756,GM!$J$5:$J$756)</f>
        <v>46104</v>
      </c>
    </row>
    <row r="3456" spans="1:8" hidden="1" x14ac:dyDescent="0.35">
      <c r="A3456" s="29" t="s">
        <v>19</v>
      </c>
      <c r="B3456" s="29" t="str">
        <f t="shared" si="53"/>
        <v>TAQ-04</v>
      </c>
      <c r="C3456" s="29" t="s">
        <v>10022</v>
      </c>
      <c r="D3456" s="67" t="s">
        <v>10023</v>
      </c>
      <c r="E3456" s="96" t="s">
        <v>62</v>
      </c>
      <c r="F3456" s="29" t="s">
        <v>61</v>
      </c>
      <c r="G3456" s="29"/>
      <c r="H3456" s="103">
        <f>_xlfn.XLOOKUP(B3456,GM!$Q$5:$Q$756,GM!$J$5:$J$756)</f>
        <v>46104</v>
      </c>
    </row>
    <row r="3457" spans="1:8" hidden="1" x14ac:dyDescent="0.35">
      <c r="A3457" s="29" t="s">
        <v>19</v>
      </c>
      <c r="B3457" s="29" t="str">
        <f t="shared" si="53"/>
        <v>TAQ-04</v>
      </c>
      <c r="C3457" s="29" t="s">
        <v>10024</v>
      </c>
      <c r="D3457" s="67" t="s">
        <v>10025</v>
      </c>
      <c r="E3457" s="96" t="s">
        <v>62</v>
      </c>
      <c r="F3457" s="29" t="s">
        <v>61</v>
      </c>
      <c r="G3457" s="29"/>
      <c r="H3457" s="103">
        <f>_xlfn.XLOOKUP(B3457,GM!$Q$5:$Q$756,GM!$J$5:$J$756)</f>
        <v>46104</v>
      </c>
    </row>
    <row r="3458" spans="1:8" hidden="1" x14ac:dyDescent="0.35">
      <c r="A3458" s="29" t="s">
        <v>19</v>
      </c>
      <c r="B3458" s="29" t="str">
        <f t="shared" si="53"/>
        <v>TAQ-04</v>
      </c>
      <c r="C3458" s="29" t="s">
        <v>10026</v>
      </c>
      <c r="D3458" s="67" t="s">
        <v>10027</v>
      </c>
      <c r="E3458" s="96" t="s">
        <v>62</v>
      </c>
      <c r="F3458" s="29" t="s">
        <v>61</v>
      </c>
      <c r="G3458" s="29"/>
      <c r="H3458" s="103">
        <f>_xlfn.XLOOKUP(B3458,GM!$Q$5:$Q$756,GM!$J$5:$J$756)</f>
        <v>46104</v>
      </c>
    </row>
    <row r="3459" spans="1:8" hidden="1" x14ac:dyDescent="0.35">
      <c r="A3459" s="29" t="s">
        <v>19</v>
      </c>
      <c r="B3459" s="29" t="str">
        <f t="shared" si="53"/>
        <v>TAQ-04</v>
      </c>
      <c r="C3459" s="29" t="s">
        <v>10028</v>
      </c>
      <c r="D3459" s="67" t="s">
        <v>10029</v>
      </c>
      <c r="E3459" s="96" t="s">
        <v>62</v>
      </c>
      <c r="F3459" s="29" t="s">
        <v>61</v>
      </c>
      <c r="G3459" s="29"/>
      <c r="H3459" s="103">
        <f>_xlfn.XLOOKUP(B3459,GM!$Q$5:$Q$756,GM!$J$5:$J$756)</f>
        <v>46104</v>
      </c>
    </row>
    <row r="3460" spans="1:8" hidden="1" x14ac:dyDescent="0.35">
      <c r="A3460" s="29" t="s">
        <v>19</v>
      </c>
      <c r="B3460" s="29" t="str">
        <f t="shared" si="53"/>
        <v>TAQ-04</v>
      </c>
      <c r="C3460" s="29" t="s">
        <v>10030</v>
      </c>
      <c r="D3460" s="67" t="s">
        <v>10031</v>
      </c>
      <c r="E3460" s="96" t="s">
        <v>62</v>
      </c>
      <c r="F3460" s="29" t="s">
        <v>61</v>
      </c>
      <c r="G3460" s="29"/>
      <c r="H3460" s="103">
        <f>_xlfn.XLOOKUP(B3460,GM!$Q$5:$Q$756,GM!$J$5:$J$756)</f>
        <v>46104</v>
      </c>
    </row>
    <row r="3461" spans="1:8" hidden="1" x14ac:dyDescent="0.35">
      <c r="A3461" s="29" t="s">
        <v>19</v>
      </c>
      <c r="B3461" s="29" t="str">
        <f t="shared" ref="B3461:B3524" si="54">IF(OR(A3461="ARN",A3461="SDP"),MID(C3461,4,7),MID(C3461,4,6))</f>
        <v>TAQ-04</v>
      </c>
      <c r="C3461" s="29" t="s">
        <v>10032</v>
      </c>
      <c r="D3461" s="67" t="s">
        <v>10033</v>
      </c>
      <c r="E3461" s="96" t="s">
        <v>62</v>
      </c>
      <c r="F3461" s="29" t="s">
        <v>61</v>
      </c>
      <c r="G3461" s="29"/>
      <c r="H3461" s="103">
        <f>_xlfn.XLOOKUP(B3461,GM!$Q$5:$Q$756,GM!$J$5:$J$756)</f>
        <v>46104</v>
      </c>
    </row>
    <row r="3462" spans="1:8" hidden="1" x14ac:dyDescent="0.35">
      <c r="A3462" s="29" t="s">
        <v>19</v>
      </c>
      <c r="B3462" s="29" t="str">
        <f t="shared" si="54"/>
        <v>TAQ-04</v>
      </c>
      <c r="C3462" s="29" t="s">
        <v>10034</v>
      </c>
      <c r="D3462" s="67" t="s">
        <v>10035</v>
      </c>
      <c r="E3462" s="96" t="s">
        <v>62</v>
      </c>
      <c r="F3462" s="29" t="s">
        <v>61</v>
      </c>
      <c r="G3462" s="29"/>
      <c r="H3462" s="103">
        <f>_xlfn.XLOOKUP(B3462,GM!$Q$5:$Q$756,GM!$J$5:$J$756)</f>
        <v>46104</v>
      </c>
    </row>
    <row r="3463" spans="1:8" hidden="1" x14ac:dyDescent="0.35">
      <c r="A3463" s="29" t="s">
        <v>19</v>
      </c>
      <c r="B3463" s="29" t="str">
        <f t="shared" si="54"/>
        <v>TAQ-04</v>
      </c>
      <c r="C3463" s="29" t="s">
        <v>10036</v>
      </c>
      <c r="D3463" s="67" t="s">
        <v>10037</v>
      </c>
      <c r="E3463" s="96" t="s">
        <v>62</v>
      </c>
      <c r="F3463" s="29" t="s">
        <v>61</v>
      </c>
      <c r="G3463" s="29"/>
      <c r="H3463" s="103">
        <f>_xlfn.XLOOKUP(B3463,GM!$Q$5:$Q$756,GM!$J$5:$J$756)</f>
        <v>46104</v>
      </c>
    </row>
    <row r="3464" spans="1:8" hidden="1" x14ac:dyDescent="0.35">
      <c r="A3464" s="29" t="s">
        <v>19</v>
      </c>
      <c r="B3464" s="29" t="str">
        <f t="shared" si="54"/>
        <v>TAQ-04</v>
      </c>
      <c r="C3464" s="29" t="s">
        <v>10038</v>
      </c>
      <c r="D3464" s="67" t="s">
        <v>10039</v>
      </c>
      <c r="E3464" s="96" t="s">
        <v>62</v>
      </c>
      <c r="F3464" s="29" t="s">
        <v>61</v>
      </c>
      <c r="G3464" s="29"/>
      <c r="H3464" s="103">
        <f>_xlfn.XLOOKUP(B3464,GM!$Q$5:$Q$756,GM!$J$5:$J$756)</f>
        <v>46104</v>
      </c>
    </row>
    <row r="3465" spans="1:8" hidden="1" x14ac:dyDescent="0.35">
      <c r="A3465" s="29" t="s">
        <v>19</v>
      </c>
      <c r="B3465" s="29" t="str">
        <f t="shared" si="54"/>
        <v>TAQ-04</v>
      </c>
      <c r="C3465" s="29" t="s">
        <v>10040</v>
      </c>
      <c r="D3465" s="67" t="s">
        <v>10041</v>
      </c>
      <c r="E3465" s="96" t="s">
        <v>62</v>
      </c>
      <c r="F3465" s="29" t="s">
        <v>61</v>
      </c>
      <c r="G3465" s="29"/>
      <c r="H3465" s="103">
        <f>_xlfn.XLOOKUP(B3465,GM!$Q$5:$Q$756,GM!$J$5:$J$756)</f>
        <v>46104</v>
      </c>
    </row>
    <row r="3466" spans="1:8" hidden="1" x14ac:dyDescent="0.35">
      <c r="A3466" s="29" t="s">
        <v>19</v>
      </c>
      <c r="B3466" s="29" t="str">
        <f t="shared" si="54"/>
        <v>TAQ-04</v>
      </c>
      <c r="C3466" s="29" t="s">
        <v>10042</v>
      </c>
      <c r="D3466" s="67" t="s">
        <v>10043</v>
      </c>
      <c r="E3466" s="96" t="s">
        <v>62</v>
      </c>
      <c r="F3466" s="29" t="s">
        <v>61</v>
      </c>
      <c r="G3466" s="29"/>
      <c r="H3466" s="103">
        <f>_xlfn.XLOOKUP(B3466,GM!$Q$5:$Q$756,GM!$J$5:$J$756)</f>
        <v>46104</v>
      </c>
    </row>
    <row r="3467" spans="1:8" hidden="1" x14ac:dyDescent="0.35">
      <c r="A3467" s="29" t="s">
        <v>19</v>
      </c>
      <c r="B3467" s="29" t="str">
        <f t="shared" si="54"/>
        <v>TAQ-04</v>
      </c>
      <c r="C3467" s="29" t="s">
        <v>10044</v>
      </c>
      <c r="D3467" s="67" t="s">
        <v>10045</v>
      </c>
      <c r="E3467" s="96" t="s">
        <v>62</v>
      </c>
      <c r="F3467" s="29" t="s">
        <v>61</v>
      </c>
      <c r="G3467" s="29"/>
      <c r="H3467" s="103">
        <f>_xlfn.XLOOKUP(B3467,GM!$Q$5:$Q$756,GM!$J$5:$J$756)</f>
        <v>46104</v>
      </c>
    </row>
    <row r="3468" spans="1:8" hidden="1" x14ac:dyDescent="0.35">
      <c r="A3468" s="29" t="s">
        <v>19</v>
      </c>
      <c r="B3468" s="29" t="str">
        <f t="shared" si="54"/>
        <v>TAQ-04</v>
      </c>
      <c r="C3468" s="29" t="s">
        <v>10046</v>
      </c>
      <c r="D3468" s="67" t="s">
        <v>10047</v>
      </c>
      <c r="E3468" s="96" t="s">
        <v>62</v>
      </c>
      <c r="F3468" s="29" t="s">
        <v>61</v>
      </c>
      <c r="G3468" s="29"/>
      <c r="H3468" s="103">
        <f>_xlfn.XLOOKUP(B3468,GM!$Q$5:$Q$756,GM!$J$5:$J$756)</f>
        <v>46104</v>
      </c>
    </row>
    <row r="3469" spans="1:8" hidden="1" x14ac:dyDescent="0.35">
      <c r="A3469" s="29" t="s">
        <v>19</v>
      </c>
      <c r="B3469" s="29" t="str">
        <f t="shared" si="54"/>
        <v>TAQ-04</v>
      </c>
      <c r="C3469" s="29" t="s">
        <v>10048</v>
      </c>
      <c r="D3469" s="67" t="s">
        <v>10049</v>
      </c>
      <c r="E3469" s="96" t="s">
        <v>62</v>
      </c>
      <c r="F3469" s="29" t="s">
        <v>61</v>
      </c>
      <c r="G3469" s="29"/>
      <c r="H3469" s="103">
        <f>_xlfn.XLOOKUP(B3469,GM!$Q$5:$Q$756,GM!$J$5:$J$756)</f>
        <v>46104</v>
      </c>
    </row>
    <row r="3470" spans="1:8" hidden="1" x14ac:dyDescent="0.35">
      <c r="A3470" s="29" t="s">
        <v>19</v>
      </c>
      <c r="B3470" s="29" t="str">
        <f t="shared" si="54"/>
        <v>TAQ-05</v>
      </c>
      <c r="C3470" s="29" t="s">
        <v>10050</v>
      </c>
      <c r="D3470" s="67" t="s">
        <v>10051</v>
      </c>
      <c r="E3470" s="96" t="s">
        <v>62</v>
      </c>
      <c r="F3470" s="29" t="s">
        <v>61</v>
      </c>
      <c r="G3470" s="29"/>
      <c r="H3470" s="103">
        <f>_xlfn.XLOOKUP(B3470,GM!$Q$5:$Q$756,GM!$J$5:$J$756)</f>
        <v>46104</v>
      </c>
    </row>
    <row r="3471" spans="1:8" hidden="1" x14ac:dyDescent="0.35">
      <c r="A3471" s="29" t="s">
        <v>19</v>
      </c>
      <c r="B3471" s="29" t="str">
        <f t="shared" si="54"/>
        <v>TAQ-05</v>
      </c>
      <c r="C3471" s="29" t="s">
        <v>10052</v>
      </c>
      <c r="D3471" s="67" t="s">
        <v>10053</v>
      </c>
      <c r="E3471" s="96" t="s">
        <v>62</v>
      </c>
      <c r="F3471" s="29" t="s">
        <v>61</v>
      </c>
      <c r="G3471" s="29"/>
      <c r="H3471" s="103">
        <f>_xlfn.XLOOKUP(B3471,GM!$Q$5:$Q$756,GM!$J$5:$J$756)</f>
        <v>46104</v>
      </c>
    </row>
    <row r="3472" spans="1:8" hidden="1" x14ac:dyDescent="0.35">
      <c r="A3472" s="29" t="s">
        <v>19</v>
      </c>
      <c r="B3472" s="29" t="str">
        <f t="shared" si="54"/>
        <v>TAQ-05</v>
      </c>
      <c r="C3472" s="29" t="s">
        <v>10054</v>
      </c>
      <c r="D3472" s="67" t="s">
        <v>10055</v>
      </c>
      <c r="E3472" s="96" t="s">
        <v>62</v>
      </c>
      <c r="F3472" s="29" t="s">
        <v>61</v>
      </c>
      <c r="G3472" s="29"/>
      <c r="H3472" s="103">
        <f>_xlfn.XLOOKUP(B3472,GM!$Q$5:$Q$756,GM!$J$5:$J$756)</f>
        <v>46104</v>
      </c>
    </row>
    <row r="3473" spans="1:8" hidden="1" x14ac:dyDescent="0.35">
      <c r="A3473" s="29" t="s">
        <v>19</v>
      </c>
      <c r="B3473" s="29" t="str">
        <f t="shared" si="54"/>
        <v>TAQ-05</v>
      </c>
      <c r="C3473" s="29" t="s">
        <v>10056</v>
      </c>
      <c r="D3473" s="67" t="s">
        <v>10057</v>
      </c>
      <c r="E3473" s="96" t="s">
        <v>62</v>
      </c>
      <c r="F3473" s="29" t="s">
        <v>61</v>
      </c>
      <c r="G3473" s="29"/>
      <c r="H3473" s="103">
        <f>_xlfn.XLOOKUP(B3473,GM!$Q$5:$Q$756,GM!$J$5:$J$756)</f>
        <v>46104</v>
      </c>
    </row>
    <row r="3474" spans="1:8" hidden="1" x14ac:dyDescent="0.35">
      <c r="A3474" s="29" t="s">
        <v>19</v>
      </c>
      <c r="B3474" s="29" t="str">
        <f t="shared" si="54"/>
        <v>TAQ-05</v>
      </c>
      <c r="C3474" s="29" t="s">
        <v>10058</v>
      </c>
      <c r="D3474" s="67" t="s">
        <v>10059</v>
      </c>
      <c r="E3474" s="96" t="s">
        <v>62</v>
      </c>
      <c r="F3474" s="29" t="s">
        <v>61</v>
      </c>
      <c r="G3474" s="29"/>
      <c r="H3474" s="103">
        <f>_xlfn.XLOOKUP(B3474,GM!$Q$5:$Q$756,GM!$J$5:$J$756)</f>
        <v>46104</v>
      </c>
    </row>
    <row r="3475" spans="1:8" hidden="1" x14ac:dyDescent="0.35">
      <c r="A3475" s="29" t="s">
        <v>19</v>
      </c>
      <c r="B3475" s="29" t="str">
        <f t="shared" si="54"/>
        <v>TAQ-05</v>
      </c>
      <c r="C3475" s="29" t="s">
        <v>10060</v>
      </c>
      <c r="D3475" s="67" t="s">
        <v>10061</v>
      </c>
      <c r="E3475" s="96" t="s">
        <v>62</v>
      </c>
      <c r="F3475" s="29" t="s">
        <v>61</v>
      </c>
      <c r="G3475" s="29"/>
      <c r="H3475" s="103">
        <f>_xlfn.XLOOKUP(B3475,GM!$Q$5:$Q$756,GM!$J$5:$J$756)</f>
        <v>46104</v>
      </c>
    </row>
    <row r="3476" spans="1:8" hidden="1" x14ac:dyDescent="0.35">
      <c r="A3476" s="29" t="s">
        <v>19</v>
      </c>
      <c r="B3476" s="29" t="str">
        <f t="shared" si="54"/>
        <v>TAQ-06</v>
      </c>
      <c r="C3476" s="29" t="s">
        <v>10062</v>
      </c>
      <c r="D3476" s="67" t="s">
        <v>10063</v>
      </c>
      <c r="E3476" s="96" t="s">
        <v>62</v>
      </c>
      <c r="F3476" s="29" t="s">
        <v>61</v>
      </c>
      <c r="G3476" s="29"/>
      <c r="H3476" s="103">
        <f>_xlfn.XLOOKUP(B3476,GM!$Q$5:$Q$756,GM!$J$5:$J$756)</f>
        <v>46104</v>
      </c>
    </row>
    <row r="3477" spans="1:8" hidden="1" x14ac:dyDescent="0.35">
      <c r="A3477" s="29" t="s">
        <v>19</v>
      </c>
      <c r="B3477" s="29" t="str">
        <f t="shared" si="54"/>
        <v>TAQ-06</v>
      </c>
      <c r="C3477" s="29" t="s">
        <v>10062</v>
      </c>
      <c r="D3477" s="67" t="s">
        <v>10064</v>
      </c>
      <c r="E3477" s="96" t="s">
        <v>62</v>
      </c>
      <c r="F3477" s="29" t="s">
        <v>61</v>
      </c>
      <c r="G3477" s="29"/>
      <c r="H3477" s="103">
        <f>_xlfn.XLOOKUP(B3477,GM!$Q$5:$Q$756,GM!$J$5:$J$756)</f>
        <v>46104</v>
      </c>
    </row>
    <row r="3478" spans="1:8" hidden="1" x14ac:dyDescent="0.35">
      <c r="A3478" s="29" t="s">
        <v>19</v>
      </c>
      <c r="B3478" s="29" t="str">
        <f t="shared" si="54"/>
        <v>TAQ-06</v>
      </c>
      <c r="C3478" s="29" t="s">
        <v>10065</v>
      </c>
      <c r="D3478" s="67" t="s">
        <v>10066</v>
      </c>
      <c r="E3478" s="96" t="s">
        <v>62</v>
      </c>
      <c r="F3478" s="29" t="s">
        <v>61</v>
      </c>
      <c r="G3478" s="29"/>
      <c r="H3478" s="103">
        <f>_xlfn.XLOOKUP(B3478,GM!$Q$5:$Q$756,GM!$J$5:$J$756)</f>
        <v>46104</v>
      </c>
    </row>
    <row r="3479" spans="1:8" hidden="1" x14ac:dyDescent="0.35">
      <c r="A3479" s="29" t="s">
        <v>19</v>
      </c>
      <c r="B3479" s="29" t="str">
        <f t="shared" si="54"/>
        <v>TAQ-06</v>
      </c>
      <c r="C3479" s="29" t="s">
        <v>10067</v>
      </c>
      <c r="D3479" s="67" t="s">
        <v>10068</v>
      </c>
      <c r="E3479" s="96" t="s">
        <v>62</v>
      </c>
      <c r="F3479" s="29" t="s">
        <v>61</v>
      </c>
      <c r="G3479" s="29"/>
      <c r="H3479" s="103">
        <f>_xlfn.XLOOKUP(B3479,GM!$Q$5:$Q$756,GM!$J$5:$J$756)</f>
        <v>46104</v>
      </c>
    </row>
    <row r="3480" spans="1:8" hidden="1" x14ac:dyDescent="0.35">
      <c r="A3480" s="29" t="s">
        <v>19</v>
      </c>
      <c r="B3480" s="29" t="str">
        <f t="shared" si="54"/>
        <v>TAQ-06</v>
      </c>
      <c r="C3480" s="29" t="s">
        <v>10069</v>
      </c>
      <c r="D3480" s="67" t="s">
        <v>10070</v>
      </c>
      <c r="E3480" s="96" t="s">
        <v>62</v>
      </c>
      <c r="F3480" s="29" t="s">
        <v>61</v>
      </c>
      <c r="G3480" s="29"/>
      <c r="H3480" s="103">
        <f>_xlfn.XLOOKUP(B3480,GM!$Q$5:$Q$756,GM!$J$5:$J$756)</f>
        <v>46104</v>
      </c>
    </row>
    <row r="3481" spans="1:8" hidden="1" x14ac:dyDescent="0.35">
      <c r="A3481" s="29" t="s">
        <v>19</v>
      </c>
      <c r="B3481" s="29" t="str">
        <f t="shared" si="54"/>
        <v>TAQ-06</v>
      </c>
      <c r="C3481" s="29" t="s">
        <v>10071</v>
      </c>
      <c r="D3481" s="67" t="s">
        <v>10072</v>
      </c>
      <c r="E3481" s="96" t="s">
        <v>62</v>
      </c>
      <c r="F3481" s="29" t="s">
        <v>61</v>
      </c>
      <c r="G3481" s="29"/>
      <c r="H3481" s="103">
        <f>_xlfn.XLOOKUP(B3481,GM!$Q$5:$Q$756,GM!$J$5:$J$756)</f>
        <v>46104</v>
      </c>
    </row>
    <row r="3482" spans="1:8" hidden="1" x14ac:dyDescent="0.35">
      <c r="A3482" s="29" t="s">
        <v>19</v>
      </c>
      <c r="B3482" s="29" t="str">
        <f t="shared" si="54"/>
        <v>TAQ-06</v>
      </c>
      <c r="C3482" s="29" t="s">
        <v>10073</v>
      </c>
      <c r="D3482" s="67" t="s">
        <v>10074</v>
      </c>
      <c r="E3482" s="96" t="s">
        <v>62</v>
      </c>
      <c r="F3482" s="29" t="s">
        <v>61</v>
      </c>
      <c r="G3482" s="29"/>
      <c r="H3482" s="103">
        <f>_xlfn.XLOOKUP(B3482,GM!$Q$5:$Q$756,GM!$J$5:$J$756)</f>
        <v>46104</v>
      </c>
    </row>
    <row r="3483" spans="1:8" hidden="1" x14ac:dyDescent="0.35">
      <c r="A3483" s="29" t="s">
        <v>19</v>
      </c>
      <c r="B3483" s="29" t="str">
        <f t="shared" si="54"/>
        <v>TAQ-06</v>
      </c>
      <c r="C3483" s="29" t="s">
        <v>10075</v>
      </c>
      <c r="D3483" s="67" t="s">
        <v>10076</v>
      </c>
      <c r="E3483" s="96" t="s">
        <v>62</v>
      </c>
      <c r="F3483" s="29" t="s">
        <v>61</v>
      </c>
      <c r="G3483" s="29"/>
      <c r="H3483" s="103">
        <f>_xlfn.XLOOKUP(B3483,GM!$Q$5:$Q$756,GM!$J$5:$J$756)</f>
        <v>46104</v>
      </c>
    </row>
    <row r="3484" spans="1:8" hidden="1" x14ac:dyDescent="0.35">
      <c r="A3484" s="29" t="s">
        <v>19</v>
      </c>
      <c r="B3484" s="29" t="str">
        <f t="shared" si="54"/>
        <v>TAQ-06</v>
      </c>
      <c r="C3484" s="29" t="s">
        <v>10077</v>
      </c>
      <c r="D3484" s="67" t="s">
        <v>10078</v>
      </c>
      <c r="E3484" s="96" t="s">
        <v>62</v>
      </c>
      <c r="F3484" s="29" t="s">
        <v>61</v>
      </c>
      <c r="G3484" s="29"/>
      <c r="H3484" s="103">
        <f>_xlfn.XLOOKUP(B3484,GM!$Q$5:$Q$756,GM!$J$5:$J$756)</f>
        <v>46104</v>
      </c>
    </row>
    <row r="3485" spans="1:8" hidden="1" x14ac:dyDescent="0.35">
      <c r="A3485" s="29" t="s">
        <v>19</v>
      </c>
      <c r="B3485" s="29" t="str">
        <f t="shared" si="54"/>
        <v>TAQ-06</v>
      </c>
      <c r="C3485" s="29" t="s">
        <v>10079</v>
      </c>
      <c r="D3485" s="67" t="s">
        <v>10080</v>
      </c>
      <c r="E3485" s="96" t="s">
        <v>62</v>
      </c>
      <c r="F3485" s="29" t="s">
        <v>61</v>
      </c>
      <c r="G3485" s="29"/>
      <c r="H3485" s="103">
        <f>_xlfn.XLOOKUP(B3485,GM!$Q$5:$Q$756,GM!$J$5:$J$756)</f>
        <v>46104</v>
      </c>
    </row>
    <row r="3486" spans="1:8" hidden="1" x14ac:dyDescent="0.35">
      <c r="A3486" s="29" t="s">
        <v>19</v>
      </c>
      <c r="B3486" s="29" t="str">
        <f t="shared" si="54"/>
        <v>TAQ-06</v>
      </c>
      <c r="C3486" s="29" t="s">
        <v>10081</v>
      </c>
      <c r="D3486" s="67" t="s">
        <v>10082</v>
      </c>
      <c r="E3486" s="96" t="s">
        <v>62</v>
      </c>
      <c r="F3486" s="29" t="s">
        <v>61</v>
      </c>
      <c r="G3486" s="29"/>
      <c r="H3486" s="103">
        <f>_xlfn.XLOOKUP(B3486,GM!$Q$5:$Q$756,GM!$J$5:$J$756)</f>
        <v>46104</v>
      </c>
    </row>
    <row r="3487" spans="1:8" hidden="1" x14ac:dyDescent="0.35">
      <c r="A3487" s="29" t="s">
        <v>19</v>
      </c>
      <c r="B3487" s="29" t="str">
        <f t="shared" si="54"/>
        <v>TAQ-06</v>
      </c>
      <c r="C3487" s="29" t="s">
        <v>10083</v>
      </c>
      <c r="D3487" s="67" t="s">
        <v>10084</v>
      </c>
      <c r="E3487" s="96" t="s">
        <v>62</v>
      </c>
      <c r="F3487" s="29" t="s">
        <v>61</v>
      </c>
      <c r="G3487" s="29"/>
      <c r="H3487" s="103">
        <f>_xlfn.XLOOKUP(B3487,GM!$Q$5:$Q$756,GM!$J$5:$J$756)</f>
        <v>46104</v>
      </c>
    </row>
    <row r="3488" spans="1:8" hidden="1" x14ac:dyDescent="0.35">
      <c r="A3488" s="29" t="s">
        <v>19</v>
      </c>
      <c r="B3488" s="29" t="str">
        <f t="shared" si="54"/>
        <v>TAQ-06</v>
      </c>
      <c r="C3488" s="29" t="s">
        <v>10085</v>
      </c>
      <c r="D3488" s="67" t="s">
        <v>10086</v>
      </c>
      <c r="E3488" s="96" t="s">
        <v>62</v>
      </c>
      <c r="F3488" s="29" t="s">
        <v>61</v>
      </c>
      <c r="G3488" s="29"/>
      <c r="H3488" s="103">
        <f>_xlfn.XLOOKUP(B3488,GM!$Q$5:$Q$756,GM!$J$5:$J$756)</f>
        <v>46104</v>
      </c>
    </row>
    <row r="3489" spans="1:8" hidden="1" x14ac:dyDescent="0.35">
      <c r="A3489" s="29" t="s">
        <v>19</v>
      </c>
      <c r="B3489" s="29" t="str">
        <f t="shared" si="54"/>
        <v>TAQ-06</v>
      </c>
      <c r="C3489" s="29" t="s">
        <v>10087</v>
      </c>
      <c r="D3489" s="67" t="s">
        <v>10088</v>
      </c>
      <c r="E3489" s="96" t="s">
        <v>62</v>
      </c>
      <c r="F3489" s="29" t="s">
        <v>61</v>
      </c>
      <c r="G3489" s="29"/>
      <c r="H3489" s="103">
        <f>_xlfn.XLOOKUP(B3489,GM!$Q$5:$Q$756,GM!$J$5:$J$756)</f>
        <v>46104</v>
      </c>
    </row>
    <row r="3490" spans="1:8" hidden="1" x14ac:dyDescent="0.35">
      <c r="A3490" s="29" t="s">
        <v>19</v>
      </c>
      <c r="B3490" s="29" t="str">
        <f t="shared" si="54"/>
        <v>TAQ-06</v>
      </c>
      <c r="C3490" s="29" t="s">
        <v>10089</v>
      </c>
      <c r="D3490" s="67" t="s">
        <v>10090</v>
      </c>
      <c r="E3490" s="96" t="s">
        <v>62</v>
      </c>
      <c r="F3490" s="29" t="s">
        <v>61</v>
      </c>
      <c r="G3490" s="29"/>
      <c r="H3490" s="103">
        <f>_xlfn.XLOOKUP(B3490,GM!$Q$5:$Q$756,GM!$J$5:$J$756)</f>
        <v>46104</v>
      </c>
    </row>
    <row r="3491" spans="1:8" hidden="1" x14ac:dyDescent="0.35">
      <c r="A3491" s="29" t="s">
        <v>19</v>
      </c>
      <c r="B3491" s="29" t="str">
        <f t="shared" si="54"/>
        <v>TAQ-06</v>
      </c>
      <c r="C3491" s="29" t="s">
        <v>10091</v>
      </c>
      <c r="D3491" s="67" t="s">
        <v>10092</v>
      </c>
      <c r="E3491" s="96" t="s">
        <v>62</v>
      </c>
      <c r="F3491" s="29" t="s">
        <v>61</v>
      </c>
      <c r="G3491" s="29"/>
      <c r="H3491" s="103">
        <f>_xlfn.XLOOKUP(B3491,GM!$Q$5:$Q$756,GM!$J$5:$J$756)</f>
        <v>46104</v>
      </c>
    </row>
    <row r="3492" spans="1:8" hidden="1" x14ac:dyDescent="0.35">
      <c r="A3492" s="29" t="s">
        <v>19</v>
      </c>
      <c r="B3492" s="29" t="str">
        <f t="shared" si="54"/>
        <v>TAQ-06</v>
      </c>
      <c r="C3492" s="29" t="s">
        <v>10093</v>
      </c>
      <c r="D3492" s="67" t="s">
        <v>10094</v>
      </c>
      <c r="E3492" s="96" t="s">
        <v>62</v>
      </c>
      <c r="F3492" s="29" t="s">
        <v>61</v>
      </c>
      <c r="G3492" s="29"/>
      <c r="H3492" s="103">
        <f>_xlfn.XLOOKUP(B3492,GM!$Q$5:$Q$756,GM!$J$5:$J$756)</f>
        <v>46104</v>
      </c>
    </row>
    <row r="3493" spans="1:8" hidden="1" x14ac:dyDescent="0.35">
      <c r="A3493" s="29" t="s">
        <v>19</v>
      </c>
      <c r="B3493" s="29" t="str">
        <f t="shared" si="54"/>
        <v>TAQ-06</v>
      </c>
      <c r="C3493" s="29" t="s">
        <v>10095</v>
      </c>
      <c r="D3493" s="67" t="s">
        <v>10096</v>
      </c>
      <c r="E3493" s="96" t="s">
        <v>62</v>
      </c>
      <c r="F3493" s="29" t="s">
        <v>61</v>
      </c>
      <c r="G3493" s="29"/>
      <c r="H3493" s="103">
        <f>_xlfn.XLOOKUP(B3493,GM!$Q$5:$Q$756,GM!$J$5:$J$756)</f>
        <v>46104</v>
      </c>
    </row>
    <row r="3494" spans="1:8" hidden="1" x14ac:dyDescent="0.35">
      <c r="A3494" s="29" t="s">
        <v>19</v>
      </c>
      <c r="B3494" s="29" t="str">
        <f t="shared" si="54"/>
        <v>TAQ-07</v>
      </c>
      <c r="C3494" s="29" t="s">
        <v>10097</v>
      </c>
      <c r="D3494" s="67" t="s">
        <v>10098</v>
      </c>
      <c r="E3494" s="96" t="s">
        <v>62</v>
      </c>
      <c r="F3494" s="29" t="s">
        <v>61</v>
      </c>
      <c r="G3494" s="29"/>
      <c r="H3494" s="103">
        <f>_xlfn.XLOOKUP(B3494,GM!$Q$5:$Q$756,GM!$J$5:$J$756)</f>
        <v>45959</v>
      </c>
    </row>
    <row r="3495" spans="1:8" hidden="1" x14ac:dyDescent="0.35">
      <c r="A3495" s="29" t="s">
        <v>19</v>
      </c>
      <c r="B3495" s="29" t="str">
        <f t="shared" si="54"/>
        <v>TAQ-07</v>
      </c>
      <c r="C3495" s="29" t="s">
        <v>10099</v>
      </c>
      <c r="D3495" s="67" t="s">
        <v>10100</v>
      </c>
      <c r="E3495" s="96" t="s">
        <v>62</v>
      </c>
      <c r="F3495" s="29" t="s">
        <v>61</v>
      </c>
      <c r="G3495" s="29"/>
      <c r="H3495" s="103">
        <f>_xlfn.XLOOKUP(B3495,GM!$Q$5:$Q$756,GM!$J$5:$J$756)</f>
        <v>45959</v>
      </c>
    </row>
    <row r="3496" spans="1:8" hidden="1" x14ac:dyDescent="0.35">
      <c r="A3496" s="29" t="s">
        <v>19</v>
      </c>
      <c r="B3496" s="29" t="str">
        <f t="shared" si="54"/>
        <v>TAQ-07</v>
      </c>
      <c r="C3496" s="29" t="s">
        <v>10101</v>
      </c>
      <c r="D3496" s="67" t="s">
        <v>10102</v>
      </c>
      <c r="E3496" s="96" t="s">
        <v>62</v>
      </c>
      <c r="F3496" s="29" t="s">
        <v>61</v>
      </c>
      <c r="G3496" s="29"/>
      <c r="H3496" s="103">
        <f>_xlfn.XLOOKUP(B3496,GM!$Q$5:$Q$756,GM!$J$5:$J$756)</f>
        <v>45959</v>
      </c>
    </row>
    <row r="3497" spans="1:8" hidden="1" x14ac:dyDescent="0.35">
      <c r="A3497" s="29" t="s">
        <v>19</v>
      </c>
      <c r="B3497" s="29" t="str">
        <f t="shared" si="54"/>
        <v>TAQ-07</v>
      </c>
      <c r="C3497" s="29" t="s">
        <v>10103</v>
      </c>
      <c r="D3497" s="67" t="s">
        <v>10104</v>
      </c>
      <c r="E3497" s="96" t="s">
        <v>62</v>
      </c>
      <c r="F3497" s="29" t="s">
        <v>61</v>
      </c>
      <c r="G3497" s="29"/>
      <c r="H3497" s="103">
        <f>_xlfn.XLOOKUP(B3497,GM!$Q$5:$Q$756,GM!$J$5:$J$756)</f>
        <v>45959</v>
      </c>
    </row>
    <row r="3498" spans="1:8" hidden="1" x14ac:dyDescent="0.35">
      <c r="A3498" s="29" t="s">
        <v>19</v>
      </c>
      <c r="B3498" s="29" t="str">
        <f t="shared" si="54"/>
        <v>TAQ-07</v>
      </c>
      <c r="C3498" s="29" t="s">
        <v>10105</v>
      </c>
      <c r="D3498" s="67" t="s">
        <v>10106</v>
      </c>
      <c r="E3498" s="96" t="s">
        <v>62</v>
      </c>
      <c r="F3498" s="29" t="s">
        <v>61</v>
      </c>
      <c r="G3498" s="29"/>
      <c r="H3498" s="103">
        <f>_xlfn.XLOOKUP(B3498,GM!$Q$5:$Q$756,GM!$J$5:$J$756)</f>
        <v>45959</v>
      </c>
    </row>
    <row r="3499" spans="1:8" hidden="1" x14ac:dyDescent="0.35">
      <c r="A3499" s="29" t="s">
        <v>19</v>
      </c>
      <c r="B3499" s="29" t="str">
        <f t="shared" si="54"/>
        <v>TAQ-09</v>
      </c>
      <c r="C3499" s="29" t="s">
        <v>10107</v>
      </c>
      <c r="D3499" s="67" t="s">
        <v>10108</v>
      </c>
      <c r="E3499" s="96" t="s">
        <v>62</v>
      </c>
      <c r="F3499" s="29" t="s">
        <v>61</v>
      </c>
      <c r="G3499" s="29"/>
      <c r="H3499" s="103">
        <f>_xlfn.XLOOKUP(B3499,GM!$Q$5:$Q$756,GM!$J$5:$J$756)</f>
        <v>45959</v>
      </c>
    </row>
    <row r="3500" spans="1:8" hidden="1" x14ac:dyDescent="0.35">
      <c r="A3500" s="29" t="s">
        <v>19</v>
      </c>
      <c r="B3500" s="29" t="str">
        <f t="shared" si="54"/>
        <v>TAQ-09</v>
      </c>
      <c r="C3500" s="29" t="s">
        <v>10109</v>
      </c>
      <c r="D3500" s="67" t="s">
        <v>10110</v>
      </c>
      <c r="E3500" s="96" t="s">
        <v>62</v>
      </c>
      <c r="F3500" s="29" t="s">
        <v>61</v>
      </c>
      <c r="G3500" s="29"/>
      <c r="H3500" s="103">
        <f>_xlfn.XLOOKUP(B3500,GM!$Q$5:$Q$756,GM!$J$5:$J$756)</f>
        <v>45959</v>
      </c>
    </row>
    <row r="3501" spans="1:8" hidden="1" x14ac:dyDescent="0.35">
      <c r="A3501" s="29" t="s">
        <v>19</v>
      </c>
      <c r="B3501" s="29" t="str">
        <f t="shared" si="54"/>
        <v>TAQ-09</v>
      </c>
      <c r="C3501" s="29" t="s">
        <v>10111</v>
      </c>
      <c r="D3501" s="67" t="s">
        <v>10112</v>
      </c>
      <c r="E3501" s="96" t="s">
        <v>62</v>
      </c>
      <c r="F3501" s="29" t="s">
        <v>61</v>
      </c>
      <c r="G3501" s="29"/>
      <c r="H3501" s="103">
        <f>_xlfn.XLOOKUP(B3501,GM!$Q$5:$Q$756,GM!$J$5:$J$756)</f>
        <v>45959</v>
      </c>
    </row>
    <row r="3502" spans="1:8" hidden="1" x14ac:dyDescent="0.35">
      <c r="A3502" s="29" t="s">
        <v>19</v>
      </c>
      <c r="B3502" s="29" t="str">
        <f t="shared" si="54"/>
        <v>TAQ-09</v>
      </c>
      <c r="C3502" s="29" t="s">
        <v>10113</v>
      </c>
      <c r="D3502" s="67" t="s">
        <v>10114</v>
      </c>
      <c r="E3502" s="96" t="s">
        <v>62</v>
      </c>
      <c r="F3502" s="29" t="s">
        <v>61</v>
      </c>
      <c r="G3502" s="29"/>
      <c r="H3502" s="103">
        <f>_xlfn.XLOOKUP(B3502,GM!$Q$5:$Q$756,GM!$J$5:$J$756)</f>
        <v>45959</v>
      </c>
    </row>
    <row r="3503" spans="1:8" hidden="1" x14ac:dyDescent="0.35">
      <c r="A3503" s="29" t="s">
        <v>19</v>
      </c>
      <c r="B3503" s="29" t="str">
        <f t="shared" si="54"/>
        <v>TAQ-09</v>
      </c>
      <c r="C3503" s="29" t="s">
        <v>10115</v>
      </c>
      <c r="D3503" s="67" t="s">
        <v>10116</v>
      </c>
      <c r="E3503" s="96" t="s">
        <v>62</v>
      </c>
      <c r="F3503" s="29" t="s">
        <v>61</v>
      </c>
      <c r="G3503" s="29"/>
      <c r="H3503" s="103">
        <f>_xlfn.XLOOKUP(B3503,GM!$Q$5:$Q$756,GM!$J$5:$J$756)</f>
        <v>45959</v>
      </c>
    </row>
    <row r="3504" spans="1:8" hidden="1" x14ac:dyDescent="0.35">
      <c r="A3504" s="29" t="s">
        <v>19</v>
      </c>
      <c r="B3504" s="29" t="str">
        <f t="shared" si="54"/>
        <v>TAQ-09</v>
      </c>
      <c r="C3504" s="29" t="s">
        <v>10117</v>
      </c>
      <c r="D3504" s="67" t="s">
        <v>10118</v>
      </c>
      <c r="E3504" s="96" t="s">
        <v>62</v>
      </c>
      <c r="F3504" s="29" t="s">
        <v>61</v>
      </c>
      <c r="G3504" s="29"/>
      <c r="H3504" s="103">
        <f>_xlfn.XLOOKUP(B3504,GM!$Q$5:$Q$756,GM!$J$5:$J$756)</f>
        <v>45959</v>
      </c>
    </row>
    <row r="3505" spans="1:8" hidden="1" x14ac:dyDescent="0.35">
      <c r="A3505" s="29" t="s">
        <v>19</v>
      </c>
      <c r="B3505" s="29" t="str">
        <f t="shared" si="54"/>
        <v>TAQ-09</v>
      </c>
      <c r="C3505" s="29" t="s">
        <v>10119</v>
      </c>
      <c r="D3505" s="67" t="s">
        <v>10120</v>
      </c>
      <c r="E3505" s="96" t="s">
        <v>62</v>
      </c>
      <c r="F3505" s="29" t="s">
        <v>61</v>
      </c>
      <c r="G3505" s="29"/>
      <c r="H3505" s="103">
        <f>_xlfn.XLOOKUP(B3505,GM!$Q$5:$Q$756,GM!$J$5:$J$756)</f>
        <v>45959</v>
      </c>
    </row>
    <row r="3506" spans="1:8" hidden="1" x14ac:dyDescent="0.35">
      <c r="A3506" s="29" t="s">
        <v>19</v>
      </c>
      <c r="B3506" s="29" t="str">
        <f t="shared" si="54"/>
        <v>TAQ-09</v>
      </c>
      <c r="C3506" s="29" t="s">
        <v>10121</v>
      </c>
      <c r="D3506" s="67" t="s">
        <v>10122</v>
      </c>
      <c r="E3506" s="96" t="s">
        <v>62</v>
      </c>
      <c r="F3506" s="29" t="s">
        <v>61</v>
      </c>
      <c r="G3506" s="29"/>
      <c r="H3506" s="103">
        <f>_xlfn.XLOOKUP(B3506,GM!$Q$5:$Q$756,GM!$J$5:$J$756)</f>
        <v>45959</v>
      </c>
    </row>
    <row r="3507" spans="1:8" hidden="1" x14ac:dyDescent="0.35">
      <c r="A3507" s="29" t="s">
        <v>19</v>
      </c>
      <c r="B3507" s="29" t="str">
        <f t="shared" si="54"/>
        <v>TAQ-09</v>
      </c>
      <c r="C3507" s="29" t="s">
        <v>10123</v>
      </c>
      <c r="D3507" s="67" t="s">
        <v>10124</v>
      </c>
      <c r="E3507" s="96" t="s">
        <v>62</v>
      </c>
      <c r="F3507" s="29" t="s">
        <v>61</v>
      </c>
      <c r="G3507" s="29"/>
      <c r="H3507" s="103">
        <f>_xlfn.XLOOKUP(B3507,GM!$Q$5:$Q$756,GM!$J$5:$J$756)</f>
        <v>45959</v>
      </c>
    </row>
    <row r="3508" spans="1:8" hidden="1" x14ac:dyDescent="0.35">
      <c r="A3508" s="29" t="s">
        <v>19</v>
      </c>
      <c r="B3508" s="29" t="str">
        <f t="shared" si="54"/>
        <v>TAQ-10</v>
      </c>
      <c r="C3508" s="29" t="s">
        <v>10125</v>
      </c>
      <c r="D3508" s="67" t="s">
        <v>10126</v>
      </c>
      <c r="E3508" s="96" t="s">
        <v>62</v>
      </c>
      <c r="F3508" s="29" t="s">
        <v>61</v>
      </c>
      <c r="G3508" s="29"/>
      <c r="H3508" s="103">
        <f>_xlfn.XLOOKUP(B3508,GM!$Q$5:$Q$756,GM!$J$5:$J$756)</f>
        <v>45959</v>
      </c>
    </row>
    <row r="3509" spans="1:8" hidden="1" x14ac:dyDescent="0.35">
      <c r="A3509" s="29" t="s">
        <v>19</v>
      </c>
      <c r="B3509" s="29" t="str">
        <f t="shared" si="54"/>
        <v>TAQ-10</v>
      </c>
      <c r="C3509" s="29" t="s">
        <v>10127</v>
      </c>
      <c r="D3509" s="67" t="s">
        <v>10128</v>
      </c>
      <c r="E3509" s="96" t="s">
        <v>62</v>
      </c>
      <c r="F3509" s="29" t="s">
        <v>61</v>
      </c>
      <c r="G3509" s="29"/>
      <c r="H3509" s="103">
        <f>_xlfn.XLOOKUP(B3509,GM!$Q$5:$Q$756,GM!$J$5:$J$756)</f>
        <v>45959</v>
      </c>
    </row>
    <row r="3510" spans="1:8" hidden="1" x14ac:dyDescent="0.35">
      <c r="A3510" s="29" t="s">
        <v>19</v>
      </c>
      <c r="B3510" s="29" t="str">
        <f t="shared" si="54"/>
        <v>TAQ-10</v>
      </c>
      <c r="C3510" s="29" t="s">
        <v>10129</v>
      </c>
      <c r="D3510" s="67" t="s">
        <v>10130</v>
      </c>
      <c r="E3510" s="96" t="s">
        <v>62</v>
      </c>
      <c r="F3510" s="29" t="s">
        <v>61</v>
      </c>
      <c r="G3510" s="29"/>
      <c r="H3510" s="103">
        <f>_xlfn.XLOOKUP(B3510,GM!$Q$5:$Q$756,GM!$J$5:$J$756)</f>
        <v>45959</v>
      </c>
    </row>
    <row r="3511" spans="1:8" hidden="1" x14ac:dyDescent="0.35">
      <c r="A3511" s="29" t="s">
        <v>19</v>
      </c>
      <c r="B3511" s="29" t="str">
        <f t="shared" si="54"/>
        <v>TAQ-10</v>
      </c>
      <c r="C3511" s="29" t="s">
        <v>10131</v>
      </c>
      <c r="D3511" s="67" t="s">
        <v>10132</v>
      </c>
      <c r="E3511" s="96" t="s">
        <v>62</v>
      </c>
      <c r="F3511" s="29" t="s">
        <v>61</v>
      </c>
      <c r="G3511" s="29"/>
      <c r="H3511" s="103">
        <f>_xlfn.XLOOKUP(B3511,GM!$Q$5:$Q$756,GM!$J$5:$J$756)</f>
        <v>45959</v>
      </c>
    </row>
    <row r="3512" spans="1:8" hidden="1" x14ac:dyDescent="0.35">
      <c r="A3512" s="29" t="s">
        <v>19</v>
      </c>
      <c r="B3512" s="29" t="str">
        <f t="shared" si="54"/>
        <v>TAQ-10</v>
      </c>
      <c r="C3512" s="29" t="s">
        <v>10133</v>
      </c>
      <c r="D3512" s="67" t="s">
        <v>10134</v>
      </c>
      <c r="E3512" s="96" t="s">
        <v>62</v>
      </c>
      <c r="F3512" s="29" t="s">
        <v>61</v>
      </c>
      <c r="G3512" s="29"/>
      <c r="H3512" s="103">
        <f>_xlfn.XLOOKUP(B3512,GM!$Q$5:$Q$756,GM!$J$5:$J$756)</f>
        <v>45959</v>
      </c>
    </row>
    <row r="3513" spans="1:8" hidden="1" x14ac:dyDescent="0.35">
      <c r="A3513" s="29" t="s">
        <v>19</v>
      </c>
      <c r="B3513" s="29" t="str">
        <f t="shared" si="54"/>
        <v>TAQ-10</v>
      </c>
      <c r="C3513" s="29" t="s">
        <v>10135</v>
      </c>
      <c r="D3513" s="67" t="s">
        <v>10136</v>
      </c>
      <c r="E3513" s="96" t="s">
        <v>62</v>
      </c>
      <c r="F3513" s="29" t="s">
        <v>61</v>
      </c>
      <c r="G3513" s="29"/>
      <c r="H3513" s="103">
        <f>_xlfn.XLOOKUP(B3513,GM!$Q$5:$Q$756,GM!$J$5:$J$756)</f>
        <v>45959</v>
      </c>
    </row>
    <row r="3514" spans="1:8" hidden="1" x14ac:dyDescent="0.35">
      <c r="A3514" s="29" t="s">
        <v>19</v>
      </c>
      <c r="B3514" s="29" t="str">
        <f t="shared" si="54"/>
        <v>TAQ-10</v>
      </c>
      <c r="C3514" s="29" t="s">
        <v>10137</v>
      </c>
      <c r="D3514" s="67" t="s">
        <v>10138</v>
      </c>
      <c r="E3514" s="96" t="s">
        <v>62</v>
      </c>
      <c r="F3514" s="29" t="s">
        <v>61</v>
      </c>
      <c r="G3514" s="29"/>
      <c r="H3514" s="103">
        <f>_xlfn.XLOOKUP(B3514,GM!$Q$5:$Q$756,GM!$J$5:$J$756)</f>
        <v>45959</v>
      </c>
    </row>
    <row r="3515" spans="1:8" hidden="1" x14ac:dyDescent="0.35">
      <c r="A3515" s="29" t="s">
        <v>19</v>
      </c>
      <c r="B3515" s="29" t="str">
        <f t="shared" si="54"/>
        <v>TAQ-10</v>
      </c>
      <c r="C3515" s="29" t="s">
        <v>10139</v>
      </c>
      <c r="D3515" s="67" t="s">
        <v>10140</v>
      </c>
      <c r="E3515" s="96" t="s">
        <v>62</v>
      </c>
      <c r="F3515" s="29" t="s">
        <v>61</v>
      </c>
      <c r="G3515" s="29"/>
      <c r="H3515" s="103">
        <f>_xlfn.XLOOKUP(B3515,GM!$Q$5:$Q$756,GM!$J$5:$J$756)</f>
        <v>45959</v>
      </c>
    </row>
    <row r="3516" spans="1:8" hidden="1" x14ac:dyDescent="0.35">
      <c r="A3516" s="29" t="s">
        <v>19</v>
      </c>
      <c r="B3516" s="29" t="str">
        <f t="shared" si="54"/>
        <v>TAQ-11</v>
      </c>
      <c r="C3516" s="29" t="s">
        <v>10141</v>
      </c>
      <c r="D3516" s="67" t="s">
        <v>10142</v>
      </c>
      <c r="E3516" s="96" t="s">
        <v>62</v>
      </c>
      <c r="F3516" s="29" t="s">
        <v>61</v>
      </c>
      <c r="G3516" s="29"/>
      <c r="H3516" s="103">
        <f>_xlfn.XLOOKUP(B3516,GM!$Q$5:$Q$756,GM!$J$5:$J$756)</f>
        <v>46104</v>
      </c>
    </row>
    <row r="3517" spans="1:8" hidden="1" x14ac:dyDescent="0.35">
      <c r="A3517" s="29" t="s">
        <v>19</v>
      </c>
      <c r="B3517" s="29" t="str">
        <f t="shared" si="54"/>
        <v>TAQ-11</v>
      </c>
      <c r="C3517" s="29" t="s">
        <v>10143</v>
      </c>
      <c r="D3517" s="67" t="s">
        <v>10144</v>
      </c>
      <c r="E3517" s="96" t="s">
        <v>62</v>
      </c>
      <c r="F3517" s="29" t="s">
        <v>61</v>
      </c>
      <c r="G3517" s="29"/>
      <c r="H3517" s="103">
        <f>_xlfn.XLOOKUP(B3517,GM!$Q$5:$Q$756,GM!$J$5:$J$756)</f>
        <v>46104</v>
      </c>
    </row>
    <row r="3518" spans="1:8" hidden="1" x14ac:dyDescent="0.35">
      <c r="A3518" s="29" t="s">
        <v>19</v>
      </c>
      <c r="B3518" s="29" t="str">
        <f t="shared" si="54"/>
        <v>TAQ-11</v>
      </c>
      <c r="C3518" s="29" t="s">
        <v>10145</v>
      </c>
      <c r="D3518" s="67" t="s">
        <v>10146</v>
      </c>
      <c r="E3518" s="96" t="s">
        <v>62</v>
      </c>
      <c r="F3518" s="29" t="s">
        <v>61</v>
      </c>
      <c r="G3518" s="29"/>
      <c r="H3518" s="103">
        <f>_xlfn.XLOOKUP(B3518,GM!$Q$5:$Q$756,GM!$J$5:$J$756)</f>
        <v>46104</v>
      </c>
    </row>
    <row r="3519" spans="1:8" hidden="1" x14ac:dyDescent="0.35">
      <c r="A3519" s="29" t="s">
        <v>19</v>
      </c>
      <c r="B3519" s="29" t="str">
        <f t="shared" si="54"/>
        <v>TAQ-11</v>
      </c>
      <c r="C3519" s="29" t="s">
        <v>10147</v>
      </c>
      <c r="D3519" s="67" t="s">
        <v>10148</v>
      </c>
      <c r="E3519" s="96" t="s">
        <v>62</v>
      </c>
      <c r="F3519" s="29" t="s">
        <v>61</v>
      </c>
      <c r="G3519" s="29"/>
      <c r="H3519" s="103">
        <f>_xlfn.XLOOKUP(B3519,GM!$Q$5:$Q$756,GM!$J$5:$J$756)</f>
        <v>46104</v>
      </c>
    </row>
    <row r="3520" spans="1:8" hidden="1" x14ac:dyDescent="0.35">
      <c r="A3520" s="29" t="s">
        <v>19</v>
      </c>
      <c r="B3520" s="29" t="str">
        <f t="shared" si="54"/>
        <v>TAQ-12</v>
      </c>
      <c r="C3520" s="29" t="s">
        <v>10149</v>
      </c>
      <c r="D3520" s="67" t="s">
        <v>10150</v>
      </c>
      <c r="E3520" s="96" t="s">
        <v>62</v>
      </c>
      <c r="F3520" s="29" t="s">
        <v>61</v>
      </c>
      <c r="G3520" s="29"/>
      <c r="H3520" s="103">
        <f>_xlfn.XLOOKUP(B3520,GM!$Q$5:$Q$756,GM!$J$5:$J$756)</f>
        <v>46104</v>
      </c>
    </row>
    <row r="3521" spans="1:8" hidden="1" x14ac:dyDescent="0.35">
      <c r="A3521" s="29" t="s">
        <v>19</v>
      </c>
      <c r="B3521" s="29" t="str">
        <f t="shared" si="54"/>
        <v>TAQ-13</v>
      </c>
      <c r="C3521" s="29" t="s">
        <v>10151</v>
      </c>
      <c r="D3521" s="67" t="s">
        <v>10152</v>
      </c>
      <c r="E3521" s="96" t="s">
        <v>62</v>
      </c>
      <c r="F3521" s="29" t="s">
        <v>61</v>
      </c>
      <c r="G3521" s="29"/>
      <c r="H3521" s="103">
        <f>_xlfn.XLOOKUP(B3521,GM!$Q$5:$Q$756,GM!$J$5:$J$756)</f>
        <v>46104</v>
      </c>
    </row>
    <row r="3522" spans="1:8" hidden="1" x14ac:dyDescent="0.35">
      <c r="A3522" s="29" t="s">
        <v>19</v>
      </c>
      <c r="B3522" s="29" t="str">
        <f t="shared" si="54"/>
        <v>TAQ-13</v>
      </c>
      <c r="C3522" s="29" t="s">
        <v>10153</v>
      </c>
      <c r="D3522" s="67" t="s">
        <v>10154</v>
      </c>
      <c r="E3522" s="96" t="s">
        <v>62</v>
      </c>
      <c r="F3522" s="29" t="s">
        <v>61</v>
      </c>
      <c r="G3522" s="29"/>
      <c r="H3522" s="103">
        <f>_xlfn.XLOOKUP(B3522,GM!$Q$5:$Q$756,GM!$J$5:$J$756)</f>
        <v>46104</v>
      </c>
    </row>
    <row r="3523" spans="1:8" hidden="1" x14ac:dyDescent="0.35">
      <c r="A3523" s="29" t="s">
        <v>19</v>
      </c>
      <c r="B3523" s="29" t="str">
        <f t="shared" si="54"/>
        <v>TAQ-13</v>
      </c>
      <c r="C3523" s="29" t="s">
        <v>10155</v>
      </c>
      <c r="D3523" s="67" t="s">
        <v>10156</v>
      </c>
      <c r="E3523" s="96" t="s">
        <v>62</v>
      </c>
      <c r="F3523" s="29" t="s">
        <v>61</v>
      </c>
      <c r="G3523" s="29"/>
      <c r="H3523" s="103">
        <f>_xlfn.XLOOKUP(B3523,GM!$Q$5:$Q$756,GM!$J$5:$J$756)</f>
        <v>46104</v>
      </c>
    </row>
    <row r="3524" spans="1:8" hidden="1" x14ac:dyDescent="0.35">
      <c r="A3524" s="29" t="s">
        <v>19</v>
      </c>
      <c r="B3524" s="29" t="str">
        <f t="shared" si="54"/>
        <v>TAQ-13</v>
      </c>
      <c r="C3524" s="29" t="s">
        <v>10157</v>
      </c>
      <c r="D3524" s="67" t="s">
        <v>10158</v>
      </c>
      <c r="E3524" s="96" t="s">
        <v>62</v>
      </c>
      <c r="F3524" s="29" t="s">
        <v>61</v>
      </c>
      <c r="G3524" s="29"/>
      <c r="H3524" s="103">
        <f>_xlfn.XLOOKUP(B3524,GM!$Q$5:$Q$756,GM!$J$5:$J$756)</f>
        <v>46104</v>
      </c>
    </row>
    <row r="3525" spans="1:8" hidden="1" x14ac:dyDescent="0.35">
      <c r="A3525" s="29" t="s">
        <v>19</v>
      </c>
      <c r="B3525" s="29" t="str">
        <f t="shared" ref="B3525:B3588" si="55">IF(OR(A3525="ARN",A3525="SDP"),MID(C3525,4,7),MID(C3525,4,6))</f>
        <v>TAQ-13</v>
      </c>
      <c r="C3525" s="29" t="s">
        <v>10159</v>
      </c>
      <c r="D3525" s="67" t="s">
        <v>10160</v>
      </c>
      <c r="E3525" s="96" t="s">
        <v>62</v>
      </c>
      <c r="F3525" s="29" t="s">
        <v>61</v>
      </c>
      <c r="G3525" s="29"/>
      <c r="H3525" s="103">
        <f>_xlfn.XLOOKUP(B3525,GM!$Q$5:$Q$756,GM!$J$5:$J$756)</f>
        <v>46104</v>
      </c>
    </row>
    <row r="3526" spans="1:8" hidden="1" x14ac:dyDescent="0.35">
      <c r="A3526" s="29" t="s">
        <v>19</v>
      </c>
      <c r="B3526" s="29" t="str">
        <f t="shared" si="55"/>
        <v>TAQ-13</v>
      </c>
      <c r="C3526" s="29" t="s">
        <v>10161</v>
      </c>
      <c r="D3526" s="67" t="s">
        <v>10162</v>
      </c>
      <c r="E3526" s="96" t="s">
        <v>62</v>
      </c>
      <c r="F3526" s="29" t="s">
        <v>61</v>
      </c>
      <c r="G3526" s="29"/>
      <c r="H3526" s="103">
        <f>_xlfn.XLOOKUP(B3526,GM!$Q$5:$Q$756,GM!$J$5:$J$756)</f>
        <v>46104</v>
      </c>
    </row>
    <row r="3527" spans="1:8" hidden="1" x14ac:dyDescent="0.35">
      <c r="A3527" s="29" t="s">
        <v>19</v>
      </c>
      <c r="B3527" s="29" t="str">
        <f t="shared" si="55"/>
        <v>TAQ-14</v>
      </c>
      <c r="C3527" s="29" t="s">
        <v>10163</v>
      </c>
      <c r="D3527" s="67" t="s">
        <v>10164</v>
      </c>
      <c r="E3527" s="96" t="s">
        <v>62</v>
      </c>
      <c r="F3527" s="29" t="s">
        <v>61</v>
      </c>
      <c r="G3527" s="29"/>
      <c r="H3527" s="103">
        <f>_xlfn.XLOOKUP(B3527,GM!$Q$5:$Q$756,GM!$J$5:$J$756)</f>
        <v>45202</v>
      </c>
    </row>
    <row r="3528" spans="1:8" hidden="1" x14ac:dyDescent="0.35">
      <c r="A3528" s="29" t="s">
        <v>19</v>
      </c>
      <c r="B3528" s="29" t="str">
        <f t="shared" si="55"/>
        <v>TAQ-15</v>
      </c>
      <c r="C3528" s="29" t="s">
        <v>10165</v>
      </c>
      <c r="D3528" s="67" t="s">
        <v>10166</v>
      </c>
      <c r="E3528" s="96" t="s">
        <v>62</v>
      </c>
      <c r="F3528" s="29" t="s">
        <v>61</v>
      </c>
      <c r="G3528" s="29"/>
      <c r="H3528" s="103">
        <f>_xlfn.XLOOKUP(B3528,GM!$Q$5:$Q$756,GM!$J$5:$J$756)</f>
        <v>46104</v>
      </c>
    </row>
    <row r="3529" spans="1:8" hidden="1" x14ac:dyDescent="0.35">
      <c r="A3529" s="29" t="s">
        <v>19</v>
      </c>
      <c r="B3529" s="29" t="str">
        <f t="shared" si="55"/>
        <v>TAQ-15</v>
      </c>
      <c r="C3529" s="29" t="s">
        <v>10167</v>
      </c>
      <c r="D3529" s="67" t="s">
        <v>10168</v>
      </c>
      <c r="E3529" s="96" t="s">
        <v>62</v>
      </c>
      <c r="F3529" s="29" t="s">
        <v>61</v>
      </c>
      <c r="G3529" s="29"/>
      <c r="H3529" s="103">
        <f>_xlfn.XLOOKUP(B3529,GM!$Q$5:$Q$756,GM!$J$5:$J$756)</f>
        <v>46104</v>
      </c>
    </row>
    <row r="3530" spans="1:8" hidden="1" x14ac:dyDescent="0.35">
      <c r="A3530" s="29" t="s">
        <v>19</v>
      </c>
      <c r="B3530" s="29" t="str">
        <f t="shared" si="55"/>
        <v>TAQ-15</v>
      </c>
      <c r="C3530" s="29" t="s">
        <v>10169</v>
      </c>
      <c r="D3530" s="67" t="s">
        <v>10170</v>
      </c>
      <c r="E3530" s="96" t="s">
        <v>62</v>
      </c>
      <c r="F3530" s="29" t="s">
        <v>61</v>
      </c>
      <c r="G3530" s="29"/>
      <c r="H3530" s="103">
        <f>_xlfn.XLOOKUP(B3530,GM!$Q$5:$Q$756,GM!$J$5:$J$756)</f>
        <v>46104</v>
      </c>
    </row>
    <row r="3531" spans="1:8" hidden="1" x14ac:dyDescent="0.35">
      <c r="A3531" s="29" t="s">
        <v>19</v>
      </c>
      <c r="B3531" s="29" t="str">
        <f t="shared" si="55"/>
        <v>TAQ-15</v>
      </c>
      <c r="C3531" s="29" t="s">
        <v>10171</v>
      </c>
      <c r="D3531" s="67" t="s">
        <v>10172</v>
      </c>
      <c r="E3531" s="96" t="s">
        <v>62</v>
      </c>
      <c r="F3531" s="29" t="s">
        <v>61</v>
      </c>
      <c r="G3531" s="29"/>
      <c r="H3531" s="103">
        <f>_xlfn.XLOOKUP(B3531,GM!$Q$5:$Q$756,GM!$J$5:$J$756)</f>
        <v>46104</v>
      </c>
    </row>
    <row r="3532" spans="1:8" hidden="1" x14ac:dyDescent="0.35">
      <c r="A3532" s="29" t="s">
        <v>19</v>
      </c>
      <c r="B3532" s="29" t="str">
        <f t="shared" si="55"/>
        <v>TAQ-15</v>
      </c>
      <c r="C3532" s="29" t="s">
        <v>10173</v>
      </c>
      <c r="D3532" s="67" t="s">
        <v>10174</v>
      </c>
      <c r="E3532" s="96" t="s">
        <v>62</v>
      </c>
      <c r="F3532" s="29" t="s">
        <v>61</v>
      </c>
      <c r="G3532" s="29"/>
      <c r="H3532" s="103">
        <f>_xlfn.XLOOKUP(B3532,GM!$Q$5:$Q$756,GM!$J$5:$J$756)</f>
        <v>46104</v>
      </c>
    </row>
    <row r="3533" spans="1:8" hidden="1" x14ac:dyDescent="0.35">
      <c r="A3533" s="29" t="s">
        <v>19</v>
      </c>
      <c r="B3533" s="29" t="str">
        <f t="shared" si="55"/>
        <v>TAQ-15</v>
      </c>
      <c r="C3533" s="29" t="s">
        <v>10175</v>
      </c>
      <c r="D3533" s="67" t="s">
        <v>10176</v>
      </c>
      <c r="E3533" s="96" t="s">
        <v>62</v>
      </c>
      <c r="F3533" s="29" t="s">
        <v>61</v>
      </c>
      <c r="G3533" s="29"/>
      <c r="H3533" s="103">
        <f>_xlfn.XLOOKUP(B3533,GM!$Q$5:$Q$756,GM!$J$5:$J$756)</f>
        <v>46104</v>
      </c>
    </row>
    <row r="3534" spans="1:8" hidden="1" x14ac:dyDescent="0.35">
      <c r="A3534" s="29" t="s">
        <v>19</v>
      </c>
      <c r="B3534" s="29" t="str">
        <f t="shared" si="55"/>
        <v>TAQ-15</v>
      </c>
      <c r="C3534" s="29" t="s">
        <v>10177</v>
      </c>
      <c r="D3534" s="67" t="s">
        <v>10178</v>
      </c>
      <c r="E3534" s="96" t="s">
        <v>62</v>
      </c>
      <c r="F3534" s="29" t="s">
        <v>61</v>
      </c>
      <c r="G3534" s="29"/>
      <c r="H3534" s="103">
        <f>_xlfn.XLOOKUP(B3534,GM!$Q$5:$Q$756,GM!$J$5:$J$756)</f>
        <v>46104</v>
      </c>
    </row>
    <row r="3535" spans="1:8" hidden="1" x14ac:dyDescent="0.35">
      <c r="A3535" s="29" t="s">
        <v>19</v>
      </c>
      <c r="B3535" s="29" t="str">
        <f t="shared" si="55"/>
        <v>TAQ-15</v>
      </c>
      <c r="C3535" s="29" t="s">
        <v>10179</v>
      </c>
      <c r="D3535" s="67" t="s">
        <v>10180</v>
      </c>
      <c r="E3535" s="96" t="s">
        <v>62</v>
      </c>
      <c r="F3535" s="29" t="s">
        <v>61</v>
      </c>
      <c r="G3535" s="29"/>
      <c r="H3535" s="103">
        <f>_xlfn.XLOOKUP(B3535,GM!$Q$5:$Q$756,GM!$J$5:$J$756)</f>
        <v>46104</v>
      </c>
    </row>
    <row r="3536" spans="1:8" hidden="1" x14ac:dyDescent="0.35">
      <c r="A3536" s="29" t="s">
        <v>19</v>
      </c>
      <c r="B3536" s="29" t="str">
        <f t="shared" si="55"/>
        <v>TAQ-15</v>
      </c>
      <c r="C3536" s="29" t="s">
        <v>10181</v>
      </c>
      <c r="D3536" s="67" t="s">
        <v>10182</v>
      </c>
      <c r="E3536" s="96" t="s">
        <v>62</v>
      </c>
      <c r="F3536" s="29" t="s">
        <v>61</v>
      </c>
      <c r="G3536" s="29"/>
      <c r="H3536" s="103">
        <f>_xlfn.XLOOKUP(B3536,GM!$Q$5:$Q$756,GM!$J$5:$J$756)</f>
        <v>46104</v>
      </c>
    </row>
    <row r="3537" spans="1:8" hidden="1" x14ac:dyDescent="0.35">
      <c r="A3537" s="29" t="s">
        <v>19</v>
      </c>
      <c r="B3537" s="29" t="str">
        <f t="shared" si="55"/>
        <v>TAQ-15</v>
      </c>
      <c r="C3537" s="29" t="s">
        <v>10183</v>
      </c>
      <c r="D3537" s="67" t="s">
        <v>10184</v>
      </c>
      <c r="E3537" s="96" t="s">
        <v>62</v>
      </c>
      <c r="F3537" s="29" t="s">
        <v>61</v>
      </c>
      <c r="G3537" s="29"/>
      <c r="H3537" s="103">
        <f>_xlfn.XLOOKUP(B3537,GM!$Q$5:$Q$756,GM!$J$5:$J$756)</f>
        <v>46104</v>
      </c>
    </row>
    <row r="3538" spans="1:8" hidden="1" x14ac:dyDescent="0.35">
      <c r="A3538" s="29" t="s">
        <v>19</v>
      </c>
      <c r="B3538" s="29" t="str">
        <f t="shared" si="55"/>
        <v>TAQ-15</v>
      </c>
      <c r="C3538" s="29" t="s">
        <v>10185</v>
      </c>
      <c r="D3538" s="67" t="s">
        <v>10186</v>
      </c>
      <c r="E3538" s="96" t="s">
        <v>62</v>
      </c>
      <c r="F3538" s="29" t="s">
        <v>61</v>
      </c>
      <c r="G3538" s="29"/>
      <c r="H3538" s="103">
        <f>_xlfn.XLOOKUP(B3538,GM!$Q$5:$Q$756,GM!$J$5:$J$756)</f>
        <v>46104</v>
      </c>
    </row>
    <row r="3539" spans="1:8" hidden="1" x14ac:dyDescent="0.35">
      <c r="A3539" s="29" t="s">
        <v>19</v>
      </c>
      <c r="B3539" s="29" t="str">
        <f t="shared" si="55"/>
        <v>TAQ-15</v>
      </c>
      <c r="C3539" s="29" t="s">
        <v>10187</v>
      </c>
      <c r="D3539" s="67" t="s">
        <v>10188</v>
      </c>
      <c r="E3539" s="96" t="s">
        <v>62</v>
      </c>
      <c r="F3539" s="29" t="s">
        <v>61</v>
      </c>
      <c r="G3539" s="29"/>
      <c r="H3539" s="103">
        <f>_xlfn.XLOOKUP(B3539,GM!$Q$5:$Q$756,GM!$J$5:$J$756)</f>
        <v>46104</v>
      </c>
    </row>
    <row r="3540" spans="1:8" hidden="1" x14ac:dyDescent="0.35">
      <c r="A3540" s="29" t="s">
        <v>19</v>
      </c>
      <c r="B3540" s="29" t="str">
        <f t="shared" si="55"/>
        <v>TAQ-15</v>
      </c>
      <c r="C3540" s="29" t="s">
        <v>10189</v>
      </c>
      <c r="D3540" s="67" t="s">
        <v>10190</v>
      </c>
      <c r="E3540" s="96" t="s">
        <v>62</v>
      </c>
      <c r="F3540" s="29" t="s">
        <v>61</v>
      </c>
      <c r="G3540" s="29"/>
      <c r="H3540" s="103">
        <f>_xlfn.XLOOKUP(B3540,GM!$Q$5:$Q$756,GM!$J$5:$J$756)</f>
        <v>46104</v>
      </c>
    </row>
    <row r="3541" spans="1:8" hidden="1" x14ac:dyDescent="0.35">
      <c r="A3541" s="29" t="s">
        <v>19</v>
      </c>
      <c r="B3541" s="29" t="str">
        <f t="shared" si="55"/>
        <v>TAQ-15</v>
      </c>
      <c r="C3541" s="29" t="s">
        <v>10191</v>
      </c>
      <c r="D3541" s="67" t="s">
        <v>10192</v>
      </c>
      <c r="E3541" s="96" t="s">
        <v>62</v>
      </c>
      <c r="F3541" s="29" t="s">
        <v>61</v>
      </c>
      <c r="G3541" s="29"/>
      <c r="H3541" s="103">
        <f>_xlfn.XLOOKUP(B3541,GM!$Q$5:$Q$756,GM!$J$5:$J$756)</f>
        <v>46104</v>
      </c>
    </row>
    <row r="3542" spans="1:8" hidden="1" x14ac:dyDescent="0.35">
      <c r="A3542" s="29" t="s">
        <v>19</v>
      </c>
      <c r="B3542" s="29" t="str">
        <f t="shared" si="55"/>
        <v>TAQ-15</v>
      </c>
      <c r="C3542" s="29" t="s">
        <v>10193</v>
      </c>
      <c r="D3542" s="67" t="s">
        <v>10194</v>
      </c>
      <c r="E3542" s="96" t="s">
        <v>62</v>
      </c>
      <c r="F3542" s="29" t="s">
        <v>61</v>
      </c>
      <c r="G3542" s="29"/>
      <c r="H3542" s="103">
        <f>_xlfn.XLOOKUP(B3542,GM!$Q$5:$Q$756,GM!$J$5:$J$756)</f>
        <v>46104</v>
      </c>
    </row>
    <row r="3543" spans="1:8" hidden="1" x14ac:dyDescent="0.35">
      <c r="A3543" s="29" t="s">
        <v>19</v>
      </c>
      <c r="B3543" s="29" t="str">
        <f t="shared" si="55"/>
        <v>TAQ-15</v>
      </c>
      <c r="C3543" s="29" t="s">
        <v>10195</v>
      </c>
      <c r="D3543" s="67" t="s">
        <v>10196</v>
      </c>
      <c r="E3543" s="96" t="s">
        <v>62</v>
      </c>
      <c r="F3543" s="29" t="s">
        <v>61</v>
      </c>
      <c r="G3543" s="29"/>
      <c r="H3543" s="103">
        <f>_xlfn.XLOOKUP(B3543,GM!$Q$5:$Q$756,GM!$J$5:$J$756)</f>
        <v>46104</v>
      </c>
    </row>
    <row r="3544" spans="1:8" hidden="1" x14ac:dyDescent="0.35">
      <c r="A3544" s="29" t="s">
        <v>19</v>
      </c>
      <c r="B3544" s="29" t="str">
        <f t="shared" si="55"/>
        <v>TAQ-15</v>
      </c>
      <c r="C3544" s="29" t="s">
        <v>10197</v>
      </c>
      <c r="D3544" s="67" t="s">
        <v>10198</v>
      </c>
      <c r="E3544" s="96" t="s">
        <v>62</v>
      </c>
      <c r="F3544" s="29" t="s">
        <v>61</v>
      </c>
      <c r="G3544" s="29"/>
      <c r="H3544" s="103">
        <f>_xlfn.XLOOKUP(B3544,GM!$Q$5:$Q$756,GM!$J$5:$J$756)</f>
        <v>46104</v>
      </c>
    </row>
    <row r="3545" spans="1:8" hidden="1" x14ac:dyDescent="0.35">
      <c r="A3545" s="29" t="s">
        <v>19</v>
      </c>
      <c r="B3545" s="29" t="str">
        <f t="shared" si="55"/>
        <v>TAQ-15</v>
      </c>
      <c r="C3545" s="29" t="s">
        <v>10199</v>
      </c>
      <c r="D3545" s="67" t="s">
        <v>10200</v>
      </c>
      <c r="E3545" s="96" t="s">
        <v>62</v>
      </c>
      <c r="F3545" s="29" t="s">
        <v>61</v>
      </c>
      <c r="G3545" s="29"/>
      <c r="H3545" s="103">
        <f>_xlfn.XLOOKUP(B3545,GM!$Q$5:$Q$756,GM!$J$5:$J$756)</f>
        <v>46104</v>
      </c>
    </row>
    <row r="3546" spans="1:8" hidden="1" x14ac:dyDescent="0.35">
      <c r="A3546" s="29" t="s">
        <v>19</v>
      </c>
      <c r="B3546" s="29" t="str">
        <f t="shared" si="55"/>
        <v>TAQ-15</v>
      </c>
      <c r="C3546" s="29" t="s">
        <v>10201</v>
      </c>
      <c r="D3546" s="67" t="s">
        <v>10202</v>
      </c>
      <c r="E3546" s="96" t="s">
        <v>62</v>
      </c>
      <c r="F3546" s="29" t="s">
        <v>61</v>
      </c>
      <c r="G3546" s="29"/>
      <c r="H3546" s="103">
        <f>_xlfn.XLOOKUP(B3546,GM!$Q$5:$Q$756,GM!$J$5:$J$756)</f>
        <v>46104</v>
      </c>
    </row>
    <row r="3547" spans="1:8" hidden="1" x14ac:dyDescent="0.35">
      <c r="A3547" s="29" t="s">
        <v>19</v>
      </c>
      <c r="B3547" s="29" t="str">
        <f t="shared" si="55"/>
        <v>TAQ-15</v>
      </c>
      <c r="C3547" s="29" t="s">
        <v>10203</v>
      </c>
      <c r="D3547" s="67" t="s">
        <v>10204</v>
      </c>
      <c r="E3547" s="96" t="s">
        <v>62</v>
      </c>
      <c r="F3547" s="29" t="s">
        <v>61</v>
      </c>
      <c r="G3547" s="29"/>
      <c r="H3547" s="103">
        <f>_xlfn.XLOOKUP(B3547,GM!$Q$5:$Q$756,GM!$J$5:$J$756)</f>
        <v>46104</v>
      </c>
    </row>
    <row r="3548" spans="1:8" hidden="1" x14ac:dyDescent="0.35">
      <c r="A3548" s="29" t="s">
        <v>19</v>
      </c>
      <c r="B3548" s="29" t="str">
        <f t="shared" si="55"/>
        <v>TAQ-15</v>
      </c>
      <c r="C3548" s="29" t="s">
        <v>10205</v>
      </c>
      <c r="D3548" s="67" t="s">
        <v>10206</v>
      </c>
      <c r="E3548" s="96" t="s">
        <v>62</v>
      </c>
      <c r="F3548" s="29" t="s">
        <v>61</v>
      </c>
      <c r="G3548" s="29"/>
      <c r="H3548" s="103">
        <f>_xlfn.XLOOKUP(B3548,GM!$Q$5:$Q$756,GM!$J$5:$J$756)</f>
        <v>46104</v>
      </c>
    </row>
    <row r="3549" spans="1:8" hidden="1" x14ac:dyDescent="0.35">
      <c r="A3549" s="29" t="s">
        <v>19</v>
      </c>
      <c r="B3549" s="29" t="str">
        <f t="shared" si="55"/>
        <v>TAQ-15</v>
      </c>
      <c r="C3549" s="29" t="s">
        <v>10207</v>
      </c>
      <c r="D3549" s="67" t="s">
        <v>10208</v>
      </c>
      <c r="E3549" s="96" t="s">
        <v>62</v>
      </c>
      <c r="F3549" s="29" t="s">
        <v>61</v>
      </c>
      <c r="G3549" s="29"/>
      <c r="H3549" s="103">
        <f>_xlfn.XLOOKUP(B3549,GM!$Q$5:$Q$756,GM!$J$5:$J$756)</f>
        <v>46104</v>
      </c>
    </row>
    <row r="3550" spans="1:8" hidden="1" x14ac:dyDescent="0.35">
      <c r="A3550" s="29" t="s">
        <v>19</v>
      </c>
      <c r="B3550" s="29" t="str">
        <f t="shared" si="55"/>
        <v>TAQ-15</v>
      </c>
      <c r="C3550" s="29" t="s">
        <v>10209</v>
      </c>
      <c r="D3550" s="67" t="s">
        <v>10210</v>
      </c>
      <c r="E3550" s="96" t="s">
        <v>62</v>
      </c>
      <c r="F3550" s="29" t="s">
        <v>61</v>
      </c>
      <c r="G3550" s="29"/>
      <c r="H3550" s="103">
        <f>_xlfn.XLOOKUP(B3550,GM!$Q$5:$Q$756,GM!$J$5:$J$756)</f>
        <v>46104</v>
      </c>
    </row>
    <row r="3551" spans="1:8" hidden="1" x14ac:dyDescent="0.35">
      <c r="A3551" s="29" t="s">
        <v>19</v>
      </c>
      <c r="B3551" s="29" t="str">
        <f t="shared" si="55"/>
        <v>TAQ-15</v>
      </c>
      <c r="C3551" s="29" t="s">
        <v>10211</v>
      </c>
      <c r="D3551" s="67" t="s">
        <v>10212</v>
      </c>
      <c r="E3551" s="96" t="s">
        <v>62</v>
      </c>
      <c r="F3551" s="29" t="s">
        <v>61</v>
      </c>
      <c r="G3551" s="29"/>
      <c r="H3551" s="103">
        <f>_xlfn.XLOOKUP(B3551,GM!$Q$5:$Q$756,GM!$J$5:$J$756)</f>
        <v>46104</v>
      </c>
    </row>
    <row r="3552" spans="1:8" hidden="1" x14ac:dyDescent="0.35">
      <c r="A3552" s="29" t="s">
        <v>19</v>
      </c>
      <c r="B3552" s="29" t="str">
        <f t="shared" si="55"/>
        <v>TAQ-15</v>
      </c>
      <c r="C3552" s="29" t="s">
        <v>10213</v>
      </c>
      <c r="D3552" s="67" t="s">
        <v>10214</v>
      </c>
      <c r="E3552" s="96" t="s">
        <v>62</v>
      </c>
      <c r="F3552" s="29" t="s">
        <v>61</v>
      </c>
      <c r="G3552" s="29"/>
      <c r="H3552" s="103">
        <f>_xlfn.XLOOKUP(B3552,GM!$Q$5:$Q$756,GM!$J$5:$J$756)</f>
        <v>46104</v>
      </c>
    </row>
    <row r="3553" spans="1:8" hidden="1" x14ac:dyDescent="0.35">
      <c r="A3553" s="29" t="s">
        <v>19</v>
      </c>
      <c r="B3553" s="29" t="str">
        <f t="shared" si="55"/>
        <v>TAQ-17</v>
      </c>
      <c r="C3553" s="29" t="s">
        <v>10215</v>
      </c>
      <c r="D3553" s="67" t="s">
        <v>10216</v>
      </c>
      <c r="E3553" s="96" t="s">
        <v>62</v>
      </c>
      <c r="F3553" s="29" t="s">
        <v>61</v>
      </c>
      <c r="G3553" s="29"/>
      <c r="H3553" s="103">
        <f>_xlfn.XLOOKUP(B3553,GM!$Q$5:$Q$756,GM!$J$5:$J$756)</f>
        <v>45202</v>
      </c>
    </row>
    <row r="3554" spans="1:8" hidden="1" x14ac:dyDescent="0.35">
      <c r="A3554" s="29" t="s">
        <v>19</v>
      </c>
      <c r="B3554" s="29" t="str">
        <f t="shared" si="55"/>
        <v>TAQ-17</v>
      </c>
      <c r="C3554" s="29" t="s">
        <v>10217</v>
      </c>
      <c r="D3554" s="67" t="s">
        <v>10218</v>
      </c>
      <c r="E3554" s="96" t="s">
        <v>62</v>
      </c>
      <c r="F3554" s="29" t="s">
        <v>61</v>
      </c>
      <c r="G3554" s="29"/>
      <c r="H3554" s="103">
        <f>_xlfn.XLOOKUP(B3554,GM!$Q$5:$Q$756,GM!$J$5:$J$756)</f>
        <v>45202</v>
      </c>
    </row>
    <row r="3555" spans="1:8" hidden="1" x14ac:dyDescent="0.35">
      <c r="A3555" s="29" t="s">
        <v>19</v>
      </c>
      <c r="B3555" s="29" t="str">
        <f t="shared" si="55"/>
        <v>TAQ-17</v>
      </c>
      <c r="C3555" s="29" t="s">
        <v>10219</v>
      </c>
      <c r="D3555" s="67" t="s">
        <v>10220</v>
      </c>
      <c r="E3555" s="96" t="s">
        <v>62</v>
      </c>
      <c r="F3555" s="29" t="s">
        <v>61</v>
      </c>
      <c r="G3555" s="29"/>
      <c r="H3555" s="103">
        <f>_xlfn.XLOOKUP(B3555,GM!$Q$5:$Q$756,GM!$J$5:$J$756)</f>
        <v>45202</v>
      </c>
    </row>
    <row r="3556" spans="1:8" hidden="1" x14ac:dyDescent="0.35">
      <c r="A3556" s="29" t="s">
        <v>19</v>
      </c>
      <c r="B3556" s="29" t="str">
        <f t="shared" si="55"/>
        <v>TAQ-17</v>
      </c>
      <c r="C3556" s="29" t="s">
        <v>10221</v>
      </c>
      <c r="D3556" s="67" t="s">
        <v>10222</v>
      </c>
      <c r="E3556" s="96" t="s">
        <v>62</v>
      </c>
      <c r="F3556" s="29" t="s">
        <v>61</v>
      </c>
      <c r="G3556" s="29"/>
      <c r="H3556" s="103">
        <f>_xlfn.XLOOKUP(B3556,GM!$Q$5:$Q$756,GM!$J$5:$J$756)</f>
        <v>45202</v>
      </c>
    </row>
    <row r="3557" spans="1:8" hidden="1" x14ac:dyDescent="0.35">
      <c r="A3557" s="29" t="s">
        <v>19</v>
      </c>
      <c r="B3557" s="29" t="str">
        <f t="shared" si="55"/>
        <v>TAQ-17</v>
      </c>
      <c r="C3557" s="29" t="s">
        <v>10223</v>
      </c>
      <c r="D3557" s="67" t="s">
        <v>10224</v>
      </c>
      <c r="E3557" s="96" t="s">
        <v>62</v>
      </c>
      <c r="F3557" s="29" t="s">
        <v>61</v>
      </c>
      <c r="G3557" s="29"/>
      <c r="H3557" s="103">
        <f>_xlfn.XLOOKUP(B3557,GM!$Q$5:$Q$756,GM!$J$5:$J$756)</f>
        <v>45202</v>
      </c>
    </row>
    <row r="3558" spans="1:8" hidden="1" x14ac:dyDescent="0.35">
      <c r="A3558" s="29" t="s">
        <v>19</v>
      </c>
      <c r="B3558" s="29" t="str">
        <f t="shared" si="55"/>
        <v>TAQ-17</v>
      </c>
      <c r="C3558" s="29" t="s">
        <v>10225</v>
      </c>
      <c r="D3558" s="67" t="s">
        <v>10226</v>
      </c>
      <c r="E3558" s="96" t="s">
        <v>62</v>
      </c>
      <c r="F3558" s="29" t="s">
        <v>61</v>
      </c>
      <c r="G3558" s="29"/>
      <c r="H3558" s="103">
        <f>_xlfn.XLOOKUP(B3558,GM!$Q$5:$Q$756,GM!$J$5:$J$756)</f>
        <v>45202</v>
      </c>
    </row>
    <row r="3559" spans="1:8" hidden="1" x14ac:dyDescent="0.35">
      <c r="A3559" s="29" t="s">
        <v>19</v>
      </c>
      <c r="B3559" s="29" t="str">
        <f t="shared" si="55"/>
        <v>TAQ-18</v>
      </c>
      <c r="C3559" s="29" t="s">
        <v>10227</v>
      </c>
      <c r="D3559" s="67" t="s">
        <v>10228</v>
      </c>
      <c r="E3559" s="96" t="s">
        <v>62</v>
      </c>
      <c r="F3559" s="29" t="s">
        <v>61</v>
      </c>
      <c r="G3559" s="29"/>
      <c r="H3559" s="103">
        <f>_xlfn.XLOOKUP(B3559,GM!$Q$5:$Q$756,GM!$J$5:$J$756)</f>
        <v>45645</v>
      </c>
    </row>
    <row r="3560" spans="1:8" hidden="1" x14ac:dyDescent="0.35">
      <c r="A3560" s="29" t="s">
        <v>19</v>
      </c>
      <c r="B3560" s="29" t="str">
        <f t="shared" si="55"/>
        <v>TAQ-18</v>
      </c>
      <c r="C3560" s="29" t="s">
        <v>10229</v>
      </c>
      <c r="D3560" s="67" t="s">
        <v>10230</v>
      </c>
      <c r="E3560" s="96" t="s">
        <v>62</v>
      </c>
      <c r="F3560" s="29" t="s">
        <v>61</v>
      </c>
      <c r="G3560" s="29"/>
      <c r="H3560" s="103">
        <f>_xlfn.XLOOKUP(B3560,GM!$Q$5:$Q$756,GM!$J$5:$J$756)</f>
        <v>45645</v>
      </c>
    </row>
    <row r="3561" spans="1:8" hidden="1" x14ac:dyDescent="0.35">
      <c r="A3561" s="29" t="s">
        <v>19</v>
      </c>
      <c r="B3561" s="29" t="str">
        <f t="shared" si="55"/>
        <v>TAQ-18</v>
      </c>
      <c r="C3561" s="29" t="s">
        <v>10231</v>
      </c>
      <c r="D3561" s="67" t="s">
        <v>10232</v>
      </c>
      <c r="E3561" s="96" t="s">
        <v>62</v>
      </c>
      <c r="F3561" s="29" t="s">
        <v>61</v>
      </c>
      <c r="G3561" s="29"/>
      <c r="H3561" s="103">
        <f>_xlfn.XLOOKUP(B3561,GM!$Q$5:$Q$756,GM!$J$5:$J$756)</f>
        <v>45645</v>
      </c>
    </row>
    <row r="3562" spans="1:8" hidden="1" x14ac:dyDescent="0.35">
      <c r="A3562" s="29" t="s">
        <v>19</v>
      </c>
      <c r="B3562" s="29" t="str">
        <f t="shared" si="55"/>
        <v>TAQ-18</v>
      </c>
      <c r="C3562" s="29" t="s">
        <v>10233</v>
      </c>
      <c r="D3562" s="67" t="s">
        <v>10234</v>
      </c>
      <c r="E3562" s="96" t="s">
        <v>62</v>
      </c>
      <c r="F3562" s="29" t="s">
        <v>61</v>
      </c>
      <c r="G3562" s="29"/>
      <c r="H3562" s="103">
        <f>_xlfn.XLOOKUP(B3562,GM!$Q$5:$Q$756,GM!$J$5:$J$756)</f>
        <v>45645</v>
      </c>
    </row>
    <row r="3563" spans="1:8" hidden="1" x14ac:dyDescent="0.35">
      <c r="A3563" s="29" t="s">
        <v>19</v>
      </c>
      <c r="B3563" s="29" t="str">
        <f t="shared" si="55"/>
        <v>TAQ-18</v>
      </c>
      <c r="C3563" s="29" t="s">
        <v>10235</v>
      </c>
      <c r="D3563" s="67" t="s">
        <v>10236</v>
      </c>
      <c r="E3563" s="96" t="s">
        <v>62</v>
      </c>
      <c r="F3563" s="29" t="s">
        <v>61</v>
      </c>
      <c r="G3563" s="29"/>
      <c r="H3563" s="103">
        <f>_xlfn.XLOOKUP(B3563,GM!$Q$5:$Q$756,GM!$J$5:$J$756)</f>
        <v>45645</v>
      </c>
    </row>
    <row r="3564" spans="1:8" hidden="1" x14ac:dyDescent="0.35">
      <c r="A3564" s="29" t="s">
        <v>19</v>
      </c>
      <c r="B3564" s="29" t="str">
        <f t="shared" si="55"/>
        <v>TAQ-18</v>
      </c>
      <c r="C3564" s="29" t="s">
        <v>10237</v>
      </c>
      <c r="D3564" s="67" t="s">
        <v>10238</v>
      </c>
      <c r="E3564" s="96" t="s">
        <v>62</v>
      </c>
      <c r="F3564" s="29" t="s">
        <v>61</v>
      </c>
      <c r="G3564" s="29"/>
      <c r="H3564" s="103">
        <f>_xlfn.XLOOKUP(B3564,GM!$Q$5:$Q$756,GM!$J$5:$J$756)</f>
        <v>45645</v>
      </c>
    </row>
    <row r="3565" spans="1:8" hidden="1" x14ac:dyDescent="0.35">
      <c r="A3565" s="29" t="s">
        <v>19</v>
      </c>
      <c r="B3565" s="29" t="str">
        <f t="shared" si="55"/>
        <v>TAQ-18</v>
      </c>
      <c r="C3565" s="29" t="s">
        <v>10239</v>
      </c>
      <c r="D3565" s="67" t="s">
        <v>10240</v>
      </c>
      <c r="E3565" s="96" t="s">
        <v>62</v>
      </c>
      <c r="F3565" s="29" t="s">
        <v>61</v>
      </c>
      <c r="G3565" s="29"/>
      <c r="H3565" s="103">
        <f>_xlfn.XLOOKUP(B3565,GM!$Q$5:$Q$756,GM!$J$5:$J$756)</f>
        <v>45645</v>
      </c>
    </row>
    <row r="3566" spans="1:8" hidden="1" x14ac:dyDescent="0.35">
      <c r="A3566" s="29" t="s">
        <v>19</v>
      </c>
      <c r="B3566" s="29" t="str">
        <f t="shared" si="55"/>
        <v>TAQ-18</v>
      </c>
      <c r="C3566" s="29" t="s">
        <v>10241</v>
      </c>
      <c r="D3566" s="67" t="s">
        <v>10242</v>
      </c>
      <c r="E3566" s="96" t="s">
        <v>62</v>
      </c>
      <c r="F3566" s="29" t="s">
        <v>61</v>
      </c>
      <c r="G3566" s="29"/>
      <c r="H3566" s="103">
        <f>_xlfn.XLOOKUP(B3566,GM!$Q$5:$Q$756,GM!$J$5:$J$756)</f>
        <v>45645</v>
      </c>
    </row>
    <row r="3567" spans="1:8" hidden="1" x14ac:dyDescent="0.35">
      <c r="A3567" s="29" t="s">
        <v>19</v>
      </c>
      <c r="B3567" s="29" t="str">
        <f t="shared" si="55"/>
        <v>TAQ-19</v>
      </c>
      <c r="C3567" s="29" t="s">
        <v>10243</v>
      </c>
      <c r="D3567" s="67" t="s">
        <v>10244</v>
      </c>
      <c r="E3567" s="96" t="s">
        <v>62</v>
      </c>
      <c r="F3567" s="29" t="s">
        <v>61</v>
      </c>
      <c r="G3567" s="29"/>
      <c r="H3567" s="103">
        <f>_xlfn.XLOOKUP(B3567,GM!$Q$5:$Q$756,GM!$J$5:$J$756)</f>
        <v>46104</v>
      </c>
    </row>
    <row r="3568" spans="1:8" hidden="1" x14ac:dyDescent="0.35">
      <c r="A3568" s="29" t="s">
        <v>19</v>
      </c>
      <c r="B3568" s="29" t="str">
        <f t="shared" si="55"/>
        <v>TAQ-19</v>
      </c>
      <c r="C3568" s="29" t="s">
        <v>10245</v>
      </c>
      <c r="D3568" s="67" t="s">
        <v>10246</v>
      </c>
      <c r="E3568" s="96" t="s">
        <v>62</v>
      </c>
      <c r="F3568" s="29" t="s">
        <v>61</v>
      </c>
      <c r="G3568" s="29"/>
      <c r="H3568" s="103">
        <f>_xlfn.XLOOKUP(B3568,GM!$Q$5:$Q$756,GM!$J$5:$J$756)</f>
        <v>46104</v>
      </c>
    </row>
    <row r="3569" spans="1:8" hidden="1" x14ac:dyDescent="0.35">
      <c r="A3569" s="29" t="s">
        <v>19</v>
      </c>
      <c r="B3569" s="29" t="str">
        <f t="shared" si="55"/>
        <v>TAQ-19</v>
      </c>
      <c r="C3569" s="29" t="s">
        <v>10247</v>
      </c>
      <c r="D3569" s="67" t="s">
        <v>10248</v>
      </c>
      <c r="E3569" s="96" t="s">
        <v>62</v>
      </c>
      <c r="F3569" s="29" t="s">
        <v>61</v>
      </c>
      <c r="G3569" s="29"/>
      <c r="H3569" s="103">
        <f>_xlfn.XLOOKUP(B3569,GM!$Q$5:$Q$756,GM!$J$5:$J$756)</f>
        <v>46104</v>
      </c>
    </row>
    <row r="3570" spans="1:8" hidden="1" x14ac:dyDescent="0.35">
      <c r="A3570" s="29" t="s">
        <v>19</v>
      </c>
      <c r="B3570" s="29" t="str">
        <f t="shared" si="55"/>
        <v>TAQ-19</v>
      </c>
      <c r="C3570" s="29" t="s">
        <v>10249</v>
      </c>
      <c r="D3570" s="67" t="s">
        <v>10250</v>
      </c>
      <c r="E3570" s="96" t="s">
        <v>62</v>
      </c>
      <c r="F3570" s="29" t="s">
        <v>61</v>
      </c>
      <c r="G3570" s="29"/>
      <c r="H3570" s="103">
        <f>_xlfn.XLOOKUP(B3570,GM!$Q$5:$Q$756,GM!$J$5:$J$756)</f>
        <v>46104</v>
      </c>
    </row>
    <row r="3571" spans="1:8" hidden="1" x14ac:dyDescent="0.35">
      <c r="A3571" s="29" t="s">
        <v>19</v>
      </c>
      <c r="B3571" s="29" t="str">
        <f t="shared" si="55"/>
        <v>TAQ-20</v>
      </c>
      <c r="C3571" s="29" t="s">
        <v>10251</v>
      </c>
      <c r="D3571" s="67" t="s">
        <v>10252</v>
      </c>
      <c r="E3571" s="96" t="s">
        <v>62</v>
      </c>
      <c r="F3571" s="29" t="s">
        <v>61</v>
      </c>
      <c r="G3571" s="29"/>
      <c r="H3571" s="103">
        <f>_xlfn.XLOOKUP(B3571,GM!$Q$5:$Q$756,GM!$J$5:$J$756)</f>
        <v>44889</v>
      </c>
    </row>
    <row r="3572" spans="1:8" hidden="1" x14ac:dyDescent="0.35">
      <c r="A3572" s="29" t="s">
        <v>19</v>
      </c>
      <c r="B3572" s="29" t="str">
        <f t="shared" si="55"/>
        <v>TAQ-20</v>
      </c>
      <c r="C3572" s="29" t="s">
        <v>10253</v>
      </c>
      <c r="D3572" s="67" t="s">
        <v>10254</v>
      </c>
      <c r="E3572" s="96" t="s">
        <v>62</v>
      </c>
      <c r="F3572" s="29" t="s">
        <v>61</v>
      </c>
      <c r="G3572" s="29"/>
      <c r="H3572" s="103">
        <f>_xlfn.XLOOKUP(B3572,GM!$Q$5:$Q$756,GM!$J$5:$J$756)</f>
        <v>44889</v>
      </c>
    </row>
    <row r="3573" spans="1:8" hidden="1" x14ac:dyDescent="0.35">
      <c r="A3573" s="29" t="s">
        <v>19</v>
      </c>
      <c r="B3573" s="29" t="str">
        <f t="shared" si="55"/>
        <v>TAQ-20</v>
      </c>
      <c r="C3573" s="29" t="s">
        <v>10255</v>
      </c>
      <c r="D3573" s="67" t="s">
        <v>10256</v>
      </c>
      <c r="E3573" s="96" t="s">
        <v>62</v>
      </c>
      <c r="F3573" s="29" t="s">
        <v>61</v>
      </c>
      <c r="G3573" s="29"/>
      <c r="H3573" s="103">
        <f>_xlfn.XLOOKUP(B3573,GM!$Q$5:$Q$756,GM!$J$5:$J$756)</f>
        <v>44889</v>
      </c>
    </row>
    <row r="3574" spans="1:8" hidden="1" x14ac:dyDescent="0.35">
      <c r="A3574" s="29" t="s">
        <v>19</v>
      </c>
      <c r="B3574" s="29" t="str">
        <f t="shared" si="55"/>
        <v>TAQ-20</v>
      </c>
      <c r="C3574" s="29" t="s">
        <v>10257</v>
      </c>
      <c r="D3574" s="67" t="s">
        <v>10258</v>
      </c>
      <c r="E3574" s="96" t="s">
        <v>62</v>
      </c>
      <c r="F3574" s="29" t="s">
        <v>61</v>
      </c>
      <c r="G3574" s="29"/>
      <c r="H3574" s="103">
        <f>_xlfn.XLOOKUP(B3574,GM!$Q$5:$Q$756,GM!$J$5:$J$756)</f>
        <v>44889</v>
      </c>
    </row>
    <row r="3575" spans="1:8" hidden="1" x14ac:dyDescent="0.35">
      <c r="A3575" s="29" t="s">
        <v>19</v>
      </c>
      <c r="B3575" s="29" t="str">
        <f t="shared" si="55"/>
        <v>TAQ-20</v>
      </c>
      <c r="C3575" s="29" t="s">
        <v>10259</v>
      </c>
      <c r="D3575" s="67" t="s">
        <v>10260</v>
      </c>
      <c r="E3575" s="96" t="s">
        <v>62</v>
      </c>
      <c r="F3575" s="29" t="s">
        <v>61</v>
      </c>
      <c r="G3575" s="29"/>
      <c r="H3575" s="103">
        <f>_xlfn.XLOOKUP(B3575,GM!$Q$5:$Q$756,GM!$J$5:$J$756)</f>
        <v>44889</v>
      </c>
    </row>
    <row r="3576" spans="1:8" hidden="1" x14ac:dyDescent="0.35">
      <c r="A3576" s="29" t="s">
        <v>19</v>
      </c>
      <c r="B3576" s="29" t="str">
        <f t="shared" si="55"/>
        <v>TAQ-20</v>
      </c>
      <c r="C3576" s="29" t="s">
        <v>10261</v>
      </c>
      <c r="D3576" s="67" t="s">
        <v>10262</v>
      </c>
      <c r="E3576" s="96" t="s">
        <v>62</v>
      </c>
      <c r="F3576" s="29" t="s">
        <v>61</v>
      </c>
      <c r="G3576" s="29"/>
      <c r="H3576" s="103">
        <f>_xlfn.XLOOKUP(B3576,GM!$Q$5:$Q$756,GM!$J$5:$J$756)</f>
        <v>44889</v>
      </c>
    </row>
    <row r="3577" spans="1:8" hidden="1" x14ac:dyDescent="0.35">
      <c r="A3577" s="29" t="s">
        <v>19</v>
      </c>
      <c r="B3577" s="29" t="str">
        <f t="shared" si="55"/>
        <v>TAQ-20</v>
      </c>
      <c r="C3577" s="29" t="s">
        <v>10263</v>
      </c>
      <c r="D3577" s="67" t="s">
        <v>10264</v>
      </c>
      <c r="E3577" s="96" t="s">
        <v>62</v>
      </c>
      <c r="F3577" s="29" t="s">
        <v>61</v>
      </c>
      <c r="G3577" s="29"/>
      <c r="H3577" s="103">
        <f>_xlfn.XLOOKUP(B3577,GM!$Q$5:$Q$756,GM!$J$5:$J$756)</f>
        <v>44889</v>
      </c>
    </row>
    <row r="3578" spans="1:8" hidden="1" x14ac:dyDescent="0.35">
      <c r="A3578" s="29" t="s">
        <v>19</v>
      </c>
      <c r="B3578" s="29" t="str">
        <f t="shared" si="55"/>
        <v>TAQ-21</v>
      </c>
      <c r="C3578" s="29" t="s">
        <v>10265</v>
      </c>
      <c r="D3578" s="67" t="s">
        <v>10266</v>
      </c>
      <c r="E3578" s="96" t="s">
        <v>62</v>
      </c>
      <c r="F3578" s="29" t="s">
        <v>61</v>
      </c>
      <c r="G3578" s="29"/>
      <c r="H3578" s="103">
        <f>_xlfn.XLOOKUP(B3578,GM!$Q$5:$Q$756,GM!$J$5:$J$756)</f>
        <v>45645</v>
      </c>
    </row>
    <row r="3579" spans="1:8" hidden="1" x14ac:dyDescent="0.35">
      <c r="A3579" s="29" t="s">
        <v>19</v>
      </c>
      <c r="B3579" s="29" t="str">
        <f t="shared" si="55"/>
        <v>TAQ-21</v>
      </c>
      <c r="C3579" s="29" t="s">
        <v>10267</v>
      </c>
      <c r="D3579" s="67" t="s">
        <v>10268</v>
      </c>
      <c r="E3579" s="96" t="s">
        <v>62</v>
      </c>
      <c r="F3579" s="29" t="s">
        <v>61</v>
      </c>
      <c r="G3579" s="29"/>
      <c r="H3579" s="103">
        <f>_xlfn.XLOOKUP(B3579,GM!$Q$5:$Q$756,GM!$J$5:$J$756)</f>
        <v>45645</v>
      </c>
    </row>
    <row r="3580" spans="1:8" hidden="1" x14ac:dyDescent="0.35">
      <c r="A3580" s="29" t="s">
        <v>19</v>
      </c>
      <c r="B3580" s="29" t="str">
        <f t="shared" si="55"/>
        <v>TAQ-21</v>
      </c>
      <c r="C3580" s="29" t="s">
        <v>10269</v>
      </c>
      <c r="D3580" s="67" t="s">
        <v>10270</v>
      </c>
      <c r="E3580" s="96" t="s">
        <v>62</v>
      </c>
      <c r="F3580" s="29" t="s">
        <v>61</v>
      </c>
      <c r="G3580" s="29"/>
      <c r="H3580" s="103">
        <f>_xlfn.XLOOKUP(B3580,GM!$Q$5:$Q$756,GM!$J$5:$J$756)</f>
        <v>45645</v>
      </c>
    </row>
    <row r="3581" spans="1:8" hidden="1" x14ac:dyDescent="0.35">
      <c r="A3581" s="29" t="s">
        <v>19</v>
      </c>
      <c r="B3581" s="29" t="str">
        <f t="shared" si="55"/>
        <v>TAQ-21</v>
      </c>
      <c r="C3581" s="29" t="s">
        <v>10271</v>
      </c>
      <c r="D3581" s="67" t="s">
        <v>10272</v>
      </c>
      <c r="E3581" s="96" t="s">
        <v>62</v>
      </c>
      <c r="F3581" s="29" t="s">
        <v>61</v>
      </c>
      <c r="G3581" s="29"/>
      <c r="H3581" s="103">
        <f>_xlfn.XLOOKUP(B3581,GM!$Q$5:$Q$756,GM!$J$5:$J$756)</f>
        <v>45645</v>
      </c>
    </row>
    <row r="3582" spans="1:8" hidden="1" x14ac:dyDescent="0.35">
      <c r="A3582" s="29" t="s">
        <v>19</v>
      </c>
      <c r="B3582" s="29" t="str">
        <f t="shared" si="55"/>
        <v>TAQ-21</v>
      </c>
      <c r="C3582" s="29" t="s">
        <v>10273</v>
      </c>
      <c r="D3582" s="67" t="s">
        <v>10274</v>
      </c>
      <c r="E3582" s="96" t="s">
        <v>62</v>
      </c>
      <c r="F3582" s="29" t="s">
        <v>61</v>
      </c>
      <c r="G3582" s="29"/>
      <c r="H3582" s="103">
        <f>_xlfn.XLOOKUP(B3582,GM!$Q$5:$Q$756,GM!$J$5:$J$756)</f>
        <v>45645</v>
      </c>
    </row>
    <row r="3583" spans="1:8" hidden="1" x14ac:dyDescent="0.35">
      <c r="A3583" s="29" t="s">
        <v>19</v>
      </c>
      <c r="B3583" s="29" t="str">
        <f t="shared" si="55"/>
        <v>TAQ-21</v>
      </c>
      <c r="C3583" s="29" t="s">
        <v>10275</v>
      </c>
      <c r="D3583" s="67" t="s">
        <v>10276</v>
      </c>
      <c r="E3583" s="96" t="s">
        <v>62</v>
      </c>
      <c r="F3583" s="29" t="s">
        <v>61</v>
      </c>
      <c r="G3583" s="29"/>
      <c r="H3583" s="103">
        <f>_xlfn.XLOOKUP(B3583,GM!$Q$5:$Q$756,GM!$J$5:$J$756)</f>
        <v>45645</v>
      </c>
    </row>
    <row r="3584" spans="1:8" hidden="1" x14ac:dyDescent="0.35">
      <c r="A3584" s="29" t="s">
        <v>19</v>
      </c>
      <c r="B3584" s="29" t="str">
        <f t="shared" si="55"/>
        <v>TAQ-22</v>
      </c>
      <c r="C3584" s="29" t="s">
        <v>10277</v>
      </c>
      <c r="D3584" s="67" t="s">
        <v>10278</v>
      </c>
      <c r="E3584" s="96" t="s">
        <v>62</v>
      </c>
      <c r="F3584" s="29" t="s">
        <v>61</v>
      </c>
      <c r="G3584" s="29" t="s">
        <v>371</v>
      </c>
      <c r="H3584" s="103">
        <f>_xlfn.XLOOKUP(B3584,GM!$Q$5:$Q$756,GM!$J$5:$J$756)</f>
        <v>44739</v>
      </c>
    </row>
    <row r="3585" spans="1:8" hidden="1" x14ac:dyDescent="0.35">
      <c r="A3585" s="29" t="s">
        <v>19</v>
      </c>
      <c r="B3585" s="29" t="str">
        <f t="shared" si="55"/>
        <v>TAQ-23</v>
      </c>
      <c r="C3585" s="29" t="s">
        <v>10279</v>
      </c>
      <c r="D3585" s="67" t="s">
        <v>10280</v>
      </c>
      <c r="E3585" s="96" t="s">
        <v>62</v>
      </c>
      <c r="F3585" s="29" t="s">
        <v>61</v>
      </c>
      <c r="G3585" s="29" t="s">
        <v>371</v>
      </c>
      <c r="H3585" s="103">
        <f>_xlfn.XLOOKUP(B3585,GM!$Q$5:$Q$756,GM!$J$5:$J$756)</f>
        <v>44739</v>
      </c>
    </row>
    <row r="3586" spans="1:8" hidden="1" x14ac:dyDescent="0.35">
      <c r="A3586" s="29" t="s">
        <v>19</v>
      </c>
      <c r="B3586" s="29" t="str">
        <f t="shared" si="55"/>
        <v>TAQ-24</v>
      </c>
      <c r="C3586" s="29" t="s">
        <v>10281</v>
      </c>
      <c r="D3586" s="67" t="s">
        <v>10282</v>
      </c>
      <c r="E3586" s="96" t="s">
        <v>62</v>
      </c>
      <c r="F3586" s="29" t="s">
        <v>61</v>
      </c>
      <c r="G3586" s="29" t="s">
        <v>371</v>
      </c>
      <c r="H3586" s="103">
        <f>_xlfn.XLOOKUP(B3586,GM!$Q$5:$Q$756,GM!$J$5:$J$756)</f>
        <v>44739</v>
      </c>
    </row>
    <row r="3587" spans="1:8" hidden="1" x14ac:dyDescent="0.35">
      <c r="A3587" s="29" t="s">
        <v>19</v>
      </c>
      <c r="B3587" s="29" t="str">
        <f t="shared" si="55"/>
        <v>TAQ-25</v>
      </c>
      <c r="C3587" s="29" t="s">
        <v>10283</v>
      </c>
      <c r="D3587" s="67" t="s">
        <v>10284</v>
      </c>
      <c r="E3587" s="96" t="s">
        <v>62</v>
      </c>
      <c r="F3587" s="29" t="s">
        <v>61</v>
      </c>
      <c r="G3587" s="29"/>
      <c r="H3587" s="103">
        <f>_xlfn.XLOOKUP(B3587,GM!$Q$5:$Q$756,GM!$J$5:$J$756)</f>
        <v>46009</v>
      </c>
    </row>
    <row r="3588" spans="1:8" hidden="1" x14ac:dyDescent="0.35">
      <c r="A3588" s="29" t="s">
        <v>19</v>
      </c>
      <c r="B3588" s="29" t="str">
        <f t="shared" si="55"/>
        <v>TAQ-25</v>
      </c>
      <c r="C3588" s="29" t="s">
        <v>10285</v>
      </c>
      <c r="D3588" s="67" t="s">
        <v>10286</v>
      </c>
      <c r="E3588" s="96" t="s">
        <v>62</v>
      </c>
      <c r="F3588" s="29" t="s">
        <v>61</v>
      </c>
      <c r="G3588" s="29"/>
      <c r="H3588" s="103">
        <f>_xlfn.XLOOKUP(B3588,GM!$Q$5:$Q$756,GM!$J$5:$J$756)</f>
        <v>46009</v>
      </c>
    </row>
    <row r="3589" spans="1:8" hidden="1" x14ac:dyDescent="0.35">
      <c r="A3589" s="29" t="s">
        <v>19</v>
      </c>
      <c r="B3589" s="29" t="str">
        <f t="shared" ref="B3589:B3652" si="56">IF(OR(A3589="ARN",A3589="SDP"),MID(C3589,4,7),MID(C3589,4,6))</f>
        <v>TAQ-26</v>
      </c>
      <c r="C3589" s="29" t="s">
        <v>10287</v>
      </c>
      <c r="D3589" s="67" t="s">
        <v>10288</v>
      </c>
      <c r="E3589" s="96" t="s">
        <v>62</v>
      </c>
      <c r="F3589" s="29" t="s">
        <v>61</v>
      </c>
      <c r="G3589" s="29" t="s">
        <v>371</v>
      </c>
      <c r="H3589" s="103">
        <f>_xlfn.XLOOKUP(B3589,GM!$Q$5:$Q$756,GM!$J$5:$J$756)</f>
        <v>44739</v>
      </c>
    </row>
    <row r="3590" spans="1:8" hidden="1" x14ac:dyDescent="0.35">
      <c r="A3590" s="29" t="s">
        <v>19</v>
      </c>
      <c r="B3590" s="29" t="str">
        <f t="shared" si="56"/>
        <v>TAQ-27</v>
      </c>
      <c r="C3590" s="29" t="s">
        <v>10289</v>
      </c>
      <c r="D3590" s="67" t="s">
        <v>10290</v>
      </c>
      <c r="E3590" s="96" t="s">
        <v>62</v>
      </c>
      <c r="F3590" s="29" t="s">
        <v>61</v>
      </c>
      <c r="G3590" s="29" t="s">
        <v>371</v>
      </c>
      <c r="H3590" s="103">
        <f>_xlfn.XLOOKUP(B3590,GM!$Q$5:$Q$756,GM!$J$5:$J$756)</f>
        <v>44739</v>
      </c>
    </row>
    <row r="3591" spans="1:8" hidden="1" x14ac:dyDescent="0.35">
      <c r="A3591" s="29" t="s">
        <v>19</v>
      </c>
      <c r="B3591" s="29" t="str">
        <f t="shared" si="56"/>
        <v>TAQ-28</v>
      </c>
      <c r="C3591" s="29" t="s">
        <v>10291</v>
      </c>
      <c r="D3591" s="67" t="s">
        <v>10292</v>
      </c>
      <c r="E3591" s="96" t="s">
        <v>62</v>
      </c>
      <c r="F3591" s="29" t="s">
        <v>61</v>
      </c>
      <c r="G3591" s="29"/>
      <c r="H3591" s="103">
        <f>_xlfn.XLOOKUP(B3591,GM!$Q$5:$Q$756,GM!$J$5:$J$756)</f>
        <v>45202</v>
      </c>
    </row>
    <row r="3592" spans="1:8" hidden="1" x14ac:dyDescent="0.35">
      <c r="A3592" s="29" t="s">
        <v>19</v>
      </c>
      <c r="B3592" s="29" t="str">
        <f t="shared" si="56"/>
        <v>TAQ-29</v>
      </c>
      <c r="C3592" s="29" t="s">
        <v>10293</v>
      </c>
      <c r="D3592" s="67" t="s">
        <v>10294</v>
      </c>
      <c r="E3592" s="96" t="s">
        <v>62</v>
      </c>
      <c r="F3592" s="29" t="s">
        <v>61</v>
      </c>
      <c r="G3592" s="29"/>
      <c r="H3592" s="103">
        <f>_xlfn.XLOOKUP(B3592,GM!$Q$5:$Q$756,GM!$J$5:$J$756)</f>
        <v>45202</v>
      </c>
    </row>
    <row r="3593" spans="1:8" hidden="1" x14ac:dyDescent="0.35">
      <c r="A3593" s="29" t="s">
        <v>19</v>
      </c>
      <c r="B3593" s="29" t="str">
        <f t="shared" si="56"/>
        <v>TAQ-30</v>
      </c>
      <c r="C3593" s="29" t="s">
        <v>10295</v>
      </c>
      <c r="D3593" s="67" t="s">
        <v>10296</v>
      </c>
      <c r="E3593" s="96" t="s">
        <v>62</v>
      </c>
      <c r="F3593" s="29" t="s">
        <v>61</v>
      </c>
      <c r="G3593" s="29"/>
      <c r="H3593" s="103">
        <f>_xlfn.XLOOKUP(B3593,GM!$Q$5:$Q$756,GM!$J$5:$J$756)</f>
        <v>44838</v>
      </c>
    </row>
    <row r="3594" spans="1:8" hidden="1" x14ac:dyDescent="0.35">
      <c r="A3594" s="29" t="s">
        <v>19</v>
      </c>
      <c r="B3594" s="29" t="str">
        <f t="shared" si="56"/>
        <v>TAQ-30</v>
      </c>
      <c r="C3594" s="29" t="s">
        <v>10297</v>
      </c>
      <c r="D3594" s="67" t="s">
        <v>10298</v>
      </c>
      <c r="E3594" s="96" t="s">
        <v>62</v>
      </c>
      <c r="F3594" s="29" t="s">
        <v>61</v>
      </c>
      <c r="G3594" s="29"/>
      <c r="H3594" s="103">
        <f>_xlfn.XLOOKUP(B3594,GM!$Q$5:$Q$756,GM!$J$5:$J$756)</f>
        <v>44838</v>
      </c>
    </row>
    <row r="3595" spans="1:8" hidden="1" x14ac:dyDescent="0.35">
      <c r="A3595" s="29" t="s">
        <v>19</v>
      </c>
      <c r="B3595" s="29" t="str">
        <f t="shared" si="56"/>
        <v>TAQ-31</v>
      </c>
      <c r="C3595" s="29" t="s">
        <v>10299</v>
      </c>
      <c r="D3595" s="67" t="s">
        <v>10300</v>
      </c>
      <c r="E3595" s="96" t="s">
        <v>62</v>
      </c>
      <c r="F3595" s="29" t="s">
        <v>61</v>
      </c>
      <c r="G3595" s="29"/>
      <c r="H3595" s="103">
        <f>_xlfn.XLOOKUP(B3595,GM!$Q$5:$Q$756,GM!$J$5:$J$756)</f>
        <v>44838</v>
      </c>
    </row>
    <row r="3596" spans="1:8" hidden="1" x14ac:dyDescent="0.35">
      <c r="A3596" s="29" t="s">
        <v>19</v>
      </c>
      <c r="B3596" s="29" t="str">
        <f t="shared" si="56"/>
        <v>TAQ-31</v>
      </c>
      <c r="C3596" s="29" t="s">
        <v>10301</v>
      </c>
      <c r="D3596" s="67" t="s">
        <v>10302</v>
      </c>
      <c r="E3596" s="96" t="s">
        <v>62</v>
      </c>
      <c r="F3596" s="29" t="s">
        <v>61</v>
      </c>
      <c r="G3596" s="29"/>
      <c r="H3596" s="103">
        <f>_xlfn.XLOOKUP(B3596,GM!$Q$5:$Q$756,GM!$J$5:$J$756)</f>
        <v>44838</v>
      </c>
    </row>
    <row r="3597" spans="1:8" hidden="1" x14ac:dyDescent="0.35">
      <c r="A3597" s="29" t="s">
        <v>19</v>
      </c>
      <c r="B3597" s="29" t="str">
        <f t="shared" si="56"/>
        <v>TAQ-32</v>
      </c>
      <c r="C3597" s="29" t="s">
        <v>10303</v>
      </c>
      <c r="D3597" s="67" t="s">
        <v>10304</v>
      </c>
      <c r="E3597" s="96" t="s">
        <v>62</v>
      </c>
      <c r="F3597" s="29" t="s">
        <v>61</v>
      </c>
      <c r="G3597" s="29"/>
      <c r="H3597" s="103">
        <f>_xlfn.XLOOKUP(B3597,GM!$Q$5:$Q$756,GM!$J$5:$J$756)</f>
        <v>44838</v>
      </c>
    </row>
    <row r="3598" spans="1:8" hidden="1" x14ac:dyDescent="0.35">
      <c r="A3598" s="29" t="s">
        <v>19</v>
      </c>
      <c r="B3598" s="29" t="str">
        <f t="shared" si="56"/>
        <v>TAQ-32</v>
      </c>
      <c r="C3598" s="29" t="s">
        <v>10305</v>
      </c>
      <c r="D3598" s="67" t="s">
        <v>10306</v>
      </c>
      <c r="E3598" s="96" t="s">
        <v>62</v>
      </c>
      <c r="F3598" s="29" t="s">
        <v>61</v>
      </c>
      <c r="G3598" s="29"/>
      <c r="H3598" s="103">
        <f>_xlfn.XLOOKUP(B3598,GM!$Q$5:$Q$756,GM!$J$5:$J$756)</f>
        <v>44838</v>
      </c>
    </row>
    <row r="3599" spans="1:8" hidden="1" x14ac:dyDescent="0.35">
      <c r="A3599" s="29" t="s">
        <v>19</v>
      </c>
      <c r="B3599" s="29" t="str">
        <f t="shared" si="56"/>
        <v>TAQ-33</v>
      </c>
      <c r="C3599" s="29" t="s">
        <v>10307</v>
      </c>
      <c r="D3599" s="67" t="s">
        <v>10308</v>
      </c>
      <c r="E3599" s="96" t="s">
        <v>62</v>
      </c>
      <c r="F3599" s="29" t="s">
        <v>61</v>
      </c>
      <c r="G3599" s="29" t="s">
        <v>371</v>
      </c>
      <c r="H3599" s="103">
        <f>_xlfn.XLOOKUP(B3599,GM!$Q$5:$Q$756,GM!$J$5:$J$756)</f>
        <v>44739</v>
      </c>
    </row>
    <row r="3600" spans="1:8" hidden="1" x14ac:dyDescent="0.35">
      <c r="A3600" s="29" t="s">
        <v>19</v>
      </c>
      <c r="B3600" s="29" t="str">
        <f t="shared" si="56"/>
        <v>TAQ-40</v>
      </c>
      <c r="C3600" s="29" t="s">
        <v>10309</v>
      </c>
      <c r="D3600" s="67" t="s">
        <v>10310</v>
      </c>
      <c r="E3600" s="96" t="s">
        <v>62</v>
      </c>
      <c r="F3600" s="29" t="s">
        <v>61</v>
      </c>
      <c r="G3600" s="29"/>
      <c r="H3600" s="103">
        <f>_xlfn.XLOOKUP(B3600,GM!$Q$5:$Q$756,GM!$J$5:$J$756)</f>
        <v>45202</v>
      </c>
    </row>
    <row r="3601" spans="1:8" hidden="1" x14ac:dyDescent="0.35">
      <c r="A3601" s="29" t="s">
        <v>19</v>
      </c>
      <c r="B3601" s="29" t="str">
        <f t="shared" si="56"/>
        <v>TAQ-40</v>
      </c>
      <c r="C3601" s="29" t="s">
        <v>10311</v>
      </c>
      <c r="D3601" s="67" t="s">
        <v>10312</v>
      </c>
      <c r="E3601" s="96" t="s">
        <v>62</v>
      </c>
      <c r="F3601" s="29" t="s">
        <v>61</v>
      </c>
      <c r="G3601" s="29"/>
      <c r="H3601" s="103">
        <f>_xlfn.XLOOKUP(B3601,GM!$Q$5:$Q$756,GM!$J$5:$J$756)</f>
        <v>45202</v>
      </c>
    </row>
    <row r="3602" spans="1:8" hidden="1" x14ac:dyDescent="0.35">
      <c r="A3602" s="29" t="s">
        <v>19</v>
      </c>
      <c r="B3602" s="29" t="str">
        <f t="shared" si="56"/>
        <v>TAQ-41</v>
      </c>
      <c r="C3602" s="29" t="s">
        <v>10313</v>
      </c>
      <c r="D3602" s="67" t="s">
        <v>10314</v>
      </c>
      <c r="E3602" s="96" t="s">
        <v>62</v>
      </c>
      <c r="F3602" s="29" t="s">
        <v>61</v>
      </c>
      <c r="G3602" s="29"/>
      <c r="H3602" s="103">
        <f>_xlfn.XLOOKUP(B3602,GM!$Q$5:$Q$756,GM!$J$5:$J$756)</f>
        <v>45202</v>
      </c>
    </row>
    <row r="3603" spans="1:8" hidden="1" x14ac:dyDescent="0.35">
      <c r="A3603" s="29" t="s">
        <v>19</v>
      </c>
      <c r="B3603" s="29" t="str">
        <f t="shared" si="56"/>
        <v>TAQ-41</v>
      </c>
      <c r="C3603" s="29" t="s">
        <v>10315</v>
      </c>
      <c r="D3603" s="67" t="s">
        <v>10316</v>
      </c>
      <c r="E3603" s="96" t="s">
        <v>62</v>
      </c>
      <c r="F3603" s="29" t="s">
        <v>61</v>
      </c>
      <c r="G3603" s="29"/>
      <c r="H3603" s="103">
        <f>_xlfn.XLOOKUP(B3603,GM!$Q$5:$Q$756,GM!$J$5:$J$756)</f>
        <v>45202</v>
      </c>
    </row>
    <row r="3604" spans="1:8" hidden="1" x14ac:dyDescent="0.35">
      <c r="A3604" s="29" t="s">
        <v>19</v>
      </c>
      <c r="B3604" s="29" t="str">
        <f t="shared" si="56"/>
        <v>TAQ-41</v>
      </c>
      <c r="C3604" s="29" t="s">
        <v>10317</v>
      </c>
      <c r="D3604" s="67" t="s">
        <v>10318</v>
      </c>
      <c r="E3604" s="96" t="s">
        <v>62</v>
      </c>
      <c r="F3604" s="29" t="s">
        <v>61</v>
      </c>
      <c r="G3604" s="29"/>
      <c r="H3604" s="103">
        <f>_xlfn.XLOOKUP(B3604,GM!$Q$5:$Q$756,GM!$J$5:$J$756)</f>
        <v>45202</v>
      </c>
    </row>
    <row r="3605" spans="1:8" hidden="1" x14ac:dyDescent="0.35">
      <c r="A3605" s="29" t="s">
        <v>19</v>
      </c>
      <c r="B3605" s="29" t="str">
        <f t="shared" si="56"/>
        <v>TAQ-51</v>
      </c>
      <c r="C3605" s="29" t="s">
        <v>10319</v>
      </c>
      <c r="D3605" s="67" t="s">
        <v>10320</v>
      </c>
      <c r="E3605" s="96" t="s">
        <v>62</v>
      </c>
      <c r="F3605" s="29" t="s">
        <v>61</v>
      </c>
      <c r="G3605" s="29"/>
      <c r="H3605" s="103">
        <f>_xlfn.XLOOKUP(B3605,GM!$Q$5:$Q$756,GM!$J$5:$J$756)</f>
        <v>45959</v>
      </c>
    </row>
    <row r="3606" spans="1:8" hidden="1" x14ac:dyDescent="0.35">
      <c r="A3606" s="29" t="s">
        <v>19</v>
      </c>
      <c r="B3606" s="29" t="str">
        <f t="shared" si="56"/>
        <v>TAQ-51</v>
      </c>
      <c r="C3606" s="29" t="s">
        <v>10321</v>
      </c>
      <c r="D3606" s="67" t="s">
        <v>10322</v>
      </c>
      <c r="E3606" s="96" t="s">
        <v>62</v>
      </c>
      <c r="F3606" s="29" t="s">
        <v>61</v>
      </c>
      <c r="G3606" s="29"/>
      <c r="H3606" s="103">
        <f>_xlfn.XLOOKUP(B3606,GM!$Q$5:$Q$756,GM!$J$5:$J$756)</f>
        <v>45959</v>
      </c>
    </row>
    <row r="3607" spans="1:8" hidden="1" x14ac:dyDescent="0.35">
      <c r="A3607" s="29" t="s">
        <v>19</v>
      </c>
      <c r="B3607" s="29" t="str">
        <f t="shared" si="56"/>
        <v>TAQ-51</v>
      </c>
      <c r="C3607" s="29" t="s">
        <v>10323</v>
      </c>
      <c r="D3607" s="67" t="s">
        <v>10324</v>
      </c>
      <c r="E3607" s="96" t="s">
        <v>62</v>
      </c>
      <c r="F3607" s="29" t="s">
        <v>61</v>
      </c>
      <c r="G3607" s="29"/>
      <c r="H3607" s="103">
        <f>_xlfn.XLOOKUP(B3607,GM!$Q$5:$Q$756,GM!$J$5:$J$756)</f>
        <v>45959</v>
      </c>
    </row>
    <row r="3608" spans="1:8" hidden="1" x14ac:dyDescent="0.35">
      <c r="A3608" s="29" t="s">
        <v>19</v>
      </c>
      <c r="B3608" s="29" t="str">
        <f t="shared" si="56"/>
        <v>TAQ-51</v>
      </c>
      <c r="C3608" s="29" t="s">
        <v>10325</v>
      </c>
      <c r="D3608" s="67" t="s">
        <v>10326</v>
      </c>
      <c r="E3608" s="96" t="s">
        <v>62</v>
      </c>
      <c r="F3608" s="29" t="s">
        <v>61</v>
      </c>
      <c r="G3608" s="29"/>
      <c r="H3608" s="103">
        <f>_xlfn.XLOOKUP(B3608,GM!$Q$5:$Q$756,GM!$J$5:$J$756)</f>
        <v>45959</v>
      </c>
    </row>
    <row r="3609" spans="1:8" hidden="1" x14ac:dyDescent="0.35">
      <c r="A3609" s="29" t="s">
        <v>19</v>
      </c>
      <c r="B3609" s="29" t="str">
        <f t="shared" si="56"/>
        <v>TAQ-51</v>
      </c>
      <c r="C3609" s="29" t="s">
        <v>10327</v>
      </c>
      <c r="D3609" s="67" t="s">
        <v>10328</v>
      </c>
      <c r="E3609" s="96" t="s">
        <v>62</v>
      </c>
      <c r="F3609" s="29" t="s">
        <v>61</v>
      </c>
      <c r="G3609" s="29"/>
      <c r="H3609" s="103">
        <f>_xlfn.XLOOKUP(B3609,GM!$Q$5:$Q$756,GM!$J$5:$J$756)</f>
        <v>45959</v>
      </c>
    </row>
    <row r="3610" spans="1:8" hidden="1" x14ac:dyDescent="0.35">
      <c r="A3610" s="29" t="s">
        <v>19</v>
      </c>
      <c r="B3610" s="29" t="str">
        <f t="shared" si="56"/>
        <v>TAQ-51</v>
      </c>
      <c r="C3610" s="29" t="s">
        <v>10329</v>
      </c>
      <c r="D3610" s="67" t="s">
        <v>10330</v>
      </c>
      <c r="E3610" s="96" t="s">
        <v>62</v>
      </c>
      <c r="F3610" s="29" t="s">
        <v>61</v>
      </c>
      <c r="G3610" s="29"/>
      <c r="H3610" s="103">
        <f>_xlfn.XLOOKUP(B3610,GM!$Q$5:$Q$756,GM!$J$5:$J$756)</f>
        <v>45959</v>
      </c>
    </row>
    <row r="3611" spans="1:8" hidden="1" x14ac:dyDescent="0.35">
      <c r="A3611" s="29" t="s">
        <v>19</v>
      </c>
      <c r="B3611" s="29" t="str">
        <f t="shared" si="56"/>
        <v>TAQ-51</v>
      </c>
      <c r="C3611" s="29" t="s">
        <v>10331</v>
      </c>
      <c r="D3611" s="67" t="s">
        <v>10332</v>
      </c>
      <c r="E3611" s="96" t="s">
        <v>62</v>
      </c>
      <c r="F3611" s="29" t="s">
        <v>61</v>
      </c>
      <c r="G3611" s="29"/>
      <c r="H3611" s="103">
        <f>_xlfn.XLOOKUP(B3611,GM!$Q$5:$Q$756,GM!$J$5:$J$756)</f>
        <v>45959</v>
      </c>
    </row>
    <row r="3612" spans="1:8" hidden="1" x14ac:dyDescent="0.35">
      <c r="A3612" s="29" t="s">
        <v>19</v>
      </c>
      <c r="B3612" s="29" t="str">
        <f t="shared" si="56"/>
        <v>TAQ-51</v>
      </c>
      <c r="C3612" s="29" t="s">
        <v>10333</v>
      </c>
      <c r="D3612" s="67" t="s">
        <v>10334</v>
      </c>
      <c r="E3612" s="96" t="s">
        <v>62</v>
      </c>
      <c r="F3612" s="29" t="s">
        <v>61</v>
      </c>
      <c r="G3612" s="29"/>
      <c r="H3612" s="103">
        <f>_xlfn.XLOOKUP(B3612,GM!$Q$5:$Q$756,GM!$J$5:$J$756)</f>
        <v>45959</v>
      </c>
    </row>
    <row r="3613" spans="1:8" hidden="1" x14ac:dyDescent="0.35">
      <c r="A3613" s="29" t="s">
        <v>19</v>
      </c>
      <c r="B3613" s="29" t="str">
        <f t="shared" si="56"/>
        <v>TAQ-51</v>
      </c>
      <c r="C3613" s="29" t="s">
        <v>10335</v>
      </c>
      <c r="D3613" s="67" t="s">
        <v>10336</v>
      </c>
      <c r="E3613" s="96" t="s">
        <v>62</v>
      </c>
      <c r="F3613" s="29" t="s">
        <v>61</v>
      </c>
      <c r="G3613" s="29"/>
      <c r="H3613" s="103">
        <f>_xlfn.XLOOKUP(B3613,GM!$Q$5:$Q$756,GM!$J$5:$J$756)</f>
        <v>45959</v>
      </c>
    </row>
    <row r="3614" spans="1:8" hidden="1" x14ac:dyDescent="0.35">
      <c r="A3614" s="29" t="s">
        <v>19</v>
      </c>
      <c r="B3614" s="29" t="str">
        <f t="shared" si="56"/>
        <v>TAQ-51</v>
      </c>
      <c r="C3614" s="29" t="s">
        <v>10337</v>
      </c>
      <c r="D3614" s="67" t="s">
        <v>10338</v>
      </c>
      <c r="E3614" s="96" t="s">
        <v>62</v>
      </c>
      <c r="F3614" s="29" t="s">
        <v>61</v>
      </c>
      <c r="G3614" s="29"/>
      <c r="H3614" s="103">
        <f>_xlfn.XLOOKUP(B3614,GM!$Q$5:$Q$756,GM!$J$5:$J$756)</f>
        <v>45959</v>
      </c>
    </row>
    <row r="3615" spans="1:8" hidden="1" x14ac:dyDescent="0.35">
      <c r="A3615" s="29" t="s">
        <v>19</v>
      </c>
      <c r="B3615" s="29" t="str">
        <f t="shared" si="56"/>
        <v>TAQ-51</v>
      </c>
      <c r="C3615" s="29" t="s">
        <v>10339</v>
      </c>
      <c r="D3615" s="67" t="s">
        <v>10340</v>
      </c>
      <c r="E3615" s="96" t="s">
        <v>62</v>
      </c>
      <c r="F3615" s="29" t="s">
        <v>61</v>
      </c>
      <c r="G3615" s="29"/>
      <c r="H3615" s="103">
        <f>_xlfn.XLOOKUP(B3615,GM!$Q$5:$Q$756,GM!$J$5:$J$756)</f>
        <v>45959</v>
      </c>
    </row>
    <row r="3616" spans="1:8" hidden="1" x14ac:dyDescent="0.35">
      <c r="A3616" s="29" t="s">
        <v>19</v>
      </c>
      <c r="B3616" s="29" t="str">
        <f t="shared" si="56"/>
        <v>TAQ-51</v>
      </c>
      <c r="C3616" s="29" t="s">
        <v>10341</v>
      </c>
      <c r="D3616" s="67" t="s">
        <v>10342</v>
      </c>
      <c r="E3616" s="96" t="s">
        <v>62</v>
      </c>
      <c r="F3616" s="29" t="s">
        <v>61</v>
      </c>
      <c r="G3616" s="29"/>
      <c r="H3616" s="103">
        <f>_xlfn.XLOOKUP(B3616,GM!$Q$5:$Q$756,GM!$J$5:$J$756)</f>
        <v>45959</v>
      </c>
    </row>
    <row r="3617" spans="1:8" hidden="1" x14ac:dyDescent="0.35">
      <c r="A3617" s="29" t="s">
        <v>19</v>
      </c>
      <c r="B3617" s="29" t="str">
        <f t="shared" si="56"/>
        <v>TAQ-51</v>
      </c>
      <c r="C3617" s="29" t="s">
        <v>10343</v>
      </c>
      <c r="D3617" s="67" t="s">
        <v>10344</v>
      </c>
      <c r="E3617" s="96" t="s">
        <v>62</v>
      </c>
      <c r="F3617" s="29" t="s">
        <v>61</v>
      </c>
      <c r="G3617" s="29"/>
      <c r="H3617" s="103">
        <f>_xlfn.XLOOKUP(B3617,GM!$Q$5:$Q$756,GM!$J$5:$J$756)</f>
        <v>45959</v>
      </c>
    </row>
    <row r="3618" spans="1:8" hidden="1" x14ac:dyDescent="0.35">
      <c r="A3618" s="29" t="s">
        <v>19</v>
      </c>
      <c r="B3618" s="29" t="str">
        <f t="shared" si="56"/>
        <v>TAQ-52</v>
      </c>
      <c r="C3618" s="29" t="s">
        <v>10345</v>
      </c>
      <c r="D3618" s="67" t="s">
        <v>10346</v>
      </c>
      <c r="E3618" s="96" t="s">
        <v>62</v>
      </c>
      <c r="F3618" s="29" t="s">
        <v>61</v>
      </c>
      <c r="G3618" s="29"/>
      <c r="H3618" s="103">
        <f>_xlfn.XLOOKUP(B3618,GM!$Q$5:$Q$756,GM!$J$5:$J$756)</f>
        <v>46104</v>
      </c>
    </row>
    <row r="3619" spans="1:8" hidden="1" x14ac:dyDescent="0.35">
      <c r="A3619" s="29" t="s">
        <v>19</v>
      </c>
      <c r="B3619" s="29" t="str">
        <f t="shared" si="56"/>
        <v>TAQ-52</v>
      </c>
      <c r="C3619" s="29" t="s">
        <v>10347</v>
      </c>
      <c r="D3619" s="67" t="s">
        <v>10348</v>
      </c>
      <c r="E3619" s="96" t="s">
        <v>62</v>
      </c>
      <c r="F3619" s="29" t="s">
        <v>61</v>
      </c>
      <c r="G3619" s="29"/>
      <c r="H3619" s="103">
        <f>_xlfn.XLOOKUP(B3619,GM!$Q$5:$Q$756,GM!$J$5:$J$756)</f>
        <v>46104</v>
      </c>
    </row>
    <row r="3620" spans="1:8" hidden="1" x14ac:dyDescent="0.35">
      <c r="A3620" s="29" t="s">
        <v>19</v>
      </c>
      <c r="B3620" s="29" t="str">
        <f t="shared" si="56"/>
        <v>TAQ-52</v>
      </c>
      <c r="C3620" s="29" t="s">
        <v>10349</v>
      </c>
      <c r="D3620" s="67" t="s">
        <v>10350</v>
      </c>
      <c r="E3620" s="96" t="s">
        <v>62</v>
      </c>
      <c r="F3620" s="29" t="s">
        <v>61</v>
      </c>
      <c r="G3620" s="29"/>
      <c r="H3620" s="103">
        <f>_xlfn.XLOOKUP(B3620,GM!$Q$5:$Q$756,GM!$J$5:$J$756)</f>
        <v>46104</v>
      </c>
    </row>
    <row r="3621" spans="1:8" hidden="1" x14ac:dyDescent="0.35">
      <c r="A3621" s="29" t="s">
        <v>19</v>
      </c>
      <c r="B3621" s="29" t="str">
        <f t="shared" si="56"/>
        <v>TAQ-52</v>
      </c>
      <c r="C3621" s="29" t="s">
        <v>10351</v>
      </c>
      <c r="D3621" s="67" t="s">
        <v>10352</v>
      </c>
      <c r="E3621" s="96" t="s">
        <v>62</v>
      </c>
      <c r="F3621" s="29" t="s">
        <v>61</v>
      </c>
      <c r="G3621" s="29"/>
      <c r="H3621" s="103">
        <f>_xlfn.XLOOKUP(B3621,GM!$Q$5:$Q$756,GM!$J$5:$J$756)</f>
        <v>46104</v>
      </c>
    </row>
    <row r="3622" spans="1:8" hidden="1" x14ac:dyDescent="0.35">
      <c r="A3622" s="29" t="s">
        <v>19</v>
      </c>
      <c r="B3622" s="29" t="str">
        <f t="shared" si="56"/>
        <v>TAQ-52</v>
      </c>
      <c r="C3622" s="29" t="s">
        <v>10353</v>
      </c>
      <c r="D3622" s="67" t="s">
        <v>10354</v>
      </c>
      <c r="E3622" s="96" t="s">
        <v>62</v>
      </c>
      <c r="F3622" s="29" t="s">
        <v>61</v>
      </c>
      <c r="G3622" s="29"/>
      <c r="H3622" s="103">
        <f>_xlfn.XLOOKUP(B3622,GM!$Q$5:$Q$756,GM!$J$5:$J$756)</f>
        <v>46104</v>
      </c>
    </row>
    <row r="3623" spans="1:8" hidden="1" x14ac:dyDescent="0.35">
      <c r="A3623" s="29" t="s">
        <v>19</v>
      </c>
      <c r="B3623" s="29" t="str">
        <f t="shared" si="56"/>
        <v>TAQ-52</v>
      </c>
      <c r="C3623" s="29" t="s">
        <v>10355</v>
      </c>
      <c r="D3623" s="67" t="s">
        <v>10356</v>
      </c>
      <c r="E3623" s="96" t="s">
        <v>62</v>
      </c>
      <c r="F3623" s="29" t="s">
        <v>61</v>
      </c>
      <c r="G3623" s="29"/>
      <c r="H3623" s="103">
        <f>_xlfn.XLOOKUP(B3623,GM!$Q$5:$Q$756,GM!$J$5:$J$756)</f>
        <v>46104</v>
      </c>
    </row>
    <row r="3624" spans="1:8" hidden="1" x14ac:dyDescent="0.35">
      <c r="A3624" s="29" t="s">
        <v>19</v>
      </c>
      <c r="B3624" s="29" t="str">
        <f t="shared" si="56"/>
        <v>TAQ-52</v>
      </c>
      <c r="C3624" s="29" t="s">
        <v>10357</v>
      </c>
      <c r="D3624" s="67" t="s">
        <v>10358</v>
      </c>
      <c r="E3624" s="96" t="s">
        <v>62</v>
      </c>
      <c r="F3624" s="29" t="s">
        <v>61</v>
      </c>
      <c r="G3624" s="29"/>
      <c r="H3624" s="103">
        <f>_xlfn.XLOOKUP(B3624,GM!$Q$5:$Q$756,GM!$J$5:$J$756)</f>
        <v>46104</v>
      </c>
    </row>
    <row r="3625" spans="1:8" hidden="1" x14ac:dyDescent="0.35">
      <c r="A3625" s="29" t="s">
        <v>19</v>
      </c>
      <c r="B3625" s="29" t="str">
        <f t="shared" si="56"/>
        <v>TAQ-52</v>
      </c>
      <c r="C3625" s="29" t="s">
        <v>10359</v>
      </c>
      <c r="D3625" s="67" t="s">
        <v>10360</v>
      </c>
      <c r="E3625" s="96" t="s">
        <v>62</v>
      </c>
      <c r="F3625" s="29" t="s">
        <v>61</v>
      </c>
      <c r="G3625" s="29"/>
      <c r="H3625" s="103">
        <f>_xlfn.XLOOKUP(B3625,GM!$Q$5:$Q$756,GM!$J$5:$J$756)</f>
        <v>46104</v>
      </c>
    </row>
    <row r="3626" spans="1:8" hidden="1" x14ac:dyDescent="0.35">
      <c r="A3626" s="29" t="s">
        <v>19</v>
      </c>
      <c r="B3626" s="29" t="str">
        <f t="shared" si="56"/>
        <v>TAQ-58</v>
      </c>
      <c r="C3626" s="29" t="s">
        <v>10361</v>
      </c>
      <c r="D3626" s="67" t="s">
        <v>10362</v>
      </c>
      <c r="E3626" s="96" t="s">
        <v>62</v>
      </c>
      <c r="F3626" s="29" t="s">
        <v>61</v>
      </c>
      <c r="G3626" s="29" t="s">
        <v>371</v>
      </c>
      <c r="H3626" s="103">
        <f>_xlfn.XLOOKUP(B3626,GM!$Q$5:$Q$756,GM!$J$5:$J$756)</f>
        <v>44739</v>
      </c>
    </row>
    <row r="3627" spans="1:8" hidden="1" x14ac:dyDescent="0.35">
      <c r="A3627" s="29" t="s">
        <v>19</v>
      </c>
      <c r="B3627" s="29" t="str">
        <f t="shared" si="56"/>
        <v>TAQ-60</v>
      </c>
      <c r="C3627" s="29" t="s">
        <v>10363</v>
      </c>
      <c r="D3627" s="67" t="s">
        <v>10364</v>
      </c>
      <c r="E3627" s="96" t="s">
        <v>62</v>
      </c>
      <c r="F3627" s="29" t="s">
        <v>61</v>
      </c>
      <c r="G3627" s="29" t="s">
        <v>371</v>
      </c>
      <c r="H3627" s="103">
        <f>_xlfn.XLOOKUP(B3627,GM!$Q$5:$Q$756,GM!$J$5:$J$756)</f>
        <v>44819</v>
      </c>
    </row>
    <row r="3628" spans="1:8" hidden="1" x14ac:dyDescent="0.35">
      <c r="A3628" s="29" t="s">
        <v>19</v>
      </c>
      <c r="B3628" s="29" t="str">
        <f t="shared" si="56"/>
        <v>TAQ-61</v>
      </c>
      <c r="C3628" s="29" t="s">
        <v>10365</v>
      </c>
      <c r="D3628" s="67" t="s">
        <v>10366</v>
      </c>
      <c r="E3628" s="96" t="s">
        <v>62</v>
      </c>
      <c r="F3628" s="29" t="s">
        <v>61</v>
      </c>
      <c r="G3628" s="29"/>
      <c r="H3628" s="103">
        <f>_xlfn.XLOOKUP(B3628,GM!$Q$5:$Q$756,GM!$J$5:$J$756)</f>
        <v>44926</v>
      </c>
    </row>
    <row r="3629" spans="1:8" hidden="1" x14ac:dyDescent="0.35">
      <c r="A3629" s="29" t="s">
        <v>19</v>
      </c>
      <c r="B3629" s="29" t="str">
        <f t="shared" si="56"/>
        <v>TAQ-62</v>
      </c>
      <c r="C3629" s="29" t="s">
        <v>10367</v>
      </c>
      <c r="D3629" s="67" t="s">
        <v>10368</v>
      </c>
      <c r="E3629" s="96" t="s">
        <v>62</v>
      </c>
      <c r="F3629" s="29" t="s">
        <v>61</v>
      </c>
      <c r="G3629" s="29"/>
      <c r="H3629" s="103">
        <f>_xlfn.XLOOKUP(B3629,GM!$Q$5:$Q$756,GM!$J$5:$J$756)</f>
        <v>44926</v>
      </c>
    </row>
    <row r="3630" spans="1:8" hidden="1" x14ac:dyDescent="0.35">
      <c r="A3630" s="29" t="s">
        <v>19</v>
      </c>
      <c r="B3630" s="29" t="str">
        <f t="shared" si="56"/>
        <v>TAQ-63</v>
      </c>
      <c r="C3630" s="29" t="s">
        <v>10369</v>
      </c>
      <c r="D3630" s="67" t="s">
        <v>10370</v>
      </c>
      <c r="E3630" s="96" t="s">
        <v>62</v>
      </c>
      <c r="F3630" s="29" t="s">
        <v>61</v>
      </c>
      <c r="G3630" s="29"/>
      <c r="H3630" s="103">
        <f>_xlfn.XLOOKUP(B3630,GM!$Q$5:$Q$756,GM!$J$5:$J$756)</f>
        <v>44838</v>
      </c>
    </row>
    <row r="3631" spans="1:8" hidden="1" x14ac:dyDescent="0.35">
      <c r="A3631" s="29" t="s">
        <v>19</v>
      </c>
      <c r="B3631" s="29" t="str">
        <f t="shared" si="56"/>
        <v>TAQ-63</v>
      </c>
      <c r="C3631" s="29" t="s">
        <v>10371</v>
      </c>
      <c r="D3631" s="67" t="s">
        <v>10372</v>
      </c>
      <c r="E3631" s="96" t="s">
        <v>62</v>
      </c>
      <c r="F3631" s="29" t="s">
        <v>61</v>
      </c>
      <c r="G3631" s="29"/>
      <c r="H3631" s="103">
        <f>_xlfn.XLOOKUP(B3631,GM!$Q$5:$Q$756,GM!$J$5:$J$756)</f>
        <v>44838</v>
      </c>
    </row>
    <row r="3632" spans="1:8" hidden="1" x14ac:dyDescent="0.35">
      <c r="A3632" s="29" t="s">
        <v>19</v>
      </c>
      <c r="B3632" s="29" t="str">
        <f t="shared" si="56"/>
        <v>TAQ-65</v>
      </c>
      <c r="C3632" s="29" t="s">
        <v>10373</v>
      </c>
      <c r="D3632" s="67" t="s">
        <v>10374</v>
      </c>
      <c r="E3632" s="96" t="s">
        <v>62</v>
      </c>
      <c r="F3632" s="29" t="s">
        <v>61</v>
      </c>
      <c r="G3632" s="29"/>
      <c r="H3632" s="103">
        <f>_xlfn.XLOOKUP(B3632,GM!$Q$5:$Q$756,GM!$J$5:$J$756)</f>
        <v>45202</v>
      </c>
    </row>
    <row r="3633" spans="1:8" hidden="1" x14ac:dyDescent="0.35">
      <c r="A3633" s="29" t="s">
        <v>19</v>
      </c>
      <c r="B3633" s="29" t="str">
        <f t="shared" si="56"/>
        <v>TAQ-68</v>
      </c>
      <c r="C3633" s="29" t="s">
        <v>10375</v>
      </c>
      <c r="D3633" s="67" t="s">
        <v>10376</v>
      </c>
      <c r="E3633" s="96" t="s">
        <v>62</v>
      </c>
      <c r="F3633" s="29" t="s">
        <v>61</v>
      </c>
      <c r="G3633" s="29"/>
      <c r="H3633" s="103">
        <f>_xlfn.XLOOKUP(B3633,GM!$Q$5:$Q$756,GM!$J$5:$J$756)</f>
        <v>45202</v>
      </c>
    </row>
    <row r="3634" spans="1:8" hidden="1" x14ac:dyDescent="0.35">
      <c r="A3634" s="29" t="s">
        <v>14</v>
      </c>
      <c r="B3634" s="29" t="str">
        <f t="shared" si="56"/>
        <v>CHV-08</v>
      </c>
      <c r="C3634" s="29" t="s">
        <v>10377</v>
      </c>
      <c r="D3634" s="67" t="s">
        <v>10378</v>
      </c>
      <c r="E3634" s="96" t="s">
        <v>62</v>
      </c>
      <c r="F3634" s="29" t="s">
        <v>61</v>
      </c>
      <c r="G3634" s="29"/>
      <c r="H3634" s="103">
        <f>_xlfn.XLOOKUP(B3634,GM!$Q$5:$Q$756,GM!$J$5:$J$756)</f>
        <v>45645</v>
      </c>
    </row>
    <row r="3635" spans="1:8" hidden="1" x14ac:dyDescent="0.35">
      <c r="A3635" s="29" t="s">
        <v>14</v>
      </c>
      <c r="B3635" s="29" t="str">
        <f t="shared" si="56"/>
        <v>CHV-08</v>
      </c>
      <c r="C3635" s="29" t="s">
        <v>10379</v>
      </c>
      <c r="D3635" s="67" t="s">
        <v>10380</v>
      </c>
      <c r="E3635" s="96" t="s">
        <v>62</v>
      </c>
      <c r="F3635" s="29" t="s">
        <v>61</v>
      </c>
      <c r="G3635" s="29"/>
      <c r="H3635" s="103">
        <f>_xlfn.XLOOKUP(B3635,GM!$Q$5:$Q$756,GM!$J$5:$J$756)</f>
        <v>45645</v>
      </c>
    </row>
    <row r="3636" spans="1:8" hidden="1" x14ac:dyDescent="0.35">
      <c r="A3636" s="29" t="s">
        <v>14</v>
      </c>
      <c r="B3636" s="29" t="str">
        <f t="shared" si="56"/>
        <v>CHV-08</v>
      </c>
      <c r="C3636" s="29" t="s">
        <v>10381</v>
      </c>
      <c r="D3636" s="67" t="s">
        <v>10382</v>
      </c>
      <c r="E3636" s="96" t="s">
        <v>62</v>
      </c>
      <c r="F3636" s="29" t="s">
        <v>61</v>
      </c>
      <c r="G3636" s="29"/>
      <c r="H3636" s="103">
        <f>_xlfn.XLOOKUP(B3636,GM!$Q$5:$Q$756,GM!$J$5:$J$756)</f>
        <v>45645</v>
      </c>
    </row>
    <row r="3637" spans="1:8" hidden="1" x14ac:dyDescent="0.35">
      <c r="A3637" s="29" t="s">
        <v>14</v>
      </c>
      <c r="B3637" s="29" t="str">
        <f t="shared" si="56"/>
        <v>CHV-08</v>
      </c>
      <c r="C3637" s="29" t="s">
        <v>10383</v>
      </c>
      <c r="D3637" s="67" t="s">
        <v>10384</v>
      </c>
      <c r="E3637" s="96" t="s">
        <v>62</v>
      </c>
      <c r="F3637" s="29" t="s">
        <v>61</v>
      </c>
      <c r="G3637" s="29"/>
      <c r="H3637" s="103">
        <f>_xlfn.XLOOKUP(B3637,GM!$Q$5:$Q$756,GM!$J$5:$J$756)</f>
        <v>45645</v>
      </c>
    </row>
    <row r="3638" spans="1:8" hidden="1" x14ac:dyDescent="0.35">
      <c r="A3638" s="29" t="s">
        <v>14</v>
      </c>
      <c r="B3638" s="29" t="str">
        <f t="shared" si="56"/>
        <v>CHV-08</v>
      </c>
      <c r="C3638" s="29" t="s">
        <v>10385</v>
      </c>
      <c r="D3638" s="67" t="s">
        <v>10386</v>
      </c>
      <c r="E3638" s="96" t="s">
        <v>62</v>
      </c>
      <c r="F3638" s="29" t="s">
        <v>61</v>
      </c>
      <c r="G3638" s="29"/>
      <c r="H3638" s="103">
        <f>_xlfn.XLOOKUP(B3638,GM!$Q$5:$Q$756,GM!$J$5:$J$756)</f>
        <v>45645</v>
      </c>
    </row>
    <row r="3639" spans="1:8" hidden="1" x14ac:dyDescent="0.35">
      <c r="A3639" s="29" t="s">
        <v>14</v>
      </c>
      <c r="B3639" s="29" t="str">
        <f t="shared" si="56"/>
        <v>CHV-08</v>
      </c>
      <c r="C3639" s="29" t="s">
        <v>10387</v>
      </c>
      <c r="D3639" s="67" t="s">
        <v>10388</v>
      </c>
      <c r="E3639" s="96" t="s">
        <v>62</v>
      </c>
      <c r="F3639" s="29" t="s">
        <v>61</v>
      </c>
      <c r="G3639" s="29"/>
      <c r="H3639" s="103">
        <f>_xlfn.XLOOKUP(B3639,GM!$Q$5:$Q$756,GM!$J$5:$J$756)</f>
        <v>45645</v>
      </c>
    </row>
    <row r="3640" spans="1:8" hidden="1" x14ac:dyDescent="0.35">
      <c r="A3640" s="29" t="s">
        <v>16</v>
      </c>
      <c r="B3640" s="29" t="str">
        <f t="shared" si="56"/>
        <v>CN1-08</v>
      </c>
      <c r="C3640" s="29" t="s">
        <v>10389</v>
      </c>
      <c r="D3640" s="67" t="s">
        <v>10390</v>
      </c>
      <c r="E3640" s="96" t="s">
        <v>62</v>
      </c>
      <c r="F3640" s="29" t="s">
        <v>61</v>
      </c>
      <c r="G3640" s="29"/>
      <c r="H3640" s="103">
        <f>_xlfn.XLOOKUP(B3640,GM!$Q$5:$Q$756,GM!$J$5:$J$756)</f>
        <v>45645</v>
      </c>
    </row>
    <row r="3641" spans="1:8" hidden="1" x14ac:dyDescent="0.35">
      <c r="A3641" s="29" t="s">
        <v>16</v>
      </c>
      <c r="B3641" s="29" t="str">
        <f t="shared" si="56"/>
        <v>CN1-08</v>
      </c>
      <c r="C3641" s="29" t="s">
        <v>10391</v>
      </c>
      <c r="D3641" s="67" t="s">
        <v>10392</v>
      </c>
      <c r="E3641" s="96" t="s">
        <v>62</v>
      </c>
      <c r="F3641" s="29" t="s">
        <v>61</v>
      </c>
      <c r="G3641" s="29"/>
      <c r="H3641" s="103">
        <f>_xlfn.XLOOKUP(B3641,GM!$Q$5:$Q$756,GM!$J$5:$J$756)</f>
        <v>45645</v>
      </c>
    </row>
    <row r="3642" spans="1:8" hidden="1" x14ac:dyDescent="0.35">
      <c r="A3642" s="29" t="s">
        <v>16</v>
      </c>
      <c r="B3642" s="29" t="str">
        <f t="shared" si="56"/>
        <v>CN1-08</v>
      </c>
      <c r="C3642" s="29" t="s">
        <v>10393</v>
      </c>
      <c r="D3642" s="67" t="s">
        <v>10394</v>
      </c>
      <c r="E3642" s="96" t="s">
        <v>62</v>
      </c>
      <c r="F3642" s="29" t="s">
        <v>61</v>
      </c>
      <c r="G3642" s="29"/>
      <c r="H3642" s="103">
        <f>_xlfn.XLOOKUP(B3642,GM!$Q$5:$Q$756,GM!$J$5:$J$756)</f>
        <v>45645</v>
      </c>
    </row>
    <row r="3643" spans="1:8" hidden="1" x14ac:dyDescent="0.35">
      <c r="A3643" s="29" t="s">
        <v>16</v>
      </c>
      <c r="B3643" s="29" t="str">
        <f t="shared" si="56"/>
        <v>CN1-08</v>
      </c>
      <c r="C3643" s="29" t="s">
        <v>10395</v>
      </c>
      <c r="D3643" s="67" t="s">
        <v>10396</v>
      </c>
      <c r="E3643" s="96" t="s">
        <v>62</v>
      </c>
      <c r="F3643" s="29" t="s">
        <v>61</v>
      </c>
      <c r="G3643" s="29"/>
      <c r="H3643" s="103">
        <f>_xlfn.XLOOKUP(B3643,GM!$Q$5:$Q$756,GM!$J$5:$J$756)</f>
        <v>45645</v>
      </c>
    </row>
    <row r="3644" spans="1:8" hidden="1" x14ac:dyDescent="0.35">
      <c r="A3644" s="29" t="s">
        <v>16</v>
      </c>
      <c r="B3644" s="29" t="str">
        <f t="shared" si="56"/>
        <v>CN1-08</v>
      </c>
      <c r="C3644" s="29" t="s">
        <v>10397</v>
      </c>
      <c r="D3644" s="67" t="s">
        <v>10398</v>
      </c>
      <c r="E3644" s="96" t="s">
        <v>62</v>
      </c>
      <c r="F3644" s="29" t="s">
        <v>61</v>
      </c>
      <c r="G3644" s="29"/>
      <c r="H3644" s="103">
        <f>_xlfn.XLOOKUP(B3644,GM!$Q$5:$Q$756,GM!$J$5:$J$756)</f>
        <v>45645</v>
      </c>
    </row>
    <row r="3645" spans="1:8" hidden="1" x14ac:dyDescent="0.35">
      <c r="A3645" s="29" t="s">
        <v>16</v>
      </c>
      <c r="B3645" s="29" t="str">
        <f t="shared" si="56"/>
        <v>CN1-08</v>
      </c>
      <c r="C3645" s="29" t="s">
        <v>10399</v>
      </c>
      <c r="D3645" s="67" t="s">
        <v>10400</v>
      </c>
      <c r="E3645" s="96" t="s">
        <v>62</v>
      </c>
      <c r="F3645" s="29" t="s">
        <v>61</v>
      </c>
      <c r="G3645" s="29"/>
      <c r="H3645" s="103">
        <f>_xlfn.XLOOKUP(B3645,GM!$Q$5:$Q$756,GM!$J$5:$J$756)</f>
        <v>45645</v>
      </c>
    </row>
    <row r="3646" spans="1:8" hidden="1" x14ac:dyDescent="0.35">
      <c r="A3646" s="29" t="s">
        <v>17</v>
      </c>
      <c r="B3646" s="29" t="str">
        <f t="shared" si="56"/>
        <v>CN2-08</v>
      </c>
      <c r="C3646" s="29" t="s">
        <v>10401</v>
      </c>
      <c r="D3646" s="67" t="s">
        <v>10402</v>
      </c>
      <c r="E3646" s="96" t="s">
        <v>62</v>
      </c>
      <c r="F3646" s="29" t="s">
        <v>61</v>
      </c>
      <c r="G3646" s="29"/>
      <c r="H3646" s="103">
        <f>_xlfn.XLOOKUP(B3646,GM!$Q$5:$Q$756,GM!$J$5:$J$756)</f>
        <v>45645</v>
      </c>
    </row>
    <row r="3647" spans="1:8" hidden="1" x14ac:dyDescent="0.35">
      <c r="A3647" s="29" t="s">
        <v>17</v>
      </c>
      <c r="B3647" s="29" t="str">
        <f t="shared" si="56"/>
        <v>CN2-08</v>
      </c>
      <c r="C3647" s="29" t="s">
        <v>10403</v>
      </c>
      <c r="D3647" s="67" t="s">
        <v>10404</v>
      </c>
      <c r="E3647" s="96" t="s">
        <v>62</v>
      </c>
      <c r="F3647" s="29" t="s">
        <v>61</v>
      </c>
      <c r="G3647" s="29"/>
      <c r="H3647" s="103">
        <f>_xlfn.XLOOKUP(B3647,GM!$Q$5:$Q$756,GM!$J$5:$J$756)</f>
        <v>45645</v>
      </c>
    </row>
    <row r="3648" spans="1:8" hidden="1" x14ac:dyDescent="0.35">
      <c r="A3648" s="29" t="s">
        <v>17</v>
      </c>
      <c r="B3648" s="29" t="str">
        <f t="shared" si="56"/>
        <v>CN2-08</v>
      </c>
      <c r="C3648" s="29" t="s">
        <v>10405</v>
      </c>
      <c r="D3648" s="67" t="s">
        <v>10406</v>
      </c>
      <c r="E3648" s="96" t="s">
        <v>62</v>
      </c>
      <c r="F3648" s="29" t="s">
        <v>61</v>
      </c>
      <c r="G3648" s="29"/>
      <c r="H3648" s="103">
        <f>_xlfn.XLOOKUP(B3648,GM!$Q$5:$Q$756,GM!$J$5:$J$756)</f>
        <v>45645</v>
      </c>
    </row>
    <row r="3649" spans="1:8" hidden="1" x14ac:dyDescent="0.35">
      <c r="A3649" s="29" t="s">
        <v>17</v>
      </c>
      <c r="B3649" s="29" t="str">
        <f t="shared" si="56"/>
        <v>CN2-08</v>
      </c>
      <c r="C3649" s="29" t="s">
        <v>10407</v>
      </c>
      <c r="D3649" s="67" t="s">
        <v>10408</v>
      </c>
      <c r="E3649" s="96" t="s">
        <v>62</v>
      </c>
      <c r="F3649" s="29" t="s">
        <v>61</v>
      </c>
      <c r="G3649" s="29"/>
      <c r="H3649" s="103">
        <f>_xlfn.XLOOKUP(B3649,GM!$Q$5:$Q$756,GM!$J$5:$J$756)</f>
        <v>45645</v>
      </c>
    </row>
    <row r="3650" spans="1:8" hidden="1" x14ac:dyDescent="0.35">
      <c r="A3650" s="29" t="s">
        <v>17</v>
      </c>
      <c r="B3650" s="29" t="str">
        <f t="shared" si="56"/>
        <v>CN2-08</v>
      </c>
      <c r="C3650" s="29" t="s">
        <v>10409</v>
      </c>
      <c r="D3650" s="67" t="s">
        <v>10410</v>
      </c>
      <c r="E3650" s="96" t="s">
        <v>62</v>
      </c>
      <c r="F3650" s="29" t="s">
        <v>61</v>
      </c>
      <c r="G3650" s="29"/>
      <c r="H3650" s="103">
        <f>_xlfn.XLOOKUP(B3650,GM!$Q$5:$Q$756,GM!$J$5:$J$756)</f>
        <v>45645</v>
      </c>
    </row>
    <row r="3651" spans="1:8" hidden="1" x14ac:dyDescent="0.35">
      <c r="A3651" s="29" t="s">
        <v>17</v>
      </c>
      <c r="B3651" s="29" t="str">
        <f t="shared" si="56"/>
        <v>CN2-08</v>
      </c>
      <c r="C3651" s="29" t="s">
        <v>10411</v>
      </c>
      <c r="D3651" s="67" t="s">
        <v>10412</v>
      </c>
      <c r="E3651" s="96" t="s">
        <v>62</v>
      </c>
      <c r="F3651" s="29" t="s">
        <v>61</v>
      </c>
      <c r="G3651" s="29"/>
      <c r="H3651" s="103">
        <f>_xlfn.XLOOKUP(B3651,GM!$Q$5:$Q$756,GM!$J$5:$J$756)</f>
        <v>45645</v>
      </c>
    </row>
    <row r="3652" spans="1:8" hidden="1" x14ac:dyDescent="0.35">
      <c r="A3652" s="29" t="s">
        <v>18</v>
      </c>
      <c r="B3652" s="29" t="str">
        <f t="shared" si="56"/>
        <v>CPV-08</v>
      </c>
      <c r="C3652" s="29" t="s">
        <v>10413</v>
      </c>
      <c r="D3652" s="67" t="s">
        <v>10414</v>
      </c>
      <c r="E3652" s="96" t="s">
        <v>62</v>
      </c>
      <c r="F3652" s="29" t="s">
        <v>61</v>
      </c>
      <c r="G3652" s="29"/>
      <c r="H3652" s="103">
        <f>_xlfn.XLOOKUP(B3652,GM!$Q$5:$Q$756,GM!$J$5:$J$756)</f>
        <v>45959</v>
      </c>
    </row>
    <row r="3653" spans="1:8" hidden="1" x14ac:dyDescent="0.35">
      <c r="A3653" s="29" t="s">
        <v>18</v>
      </c>
      <c r="B3653" s="29" t="str">
        <f t="shared" ref="B3653:B3716" si="57">IF(OR(A3653="ARN",A3653="SDP"),MID(C3653,4,7),MID(C3653,4,6))</f>
        <v>CPV-08</v>
      </c>
      <c r="C3653" s="29" t="s">
        <v>10415</v>
      </c>
      <c r="D3653" s="67" t="s">
        <v>10416</v>
      </c>
      <c r="E3653" s="96" t="s">
        <v>62</v>
      </c>
      <c r="F3653" s="29" t="s">
        <v>61</v>
      </c>
      <c r="G3653" s="29"/>
      <c r="H3653" s="103">
        <f>_xlfn.XLOOKUP(B3653,GM!$Q$5:$Q$756,GM!$J$5:$J$756)</f>
        <v>45959</v>
      </c>
    </row>
    <row r="3654" spans="1:8" hidden="1" x14ac:dyDescent="0.35">
      <c r="A3654" s="29" t="s">
        <v>18</v>
      </c>
      <c r="B3654" s="29" t="str">
        <f t="shared" si="57"/>
        <v>CPV-08</v>
      </c>
      <c r="C3654" s="29" t="s">
        <v>10417</v>
      </c>
      <c r="D3654" s="67" t="s">
        <v>10418</v>
      </c>
      <c r="E3654" s="96" t="s">
        <v>62</v>
      </c>
      <c r="F3654" s="29" t="s">
        <v>61</v>
      </c>
      <c r="G3654" s="29"/>
      <c r="H3654" s="103">
        <f>_xlfn.XLOOKUP(B3654,GM!$Q$5:$Q$756,GM!$J$5:$J$756)</f>
        <v>45959</v>
      </c>
    </row>
    <row r="3655" spans="1:8" hidden="1" x14ac:dyDescent="0.35">
      <c r="A3655" s="29" t="s">
        <v>18</v>
      </c>
      <c r="B3655" s="29" t="str">
        <f t="shared" si="57"/>
        <v>CPV-08</v>
      </c>
      <c r="C3655" s="29" t="s">
        <v>10419</v>
      </c>
      <c r="D3655" s="67" t="s">
        <v>10420</v>
      </c>
      <c r="E3655" s="96" t="s">
        <v>62</v>
      </c>
      <c r="F3655" s="29" t="s">
        <v>61</v>
      </c>
      <c r="G3655" s="29"/>
      <c r="H3655" s="103">
        <f>_xlfn.XLOOKUP(B3655,GM!$Q$5:$Q$756,GM!$J$5:$J$756)</f>
        <v>45959</v>
      </c>
    </row>
    <row r="3656" spans="1:8" hidden="1" x14ac:dyDescent="0.35">
      <c r="A3656" s="29" t="s">
        <v>18</v>
      </c>
      <c r="B3656" s="29" t="str">
        <f t="shared" si="57"/>
        <v>CPV-08</v>
      </c>
      <c r="C3656" s="29" t="s">
        <v>10421</v>
      </c>
      <c r="D3656" s="67" t="s">
        <v>10422</v>
      </c>
      <c r="E3656" s="96" t="s">
        <v>62</v>
      </c>
      <c r="F3656" s="29" t="s">
        <v>61</v>
      </c>
      <c r="G3656" s="29"/>
      <c r="H3656" s="103">
        <f>_xlfn.XLOOKUP(B3656,GM!$Q$5:$Q$756,GM!$J$5:$J$756)</f>
        <v>45959</v>
      </c>
    </row>
    <row r="3657" spans="1:8" hidden="1" x14ac:dyDescent="0.35">
      <c r="A3657" s="29" t="s">
        <v>18</v>
      </c>
      <c r="B3657" s="29" t="str">
        <f t="shared" si="57"/>
        <v>CPV-08</v>
      </c>
      <c r="C3657" s="29" t="s">
        <v>10423</v>
      </c>
      <c r="D3657" s="67" t="s">
        <v>10424</v>
      </c>
      <c r="E3657" s="96" t="s">
        <v>62</v>
      </c>
      <c r="F3657" s="29" t="s">
        <v>61</v>
      </c>
      <c r="G3657" s="29"/>
      <c r="H3657" s="103">
        <f>_xlfn.XLOOKUP(B3657,GM!$Q$5:$Q$756,GM!$J$5:$J$756)</f>
        <v>45959</v>
      </c>
    </row>
    <row r="3658" spans="1:8" hidden="1" x14ac:dyDescent="0.35">
      <c r="A3658" s="29" t="s">
        <v>26</v>
      </c>
      <c r="B3658" s="29" t="str">
        <f t="shared" si="57"/>
        <v>GAR-08</v>
      </c>
      <c r="C3658" s="29" t="s">
        <v>10425</v>
      </c>
      <c r="D3658" s="67" t="s">
        <v>10426</v>
      </c>
      <c r="E3658" s="96" t="s">
        <v>62</v>
      </c>
      <c r="F3658" s="29" t="s">
        <v>61</v>
      </c>
      <c r="G3658" s="29"/>
      <c r="H3658" s="103">
        <f>_xlfn.XLOOKUP(B3658,GM!$Q$5:$Q$756,GM!$J$5:$J$756)</f>
        <v>45645</v>
      </c>
    </row>
    <row r="3659" spans="1:8" hidden="1" x14ac:dyDescent="0.35">
      <c r="A3659" s="29" t="s">
        <v>26</v>
      </c>
      <c r="B3659" s="29" t="str">
        <f t="shared" si="57"/>
        <v>GAR-08</v>
      </c>
      <c r="C3659" s="29" t="s">
        <v>10427</v>
      </c>
      <c r="D3659" s="67" t="s">
        <v>10428</v>
      </c>
      <c r="E3659" s="96" t="s">
        <v>62</v>
      </c>
      <c r="F3659" s="29" t="s">
        <v>61</v>
      </c>
      <c r="G3659" s="29"/>
      <c r="H3659" s="103">
        <f>_xlfn.XLOOKUP(B3659,GM!$Q$5:$Q$756,GM!$J$5:$J$756)</f>
        <v>45645</v>
      </c>
    </row>
    <row r="3660" spans="1:8" hidden="1" x14ac:dyDescent="0.35">
      <c r="A3660" s="29" t="s">
        <v>26</v>
      </c>
      <c r="B3660" s="29" t="str">
        <f t="shared" si="57"/>
        <v>GAR-08</v>
      </c>
      <c r="C3660" s="29" t="s">
        <v>10429</v>
      </c>
      <c r="D3660" s="67" t="s">
        <v>10430</v>
      </c>
      <c r="E3660" s="96" t="s">
        <v>62</v>
      </c>
      <c r="F3660" s="29" t="s">
        <v>61</v>
      </c>
      <c r="G3660" s="29"/>
      <c r="H3660" s="103">
        <f>_xlfn.XLOOKUP(B3660,GM!$Q$5:$Q$756,GM!$J$5:$J$756)</f>
        <v>45645</v>
      </c>
    </row>
    <row r="3661" spans="1:8" hidden="1" x14ac:dyDescent="0.35">
      <c r="A3661" s="29" t="s">
        <v>26</v>
      </c>
      <c r="B3661" s="29" t="str">
        <f t="shared" si="57"/>
        <v>GAR-08</v>
      </c>
      <c r="C3661" s="29" t="s">
        <v>10431</v>
      </c>
      <c r="D3661" s="67" t="s">
        <v>10432</v>
      </c>
      <c r="E3661" s="96" t="s">
        <v>62</v>
      </c>
      <c r="F3661" s="29" t="s">
        <v>61</v>
      </c>
      <c r="G3661" s="29"/>
      <c r="H3661" s="103">
        <f>_xlfn.XLOOKUP(B3661,GM!$Q$5:$Q$756,GM!$J$5:$J$756)</f>
        <v>45645</v>
      </c>
    </row>
    <row r="3662" spans="1:8" hidden="1" x14ac:dyDescent="0.35">
      <c r="A3662" s="29" t="s">
        <v>26</v>
      </c>
      <c r="B3662" s="29" t="str">
        <f t="shared" si="57"/>
        <v>GAR-08</v>
      </c>
      <c r="C3662" s="29" t="s">
        <v>10433</v>
      </c>
      <c r="D3662" s="67" t="s">
        <v>10434</v>
      </c>
      <c r="E3662" s="96" t="s">
        <v>62</v>
      </c>
      <c r="F3662" s="29" t="s">
        <v>61</v>
      </c>
      <c r="G3662" s="29"/>
      <c r="H3662" s="103">
        <f>_xlfn.XLOOKUP(B3662,GM!$Q$5:$Q$756,GM!$J$5:$J$756)</f>
        <v>45645</v>
      </c>
    </row>
    <row r="3663" spans="1:8" hidden="1" x14ac:dyDescent="0.35">
      <c r="A3663" s="29" t="s">
        <v>26</v>
      </c>
      <c r="B3663" s="29" t="str">
        <f t="shared" si="57"/>
        <v>GAR-08</v>
      </c>
      <c r="C3663" s="29" t="s">
        <v>10435</v>
      </c>
      <c r="D3663" s="67" t="s">
        <v>10436</v>
      </c>
      <c r="E3663" s="96" t="s">
        <v>62</v>
      </c>
      <c r="F3663" s="29" t="s">
        <v>61</v>
      </c>
      <c r="G3663" s="29"/>
      <c r="H3663" s="103">
        <f>_xlfn.XLOOKUP(B3663,GM!$Q$5:$Q$756,GM!$J$5:$J$756)</f>
        <v>45645</v>
      </c>
    </row>
    <row r="3664" spans="1:8" hidden="1" x14ac:dyDescent="0.35">
      <c r="A3664" s="29" t="s">
        <v>23</v>
      </c>
      <c r="B3664" s="29" t="str">
        <f t="shared" si="57"/>
        <v>ILS-08</v>
      </c>
      <c r="C3664" s="29" t="s">
        <v>10437</v>
      </c>
      <c r="D3664" s="67" t="s">
        <v>10438</v>
      </c>
      <c r="E3664" s="96" t="s">
        <v>62</v>
      </c>
      <c r="F3664" s="29" t="s">
        <v>61</v>
      </c>
      <c r="G3664" s="29"/>
      <c r="H3664" s="103">
        <f>_xlfn.XLOOKUP(B3664,GM!$Q$5:$Q$756,GM!$J$5:$J$756)</f>
        <v>45645</v>
      </c>
    </row>
    <row r="3665" spans="1:8" hidden="1" x14ac:dyDescent="0.35">
      <c r="A3665" s="29" t="s">
        <v>23</v>
      </c>
      <c r="B3665" s="29" t="str">
        <f t="shared" si="57"/>
        <v>ILS-08</v>
      </c>
      <c r="C3665" s="29" t="s">
        <v>10439</v>
      </c>
      <c r="D3665" s="67" t="s">
        <v>10440</v>
      </c>
      <c r="E3665" s="96" t="s">
        <v>62</v>
      </c>
      <c r="F3665" s="29" t="s">
        <v>61</v>
      </c>
      <c r="G3665" s="29"/>
      <c r="H3665" s="103">
        <f>_xlfn.XLOOKUP(B3665,GM!$Q$5:$Q$756,GM!$J$5:$J$756)</f>
        <v>45645</v>
      </c>
    </row>
    <row r="3666" spans="1:8" hidden="1" x14ac:dyDescent="0.35">
      <c r="A3666" s="29" t="s">
        <v>23</v>
      </c>
      <c r="B3666" s="29" t="str">
        <f t="shared" si="57"/>
        <v>ILS-08</v>
      </c>
      <c r="C3666" s="29" t="s">
        <v>10441</v>
      </c>
      <c r="D3666" s="67" t="s">
        <v>10442</v>
      </c>
      <c r="E3666" s="96" t="s">
        <v>62</v>
      </c>
      <c r="F3666" s="29" t="s">
        <v>61</v>
      </c>
      <c r="G3666" s="29"/>
      <c r="H3666" s="103">
        <f>_xlfn.XLOOKUP(B3666,GM!$Q$5:$Q$756,GM!$J$5:$J$756)</f>
        <v>45645</v>
      </c>
    </row>
    <row r="3667" spans="1:8" hidden="1" x14ac:dyDescent="0.35">
      <c r="A3667" s="29" t="s">
        <v>23</v>
      </c>
      <c r="B3667" s="29" t="str">
        <f t="shared" si="57"/>
        <v>ILS-08</v>
      </c>
      <c r="C3667" s="29" t="s">
        <v>10443</v>
      </c>
      <c r="D3667" s="67" t="s">
        <v>10444</v>
      </c>
      <c r="E3667" s="96" t="s">
        <v>62</v>
      </c>
      <c r="F3667" s="29" t="s">
        <v>61</v>
      </c>
      <c r="G3667" s="29"/>
      <c r="H3667" s="103">
        <f>_xlfn.XLOOKUP(B3667,GM!$Q$5:$Q$756,GM!$J$5:$J$756)</f>
        <v>45645</v>
      </c>
    </row>
    <row r="3668" spans="1:8" hidden="1" x14ac:dyDescent="0.35">
      <c r="A3668" s="29" t="s">
        <v>23</v>
      </c>
      <c r="B3668" s="29" t="str">
        <f t="shared" si="57"/>
        <v>ILS-08</v>
      </c>
      <c r="C3668" s="29" t="s">
        <v>10445</v>
      </c>
      <c r="D3668" s="67" t="s">
        <v>10446</v>
      </c>
      <c r="E3668" s="96" t="s">
        <v>62</v>
      </c>
      <c r="F3668" s="29" t="s">
        <v>61</v>
      </c>
      <c r="G3668" s="29"/>
      <c r="H3668" s="103">
        <f>_xlfn.XLOOKUP(B3668,GM!$Q$5:$Q$756,GM!$J$5:$J$756)</f>
        <v>45645</v>
      </c>
    </row>
    <row r="3669" spans="1:8" hidden="1" x14ac:dyDescent="0.35">
      <c r="A3669" s="29" t="s">
        <v>23</v>
      </c>
      <c r="B3669" s="29" t="str">
        <f t="shared" si="57"/>
        <v>ILS-08</v>
      </c>
      <c r="C3669" s="29" t="s">
        <v>10447</v>
      </c>
      <c r="D3669" s="67" t="s">
        <v>10448</v>
      </c>
      <c r="E3669" s="96" t="s">
        <v>62</v>
      </c>
      <c r="F3669" s="29" t="s">
        <v>61</v>
      </c>
      <c r="G3669" s="29"/>
      <c r="H3669" s="103">
        <f>_xlfn.XLOOKUP(B3669,GM!$Q$5:$Q$756,GM!$J$5:$J$756)</f>
        <v>45645</v>
      </c>
    </row>
    <row r="3670" spans="1:8" x14ac:dyDescent="0.35">
      <c r="A3670" s="29" t="s">
        <v>24</v>
      </c>
      <c r="B3670" s="29" t="str">
        <f t="shared" si="57"/>
        <v>JUP-08</v>
      </c>
      <c r="C3670" s="29" t="s">
        <v>10449</v>
      </c>
      <c r="D3670" s="67" t="s">
        <v>10450</v>
      </c>
      <c r="E3670" s="96" t="s">
        <v>62</v>
      </c>
      <c r="F3670" s="29" t="s">
        <v>61</v>
      </c>
      <c r="G3670" s="29"/>
      <c r="H3670" s="103">
        <f>_xlfn.XLOOKUP(B3670,GM!$Q$5:$Q$756,GM!$J$5:$J$756)</f>
        <v>45645</v>
      </c>
    </row>
    <row r="3671" spans="1:8" x14ac:dyDescent="0.35">
      <c r="A3671" s="29" t="s">
        <v>24</v>
      </c>
      <c r="B3671" s="29" t="str">
        <f t="shared" si="57"/>
        <v>JUP-08</v>
      </c>
      <c r="C3671" s="29" t="s">
        <v>10451</v>
      </c>
      <c r="D3671" s="67" t="s">
        <v>10452</v>
      </c>
      <c r="E3671" s="96" t="s">
        <v>62</v>
      </c>
      <c r="F3671" s="29" t="s">
        <v>61</v>
      </c>
      <c r="G3671" s="29"/>
      <c r="H3671" s="103">
        <f>_xlfn.XLOOKUP(B3671,GM!$Q$5:$Q$756,GM!$J$5:$J$756)</f>
        <v>45645</v>
      </c>
    </row>
    <row r="3672" spans="1:8" x14ac:dyDescent="0.35">
      <c r="A3672" s="29" t="s">
        <v>24</v>
      </c>
      <c r="B3672" s="29" t="str">
        <f t="shared" si="57"/>
        <v>JUP-08</v>
      </c>
      <c r="C3672" s="29" t="s">
        <v>10453</v>
      </c>
      <c r="D3672" s="67" t="s">
        <v>10454</v>
      </c>
      <c r="E3672" s="96" t="s">
        <v>62</v>
      </c>
      <c r="F3672" s="29" t="s">
        <v>61</v>
      </c>
      <c r="G3672" s="29"/>
      <c r="H3672" s="103">
        <f>_xlfn.XLOOKUP(B3672,GM!$Q$5:$Q$756,GM!$J$5:$J$756)</f>
        <v>45645</v>
      </c>
    </row>
    <row r="3673" spans="1:8" x14ac:dyDescent="0.35">
      <c r="A3673" s="29" t="s">
        <v>24</v>
      </c>
      <c r="B3673" s="29" t="str">
        <f t="shared" si="57"/>
        <v>JUP-08</v>
      </c>
      <c r="C3673" s="29" t="s">
        <v>10455</v>
      </c>
      <c r="D3673" s="67" t="s">
        <v>10456</v>
      </c>
      <c r="E3673" s="96" t="s">
        <v>62</v>
      </c>
      <c r="F3673" s="29" t="s">
        <v>61</v>
      </c>
      <c r="G3673" s="29"/>
      <c r="H3673" s="103">
        <f>_xlfn.XLOOKUP(B3673,GM!$Q$5:$Q$756,GM!$J$5:$J$756)</f>
        <v>45645</v>
      </c>
    </row>
    <row r="3674" spans="1:8" x14ac:dyDescent="0.35">
      <c r="A3674" s="29" t="s">
        <v>24</v>
      </c>
      <c r="B3674" s="29" t="str">
        <f t="shared" si="57"/>
        <v>JUP-08</v>
      </c>
      <c r="C3674" s="29" t="s">
        <v>10457</v>
      </c>
      <c r="D3674" s="67" t="s">
        <v>10458</v>
      </c>
      <c r="E3674" s="96" t="s">
        <v>62</v>
      </c>
      <c r="F3674" s="29" t="s">
        <v>61</v>
      </c>
      <c r="G3674" s="29"/>
      <c r="H3674" s="103">
        <f>_xlfn.XLOOKUP(B3674,GM!$Q$5:$Q$756,GM!$J$5:$J$756)</f>
        <v>45645</v>
      </c>
    </row>
    <row r="3675" spans="1:8" x14ac:dyDescent="0.35">
      <c r="A3675" s="29" t="s">
        <v>24</v>
      </c>
      <c r="B3675" s="29" t="str">
        <f t="shared" si="57"/>
        <v>JUP-08</v>
      </c>
      <c r="C3675" s="29" t="s">
        <v>10459</v>
      </c>
      <c r="D3675" s="67" t="s">
        <v>10460</v>
      </c>
      <c r="E3675" s="96" t="s">
        <v>62</v>
      </c>
      <c r="F3675" s="29" t="s">
        <v>61</v>
      </c>
      <c r="G3675" s="29"/>
      <c r="H3675" s="103">
        <f>_xlfn.XLOOKUP(B3675,GM!$Q$5:$Q$756,GM!$J$5:$J$756)</f>
        <v>45645</v>
      </c>
    </row>
    <row r="3676" spans="1:8" hidden="1" x14ac:dyDescent="0.35">
      <c r="A3676" s="29" t="s">
        <v>13</v>
      </c>
      <c r="B3676" s="29" t="str">
        <f t="shared" si="57"/>
        <v>JUR-08</v>
      </c>
      <c r="C3676" s="29" t="s">
        <v>10461</v>
      </c>
      <c r="D3676" s="67" t="s">
        <v>10462</v>
      </c>
      <c r="E3676" s="96" t="s">
        <v>62</v>
      </c>
      <c r="F3676" s="29" t="s">
        <v>61</v>
      </c>
      <c r="G3676" s="29"/>
      <c r="H3676" s="103">
        <f>_xlfn.XLOOKUP(B3676,GM!$Q$5:$Q$756,GM!$J$5:$J$756)</f>
        <v>45645</v>
      </c>
    </row>
    <row r="3677" spans="1:8" hidden="1" x14ac:dyDescent="0.35">
      <c r="A3677" s="29" t="s">
        <v>13</v>
      </c>
      <c r="B3677" s="29" t="str">
        <f t="shared" si="57"/>
        <v>JUR-08</v>
      </c>
      <c r="C3677" s="29" t="s">
        <v>10463</v>
      </c>
      <c r="D3677" s="67" t="s">
        <v>10464</v>
      </c>
      <c r="E3677" s="96" t="s">
        <v>62</v>
      </c>
      <c r="F3677" s="29" t="s">
        <v>61</v>
      </c>
      <c r="G3677" s="29"/>
      <c r="H3677" s="103">
        <f>_xlfn.XLOOKUP(B3677,GM!$Q$5:$Q$756,GM!$J$5:$J$756)</f>
        <v>45645</v>
      </c>
    </row>
    <row r="3678" spans="1:8" hidden="1" x14ac:dyDescent="0.35">
      <c r="A3678" s="29" t="s">
        <v>13</v>
      </c>
      <c r="B3678" s="29" t="str">
        <f t="shared" si="57"/>
        <v>JUR-08</v>
      </c>
      <c r="C3678" s="29" t="s">
        <v>10465</v>
      </c>
      <c r="D3678" s="67" t="s">
        <v>10466</v>
      </c>
      <c r="E3678" s="96" t="s">
        <v>62</v>
      </c>
      <c r="F3678" s="29" t="s">
        <v>61</v>
      </c>
      <c r="G3678" s="29"/>
      <c r="H3678" s="103">
        <f>_xlfn.XLOOKUP(B3678,GM!$Q$5:$Q$756,GM!$J$5:$J$756)</f>
        <v>45645</v>
      </c>
    </row>
    <row r="3679" spans="1:8" hidden="1" x14ac:dyDescent="0.35">
      <c r="A3679" s="29" t="s">
        <v>13</v>
      </c>
      <c r="B3679" s="29" t="str">
        <f t="shared" si="57"/>
        <v>JUR-08</v>
      </c>
      <c r="C3679" s="29" t="s">
        <v>10467</v>
      </c>
      <c r="D3679" s="67" t="s">
        <v>10468</v>
      </c>
      <c r="E3679" s="96" t="s">
        <v>62</v>
      </c>
      <c r="F3679" s="29" t="s">
        <v>61</v>
      </c>
      <c r="G3679" s="29"/>
      <c r="H3679" s="103">
        <f>_xlfn.XLOOKUP(B3679,GM!$Q$5:$Q$756,GM!$J$5:$J$756)</f>
        <v>45645</v>
      </c>
    </row>
    <row r="3680" spans="1:8" hidden="1" x14ac:dyDescent="0.35">
      <c r="A3680" s="29" t="s">
        <v>13</v>
      </c>
      <c r="B3680" s="29" t="str">
        <f t="shared" si="57"/>
        <v>JUR-08</v>
      </c>
      <c r="C3680" s="29" t="s">
        <v>10469</v>
      </c>
      <c r="D3680" s="67" t="s">
        <v>10470</v>
      </c>
      <c r="E3680" s="96" t="s">
        <v>62</v>
      </c>
      <c r="F3680" s="29" t="s">
        <v>61</v>
      </c>
      <c r="G3680" s="29"/>
      <c r="H3680" s="103">
        <f>_xlfn.XLOOKUP(B3680,GM!$Q$5:$Q$756,GM!$J$5:$J$756)</f>
        <v>45645</v>
      </c>
    </row>
    <row r="3681" spans="1:8" hidden="1" x14ac:dyDescent="0.35">
      <c r="A3681" s="29" t="s">
        <v>13</v>
      </c>
      <c r="B3681" s="29" t="str">
        <f t="shared" si="57"/>
        <v>JUR-08</v>
      </c>
      <c r="C3681" s="29" t="s">
        <v>10471</v>
      </c>
      <c r="D3681" s="67" t="s">
        <v>10472</v>
      </c>
      <c r="E3681" s="96" t="s">
        <v>62</v>
      </c>
      <c r="F3681" s="29" t="s">
        <v>61</v>
      </c>
      <c r="G3681" s="29"/>
      <c r="H3681" s="103">
        <f>_xlfn.XLOOKUP(B3681,GM!$Q$5:$Q$756,GM!$J$5:$J$756)</f>
        <v>45645</v>
      </c>
    </row>
    <row r="3682" spans="1:8" hidden="1" x14ac:dyDescent="0.35">
      <c r="A3682" s="29" t="s">
        <v>21</v>
      </c>
      <c r="B3682" s="29" t="str">
        <f t="shared" si="57"/>
        <v>PLM-08</v>
      </c>
      <c r="C3682" s="29" t="s">
        <v>10473</v>
      </c>
      <c r="D3682" s="67" t="s">
        <v>10474</v>
      </c>
      <c r="E3682" s="96" t="s">
        <v>62</v>
      </c>
      <c r="F3682" s="29" t="s">
        <v>61</v>
      </c>
      <c r="G3682" s="29"/>
      <c r="H3682" s="103">
        <f>_xlfn.XLOOKUP(B3682,GM!$Q$5:$Q$756,GM!$J$5:$J$756)</f>
        <v>45645</v>
      </c>
    </row>
    <row r="3683" spans="1:8" hidden="1" x14ac:dyDescent="0.35">
      <c r="A3683" s="29" t="s">
        <v>21</v>
      </c>
      <c r="B3683" s="29" t="str">
        <f t="shared" si="57"/>
        <v>PLM-08</v>
      </c>
      <c r="C3683" s="29" t="s">
        <v>10475</v>
      </c>
      <c r="D3683" s="67" t="s">
        <v>10476</v>
      </c>
      <c r="E3683" s="96" t="s">
        <v>62</v>
      </c>
      <c r="F3683" s="29" t="s">
        <v>61</v>
      </c>
      <c r="G3683" s="29"/>
      <c r="H3683" s="103">
        <f>_xlfn.XLOOKUP(B3683,GM!$Q$5:$Q$756,GM!$J$5:$J$756)</f>
        <v>45645</v>
      </c>
    </row>
    <row r="3684" spans="1:8" hidden="1" x14ac:dyDescent="0.35">
      <c r="A3684" s="29" t="s">
        <v>21</v>
      </c>
      <c r="B3684" s="29" t="str">
        <f t="shared" si="57"/>
        <v>PLM-08</v>
      </c>
      <c r="C3684" s="29" t="s">
        <v>10477</v>
      </c>
      <c r="D3684" s="67" t="s">
        <v>10478</v>
      </c>
      <c r="E3684" s="96" t="s">
        <v>62</v>
      </c>
      <c r="F3684" s="29" t="s">
        <v>61</v>
      </c>
      <c r="G3684" s="29"/>
      <c r="H3684" s="103">
        <f>_xlfn.XLOOKUP(B3684,GM!$Q$5:$Q$756,GM!$J$5:$J$756)</f>
        <v>45645</v>
      </c>
    </row>
    <row r="3685" spans="1:8" hidden="1" x14ac:dyDescent="0.35">
      <c r="A3685" s="29" t="s">
        <v>21</v>
      </c>
      <c r="B3685" s="29" t="str">
        <f t="shared" si="57"/>
        <v>PLM-08</v>
      </c>
      <c r="C3685" s="29" t="s">
        <v>10479</v>
      </c>
      <c r="D3685" s="67" t="s">
        <v>10480</v>
      </c>
      <c r="E3685" s="96" t="s">
        <v>62</v>
      </c>
      <c r="F3685" s="29" t="s">
        <v>61</v>
      </c>
      <c r="G3685" s="29"/>
      <c r="H3685" s="103">
        <f>_xlfn.XLOOKUP(B3685,GM!$Q$5:$Q$756,GM!$J$5:$J$756)</f>
        <v>45645</v>
      </c>
    </row>
    <row r="3686" spans="1:8" hidden="1" x14ac:dyDescent="0.35">
      <c r="A3686" s="29" t="s">
        <v>21</v>
      </c>
      <c r="B3686" s="29" t="str">
        <f t="shared" si="57"/>
        <v>PLM-08</v>
      </c>
      <c r="C3686" s="29" t="s">
        <v>10481</v>
      </c>
      <c r="D3686" s="67" t="s">
        <v>10482</v>
      </c>
      <c r="E3686" s="96" t="s">
        <v>62</v>
      </c>
      <c r="F3686" s="29" t="s">
        <v>61</v>
      </c>
      <c r="G3686" s="29"/>
      <c r="H3686" s="103">
        <f>_xlfn.XLOOKUP(B3686,GM!$Q$5:$Q$756,GM!$J$5:$J$756)</f>
        <v>45645</v>
      </c>
    </row>
    <row r="3687" spans="1:8" hidden="1" x14ac:dyDescent="0.35">
      <c r="A3687" s="29" t="s">
        <v>21</v>
      </c>
      <c r="B3687" s="29" t="str">
        <f t="shared" si="57"/>
        <v>PLM-08</v>
      </c>
      <c r="C3687" s="29" t="s">
        <v>10483</v>
      </c>
      <c r="D3687" s="67" t="s">
        <v>10484</v>
      </c>
      <c r="E3687" s="96" t="s">
        <v>62</v>
      </c>
      <c r="F3687" s="29" t="s">
        <v>61</v>
      </c>
      <c r="G3687" s="29"/>
      <c r="H3687" s="103">
        <f>_xlfn.XLOOKUP(B3687,GM!$Q$5:$Q$756,GM!$J$5:$J$756)</f>
        <v>45645</v>
      </c>
    </row>
    <row r="3688" spans="1:8" hidden="1" x14ac:dyDescent="0.35">
      <c r="A3688" s="29" t="s">
        <v>22</v>
      </c>
      <c r="B3688" s="29" t="str">
        <f t="shared" si="57"/>
        <v>RET-08</v>
      </c>
      <c r="C3688" s="29" t="s">
        <v>10485</v>
      </c>
      <c r="D3688" s="67" t="s">
        <v>10486</v>
      </c>
      <c r="E3688" s="96" t="s">
        <v>62</v>
      </c>
      <c r="F3688" s="29" t="s">
        <v>61</v>
      </c>
      <c r="G3688" s="29"/>
      <c r="H3688" s="103">
        <f>_xlfn.XLOOKUP(B3688,GM!$Q$5:$Q$756,GM!$J$5:$J$756)</f>
        <v>45645</v>
      </c>
    </row>
    <row r="3689" spans="1:8" hidden="1" x14ac:dyDescent="0.35">
      <c r="A3689" s="29" t="s">
        <v>22</v>
      </c>
      <c r="B3689" s="29" t="str">
        <f t="shared" si="57"/>
        <v>RET-08</v>
      </c>
      <c r="C3689" s="29" t="s">
        <v>10487</v>
      </c>
      <c r="D3689" s="67" t="s">
        <v>10488</v>
      </c>
      <c r="E3689" s="96" t="s">
        <v>62</v>
      </c>
      <c r="F3689" s="29" t="s">
        <v>61</v>
      </c>
      <c r="G3689" s="29"/>
      <c r="H3689" s="103">
        <f>_xlfn.XLOOKUP(B3689,GM!$Q$5:$Q$756,GM!$J$5:$J$756)</f>
        <v>45645</v>
      </c>
    </row>
    <row r="3690" spans="1:8" hidden="1" x14ac:dyDescent="0.35">
      <c r="A3690" s="29" t="s">
        <v>22</v>
      </c>
      <c r="B3690" s="29" t="str">
        <f t="shared" si="57"/>
        <v>RET-08</v>
      </c>
      <c r="C3690" s="29" t="s">
        <v>10489</v>
      </c>
      <c r="D3690" s="67" t="s">
        <v>10490</v>
      </c>
      <c r="E3690" s="96" t="s">
        <v>62</v>
      </c>
      <c r="F3690" s="29" t="s">
        <v>61</v>
      </c>
      <c r="G3690" s="29"/>
      <c r="H3690" s="103">
        <f>_xlfn.XLOOKUP(B3690,GM!$Q$5:$Q$756,GM!$J$5:$J$756)</f>
        <v>45645</v>
      </c>
    </row>
    <row r="3691" spans="1:8" hidden="1" x14ac:dyDescent="0.35">
      <c r="A3691" s="29" t="s">
        <v>22</v>
      </c>
      <c r="B3691" s="29" t="str">
        <f t="shared" si="57"/>
        <v>RET-08</v>
      </c>
      <c r="C3691" s="29" t="s">
        <v>10491</v>
      </c>
      <c r="D3691" s="67" t="s">
        <v>10492</v>
      </c>
      <c r="E3691" s="96" t="s">
        <v>62</v>
      </c>
      <c r="F3691" s="29" t="s">
        <v>61</v>
      </c>
      <c r="G3691" s="29"/>
      <c r="H3691" s="103">
        <f>_xlfn.XLOOKUP(B3691,GM!$Q$5:$Q$756,GM!$J$5:$J$756)</f>
        <v>45645</v>
      </c>
    </row>
    <row r="3692" spans="1:8" hidden="1" x14ac:dyDescent="0.35">
      <c r="A3692" s="29" t="s">
        <v>22</v>
      </c>
      <c r="B3692" s="29" t="str">
        <f t="shared" si="57"/>
        <v>RET-08</v>
      </c>
      <c r="C3692" s="29" t="s">
        <v>10493</v>
      </c>
      <c r="D3692" s="67" t="s">
        <v>10494</v>
      </c>
      <c r="E3692" s="96" t="s">
        <v>62</v>
      </c>
      <c r="F3692" s="29" t="s">
        <v>61</v>
      </c>
      <c r="G3692" s="29"/>
      <c r="H3692" s="103">
        <f>_xlfn.XLOOKUP(B3692,GM!$Q$5:$Q$756,GM!$J$5:$J$756)</f>
        <v>45645</v>
      </c>
    </row>
    <row r="3693" spans="1:8" hidden="1" x14ac:dyDescent="0.35">
      <c r="A3693" s="29" t="s">
        <v>22</v>
      </c>
      <c r="B3693" s="29" t="str">
        <f t="shared" si="57"/>
        <v>RET-08</v>
      </c>
      <c r="C3693" s="29" t="s">
        <v>10495</v>
      </c>
      <c r="D3693" s="67" t="s">
        <v>10496</v>
      </c>
      <c r="E3693" s="96" t="s">
        <v>62</v>
      </c>
      <c r="F3693" s="29" t="s">
        <v>61</v>
      </c>
      <c r="G3693" s="29"/>
      <c r="H3693" s="103">
        <f>_xlfn.XLOOKUP(B3693,GM!$Q$5:$Q$756,GM!$J$5:$J$756)</f>
        <v>45645</v>
      </c>
    </row>
    <row r="3694" spans="1:8" hidden="1" x14ac:dyDescent="0.35">
      <c r="A3694" s="29" t="s">
        <v>20</v>
      </c>
      <c r="B3694" s="29" t="str">
        <f t="shared" si="57"/>
        <v>ROS-08</v>
      </c>
      <c r="C3694" s="29" t="s">
        <v>10497</v>
      </c>
      <c r="D3694" s="67" t="s">
        <v>10498</v>
      </c>
      <c r="E3694" s="96" t="s">
        <v>62</v>
      </c>
      <c r="F3694" s="29" t="s">
        <v>61</v>
      </c>
      <c r="G3694" s="29"/>
      <c r="H3694" s="103">
        <f>_xlfn.XLOOKUP(B3694,GM!$Q$5:$Q$756,GM!$J$5:$J$756)</f>
        <v>46100</v>
      </c>
    </row>
    <row r="3695" spans="1:8" hidden="1" x14ac:dyDescent="0.35">
      <c r="A3695" s="29" t="s">
        <v>20</v>
      </c>
      <c r="B3695" s="29" t="str">
        <f t="shared" si="57"/>
        <v>ROS-08</v>
      </c>
      <c r="C3695" s="29" t="s">
        <v>10499</v>
      </c>
      <c r="D3695" s="67" t="s">
        <v>10500</v>
      </c>
      <c r="E3695" s="96" t="s">
        <v>62</v>
      </c>
      <c r="F3695" s="29" t="s">
        <v>61</v>
      </c>
      <c r="G3695" s="29"/>
      <c r="H3695" s="103">
        <f>_xlfn.XLOOKUP(B3695,GM!$Q$5:$Q$756,GM!$J$5:$J$756)</f>
        <v>46100</v>
      </c>
    </row>
    <row r="3696" spans="1:8" hidden="1" x14ac:dyDescent="0.35">
      <c r="A3696" s="29" t="s">
        <v>20</v>
      </c>
      <c r="B3696" s="29" t="str">
        <f t="shared" si="57"/>
        <v>ROS-08</v>
      </c>
      <c r="C3696" s="29" t="s">
        <v>10501</v>
      </c>
      <c r="D3696" s="67" t="s">
        <v>10502</v>
      </c>
      <c r="E3696" s="96" t="s">
        <v>62</v>
      </c>
      <c r="F3696" s="29" t="s">
        <v>61</v>
      </c>
      <c r="G3696" s="29"/>
      <c r="H3696" s="103">
        <f>_xlfn.XLOOKUP(B3696,GM!$Q$5:$Q$756,GM!$J$5:$J$756)</f>
        <v>46100</v>
      </c>
    </row>
    <row r="3697" spans="1:8" hidden="1" x14ac:dyDescent="0.35">
      <c r="A3697" s="29" t="s">
        <v>20</v>
      </c>
      <c r="B3697" s="29" t="str">
        <f t="shared" si="57"/>
        <v>ROS-08</v>
      </c>
      <c r="C3697" s="29" t="s">
        <v>10503</v>
      </c>
      <c r="D3697" s="67" t="s">
        <v>10504</v>
      </c>
      <c r="E3697" s="96" t="s">
        <v>62</v>
      </c>
      <c r="F3697" s="29" t="s">
        <v>61</v>
      </c>
      <c r="G3697" s="29"/>
      <c r="H3697" s="103">
        <f>_xlfn.XLOOKUP(B3697,GM!$Q$5:$Q$756,GM!$J$5:$J$756)</f>
        <v>46100</v>
      </c>
    </row>
    <row r="3698" spans="1:8" hidden="1" x14ac:dyDescent="0.35">
      <c r="A3698" s="29" t="s">
        <v>20</v>
      </c>
      <c r="B3698" s="29" t="str">
        <f t="shared" si="57"/>
        <v>ROS-08</v>
      </c>
      <c r="C3698" s="29" t="s">
        <v>10505</v>
      </c>
      <c r="D3698" s="67" t="s">
        <v>10506</v>
      </c>
      <c r="E3698" s="96" t="s">
        <v>62</v>
      </c>
      <c r="F3698" s="29" t="s">
        <v>61</v>
      </c>
      <c r="G3698" s="29"/>
      <c r="H3698" s="103">
        <f>_xlfn.XLOOKUP(B3698,GM!$Q$5:$Q$756,GM!$J$5:$J$756)</f>
        <v>46100</v>
      </c>
    </row>
    <row r="3699" spans="1:8" hidden="1" x14ac:dyDescent="0.35">
      <c r="A3699" s="29" t="s">
        <v>20</v>
      </c>
      <c r="B3699" s="29" t="str">
        <f t="shared" si="57"/>
        <v>ROS-08</v>
      </c>
      <c r="C3699" s="29" t="s">
        <v>10507</v>
      </c>
      <c r="D3699" s="67" t="s">
        <v>10508</v>
      </c>
      <c r="E3699" s="96" t="s">
        <v>62</v>
      </c>
      <c r="F3699" s="29" t="s">
        <v>61</v>
      </c>
      <c r="G3699" s="29"/>
      <c r="H3699" s="103">
        <f>_xlfn.XLOOKUP(B3699,GM!$Q$5:$Q$756,GM!$J$5:$J$756)</f>
        <v>46100</v>
      </c>
    </row>
    <row r="3700" spans="1:8" hidden="1" x14ac:dyDescent="0.35">
      <c r="A3700" s="29" t="s">
        <v>15</v>
      </c>
      <c r="B3700" s="29" t="str">
        <f t="shared" si="57"/>
        <v>SAG-08</v>
      </c>
      <c r="C3700" s="29" t="s">
        <v>10509</v>
      </c>
      <c r="D3700" s="67" t="s">
        <v>10510</v>
      </c>
      <c r="E3700" s="96" t="s">
        <v>62</v>
      </c>
      <c r="F3700" s="29" t="s">
        <v>61</v>
      </c>
      <c r="G3700" s="29"/>
      <c r="H3700" s="103">
        <f>_xlfn.XLOOKUP(B3700,GM!$Q$5:$Q$756,GM!$J$5:$J$756)</f>
        <v>45645</v>
      </c>
    </row>
    <row r="3701" spans="1:8" hidden="1" x14ac:dyDescent="0.35">
      <c r="A3701" s="29" t="s">
        <v>15</v>
      </c>
      <c r="B3701" s="29" t="str">
        <f t="shared" si="57"/>
        <v>SAG-08</v>
      </c>
      <c r="C3701" s="29" t="s">
        <v>10511</v>
      </c>
      <c r="D3701" s="67" t="s">
        <v>10512</v>
      </c>
      <c r="E3701" s="96" t="s">
        <v>62</v>
      </c>
      <c r="F3701" s="29" t="s">
        <v>61</v>
      </c>
      <c r="G3701" s="29"/>
      <c r="H3701" s="103">
        <f>_xlfn.XLOOKUP(B3701,GM!$Q$5:$Q$756,GM!$J$5:$J$756)</f>
        <v>45645</v>
      </c>
    </row>
    <row r="3702" spans="1:8" hidden="1" x14ac:dyDescent="0.35">
      <c r="A3702" s="29" t="s">
        <v>15</v>
      </c>
      <c r="B3702" s="29" t="str">
        <f t="shared" si="57"/>
        <v>SAG-08</v>
      </c>
      <c r="C3702" s="29" t="s">
        <v>10513</v>
      </c>
      <c r="D3702" s="67" t="s">
        <v>10514</v>
      </c>
      <c r="E3702" s="96" t="s">
        <v>62</v>
      </c>
      <c r="F3702" s="29" t="s">
        <v>61</v>
      </c>
      <c r="G3702" s="29"/>
      <c r="H3702" s="103">
        <f>_xlfn.XLOOKUP(B3702,GM!$Q$5:$Q$756,GM!$J$5:$J$756)</f>
        <v>45645</v>
      </c>
    </row>
    <row r="3703" spans="1:8" hidden="1" x14ac:dyDescent="0.35">
      <c r="A3703" s="29" t="s">
        <v>15</v>
      </c>
      <c r="B3703" s="29" t="str">
        <f t="shared" si="57"/>
        <v>SAG-08</v>
      </c>
      <c r="C3703" s="29" t="s">
        <v>10515</v>
      </c>
      <c r="D3703" s="67" t="s">
        <v>10516</v>
      </c>
      <c r="E3703" s="96" t="s">
        <v>62</v>
      </c>
      <c r="F3703" s="29" t="s">
        <v>61</v>
      </c>
      <c r="G3703" s="29"/>
      <c r="H3703" s="103">
        <f>_xlfn.XLOOKUP(B3703,GM!$Q$5:$Q$756,GM!$J$5:$J$756)</f>
        <v>45645</v>
      </c>
    </row>
    <row r="3704" spans="1:8" hidden="1" x14ac:dyDescent="0.35">
      <c r="A3704" s="29" t="s">
        <v>15</v>
      </c>
      <c r="B3704" s="29" t="str">
        <f t="shared" si="57"/>
        <v>SAG-08</v>
      </c>
      <c r="C3704" s="29" t="s">
        <v>10517</v>
      </c>
      <c r="D3704" s="67" t="s">
        <v>10518</v>
      </c>
      <c r="E3704" s="96" t="s">
        <v>62</v>
      </c>
      <c r="F3704" s="29" t="s">
        <v>61</v>
      </c>
      <c r="G3704" s="29"/>
      <c r="H3704" s="103">
        <f>_xlfn.XLOOKUP(B3704,GM!$Q$5:$Q$756,GM!$J$5:$J$756)</f>
        <v>45645</v>
      </c>
    </row>
    <row r="3705" spans="1:8" hidden="1" x14ac:dyDescent="0.35">
      <c r="A3705" s="29" t="s">
        <v>15</v>
      </c>
      <c r="B3705" s="29" t="str">
        <f t="shared" si="57"/>
        <v>SAG-08</v>
      </c>
      <c r="C3705" s="29" t="s">
        <v>10519</v>
      </c>
      <c r="D3705" s="67" t="s">
        <v>10520</v>
      </c>
      <c r="E3705" s="96" t="s">
        <v>62</v>
      </c>
      <c r="F3705" s="29" t="s">
        <v>61</v>
      </c>
      <c r="G3705" s="29"/>
      <c r="H3705" s="103">
        <f>_xlfn.XLOOKUP(B3705,GM!$Q$5:$Q$756,GM!$J$5:$J$756)</f>
        <v>45645</v>
      </c>
    </row>
    <row r="3706" spans="1:8" hidden="1" x14ac:dyDescent="0.35">
      <c r="A3706" s="29" t="s">
        <v>25</v>
      </c>
      <c r="B3706" s="29" t="str">
        <f t="shared" si="57"/>
        <v>STO-08</v>
      </c>
      <c r="C3706" s="29" t="s">
        <v>10521</v>
      </c>
      <c r="D3706" s="67" t="s">
        <v>10522</v>
      </c>
      <c r="E3706" s="96" t="s">
        <v>62</v>
      </c>
      <c r="F3706" s="29" t="s">
        <v>61</v>
      </c>
      <c r="G3706" s="29"/>
      <c r="H3706" s="103">
        <f>_xlfn.XLOOKUP(B3706,GM!$Q$5:$Q$756,GM!$J$5:$J$756)</f>
        <v>45645</v>
      </c>
    </row>
    <row r="3707" spans="1:8" hidden="1" x14ac:dyDescent="0.35">
      <c r="A3707" s="29" t="s">
        <v>25</v>
      </c>
      <c r="B3707" s="29" t="str">
        <f t="shared" si="57"/>
        <v>STO-08</v>
      </c>
      <c r="C3707" s="29" t="s">
        <v>10523</v>
      </c>
      <c r="D3707" s="67" t="s">
        <v>10524</v>
      </c>
      <c r="E3707" s="96" t="s">
        <v>62</v>
      </c>
      <c r="F3707" s="29" t="s">
        <v>61</v>
      </c>
      <c r="G3707" s="29"/>
      <c r="H3707" s="103">
        <f>_xlfn.XLOOKUP(B3707,GM!$Q$5:$Q$756,GM!$J$5:$J$756)</f>
        <v>45645</v>
      </c>
    </row>
    <row r="3708" spans="1:8" hidden="1" x14ac:dyDescent="0.35">
      <c r="A3708" s="29" t="s">
        <v>25</v>
      </c>
      <c r="B3708" s="29" t="str">
        <f t="shared" si="57"/>
        <v>STO-08</v>
      </c>
      <c r="C3708" s="29" t="s">
        <v>10525</v>
      </c>
      <c r="D3708" s="67" t="s">
        <v>10526</v>
      </c>
      <c r="E3708" s="96" t="s">
        <v>62</v>
      </c>
      <c r="F3708" s="29" t="s">
        <v>61</v>
      </c>
      <c r="G3708" s="29"/>
      <c r="H3708" s="103">
        <f>_xlfn.XLOOKUP(B3708,GM!$Q$5:$Q$756,GM!$J$5:$J$756)</f>
        <v>45645</v>
      </c>
    </row>
    <row r="3709" spans="1:8" hidden="1" x14ac:dyDescent="0.35">
      <c r="A3709" s="29" t="s">
        <v>25</v>
      </c>
      <c r="B3709" s="29" t="str">
        <f t="shared" si="57"/>
        <v>STO-08</v>
      </c>
      <c r="C3709" s="29" t="s">
        <v>10527</v>
      </c>
      <c r="D3709" s="67" t="s">
        <v>10528</v>
      </c>
      <c r="E3709" s="96" t="s">
        <v>62</v>
      </c>
      <c r="F3709" s="29" t="s">
        <v>61</v>
      </c>
      <c r="G3709" s="29"/>
      <c r="H3709" s="103">
        <f>_xlfn.XLOOKUP(B3709,GM!$Q$5:$Q$756,GM!$J$5:$J$756)</f>
        <v>45645</v>
      </c>
    </row>
    <row r="3710" spans="1:8" hidden="1" x14ac:dyDescent="0.35">
      <c r="A3710" s="29" t="s">
        <v>25</v>
      </c>
      <c r="B3710" s="29" t="str">
        <f t="shared" si="57"/>
        <v>STO-08</v>
      </c>
      <c r="C3710" s="29" t="s">
        <v>10529</v>
      </c>
      <c r="D3710" s="67" t="s">
        <v>10530</v>
      </c>
      <c r="E3710" s="96" t="s">
        <v>62</v>
      </c>
      <c r="F3710" s="29" t="s">
        <v>61</v>
      </c>
      <c r="G3710" s="29"/>
      <c r="H3710" s="103">
        <f>_xlfn.XLOOKUP(B3710,GM!$Q$5:$Q$756,GM!$J$5:$J$756)</f>
        <v>45645</v>
      </c>
    </row>
    <row r="3711" spans="1:8" hidden="1" x14ac:dyDescent="0.35">
      <c r="A3711" s="29" t="s">
        <v>25</v>
      </c>
      <c r="B3711" s="29" t="str">
        <f t="shared" si="57"/>
        <v>STO-08</v>
      </c>
      <c r="C3711" s="29" t="s">
        <v>10531</v>
      </c>
      <c r="D3711" s="67" t="s">
        <v>10532</v>
      </c>
      <c r="E3711" s="96" t="s">
        <v>62</v>
      </c>
      <c r="F3711" s="29" t="s">
        <v>61</v>
      </c>
      <c r="G3711" s="29"/>
      <c r="H3711" s="103">
        <f>_xlfn.XLOOKUP(B3711,GM!$Q$5:$Q$756,GM!$J$5:$J$756)</f>
        <v>45645</v>
      </c>
    </row>
    <row r="3712" spans="1:8" hidden="1" x14ac:dyDescent="0.35">
      <c r="A3712" s="29" t="s">
        <v>19</v>
      </c>
      <c r="B3712" s="29" t="str">
        <f t="shared" si="57"/>
        <v>TAQ-08</v>
      </c>
      <c r="C3712" s="29" t="s">
        <v>10533</v>
      </c>
      <c r="D3712" s="67" t="s">
        <v>10534</v>
      </c>
      <c r="E3712" s="96" t="s">
        <v>62</v>
      </c>
      <c r="F3712" s="29" t="s">
        <v>61</v>
      </c>
      <c r="G3712" s="29"/>
      <c r="H3712" s="103">
        <f>_xlfn.XLOOKUP(B3712,GM!$Q$5:$Q$756,GM!$J$5:$J$756)</f>
        <v>45645</v>
      </c>
    </row>
    <row r="3713" spans="1:8" hidden="1" x14ac:dyDescent="0.35">
      <c r="A3713" s="29" t="s">
        <v>19</v>
      </c>
      <c r="B3713" s="29" t="str">
        <f t="shared" si="57"/>
        <v>TAQ-08</v>
      </c>
      <c r="C3713" s="29" t="s">
        <v>10535</v>
      </c>
      <c r="D3713" s="67" t="s">
        <v>10536</v>
      </c>
      <c r="E3713" s="96" t="s">
        <v>62</v>
      </c>
      <c r="F3713" s="29" t="s">
        <v>61</v>
      </c>
      <c r="G3713" s="29"/>
      <c r="H3713" s="103">
        <f>_xlfn.XLOOKUP(B3713,GM!$Q$5:$Q$756,GM!$J$5:$J$756)</f>
        <v>45645</v>
      </c>
    </row>
    <row r="3714" spans="1:8" hidden="1" x14ac:dyDescent="0.35">
      <c r="A3714" s="29" t="s">
        <v>19</v>
      </c>
      <c r="B3714" s="29" t="str">
        <f t="shared" si="57"/>
        <v>TAQ-08</v>
      </c>
      <c r="C3714" s="29" t="s">
        <v>10537</v>
      </c>
      <c r="D3714" s="67" t="s">
        <v>10538</v>
      </c>
      <c r="E3714" s="96" t="s">
        <v>62</v>
      </c>
      <c r="F3714" s="29" t="s">
        <v>61</v>
      </c>
      <c r="G3714" s="29"/>
      <c r="H3714" s="103">
        <f>_xlfn.XLOOKUP(B3714,GM!$Q$5:$Q$756,GM!$J$5:$J$756)</f>
        <v>45645</v>
      </c>
    </row>
    <row r="3715" spans="1:8" hidden="1" x14ac:dyDescent="0.35">
      <c r="A3715" s="29" t="s">
        <v>19</v>
      </c>
      <c r="B3715" s="29" t="str">
        <f t="shared" si="57"/>
        <v>TAQ-08</v>
      </c>
      <c r="C3715" s="29" t="s">
        <v>10539</v>
      </c>
      <c r="D3715" s="67" t="s">
        <v>10540</v>
      </c>
      <c r="E3715" s="96" t="s">
        <v>62</v>
      </c>
      <c r="F3715" s="29" t="s">
        <v>61</v>
      </c>
      <c r="G3715" s="29"/>
      <c r="H3715" s="103">
        <f>_xlfn.XLOOKUP(B3715,GM!$Q$5:$Q$756,GM!$J$5:$J$756)</f>
        <v>45645</v>
      </c>
    </row>
    <row r="3716" spans="1:8" hidden="1" x14ac:dyDescent="0.35">
      <c r="A3716" s="29" t="s">
        <v>19</v>
      </c>
      <c r="B3716" s="29" t="str">
        <f t="shared" si="57"/>
        <v>TAQ-08</v>
      </c>
      <c r="C3716" s="29" t="s">
        <v>10541</v>
      </c>
      <c r="D3716" s="67" t="s">
        <v>10542</v>
      </c>
      <c r="E3716" s="96" t="s">
        <v>62</v>
      </c>
      <c r="F3716" s="29" t="s">
        <v>61</v>
      </c>
      <c r="G3716" s="29"/>
      <c r="H3716" s="103">
        <f>_xlfn.XLOOKUP(B3716,GM!$Q$5:$Q$756,GM!$J$5:$J$756)</f>
        <v>45645</v>
      </c>
    </row>
    <row r="3717" spans="1:8" hidden="1" x14ac:dyDescent="0.35">
      <c r="A3717" s="29" t="s">
        <v>19</v>
      </c>
      <c r="B3717" s="29" t="str">
        <f t="shared" ref="B3717:B3766" si="58">IF(OR(A3717="ARN",A3717="SDP"),MID(C3717,4,7),MID(C3717,4,6))</f>
        <v>TAQ-08</v>
      </c>
      <c r="C3717" s="29" t="s">
        <v>10543</v>
      </c>
      <c r="D3717" s="67" t="s">
        <v>10544</v>
      </c>
      <c r="E3717" s="96" t="s">
        <v>62</v>
      </c>
      <c r="F3717" s="29" t="s">
        <v>61</v>
      </c>
      <c r="G3717" s="29"/>
      <c r="H3717" s="103">
        <f>_xlfn.XLOOKUP(B3717,GM!$Q$5:$Q$756,GM!$J$5:$J$756)</f>
        <v>45645</v>
      </c>
    </row>
    <row r="3718" spans="1:8" hidden="1" x14ac:dyDescent="0.35">
      <c r="A3718" s="29" t="s">
        <v>26</v>
      </c>
      <c r="B3718" s="29" t="str">
        <f t="shared" si="58"/>
        <v>GAR-03</v>
      </c>
      <c r="C3718" s="29" t="s">
        <v>10545</v>
      </c>
      <c r="D3718" s="67" t="s">
        <v>10546</v>
      </c>
      <c r="E3718" s="96" t="s">
        <v>62</v>
      </c>
      <c r="F3718" s="29" t="s">
        <v>61</v>
      </c>
      <c r="G3718" s="29"/>
      <c r="H3718" s="103">
        <f>_xlfn.XLOOKUP(B3718,GM!$Q$5:$Q$756,GM!$J$5:$J$756)</f>
        <v>45506</v>
      </c>
    </row>
    <row r="3719" spans="1:8" hidden="1" x14ac:dyDescent="0.35">
      <c r="A3719" s="29" t="s">
        <v>25</v>
      </c>
      <c r="B3719" s="29" t="str">
        <f t="shared" si="58"/>
        <v>STO-03</v>
      </c>
      <c r="C3719" s="29" t="s">
        <v>10547</v>
      </c>
      <c r="D3719" s="67" t="s">
        <v>10548</v>
      </c>
      <c r="E3719" s="96" t="s">
        <v>62</v>
      </c>
      <c r="F3719" s="29" t="s">
        <v>61</v>
      </c>
      <c r="G3719" s="29"/>
      <c r="H3719" s="103">
        <f>_xlfn.XLOOKUP(B3719,GM!$Q$5:$Q$756,GM!$J$5:$J$756)</f>
        <v>45506</v>
      </c>
    </row>
    <row r="3720" spans="1:8" hidden="1" x14ac:dyDescent="0.35">
      <c r="A3720" s="29" t="s">
        <v>14</v>
      </c>
      <c r="B3720" s="29" t="str">
        <f t="shared" si="58"/>
        <v>CHV-32</v>
      </c>
      <c r="C3720" s="29" t="s">
        <v>10549</v>
      </c>
      <c r="D3720" s="67" t="s">
        <v>10550</v>
      </c>
      <c r="E3720" s="96" t="s">
        <v>62</v>
      </c>
      <c r="F3720" s="29" t="s">
        <v>61</v>
      </c>
      <c r="G3720" s="29"/>
      <c r="H3720" s="103">
        <f>_xlfn.XLOOKUP(B3720,GM!$Q$5:$Q$756,GM!$J$5:$J$756)</f>
        <v>44838</v>
      </c>
    </row>
    <row r="3721" spans="1:8" hidden="1" x14ac:dyDescent="0.35">
      <c r="A3721" s="29" t="s">
        <v>14</v>
      </c>
      <c r="B3721" s="29" t="str">
        <f t="shared" si="58"/>
        <v>CHV-32</v>
      </c>
      <c r="C3721" s="29" t="s">
        <v>10551</v>
      </c>
      <c r="D3721" s="67" t="s">
        <v>10552</v>
      </c>
      <c r="E3721" s="96" t="s">
        <v>62</v>
      </c>
      <c r="F3721" s="29" t="s">
        <v>61</v>
      </c>
      <c r="G3721" s="29"/>
      <c r="H3721" s="103">
        <f>_xlfn.XLOOKUP(B3721,GM!$Q$5:$Q$756,GM!$J$5:$J$756)</f>
        <v>44838</v>
      </c>
    </row>
    <row r="3722" spans="1:8" hidden="1" x14ac:dyDescent="0.35">
      <c r="A3722" s="29" t="s">
        <v>14</v>
      </c>
      <c r="B3722" s="29" t="str">
        <f t="shared" si="58"/>
        <v>CHV-63</v>
      </c>
      <c r="C3722" s="29" t="s">
        <v>10553</v>
      </c>
      <c r="D3722" s="67" t="s">
        <v>10554</v>
      </c>
      <c r="E3722" s="96" t="s">
        <v>62</v>
      </c>
      <c r="F3722" s="29" t="s">
        <v>61</v>
      </c>
      <c r="G3722" s="29"/>
      <c r="H3722" s="103">
        <f>_xlfn.XLOOKUP(B3722,GM!$Q$5:$Q$756,GM!$J$5:$J$756)</f>
        <v>44838</v>
      </c>
    </row>
    <row r="3723" spans="1:8" hidden="1" x14ac:dyDescent="0.35">
      <c r="A3723" s="29" t="s">
        <v>14</v>
      </c>
      <c r="B3723" s="29" t="str">
        <f t="shared" si="58"/>
        <v>CHV-63</v>
      </c>
      <c r="C3723" s="29" t="s">
        <v>10555</v>
      </c>
      <c r="D3723" s="67" t="s">
        <v>10556</v>
      </c>
      <c r="E3723" s="96" t="s">
        <v>62</v>
      </c>
      <c r="F3723" s="29" t="s">
        <v>61</v>
      </c>
      <c r="G3723" s="29"/>
      <c r="H3723" s="103">
        <f>_xlfn.XLOOKUP(B3723,GM!$Q$5:$Q$756,GM!$J$5:$J$756)</f>
        <v>44838</v>
      </c>
    </row>
    <row r="3724" spans="1:8" hidden="1" x14ac:dyDescent="0.35">
      <c r="A3724" s="29" t="s">
        <v>26</v>
      </c>
      <c r="B3724" s="29" t="str">
        <f t="shared" si="58"/>
        <v>GAR-32</v>
      </c>
      <c r="C3724" s="29" t="s">
        <v>10557</v>
      </c>
      <c r="D3724" s="67" t="s">
        <v>10558</v>
      </c>
      <c r="E3724" s="96" t="s">
        <v>62</v>
      </c>
      <c r="F3724" s="29" t="s">
        <v>61</v>
      </c>
      <c r="G3724" s="29"/>
      <c r="H3724" s="103">
        <f>_xlfn.XLOOKUP(B3724,GM!$Q$5:$Q$756,GM!$J$5:$J$756)</f>
        <v>44838</v>
      </c>
    </row>
    <row r="3725" spans="1:8" hidden="1" x14ac:dyDescent="0.35">
      <c r="A3725" s="29" t="s">
        <v>26</v>
      </c>
      <c r="B3725" s="29" t="str">
        <f t="shared" si="58"/>
        <v>GAR-32</v>
      </c>
      <c r="C3725" s="29" t="s">
        <v>10559</v>
      </c>
      <c r="D3725" s="67" t="s">
        <v>10560</v>
      </c>
      <c r="E3725" s="96" t="s">
        <v>62</v>
      </c>
      <c r="F3725" s="29" t="s">
        <v>61</v>
      </c>
      <c r="G3725" s="29"/>
      <c r="H3725" s="103">
        <f>_xlfn.XLOOKUP(B3725,GM!$Q$5:$Q$756,GM!$J$5:$J$756)</f>
        <v>44838</v>
      </c>
    </row>
    <row r="3726" spans="1:8" hidden="1" x14ac:dyDescent="0.35">
      <c r="A3726" s="29" t="s">
        <v>26</v>
      </c>
      <c r="B3726" s="29" t="str">
        <f t="shared" si="58"/>
        <v>GAR-32</v>
      </c>
      <c r="C3726" s="29" t="s">
        <v>10561</v>
      </c>
      <c r="D3726" s="67" t="s">
        <v>10562</v>
      </c>
      <c r="E3726" s="96" t="s">
        <v>62</v>
      </c>
      <c r="F3726" s="29" t="s">
        <v>61</v>
      </c>
      <c r="G3726" s="29"/>
      <c r="H3726" s="103">
        <f>_xlfn.XLOOKUP(B3726,GM!$Q$5:$Q$756,GM!$J$5:$J$756)</f>
        <v>44838</v>
      </c>
    </row>
    <row r="3727" spans="1:8" hidden="1" x14ac:dyDescent="0.35">
      <c r="A3727" s="29" t="s">
        <v>26</v>
      </c>
      <c r="B3727" s="29" t="str">
        <f t="shared" si="58"/>
        <v>GAR-32</v>
      </c>
      <c r="C3727" s="29" t="s">
        <v>10563</v>
      </c>
      <c r="D3727" s="67" t="s">
        <v>10564</v>
      </c>
      <c r="E3727" s="96" t="s">
        <v>62</v>
      </c>
      <c r="F3727" s="29" t="s">
        <v>61</v>
      </c>
      <c r="G3727" s="29"/>
      <c r="H3727" s="103">
        <f>_xlfn.XLOOKUP(B3727,GM!$Q$5:$Q$756,GM!$J$5:$J$756)</f>
        <v>44838</v>
      </c>
    </row>
    <row r="3728" spans="1:8" hidden="1" x14ac:dyDescent="0.35">
      <c r="A3728" s="29" t="s">
        <v>23</v>
      </c>
      <c r="B3728" s="29" t="str">
        <f t="shared" si="58"/>
        <v>ILS-32</v>
      </c>
      <c r="C3728" s="29" t="s">
        <v>10565</v>
      </c>
      <c r="D3728" s="67" t="s">
        <v>10566</v>
      </c>
      <c r="E3728" s="96" t="s">
        <v>62</v>
      </c>
      <c r="F3728" s="29" t="s">
        <v>61</v>
      </c>
      <c r="G3728" s="29"/>
      <c r="H3728" s="103">
        <f>_xlfn.XLOOKUP(B3728,GM!$Q$5:$Q$756,GM!$J$5:$J$756)</f>
        <v>44838</v>
      </c>
    </row>
    <row r="3729" spans="1:8" hidden="1" x14ac:dyDescent="0.35">
      <c r="A3729" s="29" t="s">
        <v>23</v>
      </c>
      <c r="B3729" s="29" t="str">
        <f t="shared" si="58"/>
        <v>ILS-32</v>
      </c>
      <c r="C3729" s="29" t="s">
        <v>10567</v>
      </c>
      <c r="D3729" s="67" t="s">
        <v>10568</v>
      </c>
      <c r="E3729" s="96" t="s">
        <v>62</v>
      </c>
      <c r="F3729" s="29" t="s">
        <v>61</v>
      </c>
      <c r="G3729" s="29"/>
      <c r="H3729" s="103">
        <f>_xlfn.XLOOKUP(B3729,GM!$Q$5:$Q$756,GM!$J$5:$J$756)</f>
        <v>44838</v>
      </c>
    </row>
    <row r="3730" spans="1:8" hidden="1" x14ac:dyDescent="0.35">
      <c r="A3730" s="29" t="s">
        <v>23</v>
      </c>
      <c r="B3730" s="29" t="str">
        <f t="shared" si="58"/>
        <v>ILS-32</v>
      </c>
      <c r="C3730" s="29" t="s">
        <v>10569</v>
      </c>
      <c r="D3730" s="67" t="s">
        <v>10570</v>
      </c>
      <c r="E3730" s="96" t="s">
        <v>62</v>
      </c>
      <c r="F3730" s="29" t="s">
        <v>61</v>
      </c>
      <c r="G3730" s="29"/>
      <c r="H3730" s="103">
        <f>_xlfn.XLOOKUP(B3730,GM!$Q$5:$Q$756,GM!$J$5:$J$756)</f>
        <v>44838</v>
      </c>
    </row>
    <row r="3731" spans="1:8" hidden="1" x14ac:dyDescent="0.35">
      <c r="A3731" s="29" t="s">
        <v>23</v>
      </c>
      <c r="B3731" s="29" t="str">
        <f t="shared" si="58"/>
        <v>ILS-32</v>
      </c>
      <c r="C3731" s="29" t="s">
        <v>10571</v>
      </c>
      <c r="D3731" s="67" t="s">
        <v>10572</v>
      </c>
      <c r="E3731" s="96" t="s">
        <v>62</v>
      </c>
      <c r="F3731" s="29" t="s">
        <v>61</v>
      </c>
      <c r="G3731" s="29"/>
      <c r="H3731" s="103">
        <f>_xlfn.XLOOKUP(B3731,GM!$Q$5:$Q$756,GM!$J$5:$J$756)</f>
        <v>44838</v>
      </c>
    </row>
    <row r="3732" spans="1:8" hidden="1" x14ac:dyDescent="0.35">
      <c r="A3732" s="29" t="s">
        <v>23</v>
      </c>
      <c r="B3732" s="29" t="str">
        <f t="shared" si="58"/>
        <v>ILS-32</v>
      </c>
      <c r="C3732" s="29" t="s">
        <v>10573</v>
      </c>
      <c r="D3732" s="67" t="s">
        <v>10574</v>
      </c>
      <c r="E3732" s="96" t="s">
        <v>62</v>
      </c>
      <c r="F3732" s="29" t="s">
        <v>61</v>
      </c>
      <c r="G3732" s="29"/>
      <c r="H3732" s="103">
        <f>_xlfn.XLOOKUP(B3732,GM!$Q$5:$Q$756,GM!$J$5:$J$756)</f>
        <v>44838</v>
      </c>
    </row>
    <row r="3733" spans="1:8" hidden="1" x14ac:dyDescent="0.35">
      <c r="A3733" s="29" t="s">
        <v>23</v>
      </c>
      <c r="B3733" s="29" t="str">
        <f t="shared" si="58"/>
        <v>ILS-32</v>
      </c>
      <c r="C3733" s="29" t="s">
        <v>10575</v>
      </c>
      <c r="D3733" s="67" t="s">
        <v>10576</v>
      </c>
      <c r="E3733" s="96" t="s">
        <v>62</v>
      </c>
      <c r="F3733" s="29" t="s">
        <v>61</v>
      </c>
      <c r="G3733" s="29"/>
      <c r="H3733" s="103">
        <f>_xlfn.XLOOKUP(B3733,GM!$Q$5:$Q$756,GM!$J$5:$J$756)</f>
        <v>44838</v>
      </c>
    </row>
    <row r="3734" spans="1:8" hidden="1" x14ac:dyDescent="0.35">
      <c r="A3734" s="29" t="s">
        <v>23</v>
      </c>
      <c r="B3734" s="29" t="str">
        <f t="shared" si="58"/>
        <v>ILS-32</v>
      </c>
      <c r="C3734" s="29" t="s">
        <v>10577</v>
      </c>
      <c r="D3734" s="67" t="s">
        <v>10578</v>
      </c>
      <c r="E3734" s="96" t="s">
        <v>62</v>
      </c>
      <c r="F3734" s="29" t="s">
        <v>61</v>
      </c>
      <c r="G3734" s="29"/>
      <c r="H3734" s="103">
        <f>_xlfn.XLOOKUP(B3734,GM!$Q$5:$Q$756,GM!$J$5:$J$756)</f>
        <v>44838</v>
      </c>
    </row>
    <row r="3735" spans="1:8" x14ac:dyDescent="0.35">
      <c r="A3735" s="29" t="s">
        <v>24</v>
      </c>
      <c r="B3735" s="29" t="str">
        <f t="shared" si="58"/>
        <v>JUP-32</v>
      </c>
      <c r="C3735" s="29" t="s">
        <v>10579</v>
      </c>
      <c r="D3735" s="67" t="s">
        <v>10580</v>
      </c>
      <c r="E3735" s="96" t="s">
        <v>62</v>
      </c>
      <c r="F3735" s="29" t="s">
        <v>61</v>
      </c>
      <c r="G3735" s="29"/>
      <c r="H3735" s="103">
        <f>_xlfn.XLOOKUP(B3735,GM!$Q$5:$Q$756,GM!$J$5:$J$756)</f>
        <v>44838</v>
      </c>
    </row>
    <row r="3736" spans="1:8" x14ac:dyDescent="0.35">
      <c r="A3736" s="29" t="s">
        <v>24</v>
      </c>
      <c r="B3736" s="29" t="str">
        <f t="shared" si="58"/>
        <v>JUP-32</v>
      </c>
      <c r="C3736" s="29" t="s">
        <v>10581</v>
      </c>
      <c r="D3736" s="67" t="s">
        <v>10582</v>
      </c>
      <c r="E3736" s="96" t="s">
        <v>62</v>
      </c>
      <c r="F3736" s="29" t="s">
        <v>61</v>
      </c>
      <c r="G3736" s="29"/>
      <c r="H3736" s="103">
        <f>_xlfn.XLOOKUP(B3736,GM!$Q$5:$Q$756,GM!$J$5:$J$756)</f>
        <v>44838</v>
      </c>
    </row>
    <row r="3737" spans="1:8" x14ac:dyDescent="0.35">
      <c r="A3737" s="29" t="s">
        <v>24</v>
      </c>
      <c r="B3737" s="29" t="str">
        <f t="shared" si="58"/>
        <v>JUP-32</v>
      </c>
      <c r="C3737" s="29" t="s">
        <v>10583</v>
      </c>
      <c r="D3737" s="67" t="s">
        <v>10584</v>
      </c>
      <c r="E3737" s="96" t="s">
        <v>62</v>
      </c>
      <c r="F3737" s="29" t="s">
        <v>61</v>
      </c>
      <c r="G3737" s="29"/>
      <c r="H3737" s="103">
        <f>_xlfn.XLOOKUP(B3737,GM!$Q$5:$Q$756,GM!$J$5:$J$756)</f>
        <v>44838</v>
      </c>
    </row>
    <row r="3738" spans="1:8" x14ac:dyDescent="0.35">
      <c r="A3738" s="29" t="s">
        <v>24</v>
      </c>
      <c r="B3738" s="29" t="str">
        <f t="shared" si="58"/>
        <v>JUP-32</v>
      </c>
      <c r="C3738" s="29" t="s">
        <v>10585</v>
      </c>
      <c r="D3738" s="67" t="s">
        <v>10586</v>
      </c>
      <c r="E3738" s="96" t="s">
        <v>62</v>
      </c>
      <c r="F3738" s="29" t="s">
        <v>61</v>
      </c>
      <c r="G3738" s="29"/>
      <c r="H3738" s="103">
        <f>_xlfn.XLOOKUP(B3738,GM!$Q$5:$Q$756,GM!$J$5:$J$756)</f>
        <v>44838</v>
      </c>
    </row>
    <row r="3739" spans="1:8" x14ac:dyDescent="0.35">
      <c r="A3739" s="29" t="s">
        <v>24</v>
      </c>
      <c r="B3739" s="29" t="str">
        <f t="shared" si="58"/>
        <v>JUP-32</v>
      </c>
      <c r="C3739" s="29" t="s">
        <v>10587</v>
      </c>
      <c r="D3739" s="67" t="s">
        <v>10588</v>
      </c>
      <c r="E3739" s="96" t="s">
        <v>62</v>
      </c>
      <c r="F3739" s="29" t="s">
        <v>61</v>
      </c>
      <c r="G3739" s="29"/>
      <c r="H3739" s="103">
        <f>_xlfn.XLOOKUP(B3739,GM!$Q$5:$Q$756,GM!$J$5:$J$756)</f>
        <v>44838</v>
      </c>
    </row>
    <row r="3740" spans="1:8" x14ac:dyDescent="0.35">
      <c r="A3740" s="29" t="s">
        <v>24</v>
      </c>
      <c r="B3740" s="29" t="str">
        <f t="shared" si="58"/>
        <v>JUP-32</v>
      </c>
      <c r="C3740" s="29" t="s">
        <v>10589</v>
      </c>
      <c r="D3740" s="67" t="s">
        <v>10590</v>
      </c>
      <c r="E3740" s="96" t="s">
        <v>62</v>
      </c>
      <c r="F3740" s="29" t="s">
        <v>61</v>
      </c>
      <c r="G3740" s="29"/>
      <c r="H3740" s="103">
        <f>_xlfn.XLOOKUP(B3740,GM!$Q$5:$Q$756,GM!$J$5:$J$756)</f>
        <v>44838</v>
      </c>
    </row>
    <row r="3741" spans="1:8" x14ac:dyDescent="0.35">
      <c r="A3741" s="29" t="s">
        <v>24</v>
      </c>
      <c r="B3741" s="29" t="str">
        <f t="shared" si="58"/>
        <v>JUP-63</v>
      </c>
      <c r="C3741" s="29" t="s">
        <v>10591</v>
      </c>
      <c r="D3741" s="67" t="s">
        <v>10592</v>
      </c>
      <c r="E3741" s="96" t="s">
        <v>62</v>
      </c>
      <c r="F3741" s="29" t="s">
        <v>61</v>
      </c>
      <c r="G3741" s="29"/>
      <c r="H3741" s="103">
        <f>_xlfn.XLOOKUP(B3741,GM!$Q$5:$Q$756,GM!$J$5:$J$756)</f>
        <v>44838</v>
      </c>
    </row>
    <row r="3742" spans="1:8" x14ac:dyDescent="0.35">
      <c r="A3742" s="29" t="s">
        <v>24</v>
      </c>
      <c r="B3742" s="29" t="str">
        <f t="shared" si="58"/>
        <v>JUP-63</v>
      </c>
      <c r="C3742" s="29" t="s">
        <v>10593</v>
      </c>
      <c r="D3742" s="67" t="s">
        <v>10594</v>
      </c>
      <c r="E3742" s="96" t="s">
        <v>62</v>
      </c>
      <c r="F3742" s="29" t="s">
        <v>61</v>
      </c>
      <c r="G3742" s="29"/>
      <c r="H3742" s="103">
        <f>_xlfn.XLOOKUP(B3742,GM!$Q$5:$Q$756,GM!$J$5:$J$756)</f>
        <v>44838</v>
      </c>
    </row>
    <row r="3743" spans="1:8" x14ac:dyDescent="0.35">
      <c r="A3743" s="29" t="s">
        <v>24</v>
      </c>
      <c r="B3743" s="29" t="str">
        <f t="shared" si="58"/>
        <v>JUP-63</v>
      </c>
      <c r="C3743" s="29" t="s">
        <v>10595</v>
      </c>
      <c r="D3743" s="67" t="s">
        <v>10596</v>
      </c>
      <c r="E3743" s="96" t="s">
        <v>62</v>
      </c>
      <c r="F3743" s="29" t="s">
        <v>61</v>
      </c>
      <c r="G3743" s="29"/>
      <c r="H3743" s="103">
        <f>_xlfn.XLOOKUP(B3743,GM!$Q$5:$Q$756,GM!$J$5:$J$756)</f>
        <v>44838</v>
      </c>
    </row>
    <row r="3744" spans="1:8" x14ac:dyDescent="0.35">
      <c r="A3744" s="29" t="s">
        <v>24</v>
      </c>
      <c r="B3744" s="29" t="str">
        <f t="shared" si="58"/>
        <v>JUP-63</v>
      </c>
      <c r="C3744" s="29" t="s">
        <v>10597</v>
      </c>
      <c r="D3744" s="67" t="s">
        <v>10598</v>
      </c>
      <c r="E3744" s="96" t="s">
        <v>62</v>
      </c>
      <c r="F3744" s="29" t="s">
        <v>61</v>
      </c>
      <c r="G3744" s="29"/>
      <c r="H3744" s="103">
        <f>_xlfn.XLOOKUP(B3744,GM!$Q$5:$Q$756,GM!$J$5:$J$756)</f>
        <v>44838</v>
      </c>
    </row>
    <row r="3745" spans="1:8" x14ac:dyDescent="0.35">
      <c r="A3745" s="29" t="s">
        <v>24</v>
      </c>
      <c r="B3745" s="29" t="str">
        <f t="shared" si="58"/>
        <v>JUP-63</v>
      </c>
      <c r="C3745" s="29" t="s">
        <v>10599</v>
      </c>
      <c r="D3745" s="67" t="s">
        <v>10600</v>
      </c>
      <c r="E3745" s="96" t="s">
        <v>62</v>
      </c>
      <c r="F3745" s="29" t="s">
        <v>61</v>
      </c>
      <c r="G3745" s="29"/>
      <c r="H3745" s="103">
        <f>_xlfn.XLOOKUP(B3745,GM!$Q$5:$Q$756,GM!$J$5:$J$756)</f>
        <v>44838</v>
      </c>
    </row>
    <row r="3746" spans="1:8" x14ac:dyDescent="0.35">
      <c r="A3746" s="29" t="s">
        <v>24</v>
      </c>
      <c r="B3746" s="29" t="str">
        <f t="shared" si="58"/>
        <v>JUP-63</v>
      </c>
      <c r="C3746" s="29" t="s">
        <v>10601</v>
      </c>
      <c r="D3746" s="67" t="s">
        <v>10602</v>
      </c>
      <c r="E3746" s="96" t="s">
        <v>62</v>
      </c>
      <c r="F3746" s="29" t="s">
        <v>61</v>
      </c>
      <c r="G3746" s="29"/>
      <c r="H3746" s="103">
        <f>_xlfn.XLOOKUP(B3746,GM!$Q$5:$Q$756,GM!$J$5:$J$756)</f>
        <v>44838</v>
      </c>
    </row>
    <row r="3747" spans="1:8" hidden="1" x14ac:dyDescent="0.35">
      <c r="A3747" s="29" t="s">
        <v>13</v>
      </c>
      <c r="B3747" s="29" t="str">
        <f t="shared" si="58"/>
        <v>JUR-30</v>
      </c>
      <c r="C3747" s="29" t="s">
        <v>10603</v>
      </c>
      <c r="D3747" s="67" t="s">
        <v>10604</v>
      </c>
      <c r="E3747" s="96" t="s">
        <v>62</v>
      </c>
      <c r="F3747" s="29" t="s">
        <v>61</v>
      </c>
      <c r="G3747" s="29"/>
      <c r="H3747" s="103">
        <f>_xlfn.XLOOKUP(B3747,GM!$Q$5:$Q$756,GM!$J$5:$J$756)</f>
        <v>44838</v>
      </c>
    </row>
    <row r="3748" spans="1:8" hidden="1" x14ac:dyDescent="0.35">
      <c r="A3748" s="29" t="s">
        <v>13</v>
      </c>
      <c r="B3748" s="29" t="str">
        <f t="shared" si="58"/>
        <v>JUR-30</v>
      </c>
      <c r="C3748" s="29" t="s">
        <v>10605</v>
      </c>
      <c r="D3748" s="67" t="s">
        <v>10606</v>
      </c>
      <c r="E3748" s="96" t="s">
        <v>62</v>
      </c>
      <c r="F3748" s="29" t="s">
        <v>61</v>
      </c>
      <c r="G3748" s="29"/>
      <c r="H3748" s="103">
        <f>_xlfn.XLOOKUP(B3748,GM!$Q$5:$Q$756,GM!$J$5:$J$756)</f>
        <v>44838</v>
      </c>
    </row>
    <row r="3749" spans="1:8" hidden="1" x14ac:dyDescent="0.35">
      <c r="A3749" s="29" t="s">
        <v>15</v>
      </c>
      <c r="B3749" s="29" t="str">
        <f t="shared" si="58"/>
        <v>SAG-32</v>
      </c>
      <c r="C3749" s="29" t="s">
        <v>10607</v>
      </c>
      <c r="D3749" s="67" t="s">
        <v>10608</v>
      </c>
      <c r="E3749" s="96" t="s">
        <v>62</v>
      </c>
      <c r="F3749" s="29" t="s">
        <v>61</v>
      </c>
      <c r="G3749" s="29"/>
      <c r="H3749" s="103">
        <f>_xlfn.XLOOKUP(B3749,GM!$Q$5:$Q$756,GM!$J$5:$J$756)</f>
        <v>44838</v>
      </c>
    </row>
    <row r="3750" spans="1:8" hidden="1" x14ac:dyDescent="0.35">
      <c r="A3750" s="29" t="s">
        <v>23</v>
      </c>
      <c r="B3750" s="29" t="str">
        <f t="shared" si="58"/>
        <v>ILS-72</v>
      </c>
      <c r="C3750" s="29" t="s">
        <v>10609</v>
      </c>
      <c r="D3750" s="67" t="s">
        <v>10610</v>
      </c>
      <c r="E3750" s="96" t="s">
        <v>62</v>
      </c>
      <c r="F3750" s="29" t="s">
        <v>61</v>
      </c>
      <c r="G3750" s="29" t="s">
        <v>61</v>
      </c>
      <c r="H3750" s="103">
        <f>_xlfn.XLOOKUP(B3750,GM!$Q$5:$Q$756,GM!$J$5:$J$756)</f>
        <v>44739</v>
      </c>
    </row>
    <row r="3751" spans="1:8" hidden="1" x14ac:dyDescent="0.35">
      <c r="A3751" s="29" t="s">
        <v>18</v>
      </c>
      <c r="B3751" s="29" t="str">
        <f t="shared" si="58"/>
        <v>CPV-32</v>
      </c>
      <c r="C3751" s="29" t="s">
        <v>10611</v>
      </c>
      <c r="D3751" s="67" t="s">
        <v>10612</v>
      </c>
      <c r="E3751" s="96" t="s">
        <v>62</v>
      </c>
      <c r="F3751" s="29" t="s">
        <v>61</v>
      </c>
      <c r="G3751" s="29"/>
      <c r="H3751" s="103">
        <f>_xlfn.XLOOKUP(B3751,GM!$Q$5:$Q$756,GM!$J$5:$J$756)</f>
        <v>44838</v>
      </c>
    </row>
    <row r="3752" spans="1:8" hidden="1" x14ac:dyDescent="0.35">
      <c r="A3752" s="29" t="s">
        <v>18</v>
      </c>
      <c r="B3752" s="29" t="str">
        <f t="shared" si="58"/>
        <v>CPV-32</v>
      </c>
      <c r="C3752" s="29" t="s">
        <v>10613</v>
      </c>
      <c r="D3752" s="67" t="s">
        <v>10614</v>
      </c>
      <c r="E3752" s="96" t="s">
        <v>62</v>
      </c>
      <c r="F3752" s="29" t="s">
        <v>61</v>
      </c>
      <c r="G3752" s="29"/>
      <c r="H3752" s="103">
        <f>_xlfn.XLOOKUP(B3752,GM!$Q$5:$Q$756,GM!$J$5:$J$756)</f>
        <v>44838</v>
      </c>
    </row>
    <row r="3753" spans="1:8" hidden="1" x14ac:dyDescent="0.35">
      <c r="A3753" s="29" t="s">
        <v>20</v>
      </c>
      <c r="B3753" s="29" t="str">
        <f t="shared" si="58"/>
        <v>ROS-31</v>
      </c>
      <c r="C3753" s="29" t="s">
        <v>10615</v>
      </c>
      <c r="D3753" s="67" t="s">
        <v>10616</v>
      </c>
      <c r="E3753" s="96" t="s">
        <v>62</v>
      </c>
      <c r="F3753" s="29" t="s">
        <v>61</v>
      </c>
      <c r="G3753" s="29"/>
      <c r="H3753" s="103">
        <f>_xlfn.XLOOKUP(B3753,GM!$Q$5:$Q$756,GM!$J$5:$J$756)</f>
        <v>44838</v>
      </c>
    </row>
    <row r="3754" spans="1:8" hidden="1" x14ac:dyDescent="0.35">
      <c r="A3754" s="29" t="s">
        <v>20</v>
      </c>
      <c r="B3754" s="29" t="str">
        <f t="shared" si="58"/>
        <v>ROS-31</v>
      </c>
      <c r="C3754" s="29" t="s">
        <v>10617</v>
      </c>
      <c r="D3754" s="67" t="s">
        <v>10618</v>
      </c>
      <c r="E3754" s="96" t="s">
        <v>62</v>
      </c>
      <c r="F3754" s="29" t="s">
        <v>61</v>
      </c>
      <c r="G3754" s="29"/>
      <c r="H3754" s="103">
        <f>_xlfn.XLOOKUP(B3754,GM!$Q$5:$Q$756,GM!$J$5:$J$756)</f>
        <v>44838</v>
      </c>
    </row>
    <row r="3755" spans="1:8" hidden="1" x14ac:dyDescent="0.35">
      <c r="A3755" s="29" t="s">
        <v>20</v>
      </c>
      <c r="B3755" s="29" t="str">
        <f t="shared" si="58"/>
        <v>ROS-32</v>
      </c>
      <c r="C3755" s="29" t="s">
        <v>10619</v>
      </c>
      <c r="D3755" s="67" t="s">
        <v>10620</v>
      </c>
      <c r="E3755" s="96" t="s">
        <v>62</v>
      </c>
      <c r="F3755" s="29" t="s">
        <v>61</v>
      </c>
      <c r="G3755" s="29"/>
      <c r="H3755" s="103">
        <f>_xlfn.XLOOKUP(B3755,GM!$Q$5:$Q$756,GM!$J$5:$J$756)</f>
        <v>44838</v>
      </c>
    </row>
    <row r="3756" spans="1:8" hidden="1" x14ac:dyDescent="0.35">
      <c r="A3756" s="29" t="s">
        <v>20</v>
      </c>
      <c r="B3756" s="29" t="str">
        <f t="shared" si="58"/>
        <v>ROS-32</v>
      </c>
      <c r="C3756" s="29" t="s">
        <v>10621</v>
      </c>
      <c r="D3756" s="67" t="s">
        <v>10622</v>
      </c>
      <c r="E3756" s="96" t="s">
        <v>62</v>
      </c>
      <c r="F3756" s="29" t="s">
        <v>61</v>
      </c>
      <c r="G3756" s="29"/>
      <c r="H3756" s="103">
        <f>_xlfn.XLOOKUP(B3756,GM!$Q$5:$Q$756,GM!$J$5:$J$756)</f>
        <v>44838</v>
      </c>
    </row>
    <row r="3757" spans="1:8" hidden="1" x14ac:dyDescent="0.35">
      <c r="A3757" s="29" t="s">
        <v>20</v>
      </c>
      <c r="B3757" s="29" t="str">
        <f t="shared" si="58"/>
        <v>ROS-63</v>
      </c>
      <c r="C3757" s="29" t="s">
        <v>10623</v>
      </c>
      <c r="D3757" s="67" t="s">
        <v>10624</v>
      </c>
      <c r="E3757" s="96" t="s">
        <v>62</v>
      </c>
      <c r="F3757" s="29" t="s">
        <v>61</v>
      </c>
      <c r="G3757" s="29"/>
      <c r="H3757" s="103">
        <f>_xlfn.XLOOKUP(B3757,GM!$Q$5:$Q$756,GM!$J$5:$J$756)</f>
        <v>44838</v>
      </c>
    </row>
    <row r="3758" spans="1:8" hidden="1" x14ac:dyDescent="0.35">
      <c r="A3758" s="29" t="s">
        <v>20</v>
      </c>
      <c r="B3758" s="29" t="str">
        <f t="shared" si="58"/>
        <v>ROS-63</v>
      </c>
      <c r="C3758" s="29" t="s">
        <v>10625</v>
      </c>
      <c r="D3758" s="67" t="s">
        <v>10626</v>
      </c>
      <c r="E3758" s="96" t="s">
        <v>62</v>
      </c>
      <c r="F3758" s="29" t="s">
        <v>61</v>
      </c>
      <c r="G3758" s="29"/>
      <c r="H3758" s="103">
        <f>_xlfn.XLOOKUP(B3758,GM!$Q$5:$Q$756,GM!$J$5:$J$756)</f>
        <v>44838</v>
      </c>
    </row>
    <row r="3759" spans="1:8" hidden="1" x14ac:dyDescent="0.35">
      <c r="A3759" s="29" t="s">
        <v>14</v>
      </c>
      <c r="B3759" s="29" t="str">
        <f t="shared" si="58"/>
        <v>CHV-30</v>
      </c>
      <c r="C3759" s="29" t="s">
        <v>10627</v>
      </c>
      <c r="D3759" s="67" t="s">
        <v>10628</v>
      </c>
      <c r="E3759" s="96" t="s">
        <v>62</v>
      </c>
      <c r="F3759" s="29" t="s">
        <v>61</v>
      </c>
      <c r="G3759" s="29"/>
      <c r="H3759" s="103">
        <f>_xlfn.XLOOKUP(B3759,GM!$Q$5:$Q$756,GM!$J$5:$J$756)</f>
        <v>44838</v>
      </c>
    </row>
    <row r="3760" spans="1:8" hidden="1" x14ac:dyDescent="0.35">
      <c r="A3760" s="29" t="s">
        <v>14</v>
      </c>
      <c r="B3760" s="29" t="str">
        <f t="shared" si="58"/>
        <v>CHV-30</v>
      </c>
      <c r="C3760" s="29" t="s">
        <v>10629</v>
      </c>
      <c r="D3760" s="67" t="s">
        <v>10630</v>
      </c>
      <c r="E3760" s="96" t="s">
        <v>62</v>
      </c>
      <c r="F3760" s="29" t="s">
        <v>61</v>
      </c>
      <c r="G3760" s="29"/>
      <c r="H3760" s="103">
        <f>_xlfn.XLOOKUP(B3760,GM!$Q$5:$Q$756,GM!$J$5:$J$756)</f>
        <v>44838</v>
      </c>
    </row>
    <row r="3761" spans="1:8" hidden="1" x14ac:dyDescent="0.35">
      <c r="A3761" s="29" t="s">
        <v>14</v>
      </c>
      <c r="B3761" s="29" t="str">
        <f t="shared" si="58"/>
        <v>CHV-30</v>
      </c>
      <c r="C3761" s="29" t="s">
        <v>10629</v>
      </c>
      <c r="D3761" s="67" t="s">
        <v>10630</v>
      </c>
      <c r="E3761" s="96" t="s">
        <v>62</v>
      </c>
      <c r="F3761" s="29" t="s">
        <v>61</v>
      </c>
      <c r="G3761" s="29"/>
      <c r="H3761" s="103">
        <f>_xlfn.XLOOKUP(B3761,GM!$Q$5:$Q$756,GM!$J$5:$J$756)</f>
        <v>44838</v>
      </c>
    </row>
    <row r="3762" spans="1:8" hidden="1" x14ac:dyDescent="0.35">
      <c r="A3762" s="29" t="s">
        <v>14</v>
      </c>
      <c r="B3762" s="29" t="str">
        <f t="shared" si="58"/>
        <v>CHV-32</v>
      </c>
      <c r="C3762" s="29" t="s">
        <v>10631</v>
      </c>
      <c r="D3762" s="67" t="s">
        <v>10632</v>
      </c>
      <c r="E3762" s="96" t="s">
        <v>62</v>
      </c>
      <c r="F3762" s="29" t="s">
        <v>61</v>
      </c>
      <c r="G3762" s="29"/>
      <c r="H3762" s="103">
        <f>_xlfn.XLOOKUP(B3762,GM!$Q$5:$Q$756,GM!$J$5:$J$756)</f>
        <v>44838</v>
      </c>
    </row>
    <row r="3763" spans="1:8" hidden="1" x14ac:dyDescent="0.35">
      <c r="A3763" s="29" t="s">
        <v>14</v>
      </c>
      <c r="B3763" s="29" t="str">
        <f t="shared" si="58"/>
        <v>CHV-32</v>
      </c>
      <c r="C3763" s="29" t="s">
        <v>10633</v>
      </c>
      <c r="D3763" s="67" t="s">
        <v>10634</v>
      </c>
      <c r="E3763" s="96" t="s">
        <v>62</v>
      </c>
      <c r="F3763" s="29" t="s">
        <v>61</v>
      </c>
      <c r="G3763" s="29"/>
      <c r="H3763" s="103">
        <f>_xlfn.XLOOKUP(B3763,GM!$Q$5:$Q$756,GM!$J$5:$J$756)</f>
        <v>44838</v>
      </c>
    </row>
    <row r="3764" spans="1:8" hidden="1" x14ac:dyDescent="0.35">
      <c r="A3764" s="29" t="s">
        <v>14</v>
      </c>
      <c r="B3764" s="29" t="str">
        <f t="shared" si="58"/>
        <v>CHV-63</v>
      </c>
      <c r="C3764" s="29" t="s">
        <v>10635</v>
      </c>
      <c r="D3764" s="67" t="s">
        <v>10636</v>
      </c>
      <c r="E3764" s="96" t="s">
        <v>62</v>
      </c>
      <c r="F3764" s="29" t="s">
        <v>61</v>
      </c>
      <c r="G3764" s="29"/>
      <c r="H3764" s="103">
        <f>_xlfn.XLOOKUP(B3764,GM!$Q$5:$Q$756,GM!$J$5:$J$756)</f>
        <v>44838</v>
      </c>
    </row>
    <row r="3765" spans="1:8" hidden="1" x14ac:dyDescent="0.35">
      <c r="A3765" s="29" t="s">
        <v>16</v>
      </c>
      <c r="B3765" s="29" t="str">
        <f t="shared" si="58"/>
        <v>CN1-30</v>
      </c>
      <c r="C3765" s="29" t="s">
        <v>10637</v>
      </c>
      <c r="D3765" s="67" t="s">
        <v>10638</v>
      </c>
      <c r="E3765" s="96" t="s">
        <v>62</v>
      </c>
      <c r="F3765" s="29" t="s">
        <v>61</v>
      </c>
      <c r="G3765" s="29"/>
      <c r="H3765" s="103">
        <f>_xlfn.XLOOKUP(B3765,GM!$Q$5:$Q$756,GM!$J$5:$J$756)</f>
        <v>44838</v>
      </c>
    </row>
    <row r="3766" spans="1:8" hidden="1" x14ac:dyDescent="0.35">
      <c r="A3766" s="29" t="s">
        <v>16</v>
      </c>
      <c r="B3766" s="29" t="str">
        <f t="shared" si="58"/>
        <v>CN1-31</v>
      </c>
      <c r="C3766" s="29" t="s">
        <v>10639</v>
      </c>
      <c r="D3766" s="67" t="s">
        <v>10640</v>
      </c>
      <c r="E3766" s="96" t="s">
        <v>62</v>
      </c>
      <c r="F3766" s="29" t="s">
        <v>61</v>
      </c>
      <c r="G3766" s="29"/>
      <c r="H3766" s="103">
        <f>_xlfn.XLOOKUP(B3766,GM!$Q$5:$Q$756,GM!$J$5:$J$756)</f>
        <v>44838</v>
      </c>
    </row>
    <row r="3767" spans="1:8" hidden="1" x14ac:dyDescent="0.35">
      <c r="A3767" s="29" t="s">
        <v>16</v>
      </c>
      <c r="B3767" s="29" t="str">
        <f t="shared" ref="B3767:B3830" si="59">IF(OR(A3767="ARN",A3767="SDP"),MID(C3767,4,7),MID(C3767,4,6))</f>
        <v>CN1-63</v>
      </c>
      <c r="C3767" s="29" t="s">
        <v>10641</v>
      </c>
      <c r="D3767" s="67" t="s">
        <v>10642</v>
      </c>
      <c r="E3767" s="96" t="s">
        <v>62</v>
      </c>
      <c r="F3767" s="29" t="s">
        <v>61</v>
      </c>
      <c r="G3767" s="29"/>
      <c r="H3767" s="103">
        <f>_xlfn.XLOOKUP(B3767,GM!$Q$5:$Q$756,GM!$J$5:$J$756)</f>
        <v>44838</v>
      </c>
    </row>
    <row r="3768" spans="1:8" hidden="1" x14ac:dyDescent="0.35">
      <c r="A3768" s="29" t="s">
        <v>17</v>
      </c>
      <c r="B3768" s="29" t="str">
        <f t="shared" si="59"/>
        <v>CN2-30</v>
      </c>
      <c r="C3768" s="29" t="s">
        <v>10643</v>
      </c>
      <c r="D3768" s="67" t="s">
        <v>10644</v>
      </c>
      <c r="E3768" s="96" t="s">
        <v>62</v>
      </c>
      <c r="F3768" s="29" t="s">
        <v>61</v>
      </c>
      <c r="G3768" s="29"/>
      <c r="H3768" s="103">
        <f>_xlfn.XLOOKUP(B3768,GM!$Q$5:$Q$756,GM!$J$5:$J$756)</f>
        <v>44838</v>
      </c>
    </row>
    <row r="3769" spans="1:8" hidden="1" x14ac:dyDescent="0.35">
      <c r="A3769" s="29" t="s">
        <v>17</v>
      </c>
      <c r="B3769" s="29" t="str">
        <f t="shared" si="59"/>
        <v>CN2-31</v>
      </c>
      <c r="C3769" s="29" t="s">
        <v>10645</v>
      </c>
      <c r="D3769" s="67" t="s">
        <v>10646</v>
      </c>
      <c r="E3769" s="96" t="s">
        <v>62</v>
      </c>
      <c r="F3769" s="29" t="s">
        <v>61</v>
      </c>
      <c r="G3769" s="29"/>
      <c r="H3769" s="103">
        <f>_xlfn.XLOOKUP(B3769,GM!$Q$5:$Q$756,GM!$J$5:$J$756)</f>
        <v>44838</v>
      </c>
    </row>
    <row r="3770" spans="1:8" hidden="1" x14ac:dyDescent="0.35">
      <c r="A3770" s="29" t="s">
        <v>17</v>
      </c>
      <c r="B3770" s="29" t="str">
        <f t="shared" si="59"/>
        <v>CN2-63</v>
      </c>
      <c r="C3770" s="29" t="s">
        <v>10647</v>
      </c>
      <c r="D3770" s="67" t="s">
        <v>10648</v>
      </c>
      <c r="E3770" s="96" t="s">
        <v>62</v>
      </c>
      <c r="F3770" s="29" t="s">
        <v>61</v>
      </c>
      <c r="G3770" s="29"/>
      <c r="H3770" s="103">
        <f>_xlfn.XLOOKUP(B3770,GM!$Q$5:$Q$756,GM!$J$5:$J$756)</f>
        <v>44838</v>
      </c>
    </row>
    <row r="3771" spans="1:8" hidden="1" x14ac:dyDescent="0.35">
      <c r="A3771" s="29" t="s">
        <v>18</v>
      </c>
      <c r="B3771" s="29" t="str">
        <f t="shared" si="59"/>
        <v>CPV-30</v>
      </c>
      <c r="C3771" s="29" t="s">
        <v>10649</v>
      </c>
      <c r="D3771" s="67" t="s">
        <v>10650</v>
      </c>
      <c r="E3771" s="96" t="s">
        <v>62</v>
      </c>
      <c r="F3771" s="29" t="s">
        <v>61</v>
      </c>
      <c r="G3771" s="29"/>
      <c r="H3771" s="103">
        <f>_xlfn.XLOOKUP(B3771,GM!$Q$5:$Q$756,GM!$J$5:$J$756)</f>
        <v>44838</v>
      </c>
    </row>
    <row r="3772" spans="1:8" hidden="1" x14ac:dyDescent="0.35">
      <c r="A3772" s="29" t="s">
        <v>18</v>
      </c>
      <c r="B3772" s="29" t="str">
        <f t="shared" si="59"/>
        <v>CPV-30</v>
      </c>
      <c r="C3772" s="29" t="s">
        <v>10651</v>
      </c>
      <c r="D3772" s="67" t="s">
        <v>10652</v>
      </c>
      <c r="E3772" s="96" t="s">
        <v>62</v>
      </c>
      <c r="F3772" s="29" t="s">
        <v>61</v>
      </c>
      <c r="G3772" s="29"/>
      <c r="H3772" s="103">
        <f>_xlfn.XLOOKUP(B3772,GM!$Q$5:$Q$756,GM!$J$5:$J$756)</f>
        <v>44838</v>
      </c>
    </row>
    <row r="3773" spans="1:8" hidden="1" x14ac:dyDescent="0.35">
      <c r="A3773" s="29" t="s">
        <v>18</v>
      </c>
      <c r="B3773" s="29" t="str">
        <f t="shared" si="59"/>
        <v>CPV-31</v>
      </c>
      <c r="C3773" s="29" t="s">
        <v>10653</v>
      </c>
      <c r="D3773" s="67" t="s">
        <v>10654</v>
      </c>
      <c r="E3773" s="96" t="s">
        <v>62</v>
      </c>
      <c r="F3773" s="29" t="s">
        <v>61</v>
      </c>
      <c r="G3773" s="29"/>
      <c r="H3773" s="103">
        <f>_xlfn.XLOOKUP(B3773,GM!$Q$5:$Q$756,GM!$J$5:$J$756)</f>
        <v>44838</v>
      </c>
    </row>
    <row r="3774" spans="1:8" hidden="1" x14ac:dyDescent="0.35">
      <c r="A3774" s="29" t="s">
        <v>18</v>
      </c>
      <c r="B3774" s="29" t="str">
        <f t="shared" si="59"/>
        <v>CPV-32</v>
      </c>
      <c r="C3774" s="29" t="s">
        <v>10655</v>
      </c>
      <c r="D3774" s="67" t="s">
        <v>10656</v>
      </c>
      <c r="E3774" s="96" t="s">
        <v>62</v>
      </c>
      <c r="F3774" s="29" t="s">
        <v>61</v>
      </c>
      <c r="G3774" s="29"/>
      <c r="H3774" s="103">
        <f>_xlfn.XLOOKUP(B3774,GM!$Q$5:$Q$756,GM!$J$5:$J$756)</f>
        <v>44838</v>
      </c>
    </row>
    <row r="3775" spans="1:8" hidden="1" x14ac:dyDescent="0.35">
      <c r="A3775" s="29" t="s">
        <v>18</v>
      </c>
      <c r="B3775" s="29" t="str">
        <f t="shared" si="59"/>
        <v>CPV-63</v>
      </c>
      <c r="C3775" s="29" t="s">
        <v>10657</v>
      </c>
      <c r="D3775" s="67" t="s">
        <v>10658</v>
      </c>
      <c r="E3775" s="96" t="s">
        <v>62</v>
      </c>
      <c r="F3775" s="29" t="s">
        <v>61</v>
      </c>
      <c r="G3775" s="29"/>
      <c r="H3775" s="103">
        <f>_xlfn.XLOOKUP(B3775,GM!$Q$5:$Q$756,GM!$J$5:$J$756)</f>
        <v>44838</v>
      </c>
    </row>
    <row r="3776" spans="1:8" hidden="1" x14ac:dyDescent="0.35">
      <c r="A3776" s="29" t="s">
        <v>26</v>
      </c>
      <c r="B3776" s="29" t="str">
        <f t="shared" si="59"/>
        <v>GAR-30</v>
      </c>
      <c r="C3776" s="29" t="s">
        <v>10659</v>
      </c>
      <c r="D3776" s="67" t="s">
        <v>10660</v>
      </c>
      <c r="E3776" s="96" t="s">
        <v>62</v>
      </c>
      <c r="F3776" s="29" t="s">
        <v>61</v>
      </c>
      <c r="G3776" s="29"/>
      <c r="H3776" s="103">
        <f>_xlfn.XLOOKUP(B3776,GM!$Q$5:$Q$756,GM!$J$5:$J$756)</f>
        <v>44838</v>
      </c>
    </row>
    <row r="3777" spans="1:8" hidden="1" x14ac:dyDescent="0.35">
      <c r="A3777" s="29" t="s">
        <v>26</v>
      </c>
      <c r="B3777" s="29" t="str">
        <f t="shared" si="59"/>
        <v>GAR-31</v>
      </c>
      <c r="C3777" s="29" t="s">
        <v>10661</v>
      </c>
      <c r="D3777" s="67" t="s">
        <v>10662</v>
      </c>
      <c r="E3777" s="96" t="s">
        <v>62</v>
      </c>
      <c r="F3777" s="29" t="s">
        <v>61</v>
      </c>
      <c r="G3777" s="29"/>
      <c r="H3777" s="103">
        <f>_xlfn.XLOOKUP(B3777,GM!$Q$5:$Q$756,GM!$J$5:$J$756)</f>
        <v>44838</v>
      </c>
    </row>
    <row r="3778" spans="1:8" hidden="1" x14ac:dyDescent="0.35">
      <c r="A3778" s="29" t="s">
        <v>26</v>
      </c>
      <c r="B3778" s="29" t="str">
        <f t="shared" si="59"/>
        <v>GAR-32</v>
      </c>
      <c r="C3778" s="29" t="s">
        <v>10663</v>
      </c>
      <c r="D3778" s="67" t="s">
        <v>10664</v>
      </c>
      <c r="E3778" s="96" t="s">
        <v>62</v>
      </c>
      <c r="F3778" s="29" t="s">
        <v>61</v>
      </c>
      <c r="G3778" s="29"/>
      <c r="H3778" s="103">
        <f>_xlfn.XLOOKUP(B3778,GM!$Q$5:$Q$756,GM!$J$5:$J$756)</f>
        <v>44838</v>
      </c>
    </row>
    <row r="3779" spans="1:8" hidden="1" x14ac:dyDescent="0.35">
      <c r="A3779" s="29" t="s">
        <v>26</v>
      </c>
      <c r="B3779" s="29" t="str">
        <f t="shared" si="59"/>
        <v>GAR-32</v>
      </c>
      <c r="C3779" s="29" t="s">
        <v>10665</v>
      </c>
      <c r="D3779" s="67" t="s">
        <v>10666</v>
      </c>
      <c r="E3779" s="96" t="s">
        <v>62</v>
      </c>
      <c r="F3779" s="29" t="s">
        <v>61</v>
      </c>
      <c r="G3779" s="29"/>
      <c r="H3779" s="103">
        <f>_xlfn.XLOOKUP(B3779,GM!$Q$5:$Q$756,GM!$J$5:$J$756)</f>
        <v>44838</v>
      </c>
    </row>
    <row r="3780" spans="1:8" hidden="1" x14ac:dyDescent="0.35">
      <c r="A3780" s="29" t="s">
        <v>26</v>
      </c>
      <c r="B3780" s="29" t="str">
        <f t="shared" si="59"/>
        <v>GAR-32</v>
      </c>
      <c r="C3780" s="29" t="s">
        <v>10665</v>
      </c>
      <c r="D3780" s="67" t="s">
        <v>10666</v>
      </c>
      <c r="E3780" s="96" t="s">
        <v>62</v>
      </c>
      <c r="F3780" s="29" t="s">
        <v>61</v>
      </c>
      <c r="G3780" s="29"/>
      <c r="H3780" s="103">
        <f>_xlfn.XLOOKUP(B3780,GM!$Q$5:$Q$756,GM!$J$5:$J$756)</f>
        <v>44838</v>
      </c>
    </row>
    <row r="3781" spans="1:8" hidden="1" x14ac:dyDescent="0.35">
      <c r="A3781" s="29" t="s">
        <v>26</v>
      </c>
      <c r="B3781" s="29" t="str">
        <f t="shared" si="59"/>
        <v>GAR-32</v>
      </c>
      <c r="C3781" s="29" t="s">
        <v>10665</v>
      </c>
      <c r="D3781" s="67" t="s">
        <v>10666</v>
      </c>
      <c r="E3781" s="96" t="s">
        <v>62</v>
      </c>
      <c r="F3781" s="29" t="s">
        <v>61</v>
      </c>
      <c r="G3781" s="29"/>
      <c r="H3781" s="103">
        <f>_xlfn.XLOOKUP(B3781,GM!$Q$5:$Q$756,GM!$J$5:$J$756)</f>
        <v>44838</v>
      </c>
    </row>
    <row r="3782" spans="1:8" hidden="1" x14ac:dyDescent="0.35">
      <c r="A3782" s="29" t="s">
        <v>26</v>
      </c>
      <c r="B3782" s="29" t="str">
        <f t="shared" si="59"/>
        <v>GAR-63</v>
      </c>
      <c r="C3782" s="29" t="s">
        <v>10667</v>
      </c>
      <c r="D3782" s="67" t="s">
        <v>10668</v>
      </c>
      <c r="E3782" s="96" t="s">
        <v>62</v>
      </c>
      <c r="F3782" s="29" t="s">
        <v>61</v>
      </c>
      <c r="G3782" s="29"/>
      <c r="H3782" s="103">
        <f>_xlfn.XLOOKUP(B3782,GM!$Q$5:$Q$756,GM!$J$5:$J$756)</f>
        <v>44838</v>
      </c>
    </row>
    <row r="3783" spans="1:8" hidden="1" x14ac:dyDescent="0.35">
      <c r="A3783" s="29" t="s">
        <v>23</v>
      </c>
      <c r="B3783" s="29" t="str">
        <f t="shared" si="59"/>
        <v>ILS-30</v>
      </c>
      <c r="C3783" s="29" t="s">
        <v>10669</v>
      </c>
      <c r="D3783" s="67" t="s">
        <v>10670</v>
      </c>
      <c r="E3783" s="96" t="s">
        <v>62</v>
      </c>
      <c r="F3783" s="29" t="s">
        <v>61</v>
      </c>
      <c r="G3783" s="29"/>
      <c r="H3783" s="103">
        <f>_xlfn.XLOOKUP(B3783,GM!$Q$5:$Q$756,GM!$J$5:$J$756)</f>
        <v>44838</v>
      </c>
    </row>
    <row r="3784" spans="1:8" hidden="1" x14ac:dyDescent="0.35">
      <c r="A3784" s="29" t="s">
        <v>23</v>
      </c>
      <c r="B3784" s="29" t="str">
        <f t="shared" si="59"/>
        <v>ILS-31</v>
      </c>
      <c r="C3784" s="29" t="s">
        <v>10671</v>
      </c>
      <c r="D3784" s="67" t="s">
        <v>10672</v>
      </c>
      <c r="E3784" s="96" t="s">
        <v>62</v>
      </c>
      <c r="F3784" s="29" t="s">
        <v>61</v>
      </c>
      <c r="G3784" s="29"/>
      <c r="H3784" s="103">
        <f>_xlfn.XLOOKUP(B3784,GM!$Q$5:$Q$756,GM!$J$5:$J$756)</f>
        <v>44838</v>
      </c>
    </row>
    <row r="3785" spans="1:8" hidden="1" x14ac:dyDescent="0.35">
      <c r="A3785" s="29" t="s">
        <v>23</v>
      </c>
      <c r="B3785" s="29" t="str">
        <f t="shared" si="59"/>
        <v>ILS-32</v>
      </c>
      <c r="C3785" s="29" t="s">
        <v>10673</v>
      </c>
      <c r="D3785" s="67" t="s">
        <v>10674</v>
      </c>
      <c r="E3785" s="96" t="s">
        <v>62</v>
      </c>
      <c r="F3785" s="29" t="s">
        <v>61</v>
      </c>
      <c r="G3785" s="29"/>
      <c r="H3785" s="103">
        <f>_xlfn.XLOOKUP(B3785,GM!$Q$5:$Q$756,GM!$J$5:$J$756)</f>
        <v>44838</v>
      </c>
    </row>
    <row r="3786" spans="1:8" hidden="1" x14ac:dyDescent="0.35">
      <c r="A3786" s="29" t="s">
        <v>23</v>
      </c>
      <c r="B3786" s="29" t="str">
        <f t="shared" si="59"/>
        <v>ILS-32</v>
      </c>
      <c r="C3786" s="29" t="s">
        <v>10675</v>
      </c>
      <c r="D3786" s="67" t="s">
        <v>10676</v>
      </c>
      <c r="E3786" s="96" t="s">
        <v>62</v>
      </c>
      <c r="F3786" s="29" t="s">
        <v>61</v>
      </c>
      <c r="G3786" s="29"/>
      <c r="H3786" s="103">
        <f>_xlfn.XLOOKUP(B3786,GM!$Q$5:$Q$756,GM!$J$5:$J$756)</f>
        <v>44838</v>
      </c>
    </row>
    <row r="3787" spans="1:8" hidden="1" x14ac:dyDescent="0.35">
      <c r="A3787" s="29" t="s">
        <v>23</v>
      </c>
      <c r="B3787" s="29" t="str">
        <f t="shared" si="59"/>
        <v>ILS-32</v>
      </c>
      <c r="C3787" s="29" t="s">
        <v>10677</v>
      </c>
      <c r="D3787" s="67" t="s">
        <v>10678</v>
      </c>
      <c r="E3787" s="96" t="s">
        <v>62</v>
      </c>
      <c r="F3787" s="29" t="s">
        <v>61</v>
      </c>
      <c r="G3787" s="29"/>
      <c r="H3787" s="103">
        <f>_xlfn.XLOOKUP(B3787,GM!$Q$5:$Q$756,GM!$J$5:$J$756)</f>
        <v>44838</v>
      </c>
    </row>
    <row r="3788" spans="1:8" hidden="1" x14ac:dyDescent="0.35">
      <c r="A3788" s="29" t="s">
        <v>23</v>
      </c>
      <c r="B3788" s="29" t="str">
        <f t="shared" si="59"/>
        <v>ILS-32</v>
      </c>
      <c r="C3788" s="29" t="s">
        <v>10679</v>
      </c>
      <c r="D3788" s="67" t="s">
        <v>10680</v>
      </c>
      <c r="E3788" s="96" t="s">
        <v>62</v>
      </c>
      <c r="F3788" s="29" t="s">
        <v>61</v>
      </c>
      <c r="G3788" s="29"/>
      <c r="H3788" s="103">
        <f>_xlfn.XLOOKUP(B3788,GM!$Q$5:$Q$756,GM!$J$5:$J$756)</f>
        <v>44838</v>
      </c>
    </row>
    <row r="3789" spans="1:8" hidden="1" x14ac:dyDescent="0.35">
      <c r="A3789" s="29" t="s">
        <v>23</v>
      </c>
      <c r="B3789" s="29" t="str">
        <f t="shared" si="59"/>
        <v>ILS-32</v>
      </c>
      <c r="C3789" s="29" t="s">
        <v>10681</v>
      </c>
      <c r="D3789" s="67" t="s">
        <v>10682</v>
      </c>
      <c r="E3789" s="96" t="s">
        <v>62</v>
      </c>
      <c r="F3789" s="29" t="s">
        <v>61</v>
      </c>
      <c r="G3789" s="29"/>
      <c r="H3789" s="103">
        <f>_xlfn.XLOOKUP(B3789,GM!$Q$5:$Q$756,GM!$J$5:$J$756)</f>
        <v>44838</v>
      </c>
    </row>
    <row r="3790" spans="1:8" hidden="1" x14ac:dyDescent="0.35">
      <c r="A3790" s="29" t="s">
        <v>23</v>
      </c>
      <c r="B3790" s="29" t="str">
        <f t="shared" si="59"/>
        <v>ILS-32</v>
      </c>
      <c r="C3790" s="29" t="s">
        <v>10683</v>
      </c>
      <c r="D3790" s="67" t="s">
        <v>10684</v>
      </c>
      <c r="E3790" s="96" t="s">
        <v>62</v>
      </c>
      <c r="F3790" s="29" t="s">
        <v>61</v>
      </c>
      <c r="G3790" s="29"/>
      <c r="H3790" s="103">
        <f>_xlfn.XLOOKUP(B3790,GM!$Q$5:$Q$756,GM!$J$5:$J$756)</f>
        <v>44838</v>
      </c>
    </row>
    <row r="3791" spans="1:8" hidden="1" x14ac:dyDescent="0.35">
      <c r="A3791" s="29" t="s">
        <v>23</v>
      </c>
      <c r="B3791" s="29" t="str">
        <f t="shared" si="59"/>
        <v>ILS-32</v>
      </c>
      <c r="C3791" s="29" t="s">
        <v>10685</v>
      </c>
      <c r="D3791" s="67" t="s">
        <v>10686</v>
      </c>
      <c r="E3791" s="96" t="s">
        <v>62</v>
      </c>
      <c r="F3791" s="29" t="s">
        <v>61</v>
      </c>
      <c r="G3791" s="29"/>
      <c r="H3791" s="103">
        <f>_xlfn.XLOOKUP(B3791,GM!$Q$5:$Q$756,GM!$J$5:$J$756)</f>
        <v>44838</v>
      </c>
    </row>
    <row r="3792" spans="1:8" hidden="1" x14ac:dyDescent="0.35">
      <c r="A3792" s="29" t="s">
        <v>23</v>
      </c>
      <c r="B3792" s="29" t="str">
        <f t="shared" si="59"/>
        <v>ILS-63</v>
      </c>
      <c r="C3792" s="29" t="s">
        <v>10687</v>
      </c>
      <c r="D3792" s="67" t="s">
        <v>10688</v>
      </c>
      <c r="E3792" s="96" t="s">
        <v>62</v>
      </c>
      <c r="F3792" s="29" t="s">
        <v>61</v>
      </c>
      <c r="G3792" s="29"/>
      <c r="H3792" s="103">
        <f>_xlfn.XLOOKUP(B3792,GM!$Q$5:$Q$756,GM!$J$5:$J$756)</f>
        <v>44838</v>
      </c>
    </row>
    <row r="3793" spans="1:8" hidden="1" x14ac:dyDescent="0.35">
      <c r="A3793" s="29" t="s">
        <v>23</v>
      </c>
      <c r="B3793" s="29" t="str">
        <f t="shared" si="59"/>
        <v>ILS-63</v>
      </c>
      <c r="C3793" s="29" t="s">
        <v>10689</v>
      </c>
      <c r="D3793" s="67" t="s">
        <v>10690</v>
      </c>
      <c r="E3793" s="96" t="s">
        <v>62</v>
      </c>
      <c r="F3793" s="29" t="s">
        <v>61</v>
      </c>
      <c r="G3793" s="29"/>
      <c r="H3793" s="103">
        <f>_xlfn.XLOOKUP(B3793,GM!$Q$5:$Q$756,GM!$J$5:$J$756)</f>
        <v>44838</v>
      </c>
    </row>
    <row r="3794" spans="1:8" x14ac:dyDescent="0.35">
      <c r="A3794" s="29" t="s">
        <v>24</v>
      </c>
      <c r="B3794" s="29" t="str">
        <f t="shared" si="59"/>
        <v>JUP-30</v>
      </c>
      <c r="C3794" s="29" t="s">
        <v>10691</v>
      </c>
      <c r="D3794" s="67" t="s">
        <v>10692</v>
      </c>
      <c r="E3794" s="96" t="s">
        <v>62</v>
      </c>
      <c r="F3794" s="29" t="s">
        <v>61</v>
      </c>
      <c r="G3794" s="29"/>
      <c r="H3794" s="103">
        <f>_xlfn.XLOOKUP(B3794,GM!$Q$5:$Q$756,GM!$J$5:$J$756)</f>
        <v>44838</v>
      </c>
    </row>
    <row r="3795" spans="1:8" x14ac:dyDescent="0.35">
      <c r="A3795" s="29" t="s">
        <v>24</v>
      </c>
      <c r="B3795" s="29" t="str">
        <f t="shared" si="59"/>
        <v>JUP-30</v>
      </c>
      <c r="C3795" s="29" t="s">
        <v>10693</v>
      </c>
      <c r="D3795" s="67" t="s">
        <v>10694</v>
      </c>
      <c r="E3795" s="96" t="s">
        <v>62</v>
      </c>
      <c r="F3795" s="29" t="s">
        <v>61</v>
      </c>
      <c r="G3795" s="29"/>
      <c r="H3795" s="103">
        <f>_xlfn.XLOOKUP(B3795,GM!$Q$5:$Q$756,GM!$J$5:$J$756)</f>
        <v>44838</v>
      </c>
    </row>
    <row r="3796" spans="1:8" x14ac:dyDescent="0.35">
      <c r="A3796" s="29" t="s">
        <v>24</v>
      </c>
      <c r="B3796" s="29" t="str">
        <f t="shared" si="59"/>
        <v>JUP-31</v>
      </c>
      <c r="C3796" s="29" t="s">
        <v>10695</v>
      </c>
      <c r="D3796" s="67" t="s">
        <v>10696</v>
      </c>
      <c r="E3796" s="96" t="s">
        <v>62</v>
      </c>
      <c r="F3796" s="29" t="s">
        <v>61</v>
      </c>
      <c r="G3796" s="29"/>
      <c r="H3796" s="103">
        <f>_xlfn.XLOOKUP(B3796,GM!$Q$5:$Q$756,GM!$J$5:$J$756)</f>
        <v>44838</v>
      </c>
    </row>
    <row r="3797" spans="1:8" x14ac:dyDescent="0.35">
      <c r="A3797" s="29" t="s">
        <v>24</v>
      </c>
      <c r="B3797" s="29" t="str">
        <f t="shared" si="59"/>
        <v>JUP-32</v>
      </c>
      <c r="C3797" s="29" t="s">
        <v>10697</v>
      </c>
      <c r="D3797" s="67" t="s">
        <v>10698</v>
      </c>
      <c r="E3797" s="96" t="s">
        <v>62</v>
      </c>
      <c r="F3797" s="29" t="s">
        <v>61</v>
      </c>
      <c r="G3797" s="29"/>
      <c r="H3797" s="103">
        <f>_xlfn.XLOOKUP(B3797,GM!$Q$5:$Q$756,GM!$J$5:$J$756)</f>
        <v>44838</v>
      </c>
    </row>
    <row r="3798" spans="1:8" x14ac:dyDescent="0.35">
      <c r="A3798" s="29" t="s">
        <v>24</v>
      </c>
      <c r="B3798" s="29" t="str">
        <f t="shared" si="59"/>
        <v>JUP-32</v>
      </c>
      <c r="C3798" s="29" t="s">
        <v>10699</v>
      </c>
      <c r="D3798" s="67" t="s">
        <v>10700</v>
      </c>
      <c r="E3798" s="96" t="s">
        <v>62</v>
      </c>
      <c r="F3798" s="29" t="s">
        <v>61</v>
      </c>
      <c r="G3798" s="29"/>
      <c r="H3798" s="103">
        <f>_xlfn.XLOOKUP(B3798,GM!$Q$5:$Q$756,GM!$J$5:$J$756)</f>
        <v>44838</v>
      </c>
    </row>
    <row r="3799" spans="1:8" x14ac:dyDescent="0.35">
      <c r="A3799" s="29" t="s">
        <v>24</v>
      </c>
      <c r="B3799" s="29" t="str">
        <f t="shared" si="59"/>
        <v>JUP-32</v>
      </c>
      <c r="C3799" s="29" t="s">
        <v>10701</v>
      </c>
      <c r="D3799" s="67" t="s">
        <v>10702</v>
      </c>
      <c r="E3799" s="96" t="s">
        <v>62</v>
      </c>
      <c r="F3799" s="29" t="s">
        <v>61</v>
      </c>
      <c r="G3799" s="29"/>
      <c r="H3799" s="103">
        <f>_xlfn.XLOOKUP(B3799,GM!$Q$5:$Q$756,GM!$J$5:$J$756)</f>
        <v>44838</v>
      </c>
    </row>
    <row r="3800" spans="1:8" x14ac:dyDescent="0.35">
      <c r="A3800" s="29" t="s">
        <v>24</v>
      </c>
      <c r="B3800" s="29" t="str">
        <f t="shared" si="59"/>
        <v>JUP-32</v>
      </c>
      <c r="C3800" s="29" t="s">
        <v>10703</v>
      </c>
      <c r="D3800" s="67" t="s">
        <v>10704</v>
      </c>
      <c r="E3800" s="96" t="s">
        <v>62</v>
      </c>
      <c r="F3800" s="29" t="s">
        <v>61</v>
      </c>
      <c r="G3800" s="29"/>
      <c r="H3800" s="103">
        <f>_xlfn.XLOOKUP(B3800,GM!$Q$5:$Q$756,GM!$J$5:$J$756)</f>
        <v>44838</v>
      </c>
    </row>
    <row r="3801" spans="1:8" x14ac:dyDescent="0.35">
      <c r="A3801" s="29" t="s">
        <v>24</v>
      </c>
      <c r="B3801" s="29" t="str">
        <f t="shared" si="59"/>
        <v>JUP-63</v>
      </c>
      <c r="C3801" s="29" t="s">
        <v>10705</v>
      </c>
      <c r="D3801" s="67" t="s">
        <v>10706</v>
      </c>
      <c r="E3801" s="96" t="s">
        <v>62</v>
      </c>
      <c r="F3801" s="29" t="s">
        <v>61</v>
      </c>
      <c r="G3801" s="29"/>
      <c r="H3801" s="103">
        <f>_xlfn.XLOOKUP(B3801,GM!$Q$5:$Q$756,GM!$J$5:$J$756)</f>
        <v>44838</v>
      </c>
    </row>
    <row r="3802" spans="1:8" x14ac:dyDescent="0.35">
      <c r="A3802" s="29" t="s">
        <v>24</v>
      </c>
      <c r="B3802" s="29" t="str">
        <f t="shared" si="59"/>
        <v>JUP-63</v>
      </c>
      <c r="C3802" s="29" t="s">
        <v>10707</v>
      </c>
      <c r="D3802" s="67" t="s">
        <v>10708</v>
      </c>
      <c r="E3802" s="96" t="s">
        <v>62</v>
      </c>
      <c r="F3802" s="29" t="s">
        <v>61</v>
      </c>
      <c r="G3802" s="29"/>
      <c r="H3802" s="103">
        <f>_xlfn.XLOOKUP(B3802,GM!$Q$5:$Q$756,GM!$J$5:$J$756)</f>
        <v>44838</v>
      </c>
    </row>
    <row r="3803" spans="1:8" x14ac:dyDescent="0.35">
      <c r="A3803" s="29" t="s">
        <v>24</v>
      </c>
      <c r="B3803" s="29" t="str">
        <f t="shared" si="59"/>
        <v>JUP-63</v>
      </c>
      <c r="C3803" s="29" t="s">
        <v>10709</v>
      </c>
      <c r="D3803" s="67" t="s">
        <v>10710</v>
      </c>
      <c r="E3803" s="96" t="s">
        <v>62</v>
      </c>
      <c r="F3803" s="29" t="s">
        <v>61</v>
      </c>
      <c r="G3803" s="29"/>
      <c r="H3803" s="103">
        <f>_xlfn.XLOOKUP(B3803,GM!$Q$5:$Q$756,GM!$J$5:$J$756)</f>
        <v>44838</v>
      </c>
    </row>
    <row r="3804" spans="1:8" hidden="1" x14ac:dyDescent="0.35">
      <c r="A3804" s="29" t="s">
        <v>13</v>
      </c>
      <c r="B3804" s="29" t="str">
        <f t="shared" si="59"/>
        <v>JUR-30</v>
      </c>
      <c r="C3804" s="29" t="s">
        <v>10711</v>
      </c>
      <c r="D3804" s="67" t="s">
        <v>10712</v>
      </c>
      <c r="E3804" s="96" t="s">
        <v>62</v>
      </c>
      <c r="F3804" s="29" t="s">
        <v>61</v>
      </c>
      <c r="G3804" s="29"/>
      <c r="H3804" s="103">
        <f>_xlfn.XLOOKUP(B3804,GM!$Q$5:$Q$756,GM!$J$5:$J$756)</f>
        <v>44838</v>
      </c>
    </row>
    <row r="3805" spans="1:8" hidden="1" x14ac:dyDescent="0.35">
      <c r="A3805" s="29" t="s">
        <v>13</v>
      </c>
      <c r="B3805" s="29" t="str">
        <f t="shared" si="59"/>
        <v>JUR-30</v>
      </c>
      <c r="C3805" s="29" t="s">
        <v>10713</v>
      </c>
      <c r="D3805" s="67" t="s">
        <v>10714</v>
      </c>
      <c r="E3805" s="96" t="s">
        <v>62</v>
      </c>
      <c r="F3805" s="29" t="s">
        <v>61</v>
      </c>
      <c r="G3805" s="29"/>
      <c r="H3805" s="103">
        <f>_xlfn.XLOOKUP(B3805,GM!$Q$5:$Q$756,GM!$J$5:$J$756)</f>
        <v>44838</v>
      </c>
    </row>
    <row r="3806" spans="1:8" hidden="1" x14ac:dyDescent="0.35">
      <c r="A3806" s="29" t="s">
        <v>13</v>
      </c>
      <c r="B3806" s="29" t="str">
        <f t="shared" si="59"/>
        <v>JUR-31</v>
      </c>
      <c r="C3806" s="29" t="s">
        <v>10715</v>
      </c>
      <c r="D3806" s="67" t="s">
        <v>10716</v>
      </c>
      <c r="E3806" s="96" t="s">
        <v>62</v>
      </c>
      <c r="F3806" s="29" t="s">
        <v>61</v>
      </c>
      <c r="G3806" s="29"/>
      <c r="H3806" s="103">
        <f>_xlfn.XLOOKUP(B3806,GM!$Q$5:$Q$756,GM!$J$5:$J$756)</f>
        <v>44838</v>
      </c>
    </row>
    <row r="3807" spans="1:8" hidden="1" x14ac:dyDescent="0.35">
      <c r="A3807" s="29" t="s">
        <v>13</v>
      </c>
      <c r="B3807" s="29" t="str">
        <f t="shared" si="59"/>
        <v>JUR-32</v>
      </c>
      <c r="C3807" s="29" t="s">
        <v>10717</v>
      </c>
      <c r="D3807" s="67" t="s">
        <v>10718</v>
      </c>
      <c r="E3807" s="96" t="s">
        <v>62</v>
      </c>
      <c r="F3807" s="29" t="s">
        <v>61</v>
      </c>
      <c r="G3807" s="29"/>
      <c r="H3807" s="103">
        <f>_xlfn.XLOOKUP(B3807,GM!$Q$5:$Q$756,GM!$J$5:$J$756)</f>
        <v>44838</v>
      </c>
    </row>
    <row r="3808" spans="1:8" hidden="1" x14ac:dyDescent="0.35">
      <c r="A3808" s="29" t="s">
        <v>13</v>
      </c>
      <c r="B3808" s="29" t="str">
        <f t="shared" si="59"/>
        <v>JUR-63</v>
      </c>
      <c r="C3808" s="29" t="s">
        <v>10719</v>
      </c>
      <c r="D3808" s="67" t="s">
        <v>10720</v>
      </c>
      <c r="E3808" s="96" t="s">
        <v>62</v>
      </c>
      <c r="F3808" s="29" t="s">
        <v>61</v>
      </c>
      <c r="G3808" s="29"/>
      <c r="H3808" s="103">
        <f>_xlfn.XLOOKUP(B3808,GM!$Q$5:$Q$756,GM!$J$5:$J$756)</f>
        <v>44838</v>
      </c>
    </row>
    <row r="3809" spans="1:8" hidden="1" x14ac:dyDescent="0.35">
      <c r="A3809" s="29" t="s">
        <v>21</v>
      </c>
      <c r="B3809" s="29" t="str">
        <f t="shared" si="59"/>
        <v>PLM-30</v>
      </c>
      <c r="C3809" s="29" t="s">
        <v>10721</v>
      </c>
      <c r="D3809" s="67" t="s">
        <v>10722</v>
      </c>
      <c r="E3809" s="96" t="s">
        <v>62</v>
      </c>
      <c r="F3809" s="29" t="s">
        <v>61</v>
      </c>
      <c r="G3809" s="29"/>
      <c r="H3809" s="103">
        <f>_xlfn.XLOOKUP(B3809,GM!$Q$5:$Q$756,GM!$J$5:$J$756)</f>
        <v>44838</v>
      </c>
    </row>
    <row r="3810" spans="1:8" hidden="1" x14ac:dyDescent="0.35">
      <c r="A3810" s="29" t="s">
        <v>21</v>
      </c>
      <c r="B3810" s="29" t="str">
        <f t="shared" si="59"/>
        <v>PLM-31</v>
      </c>
      <c r="C3810" s="29" t="s">
        <v>10723</v>
      </c>
      <c r="D3810" s="67" t="s">
        <v>10724</v>
      </c>
      <c r="E3810" s="96" t="s">
        <v>62</v>
      </c>
      <c r="F3810" s="29" t="s">
        <v>61</v>
      </c>
      <c r="G3810" s="29"/>
      <c r="H3810" s="103">
        <f>_xlfn.XLOOKUP(B3810,GM!$Q$5:$Q$756,GM!$J$5:$J$756)</f>
        <v>44838</v>
      </c>
    </row>
    <row r="3811" spans="1:8" hidden="1" x14ac:dyDescent="0.35">
      <c r="A3811" s="29" t="s">
        <v>22</v>
      </c>
      <c r="B3811" s="29" t="str">
        <f t="shared" si="59"/>
        <v>RET-30</v>
      </c>
      <c r="C3811" s="29" t="s">
        <v>10725</v>
      </c>
      <c r="D3811" s="67" t="s">
        <v>10726</v>
      </c>
      <c r="E3811" s="96" t="s">
        <v>62</v>
      </c>
      <c r="F3811" s="29" t="s">
        <v>61</v>
      </c>
      <c r="G3811" s="29"/>
      <c r="H3811" s="103">
        <f>_xlfn.XLOOKUP(B3811,GM!$Q$5:$Q$756,GM!$J$5:$J$756)</f>
        <v>44838</v>
      </c>
    </row>
    <row r="3812" spans="1:8" hidden="1" x14ac:dyDescent="0.35">
      <c r="A3812" s="29" t="s">
        <v>22</v>
      </c>
      <c r="B3812" s="29" t="str">
        <f t="shared" si="59"/>
        <v>RET-31</v>
      </c>
      <c r="C3812" s="29" t="s">
        <v>10727</v>
      </c>
      <c r="D3812" s="67" t="s">
        <v>10728</v>
      </c>
      <c r="E3812" s="96" t="s">
        <v>62</v>
      </c>
      <c r="F3812" s="29" t="s">
        <v>61</v>
      </c>
      <c r="G3812" s="29"/>
      <c r="H3812" s="103">
        <f>_xlfn.XLOOKUP(B3812,GM!$Q$5:$Q$756,GM!$J$5:$J$756)</f>
        <v>44838</v>
      </c>
    </row>
    <row r="3813" spans="1:8" hidden="1" x14ac:dyDescent="0.35">
      <c r="A3813" s="29" t="s">
        <v>20</v>
      </c>
      <c r="B3813" s="29" t="str">
        <f t="shared" si="59"/>
        <v>ROS-30</v>
      </c>
      <c r="C3813" s="29" t="s">
        <v>10729</v>
      </c>
      <c r="D3813" s="67" t="s">
        <v>10730</v>
      </c>
      <c r="E3813" s="96" t="s">
        <v>62</v>
      </c>
      <c r="F3813" s="29" t="s">
        <v>61</v>
      </c>
      <c r="G3813" s="29"/>
      <c r="H3813" s="103">
        <f>_xlfn.XLOOKUP(B3813,GM!$Q$5:$Q$756,GM!$J$5:$J$756)</f>
        <v>44838</v>
      </c>
    </row>
    <row r="3814" spans="1:8" hidden="1" x14ac:dyDescent="0.35">
      <c r="A3814" s="29" t="s">
        <v>20</v>
      </c>
      <c r="B3814" s="29" t="str">
        <f t="shared" si="59"/>
        <v>ROS-31</v>
      </c>
      <c r="C3814" s="29" t="s">
        <v>10731</v>
      </c>
      <c r="D3814" s="67" t="s">
        <v>10732</v>
      </c>
      <c r="E3814" s="96" t="s">
        <v>62</v>
      </c>
      <c r="F3814" s="29" t="s">
        <v>61</v>
      </c>
      <c r="G3814" s="29"/>
      <c r="H3814" s="103">
        <f>_xlfn.XLOOKUP(B3814,GM!$Q$5:$Q$756,GM!$J$5:$J$756)</f>
        <v>44838</v>
      </c>
    </row>
    <row r="3815" spans="1:8" hidden="1" x14ac:dyDescent="0.35">
      <c r="A3815" s="29" t="s">
        <v>20</v>
      </c>
      <c r="B3815" s="29" t="str">
        <f t="shared" si="59"/>
        <v>ROS-32</v>
      </c>
      <c r="C3815" s="29" t="s">
        <v>10733</v>
      </c>
      <c r="D3815" s="67" t="s">
        <v>10734</v>
      </c>
      <c r="E3815" s="96" t="s">
        <v>62</v>
      </c>
      <c r="F3815" s="29" t="s">
        <v>61</v>
      </c>
      <c r="G3815" s="29"/>
      <c r="H3815" s="103">
        <f>_xlfn.XLOOKUP(B3815,GM!$Q$5:$Q$756,GM!$J$5:$J$756)</f>
        <v>44838</v>
      </c>
    </row>
    <row r="3816" spans="1:8" hidden="1" x14ac:dyDescent="0.35">
      <c r="A3816" s="29" t="s">
        <v>20</v>
      </c>
      <c r="B3816" s="29" t="str">
        <f t="shared" si="59"/>
        <v>ROS-63</v>
      </c>
      <c r="C3816" s="29" t="s">
        <v>10735</v>
      </c>
      <c r="D3816" s="67" t="s">
        <v>10736</v>
      </c>
      <c r="E3816" s="96" t="s">
        <v>62</v>
      </c>
      <c r="F3816" s="29" t="s">
        <v>61</v>
      </c>
      <c r="G3816" s="29"/>
      <c r="H3816" s="103">
        <f>_xlfn.XLOOKUP(B3816,GM!$Q$5:$Q$756,GM!$J$5:$J$756)</f>
        <v>44838</v>
      </c>
    </row>
    <row r="3817" spans="1:8" hidden="1" x14ac:dyDescent="0.35">
      <c r="A3817" s="29" t="s">
        <v>15</v>
      </c>
      <c r="B3817" s="29" t="str">
        <f t="shared" si="59"/>
        <v>SAG-30</v>
      </c>
      <c r="C3817" s="29" t="s">
        <v>10737</v>
      </c>
      <c r="D3817" s="67" t="s">
        <v>10738</v>
      </c>
      <c r="E3817" s="96" t="s">
        <v>62</v>
      </c>
      <c r="F3817" s="29" t="s">
        <v>61</v>
      </c>
      <c r="G3817" s="29"/>
      <c r="H3817" s="103">
        <f>_xlfn.XLOOKUP(B3817,GM!$Q$5:$Q$756,GM!$J$5:$J$756)</f>
        <v>44838</v>
      </c>
    </row>
    <row r="3818" spans="1:8" hidden="1" x14ac:dyDescent="0.35">
      <c r="A3818" s="29" t="s">
        <v>15</v>
      </c>
      <c r="B3818" s="29" t="str">
        <f t="shared" si="59"/>
        <v>SAG-31</v>
      </c>
      <c r="C3818" s="29" t="s">
        <v>10739</v>
      </c>
      <c r="D3818" s="67" t="s">
        <v>10740</v>
      </c>
      <c r="E3818" s="96" t="s">
        <v>62</v>
      </c>
      <c r="F3818" s="29" t="s">
        <v>61</v>
      </c>
      <c r="G3818" s="29"/>
      <c r="H3818" s="103">
        <f>_xlfn.XLOOKUP(B3818,GM!$Q$5:$Q$756,GM!$J$5:$J$756)</f>
        <v>44838</v>
      </c>
    </row>
    <row r="3819" spans="1:8" hidden="1" x14ac:dyDescent="0.35">
      <c r="A3819" s="29" t="s">
        <v>15</v>
      </c>
      <c r="B3819" s="29" t="str">
        <f t="shared" si="59"/>
        <v>SAG-32</v>
      </c>
      <c r="C3819" s="29" t="s">
        <v>10741</v>
      </c>
      <c r="D3819" s="67" t="s">
        <v>10742</v>
      </c>
      <c r="E3819" s="96" t="s">
        <v>62</v>
      </c>
      <c r="F3819" s="29" t="s">
        <v>61</v>
      </c>
      <c r="G3819" s="29"/>
      <c r="H3819" s="103">
        <f>_xlfn.XLOOKUP(B3819,GM!$Q$5:$Q$756,GM!$J$5:$J$756)</f>
        <v>44838</v>
      </c>
    </row>
    <row r="3820" spans="1:8" hidden="1" x14ac:dyDescent="0.35">
      <c r="A3820" s="29" t="s">
        <v>15</v>
      </c>
      <c r="B3820" s="29" t="str">
        <f t="shared" si="59"/>
        <v>SAG-63</v>
      </c>
      <c r="C3820" s="29" t="s">
        <v>10743</v>
      </c>
      <c r="D3820" s="67" t="s">
        <v>10744</v>
      </c>
      <c r="E3820" s="96" t="s">
        <v>62</v>
      </c>
      <c r="F3820" s="29" t="s">
        <v>61</v>
      </c>
      <c r="G3820" s="29"/>
      <c r="H3820" s="103">
        <f>_xlfn.XLOOKUP(B3820,GM!$Q$5:$Q$756,GM!$J$5:$J$756)</f>
        <v>44838</v>
      </c>
    </row>
    <row r="3821" spans="1:8" hidden="1" x14ac:dyDescent="0.35">
      <c r="A3821" s="29" t="s">
        <v>25</v>
      </c>
      <c r="B3821" s="29" t="str">
        <f t="shared" si="59"/>
        <v>STO-30</v>
      </c>
      <c r="C3821" s="29" t="s">
        <v>10745</v>
      </c>
      <c r="D3821" s="67" t="s">
        <v>10746</v>
      </c>
      <c r="E3821" s="96" t="s">
        <v>62</v>
      </c>
      <c r="F3821" s="29" t="s">
        <v>61</v>
      </c>
      <c r="G3821" s="29"/>
      <c r="H3821" s="103">
        <f>_xlfn.XLOOKUP(B3821,GM!$Q$5:$Q$756,GM!$J$5:$J$756)</f>
        <v>44838</v>
      </c>
    </row>
    <row r="3822" spans="1:8" hidden="1" x14ac:dyDescent="0.35">
      <c r="A3822" s="29" t="s">
        <v>25</v>
      </c>
      <c r="B3822" s="29" t="str">
        <f t="shared" si="59"/>
        <v>STO-31</v>
      </c>
      <c r="C3822" s="29" t="s">
        <v>10747</v>
      </c>
      <c r="D3822" s="67" t="s">
        <v>10748</v>
      </c>
      <c r="E3822" s="96" t="s">
        <v>62</v>
      </c>
      <c r="F3822" s="29" t="s">
        <v>61</v>
      </c>
      <c r="G3822" s="29"/>
      <c r="H3822" s="103">
        <f>_xlfn.XLOOKUP(B3822,GM!$Q$5:$Q$756,GM!$J$5:$J$756)</f>
        <v>44838</v>
      </c>
    </row>
    <row r="3823" spans="1:8" hidden="1" x14ac:dyDescent="0.35">
      <c r="A3823" s="29" t="s">
        <v>25</v>
      </c>
      <c r="B3823" s="29" t="str">
        <f t="shared" si="59"/>
        <v>STO-63</v>
      </c>
      <c r="C3823" s="29" t="s">
        <v>10749</v>
      </c>
      <c r="D3823" s="67" t="s">
        <v>10750</v>
      </c>
      <c r="E3823" s="96" t="s">
        <v>62</v>
      </c>
      <c r="F3823" s="29" t="s">
        <v>61</v>
      </c>
      <c r="G3823" s="29"/>
      <c r="H3823" s="103">
        <f>_xlfn.XLOOKUP(B3823,GM!$Q$5:$Q$756,GM!$J$5:$J$756)</f>
        <v>44838</v>
      </c>
    </row>
    <row r="3824" spans="1:8" hidden="1" x14ac:dyDescent="0.35">
      <c r="A3824" s="29" t="s">
        <v>19</v>
      </c>
      <c r="B3824" s="29" t="str">
        <f t="shared" si="59"/>
        <v>TAQ-30</v>
      </c>
      <c r="C3824" s="29" t="s">
        <v>10751</v>
      </c>
      <c r="D3824" s="67" t="s">
        <v>10752</v>
      </c>
      <c r="E3824" s="96" t="s">
        <v>62</v>
      </c>
      <c r="F3824" s="29" t="s">
        <v>61</v>
      </c>
      <c r="G3824" s="29"/>
      <c r="H3824" s="103">
        <f>_xlfn.XLOOKUP(B3824,GM!$Q$5:$Q$756,GM!$J$5:$J$756)</f>
        <v>44838</v>
      </c>
    </row>
    <row r="3825" spans="1:8" hidden="1" x14ac:dyDescent="0.35">
      <c r="A3825" s="29" t="s">
        <v>19</v>
      </c>
      <c r="B3825" s="29" t="str">
        <f t="shared" si="59"/>
        <v>TAQ-31</v>
      </c>
      <c r="C3825" s="29" t="s">
        <v>10753</v>
      </c>
      <c r="D3825" s="67" t="s">
        <v>10754</v>
      </c>
      <c r="E3825" s="96" t="s">
        <v>62</v>
      </c>
      <c r="F3825" s="29" t="s">
        <v>61</v>
      </c>
      <c r="G3825" s="29"/>
      <c r="H3825" s="103">
        <f>_xlfn.XLOOKUP(B3825,GM!$Q$5:$Q$756,GM!$J$5:$J$756)</f>
        <v>44838</v>
      </c>
    </row>
    <row r="3826" spans="1:8" hidden="1" x14ac:dyDescent="0.35">
      <c r="A3826" s="29" t="s">
        <v>19</v>
      </c>
      <c r="B3826" s="29" t="str">
        <f t="shared" si="59"/>
        <v>TAQ-32</v>
      </c>
      <c r="C3826" s="29" t="s">
        <v>10755</v>
      </c>
      <c r="D3826" s="67" t="s">
        <v>10756</v>
      </c>
      <c r="E3826" s="96" t="s">
        <v>62</v>
      </c>
      <c r="F3826" s="29" t="s">
        <v>61</v>
      </c>
      <c r="G3826" s="29"/>
      <c r="H3826" s="103">
        <f>_xlfn.XLOOKUP(B3826,GM!$Q$5:$Q$756,GM!$J$5:$J$756)</f>
        <v>44838</v>
      </c>
    </row>
    <row r="3827" spans="1:8" hidden="1" x14ac:dyDescent="0.35">
      <c r="A3827" s="29" t="s">
        <v>19</v>
      </c>
      <c r="B3827" s="29" t="str">
        <f t="shared" si="59"/>
        <v>TAQ-63</v>
      </c>
      <c r="C3827" s="29" t="s">
        <v>10757</v>
      </c>
      <c r="D3827" s="67" t="s">
        <v>10758</v>
      </c>
      <c r="E3827" s="96" t="s">
        <v>62</v>
      </c>
      <c r="F3827" s="29" t="s">
        <v>61</v>
      </c>
      <c r="G3827" s="29"/>
      <c r="H3827" s="103">
        <f>_xlfn.XLOOKUP(B3827,GM!$Q$5:$Q$756,GM!$J$5:$J$756)</f>
        <v>44838</v>
      </c>
    </row>
    <row r="3828" spans="1:8" hidden="1" x14ac:dyDescent="0.35">
      <c r="A3828" s="29" t="s">
        <v>23</v>
      </c>
      <c r="B3828" s="29" t="str">
        <f t="shared" si="59"/>
        <v>ILS-15</v>
      </c>
      <c r="C3828" s="29" t="s">
        <v>10759</v>
      </c>
      <c r="D3828" s="67" t="s">
        <v>10760</v>
      </c>
      <c r="E3828" s="96" t="s">
        <v>62</v>
      </c>
      <c r="F3828" s="29" t="s">
        <v>61</v>
      </c>
      <c r="G3828" s="29"/>
      <c r="H3828" s="103">
        <f>_xlfn.XLOOKUP(B3828,GM!$Q$5:$Q$756,GM!$J$5:$J$756)</f>
        <v>46104</v>
      </c>
    </row>
    <row r="3829" spans="1:8" hidden="1" x14ac:dyDescent="0.35">
      <c r="A3829" s="29" t="s">
        <v>17</v>
      </c>
      <c r="B3829" s="29" t="str">
        <f t="shared" si="59"/>
        <v>CN2-03</v>
      </c>
      <c r="C3829" s="29" t="s">
        <v>10761</v>
      </c>
      <c r="D3829" s="67" t="s">
        <v>10762</v>
      </c>
      <c r="E3829" s="96" t="s">
        <v>62</v>
      </c>
      <c r="F3829" s="29" t="s">
        <v>61</v>
      </c>
      <c r="G3829" s="29"/>
      <c r="H3829" s="103">
        <f>_xlfn.XLOOKUP(B3829,GM!$Q$5:$Q$756,GM!$J$5:$J$756)</f>
        <v>45506</v>
      </c>
    </row>
    <row r="3830" spans="1:8" hidden="1" x14ac:dyDescent="0.35">
      <c r="A3830" s="29" t="s">
        <v>17</v>
      </c>
      <c r="B3830" s="29" t="str">
        <f t="shared" si="59"/>
        <v>CN2-03</v>
      </c>
      <c r="C3830" s="29" t="s">
        <v>10763</v>
      </c>
      <c r="D3830" s="67" t="s">
        <v>10764</v>
      </c>
      <c r="E3830" s="96" t="s">
        <v>62</v>
      </c>
      <c r="F3830" s="29" t="s">
        <v>61</v>
      </c>
      <c r="G3830" s="29"/>
      <c r="H3830" s="103">
        <f>_xlfn.XLOOKUP(B3830,GM!$Q$5:$Q$756,GM!$J$5:$J$756)</f>
        <v>45506</v>
      </c>
    </row>
    <row r="3831" spans="1:8" hidden="1" x14ac:dyDescent="0.35">
      <c r="A3831" s="29" t="s">
        <v>17</v>
      </c>
      <c r="B3831" s="29" t="str">
        <f t="shared" ref="B3831:B3894" si="60">IF(OR(A3831="ARN",A3831="SDP"),MID(C3831,4,7),MID(C3831,4,6))</f>
        <v>CN2-03</v>
      </c>
      <c r="C3831" s="29" t="s">
        <v>10765</v>
      </c>
      <c r="D3831" s="67" t="s">
        <v>10766</v>
      </c>
      <c r="E3831" s="96" t="s">
        <v>62</v>
      </c>
      <c r="F3831" s="29" t="s">
        <v>61</v>
      </c>
      <c r="G3831" s="29"/>
      <c r="H3831" s="103">
        <f>_xlfn.XLOOKUP(B3831,GM!$Q$5:$Q$756,GM!$J$5:$J$756)</f>
        <v>45506</v>
      </c>
    </row>
    <row r="3832" spans="1:8" hidden="1" x14ac:dyDescent="0.35">
      <c r="A3832" s="29" t="s">
        <v>17</v>
      </c>
      <c r="B3832" s="29" t="str">
        <f t="shared" si="60"/>
        <v>CN2-03</v>
      </c>
      <c r="C3832" s="29" t="s">
        <v>10767</v>
      </c>
      <c r="D3832" s="67" t="s">
        <v>10768</v>
      </c>
      <c r="E3832" s="96" t="s">
        <v>62</v>
      </c>
      <c r="F3832" s="29" t="s">
        <v>61</v>
      </c>
      <c r="G3832" s="29"/>
      <c r="H3832" s="103">
        <f>_xlfn.XLOOKUP(B3832,GM!$Q$5:$Q$756,GM!$J$5:$J$756)</f>
        <v>45506</v>
      </c>
    </row>
    <row r="3833" spans="1:8" hidden="1" x14ac:dyDescent="0.35">
      <c r="A3833" s="29" t="s">
        <v>17</v>
      </c>
      <c r="B3833" s="29" t="str">
        <f t="shared" si="60"/>
        <v>CN2-03</v>
      </c>
      <c r="C3833" s="29" t="s">
        <v>10769</v>
      </c>
      <c r="D3833" s="67" t="s">
        <v>10770</v>
      </c>
      <c r="E3833" s="96" t="s">
        <v>62</v>
      </c>
      <c r="F3833" s="29" t="s">
        <v>61</v>
      </c>
      <c r="G3833" s="29"/>
      <c r="H3833" s="103">
        <f>_xlfn.XLOOKUP(B3833,GM!$Q$5:$Q$756,GM!$J$5:$J$756)</f>
        <v>45506</v>
      </c>
    </row>
    <row r="3834" spans="1:8" hidden="1" x14ac:dyDescent="0.35">
      <c r="A3834" s="29" t="s">
        <v>17</v>
      </c>
      <c r="B3834" s="29" t="str">
        <f t="shared" si="60"/>
        <v>CN2-03</v>
      </c>
      <c r="C3834" s="29" t="s">
        <v>10771</v>
      </c>
      <c r="D3834" s="67" t="s">
        <v>10772</v>
      </c>
      <c r="E3834" s="96" t="s">
        <v>62</v>
      </c>
      <c r="F3834" s="29" t="s">
        <v>61</v>
      </c>
      <c r="G3834" s="29"/>
      <c r="H3834" s="103">
        <f>_xlfn.XLOOKUP(B3834,GM!$Q$5:$Q$756,GM!$J$5:$J$756)</f>
        <v>45506</v>
      </c>
    </row>
    <row r="3835" spans="1:8" hidden="1" x14ac:dyDescent="0.35">
      <c r="A3835" s="29" t="s">
        <v>17</v>
      </c>
      <c r="B3835" s="29" t="str">
        <f t="shared" si="60"/>
        <v>CN2-03</v>
      </c>
      <c r="C3835" s="29" t="s">
        <v>10773</v>
      </c>
      <c r="D3835" s="67" t="s">
        <v>10774</v>
      </c>
      <c r="E3835" s="96" t="s">
        <v>62</v>
      </c>
      <c r="F3835" s="29" t="s">
        <v>61</v>
      </c>
      <c r="G3835" s="29"/>
      <c r="H3835" s="103">
        <f>_xlfn.XLOOKUP(B3835,GM!$Q$5:$Q$756,GM!$J$5:$J$756)</f>
        <v>45506</v>
      </c>
    </row>
    <row r="3836" spans="1:8" hidden="1" x14ac:dyDescent="0.35">
      <c r="A3836" s="29" t="s">
        <v>17</v>
      </c>
      <c r="B3836" s="29" t="str">
        <f t="shared" si="60"/>
        <v>CN2-03</v>
      </c>
      <c r="C3836" s="29" t="s">
        <v>10775</v>
      </c>
      <c r="D3836" s="67" t="s">
        <v>10776</v>
      </c>
      <c r="E3836" s="96" t="s">
        <v>62</v>
      </c>
      <c r="F3836" s="29" t="s">
        <v>61</v>
      </c>
      <c r="G3836" s="29"/>
      <c r="H3836" s="103">
        <f>_xlfn.XLOOKUP(B3836,GM!$Q$5:$Q$756,GM!$J$5:$J$756)</f>
        <v>45506</v>
      </c>
    </row>
    <row r="3837" spans="1:8" hidden="1" x14ac:dyDescent="0.35">
      <c r="A3837" s="29" t="s">
        <v>17</v>
      </c>
      <c r="B3837" s="29" t="str">
        <f t="shared" si="60"/>
        <v>CN2-03</v>
      </c>
      <c r="C3837" s="29" t="s">
        <v>10777</v>
      </c>
      <c r="D3837" s="67" t="s">
        <v>10778</v>
      </c>
      <c r="E3837" s="96" t="s">
        <v>62</v>
      </c>
      <c r="F3837" s="29" t="s">
        <v>61</v>
      </c>
      <c r="G3837" s="29"/>
      <c r="H3837" s="103">
        <f>_xlfn.XLOOKUP(B3837,GM!$Q$5:$Q$756,GM!$J$5:$J$756)</f>
        <v>45506</v>
      </c>
    </row>
    <row r="3838" spans="1:8" hidden="1" x14ac:dyDescent="0.35">
      <c r="A3838" s="29" t="s">
        <v>17</v>
      </c>
      <c r="B3838" s="29" t="str">
        <f t="shared" si="60"/>
        <v>CN2-03</v>
      </c>
      <c r="C3838" s="29" t="s">
        <v>10779</v>
      </c>
      <c r="D3838" s="67" t="s">
        <v>10780</v>
      </c>
      <c r="E3838" s="96" t="s">
        <v>62</v>
      </c>
      <c r="F3838" s="29" t="s">
        <v>61</v>
      </c>
      <c r="G3838" s="29"/>
      <c r="H3838" s="103">
        <f>_xlfn.XLOOKUP(B3838,GM!$Q$5:$Q$756,GM!$J$5:$J$756)</f>
        <v>45506</v>
      </c>
    </row>
    <row r="3839" spans="1:8" hidden="1" x14ac:dyDescent="0.35">
      <c r="A3839" s="29" t="s">
        <v>17</v>
      </c>
      <c r="B3839" s="29" t="str">
        <f t="shared" si="60"/>
        <v>CN2-03</v>
      </c>
      <c r="C3839" s="29" t="s">
        <v>10781</v>
      </c>
      <c r="D3839" s="67" t="s">
        <v>10782</v>
      </c>
      <c r="E3839" s="96" t="s">
        <v>62</v>
      </c>
      <c r="F3839" s="29" t="s">
        <v>61</v>
      </c>
      <c r="G3839" s="29"/>
      <c r="H3839" s="103">
        <f>_xlfn.XLOOKUP(B3839,GM!$Q$5:$Q$756,GM!$J$5:$J$756)</f>
        <v>45506</v>
      </c>
    </row>
    <row r="3840" spans="1:8" hidden="1" x14ac:dyDescent="0.35">
      <c r="A3840" s="29" t="s">
        <v>17</v>
      </c>
      <c r="B3840" s="29" t="str">
        <f t="shared" si="60"/>
        <v>CN2-03</v>
      </c>
      <c r="C3840" s="29" t="s">
        <v>10783</v>
      </c>
      <c r="D3840" s="67" t="s">
        <v>10784</v>
      </c>
      <c r="E3840" s="96" t="s">
        <v>62</v>
      </c>
      <c r="F3840" s="29" t="s">
        <v>61</v>
      </c>
      <c r="G3840" s="29"/>
      <c r="H3840" s="103">
        <f>_xlfn.XLOOKUP(B3840,GM!$Q$5:$Q$756,GM!$J$5:$J$756)</f>
        <v>45506</v>
      </c>
    </row>
    <row r="3841" spans="1:8" hidden="1" x14ac:dyDescent="0.35">
      <c r="A3841" s="29" t="s">
        <v>17</v>
      </c>
      <c r="B3841" s="29" t="str">
        <f t="shared" si="60"/>
        <v>CN2-03</v>
      </c>
      <c r="C3841" s="29" t="s">
        <v>10785</v>
      </c>
      <c r="D3841" s="67" t="s">
        <v>10786</v>
      </c>
      <c r="E3841" s="96" t="s">
        <v>62</v>
      </c>
      <c r="F3841" s="29" t="s">
        <v>61</v>
      </c>
      <c r="G3841" s="29"/>
      <c r="H3841" s="103">
        <f>_xlfn.XLOOKUP(B3841,GM!$Q$5:$Q$756,GM!$J$5:$J$756)</f>
        <v>45506</v>
      </c>
    </row>
    <row r="3842" spans="1:8" hidden="1" x14ac:dyDescent="0.35">
      <c r="A3842" s="29" t="s">
        <v>17</v>
      </c>
      <c r="B3842" s="29" t="str">
        <f t="shared" si="60"/>
        <v>CN2-03</v>
      </c>
      <c r="C3842" s="29" t="s">
        <v>10787</v>
      </c>
      <c r="D3842" s="67" t="s">
        <v>10788</v>
      </c>
      <c r="E3842" s="96" t="s">
        <v>62</v>
      </c>
      <c r="F3842" s="29" t="s">
        <v>61</v>
      </c>
      <c r="G3842" s="29"/>
      <c r="H3842" s="103">
        <f>_xlfn.XLOOKUP(B3842,GM!$Q$5:$Q$756,GM!$J$5:$J$756)</f>
        <v>45506</v>
      </c>
    </row>
    <row r="3843" spans="1:8" hidden="1" x14ac:dyDescent="0.35">
      <c r="A3843" s="29" t="s">
        <v>17</v>
      </c>
      <c r="B3843" s="29" t="str">
        <f t="shared" si="60"/>
        <v>CN2-03</v>
      </c>
      <c r="C3843" s="29" t="s">
        <v>10789</v>
      </c>
      <c r="D3843" s="67" t="s">
        <v>10790</v>
      </c>
      <c r="E3843" s="96" t="s">
        <v>62</v>
      </c>
      <c r="F3843" s="29" t="s">
        <v>61</v>
      </c>
      <c r="G3843" s="29"/>
      <c r="H3843" s="103">
        <f>_xlfn.XLOOKUP(B3843,GM!$Q$5:$Q$756,GM!$J$5:$J$756)</f>
        <v>45506</v>
      </c>
    </row>
    <row r="3844" spans="1:8" hidden="1" x14ac:dyDescent="0.35">
      <c r="A3844" s="29" t="s">
        <v>17</v>
      </c>
      <c r="B3844" s="29" t="str">
        <f t="shared" si="60"/>
        <v>CN2-03</v>
      </c>
      <c r="C3844" s="29" t="s">
        <v>10791</v>
      </c>
      <c r="D3844" s="67" t="s">
        <v>10792</v>
      </c>
      <c r="E3844" s="96" t="s">
        <v>62</v>
      </c>
      <c r="F3844" s="29" t="s">
        <v>61</v>
      </c>
      <c r="G3844" s="29"/>
      <c r="H3844" s="103">
        <f>_xlfn.XLOOKUP(B3844,GM!$Q$5:$Q$756,GM!$J$5:$J$756)</f>
        <v>45506</v>
      </c>
    </row>
    <row r="3845" spans="1:8" hidden="1" x14ac:dyDescent="0.35">
      <c r="A3845" s="29" t="s">
        <v>17</v>
      </c>
      <c r="B3845" s="29" t="str">
        <f t="shared" si="60"/>
        <v>CN2-03</v>
      </c>
      <c r="C3845" s="29" t="s">
        <v>10793</v>
      </c>
      <c r="D3845" s="67" t="s">
        <v>10794</v>
      </c>
      <c r="E3845" s="96" t="s">
        <v>62</v>
      </c>
      <c r="F3845" s="29" t="s">
        <v>61</v>
      </c>
      <c r="G3845" s="29"/>
      <c r="H3845" s="103">
        <f>_xlfn.XLOOKUP(B3845,GM!$Q$5:$Q$756,GM!$J$5:$J$756)</f>
        <v>45506</v>
      </c>
    </row>
    <row r="3846" spans="1:8" hidden="1" x14ac:dyDescent="0.35">
      <c r="A3846" s="29" t="s">
        <v>17</v>
      </c>
      <c r="B3846" s="29" t="str">
        <f t="shared" si="60"/>
        <v>CN2-03</v>
      </c>
      <c r="C3846" s="29" t="s">
        <v>10795</v>
      </c>
      <c r="D3846" s="67" t="s">
        <v>10796</v>
      </c>
      <c r="E3846" s="96" t="s">
        <v>62</v>
      </c>
      <c r="F3846" s="29" t="s">
        <v>61</v>
      </c>
      <c r="G3846" s="29"/>
      <c r="H3846" s="103">
        <f>_xlfn.XLOOKUP(B3846,GM!$Q$5:$Q$756,GM!$J$5:$J$756)</f>
        <v>45506</v>
      </c>
    </row>
    <row r="3847" spans="1:8" hidden="1" x14ac:dyDescent="0.35">
      <c r="A3847" s="29" t="s">
        <v>17</v>
      </c>
      <c r="B3847" s="29" t="str">
        <f t="shared" si="60"/>
        <v>CN2-03</v>
      </c>
      <c r="C3847" s="29" t="s">
        <v>10797</v>
      </c>
      <c r="D3847" s="67" t="s">
        <v>10798</v>
      </c>
      <c r="E3847" s="96" t="s">
        <v>62</v>
      </c>
      <c r="F3847" s="29" t="s">
        <v>61</v>
      </c>
      <c r="G3847" s="29"/>
      <c r="H3847" s="103">
        <f>_xlfn.XLOOKUP(B3847,GM!$Q$5:$Q$756,GM!$J$5:$J$756)</f>
        <v>45506</v>
      </c>
    </row>
    <row r="3848" spans="1:8" hidden="1" x14ac:dyDescent="0.35">
      <c r="A3848" s="29" t="s">
        <v>17</v>
      </c>
      <c r="B3848" s="29" t="str">
        <f t="shared" si="60"/>
        <v>CN2-03</v>
      </c>
      <c r="C3848" s="29" t="s">
        <v>10799</v>
      </c>
      <c r="D3848" s="67" t="s">
        <v>10800</v>
      </c>
      <c r="E3848" s="96" t="s">
        <v>62</v>
      </c>
      <c r="F3848" s="29" t="s">
        <v>61</v>
      </c>
      <c r="G3848" s="29"/>
      <c r="H3848" s="103">
        <f>_xlfn.XLOOKUP(B3848,GM!$Q$5:$Q$756,GM!$J$5:$J$756)</f>
        <v>45506</v>
      </c>
    </row>
    <row r="3849" spans="1:8" hidden="1" x14ac:dyDescent="0.35">
      <c r="A3849" s="29" t="s">
        <v>17</v>
      </c>
      <c r="B3849" s="29" t="str">
        <f t="shared" si="60"/>
        <v>CN2-03</v>
      </c>
      <c r="C3849" s="29" t="s">
        <v>10801</v>
      </c>
      <c r="D3849" s="67" t="s">
        <v>10802</v>
      </c>
      <c r="E3849" s="96" t="s">
        <v>62</v>
      </c>
      <c r="F3849" s="29" t="s">
        <v>61</v>
      </c>
      <c r="G3849" s="29"/>
      <c r="H3849" s="103">
        <f>_xlfn.XLOOKUP(B3849,GM!$Q$5:$Q$756,GM!$J$5:$J$756)</f>
        <v>45506</v>
      </c>
    </row>
    <row r="3850" spans="1:8" hidden="1" x14ac:dyDescent="0.35">
      <c r="A3850" s="29" t="s">
        <v>17</v>
      </c>
      <c r="B3850" s="29" t="str">
        <f t="shared" si="60"/>
        <v>CN2-03</v>
      </c>
      <c r="C3850" s="29" t="s">
        <v>10803</v>
      </c>
      <c r="D3850" s="67" t="s">
        <v>10804</v>
      </c>
      <c r="E3850" s="96" t="s">
        <v>62</v>
      </c>
      <c r="F3850" s="29" t="s">
        <v>61</v>
      </c>
      <c r="G3850" s="29"/>
      <c r="H3850" s="103">
        <f>_xlfn.XLOOKUP(B3850,GM!$Q$5:$Q$756,GM!$J$5:$J$756)</f>
        <v>45506</v>
      </c>
    </row>
    <row r="3851" spans="1:8" hidden="1" x14ac:dyDescent="0.35">
      <c r="A3851" s="29" t="s">
        <v>17</v>
      </c>
      <c r="B3851" s="29" t="str">
        <f t="shared" si="60"/>
        <v>CN2-03</v>
      </c>
      <c r="C3851" s="29" t="s">
        <v>10805</v>
      </c>
      <c r="D3851" s="67" t="s">
        <v>10806</v>
      </c>
      <c r="E3851" s="96" t="s">
        <v>62</v>
      </c>
      <c r="F3851" s="29" t="s">
        <v>61</v>
      </c>
      <c r="G3851" s="29"/>
      <c r="H3851" s="103">
        <f>_xlfn.XLOOKUP(B3851,GM!$Q$5:$Q$756,GM!$J$5:$J$756)</f>
        <v>45506</v>
      </c>
    </row>
    <row r="3852" spans="1:8" hidden="1" x14ac:dyDescent="0.35">
      <c r="A3852" s="29" t="s">
        <v>17</v>
      </c>
      <c r="B3852" s="29" t="str">
        <f t="shared" si="60"/>
        <v>CN2-03</v>
      </c>
      <c r="C3852" s="29" t="s">
        <v>10807</v>
      </c>
      <c r="D3852" s="67" t="s">
        <v>10808</v>
      </c>
      <c r="E3852" s="96" t="s">
        <v>62</v>
      </c>
      <c r="F3852" s="29" t="s">
        <v>61</v>
      </c>
      <c r="G3852" s="29"/>
      <c r="H3852" s="103">
        <f>_xlfn.XLOOKUP(B3852,GM!$Q$5:$Q$756,GM!$J$5:$J$756)</f>
        <v>45506</v>
      </c>
    </row>
    <row r="3853" spans="1:8" hidden="1" x14ac:dyDescent="0.35">
      <c r="A3853" s="29" t="s">
        <v>17</v>
      </c>
      <c r="B3853" s="29" t="str">
        <f t="shared" si="60"/>
        <v>CN2-03</v>
      </c>
      <c r="C3853" s="29" t="s">
        <v>10809</v>
      </c>
      <c r="D3853" s="67" t="s">
        <v>10810</v>
      </c>
      <c r="E3853" s="96" t="s">
        <v>62</v>
      </c>
      <c r="F3853" s="29" t="s">
        <v>61</v>
      </c>
      <c r="G3853" s="29"/>
      <c r="H3853" s="103">
        <f>_xlfn.XLOOKUP(B3853,GM!$Q$5:$Q$756,GM!$J$5:$J$756)</f>
        <v>45506</v>
      </c>
    </row>
    <row r="3854" spans="1:8" hidden="1" x14ac:dyDescent="0.35">
      <c r="A3854" s="29" t="s">
        <v>17</v>
      </c>
      <c r="B3854" s="29" t="str">
        <f t="shared" si="60"/>
        <v>CN2-03</v>
      </c>
      <c r="C3854" s="29" t="s">
        <v>10811</v>
      </c>
      <c r="D3854" s="67" t="s">
        <v>10812</v>
      </c>
      <c r="E3854" s="96" t="s">
        <v>62</v>
      </c>
      <c r="F3854" s="29" t="s">
        <v>61</v>
      </c>
      <c r="G3854" s="29"/>
      <c r="H3854" s="103">
        <f>_xlfn.XLOOKUP(B3854,GM!$Q$5:$Q$756,GM!$J$5:$J$756)</f>
        <v>45506</v>
      </c>
    </row>
    <row r="3855" spans="1:8" hidden="1" x14ac:dyDescent="0.35">
      <c r="A3855" s="29" t="s">
        <v>17</v>
      </c>
      <c r="B3855" s="29" t="str">
        <f t="shared" si="60"/>
        <v>CN2-03</v>
      </c>
      <c r="C3855" s="29" t="s">
        <v>10813</v>
      </c>
      <c r="D3855" s="67" t="s">
        <v>10814</v>
      </c>
      <c r="E3855" s="96" t="s">
        <v>62</v>
      </c>
      <c r="F3855" s="29" t="s">
        <v>61</v>
      </c>
      <c r="G3855" s="29"/>
      <c r="H3855" s="103">
        <f>_xlfn.XLOOKUP(B3855,GM!$Q$5:$Q$756,GM!$J$5:$J$756)</f>
        <v>45506</v>
      </c>
    </row>
    <row r="3856" spans="1:8" hidden="1" x14ac:dyDescent="0.35">
      <c r="A3856" s="29" t="s">
        <v>17</v>
      </c>
      <c r="B3856" s="29" t="str">
        <f t="shared" si="60"/>
        <v>CN2-03</v>
      </c>
      <c r="C3856" s="29" t="s">
        <v>10815</v>
      </c>
      <c r="D3856" s="67" t="s">
        <v>10816</v>
      </c>
      <c r="E3856" s="96" t="s">
        <v>62</v>
      </c>
      <c r="F3856" s="29" t="s">
        <v>61</v>
      </c>
      <c r="G3856" s="29"/>
      <c r="H3856" s="103">
        <f>_xlfn.XLOOKUP(B3856,GM!$Q$5:$Q$756,GM!$J$5:$J$756)</f>
        <v>45506</v>
      </c>
    </row>
    <row r="3857" spans="1:8" hidden="1" x14ac:dyDescent="0.35">
      <c r="A3857" s="29" t="s">
        <v>17</v>
      </c>
      <c r="B3857" s="29" t="str">
        <f t="shared" si="60"/>
        <v>CN2-03</v>
      </c>
      <c r="C3857" s="29" t="s">
        <v>10817</v>
      </c>
      <c r="D3857" s="67" t="s">
        <v>10818</v>
      </c>
      <c r="E3857" s="96" t="s">
        <v>62</v>
      </c>
      <c r="F3857" s="29" t="s">
        <v>61</v>
      </c>
      <c r="G3857" s="29"/>
      <c r="H3857" s="103">
        <f>_xlfn.XLOOKUP(B3857,GM!$Q$5:$Q$756,GM!$J$5:$J$756)</f>
        <v>45506</v>
      </c>
    </row>
    <row r="3858" spans="1:8" hidden="1" x14ac:dyDescent="0.35">
      <c r="A3858" s="29" t="s">
        <v>17</v>
      </c>
      <c r="B3858" s="29" t="str">
        <f t="shared" si="60"/>
        <v>CN2-03</v>
      </c>
      <c r="C3858" s="29" t="s">
        <v>10819</v>
      </c>
      <c r="D3858" s="67" t="s">
        <v>10820</v>
      </c>
      <c r="E3858" s="96" t="s">
        <v>62</v>
      </c>
      <c r="F3858" s="29" t="s">
        <v>61</v>
      </c>
      <c r="G3858" s="29"/>
      <c r="H3858" s="103">
        <f>_xlfn.XLOOKUP(B3858,GM!$Q$5:$Q$756,GM!$J$5:$J$756)</f>
        <v>45506</v>
      </c>
    </row>
    <row r="3859" spans="1:8" hidden="1" x14ac:dyDescent="0.35">
      <c r="A3859" s="29" t="s">
        <v>17</v>
      </c>
      <c r="B3859" s="29" t="str">
        <f t="shared" si="60"/>
        <v>CN2-03</v>
      </c>
      <c r="C3859" s="29" t="s">
        <v>10821</v>
      </c>
      <c r="D3859" s="67" t="s">
        <v>10822</v>
      </c>
      <c r="E3859" s="96" t="s">
        <v>62</v>
      </c>
      <c r="F3859" s="29" t="s">
        <v>61</v>
      </c>
      <c r="G3859" s="29"/>
      <c r="H3859" s="103">
        <f>_xlfn.XLOOKUP(B3859,GM!$Q$5:$Q$756,GM!$J$5:$J$756)</f>
        <v>45506</v>
      </c>
    </row>
    <row r="3860" spans="1:8" hidden="1" x14ac:dyDescent="0.35">
      <c r="A3860" s="29" t="s">
        <v>17</v>
      </c>
      <c r="B3860" s="29" t="str">
        <f t="shared" si="60"/>
        <v>CN2-03</v>
      </c>
      <c r="C3860" s="29" t="s">
        <v>10823</v>
      </c>
      <c r="D3860" s="67" t="s">
        <v>10824</v>
      </c>
      <c r="E3860" s="96" t="s">
        <v>62</v>
      </c>
      <c r="F3860" s="29" t="s">
        <v>61</v>
      </c>
      <c r="G3860" s="29"/>
      <c r="H3860" s="103">
        <f>_xlfn.XLOOKUP(B3860,GM!$Q$5:$Q$756,GM!$J$5:$J$756)</f>
        <v>45506</v>
      </c>
    </row>
    <row r="3861" spans="1:8" hidden="1" x14ac:dyDescent="0.35">
      <c r="A3861" s="29" t="s">
        <v>14</v>
      </c>
      <c r="B3861" s="29" t="str">
        <f t="shared" si="60"/>
        <v>CHV-20</v>
      </c>
      <c r="C3861" s="29" t="s">
        <v>10825</v>
      </c>
      <c r="D3861" s="67" t="s">
        <v>10826</v>
      </c>
      <c r="E3861" s="96" t="s">
        <v>62</v>
      </c>
      <c r="F3861" s="29" t="s">
        <v>61</v>
      </c>
      <c r="G3861" s="29"/>
      <c r="H3861" s="103">
        <f>_xlfn.XLOOKUP(B3861,GM!$Q$5:$Q$756,GM!$J$5:$J$756)</f>
        <v>44889</v>
      </c>
    </row>
    <row r="3862" spans="1:8" hidden="1" x14ac:dyDescent="0.35">
      <c r="A3862" s="29" t="s">
        <v>13</v>
      </c>
      <c r="B3862" s="29" t="str">
        <f t="shared" si="60"/>
        <v>JUR-20</v>
      </c>
      <c r="C3862" s="29" t="s">
        <v>10827</v>
      </c>
      <c r="D3862" s="67" t="s">
        <v>10828</v>
      </c>
      <c r="E3862" s="96" t="s">
        <v>62</v>
      </c>
      <c r="F3862" s="29" t="s">
        <v>61</v>
      </c>
      <c r="G3862" s="29"/>
      <c r="H3862" s="103">
        <f>_xlfn.XLOOKUP(B3862,GM!$Q$5:$Q$756,GM!$J$5:$J$756)</f>
        <v>44889</v>
      </c>
    </row>
    <row r="3863" spans="1:8" hidden="1" x14ac:dyDescent="0.35">
      <c r="A3863" s="29" t="s">
        <v>15</v>
      </c>
      <c r="B3863" s="29" t="str">
        <f t="shared" si="60"/>
        <v>SAG-20</v>
      </c>
      <c r="C3863" s="29" t="s">
        <v>10829</v>
      </c>
      <c r="D3863" s="67" t="s">
        <v>10830</v>
      </c>
      <c r="E3863" s="96" t="s">
        <v>62</v>
      </c>
      <c r="F3863" s="29" t="s">
        <v>61</v>
      </c>
      <c r="G3863" s="29"/>
      <c r="H3863" s="103">
        <f>_xlfn.XLOOKUP(B3863,GM!$Q$5:$Q$756,GM!$J$5:$J$756)</f>
        <v>44889</v>
      </c>
    </row>
    <row r="3864" spans="1:8" hidden="1" x14ac:dyDescent="0.35">
      <c r="A3864" s="29" t="s">
        <v>16</v>
      </c>
      <c r="B3864" s="29" t="str">
        <f t="shared" si="60"/>
        <v>CN1-20</v>
      </c>
      <c r="C3864" s="29" t="s">
        <v>10831</v>
      </c>
      <c r="D3864" s="67" t="s">
        <v>10832</v>
      </c>
      <c r="E3864" s="96" t="s">
        <v>62</v>
      </c>
      <c r="F3864" s="29" t="s">
        <v>61</v>
      </c>
      <c r="G3864" s="29"/>
      <c r="H3864" s="103">
        <f>_xlfn.XLOOKUP(B3864,GM!$Q$5:$Q$756,GM!$J$5:$J$756)</f>
        <v>44889</v>
      </c>
    </row>
    <row r="3865" spans="1:8" hidden="1" x14ac:dyDescent="0.35">
      <c r="A3865" s="29" t="s">
        <v>17</v>
      </c>
      <c r="B3865" s="29" t="str">
        <f t="shared" si="60"/>
        <v>CN2-20</v>
      </c>
      <c r="C3865" s="29" t="s">
        <v>10833</v>
      </c>
      <c r="D3865" s="67" t="s">
        <v>10834</v>
      </c>
      <c r="E3865" s="96" t="s">
        <v>62</v>
      </c>
      <c r="F3865" s="29" t="s">
        <v>61</v>
      </c>
      <c r="G3865" s="29"/>
      <c r="H3865" s="103">
        <f>_xlfn.XLOOKUP(B3865,GM!$Q$5:$Q$756,GM!$J$5:$J$756)</f>
        <v>44889</v>
      </c>
    </row>
    <row r="3866" spans="1:8" hidden="1" x14ac:dyDescent="0.35">
      <c r="A3866" s="29" t="s">
        <v>18</v>
      </c>
      <c r="B3866" s="29" t="str">
        <f t="shared" si="60"/>
        <v>CPV-20</v>
      </c>
      <c r="C3866" s="29" t="s">
        <v>10835</v>
      </c>
      <c r="D3866" s="67" t="s">
        <v>10836</v>
      </c>
      <c r="E3866" s="96" t="s">
        <v>62</v>
      </c>
      <c r="F3866" s="29" t="s">
        <v>61</v>
      </c>
      <c r="G3866" s="29"/>
      <c r="H3866" s="103">
        <f>_xlfn.XLOOKUP(B3866,GM!$Q$5:$Q$756,GM!$J$5:$J$756)</f>
        <v>44889</v>
      </c>
    </row>
    <row r="3867" spans="1:8" hidden="1" x14ac:dyDescent="0.35">
      <c r="A3867" s="29" t="s">
        <v>26</v>
      </c>
      <c r="B3867" s="29" t="str">
        <f t="shared" si="60"/>
        <v>GAR-20</v>
      </c>
      <c r="C3867" s="29" t="s">
        <v>10837</v>
      </c>
      <c r="D3867" s="67" t="s">
        <v>10838</v>
      </c>
      <c r="E3867" s="96" t="s">
        <v>62</v>
      </c>
      <c r="F3867" s="29" t="s">
        <v>61</v>
      </c>
      <c r="G3867" s="29"/>
      <c r="H3867" s="103">
        <f>_xlfn.XLOOKUP(B3867,GM!$Q$5:$Q$756,GM!$J$5:$J$756)</f>
        <v>44889</v>
      </c>
    </row>
    <row r="3868" spans="1:8" hidden="1" x14ac:dyDescent="0.35">
      <c r="A3868" s="29" t="s">
        <v>25</v>
      </c>
      <c r="B3868" s="29" t="str">
        <f t="shared" si="60"/>
        <v>STO-20</v>
      </c>
      <c r="C3868" s="29" t="s">
        <v>10839</v>
      </c>
      <c r="D3868" s="67" t="s">
        <v>10840</v>
      </c>
      <c r="E3868" s="96" t="s">
        <v>62</v>
      </c>
      <c r="F3868" s="29" t="s">
        <v>61</v>
      </c>
      <c r="G3868" s="29"/>
      <c r="H3868" s="103">
        <f>_xlfn.XLOOKUP(B3868,GM!$Q$5:$Q$756,GM!$J$5:$J$756)</f>
        <v>44889</v>
      </c>
    </row>
    <row r="3869" spans="1:8" hidden="1" x14ac:dyDescent="0.35">
      <c r="A3869" s="29" t="s">
        <v>21</v>
      </c>
      <c r="B3869" s="29" t="str">
        <f t="shared" si="60"/>
        <v>PLM-20</v>
      </c>
      <c r="C3869" s="29" t="s">
        <v>10841</v>
      </c>
      <c r="D3869" s="67" t="s">
        <v>10842</v>
      </c>
      <c r="E3869" s="96" t="s">
        <v>62</v>
      </c>
      <c r="F3869" s="29" t="s">
        <v>61</v>
      </c>
      <c r="G3869" s="29"/>
      <c r="H3869" s="103">
        <f>_xlfn.XLOOKUP(B3869,GM!$Q$5:$Q$756,GM!$J$5:$J$756)</f>
        <v>44889</v>
      </c>
    </row>
    <row r="3870" spans="1:8" hidden="1" x14ac:dyDescent="0.35">
      <c r="A3870" s="29" t="s">
        <v>22</v>
      </c>
      <c r="B3870" s="29" t="str">
        <f t="shared" si="60"/>
        <v>RET-20</v>
      </c>
      <c r="C3870" s="29" t="s">
        <v>10843</v>
      </c>
      <c r="D3870" s="67" t="s">
        <v>10844</v>
      </c>
      <c r="E3870" s="96" t="s">
        <v>62</v>
      </c>
      <c r="F3870" s="29" t="s">
        <v>61</v>
      </c>
      <c r="G3870" s="29"/>
      <c r="H3870" s="103">
        <f>_xlfn.XLOOKUP(B3870,GM!$Q$5:$Q$756,GM!$J$5:$J$756)</f>
        <v>44889</v>
      </c>
    </row>
    <row r="3871" spans="1:8" x14ac:dyDescent="0.35">
      <c r="A3871" s="29" t="s">
        <v>24</v>
      </c>
      <c r="B3871" s="29" t="str">
        <f t="shared" si="60"/>
        <v>JUP-20</v>
      </c>
      <c r="C3871" s="29" t="s">
        <v>10845</v>
      </c>
      <c r="D3871" s="67" t="s">
        <v>10846</v>
      </c>
      <c r="E3871" s="96" t="s">
        <v>62</v>
      </c>
      <c r="F3871" s="29" t="s">
        <v>61</v>
      </c>
      <c r="G3871" s="29"/>
      <c r="H3871" s="103">
        <f>_xlfn.XLOOKUP(B3871,GM!$Q$5:$Q$756,GM!$J$5:$J$756)</f>
        <v>44889</v>
      </c>
    </row>
    <row r="3872" spans="1:8" hidden="1" x14ac:dyDescent="0.35">
      <c r="A3872" s="29" t="s">
        <v>23</v>
      </c>
      <c r="B3872" s="29" t="str">
        <f t="shared" si="60"/>
        <v>ILS-20</v>
      </c>
      <c r="C3872" s="29" t="s">
        <v>10847</v>
      </c>
      <c r="D3872" s="67" t="s">
        <v>10848</v>
      </c>
      <c r="E3872" s="96" t="s">
        <v>62</v>
      </c>
      <c r="F3872" s="29" t="s">
        <v>61</v>
      </c>
      <c r="G3872" s="29"/>
      <c r="H3872" s="103">
        <f>_xlfn.XLOOKUP(B3872,GM!$Q$5:$Q$756,GM!$J$5:$J$756)</f>
        <v>44889</v>
      </c>
    </row>
    <row r="3873" spans="1:8" hidden="1" x14ac:dyDescent="0.35">
      <c r="A3873" s="29" t="s">
        <v>19</v>
      </c>
      <c r="B3873" s="29" t="str">
        <f t="shared" si="60"/>
        <v>TAQ-20</v>
      </c>
      <c r="C3873" s="29" t="s">
        <v>10849</v>
      </c>
      <c r="D3873" s="67" t="s">
        <v>10850</v>
      </c>
      <c r="E3873" s="96" t="s">
        <v>62</v>
      </c>
      <c r="F3873" s="29" t="s">
        <v>61</v>
      </c>
      <c r="G3873" s="29"/>
      <c r="H3873" s="103">
        <f>_xlfn.XLOOKUP(B3873,GM!$Q$5:$Q$756,GM!$J$5:$J$756)</f>
        <v>44889</v>
      </c>
    </row>
    <row r="3874" spans="1:8" hidden="1" x14ac:dyDescent="0.35">
      <c r="A3874" s="29" t="s">
        <v>20</v>
      </c>
      <c r="B3874" s="29" t="str">
        <f t="shared" si="60"/>
        <v>ROS-20</v>
      </c>
      <c r="C3874" s="29" t="s">
        <v>10851</v>
      </c>
      <c r="D3874" s="67" t="s">
        <v>10852</v>
      </c>
      <c r="E3874" s="96" t="s">
        <v>62</v>
      </c>
      <c r="F3874" s="29" t="s">
        <v>61</v>
      </c>
      <c r="G3874" s="29"/>
      <c r="H3874" s="103">
        <f>_xlfn.XLOOKUP(B3874,GM!$Q$5:$Q$756,GM!$J$5:$J$756)</f>
        <v>44889</v>
      </c>
    </row>
    <row r="3875" spans="1:8" hidden="1" x14ac:dyDescent="0.35">
      <c r="A3875" s="29" t="s">
        <v>14</v>
      </c>
      <c r="B3875" s="29" t="str">
        <f t="shared" si="60"/>
        <v>CHV-62</v>
      </c>
      <c r="C3875" s="29" t="s">
        <v>10853</v>
      </c>
      <c r="D3875" s="67" t="s">
        <v>10854</v>
      </c>
      <c r="E3875" s="96" t="s">
        <v>62</v>
      </c>
      <c r="F3875" s="29" t="s">
        <v>61</v>
      </c>
      <c r="G3875" s="29"/>
      <c r="H3875" s="103">
        <f>_xlfn.XLOOKUP(B3875,GM!$Q$5:$Q$756,GM!$J$5:$J$756)</f>
        <v>44926</v>
      </c>
    </row>
    <row r="3876" spans="1:8" hidden="1" x14ac:dyDescent="0.35">
      <c r="A3876" s="29" t="s">
        <v>13</v>
      </c>
      <c r="B3876" s="29" t="str">
        <f t="shared" si="60"/>
        <v>JUR-62</v>
      </c>
      <c r="C3876" s="29" t="s">
        <v>10855</v>
      </c>
      <c r="D3876" s="67" t="s">
        <v>10856</v>
      </c>
      <c r="E3876" s="96" t="s">
        <v>62</v>
      </c>
      <c r="F3876" s="29" t="s">
        <v>61</v>
      </c>
      <c r="G3876" s="29"/>
      <c r="H3876" s="103">
        <f>_xlfn.XLOOKUP(B3876,GM!$Q$5:$Q$756,GM!$J$5:$J$756)</f>
        <v>44926</v>
      </c>
    </row>
    <row r="3877" spans="1:8" hidden="1" x14ac:dyDescent="0.35">
      <c r="A3877" s="29" t="s">
        <v>15</v>
      </c>
      <c r="B3877" s="29" t="str">
        <f t="shared" si="60"/>
        <v>SAG-62</v>
      </c>
      <c r="C3877" s="29" t="s">
        <v>10857</v>
      </c>
      <c r="D3877" s="67" t="s">
        <v>10858</v>
      </c>
      <c r="E3877" s="96" t="s">
        <v>62</v>
      </c>
      <c r="F3877" s="29" t="s">
        <v>61</v>
      </c>
      <c r="G3877" s="29"/>
      <c r="H3877" s="103" t="e">
        <f>_xlfn.XLOOKUP(B3877,GM!$Q$5:$Q$756,GM!$J$5:$J$756)</f>
        <v>#N/A</v>
      </c>
    </row>
    <row r="3878" spans="1:8" hidden="1" x14ac:dyDescent="0.35">
      <c r="A3878" s="29" t="s">
        <v>16</v>
      </c>
      <c r="B3878" s="29" t="str">
        <f t="shared" si="60"/>
        <v>CN1-62</v>
      </c>
      <c r="C3878" s="29" t="s">
        <v>10859</v>
      </c>
      <c r="D3878" s="67" t="s">
        <v>10860</v>
      </c>
      <c r="E3878" s="96" t="s">
        <v>62</v>
      </c>
      <c r="F3878" s="29" t="s">
        <v>61</v>
      </c>
      <c r="G3878" s="29"/>
      <c r="H3878" s="103">
        <f>_xlfn.XLOOKUP(B3878,GM!$Q$5:$Q$756,GM!$J$5:$J$756)</f>
        <v>44926</v>
      </c>
    </row>
    <row r="3879" spans="1:8" hidden="1" x14ac:dyDescent="0.35">
      <c r="A3879" s="29" t="s">
        <v>17</v>
      </c>
      <c r="B3879" s="29" t="str">
        <f t="shared" si="60"/>
        <v>CN2-62</v>
      </c>
      <c r="C3879" s="29" t="s">
        <v>10861</v>
      </c>
      <c r="D3879" s="67" t="s">
        <v>10862</v>
      </c>
      <c r="E3879" s="96" t="s">
        <v>62</v>
      </c>
      <c r="F3879" s="29" t="s">
        <v>61</v>
      </c>
      <c r="G3879" s="29"/>
      <c r="H3879" s="103">
        <f>_xlfn.XLOOKUP(B3879,GM!$Q$5:$Q$756,GM!$J$5:$J$756)</f>
        <v>44926</v>
      </c>
    </row>
    <row r="3880" spans="1:8" hidden="1" x14ac:dyDescent="0.35">
      <c r="A3880" s="29" t="s">
        <v>18</v>
      </c>
      <c r="B3880" s="29" t="str">
        <f t="shared" si="60"/>
        <v>CPV-62</v>
      </c>
      <c r="C3880" s="29" t="s">
        <v>10863</v>
      </c>
      <c r="D3880" s="67" t="s">
        <v>10864</v>
      </c>
      <c r="E3880" s="96" t="s">
        <v>62</v>
      </c>
      <c r="F3880" s="29" t="s">
        <v>61</v>
      </c>
      <c r="G3880" s="29"/>
      <c r="H3880" s="103">
        <f>_xlfn.XLOOKUP(B3880,GM!$Q$5:$Q$756,GM!$J$5:$J$756)</f>
        <v>44926</v>
      </c>
    </row>
    <row r="3881" spans="1:8" hidden="1" x14ac:dyDescent="0.35">
      <c r="A3881" s="29" t="s">
        <v>26</v>
      </c>
      <c r="B3881" s="29" t="str">
        <f t="shared" si="60"/>
        <v>GAR-62</v>
      </c>
      <c r="C3881" s="29" t="s">
        <v>10865</v>
      </c>
      <c r="D3881" s="67" t="s">
        <v>10866</v>
      </c>
      <c r="E3881" s="96" t="s">
        <v>62</v>
      </c>
      <c r="F3881" s="29" t="s">
        <v>61</v>
      </c>
      <c r="G3881" s="29"/>
      <c r="H3881" s="103">
        <f>_xlfn.XLOOKUP(B3881,GM!$Q$5:$Q$756,GM!$J$5:$J$756)</f>
        <v>45202</v>
      </c>
    </row>
    <row r="3882" spans="1:8" hidden="1" x14ac:dyDescent="0.35">
      <c r="A3882" s="29" t="s">
        <v>25</v>
      </c>
      <c r="B3882" s="29" t="str">
        <f t="shared" si="60"/>
        <v>STO-62</v>
      </c>
      <c r="C3882" s="29" t="s">
        <v>10867</v>
      </c>
      <c r="D3882" s="67" t="s">
        <v>10868</v>
      </c>
      <c r="E3882" s="96" t="s">
        <v>62</v>
      </c>
      <c r="F3882" s="29" t="s">
        <v>61</v>
      </c>
      <c r="G3882" s="29"/>
      <c r="H3882" s="103">
        <f>_xlfn.XLOOKUP(B3882,GM!$Q$5:$Q$756,GM!$J$5:$J$756)</f>
        <v>44926</v>
      </c>
    </row>
    <row r="3883" spans="1:8" hidden="1" x14ac:dyDescent="0.35">
      <c r="A3883" s="29" t="s">
        <v>21</v>
      </c>
      <c r="B3883" s="29" t="str">
        <f t="shared" si="60"/>
        <v>PLM-62</v>
      </c>
      <c r="C3883" s="29" t="s">
        <v>10869</v>
      </c>
      <c r="D3883" s="67" t="s">
        <v>10870</v>
      </c>
      <c r="E3883" s="96" t="s">
        <v>62</v>
      </c>
      <c r="F3883" s="29" t="s">
        <v>61</v>
      </c>
      <c r="G3883" s="29"/>
      <c r="H3883" s="103">
        <f>_xlfn.XLOOKUP(B3883,GM!$Q$5:$Q$756,GM!$J$5:$J$756)</f>
        <v>44926</v>
      </c>
    </row>
    <row r="3884" spans="1:8" hidden="1" x14ac:dyDescent="0.35">
      <c r="A3884" s="29" t="s">
        <v>22</v>
      </c>
      <c r="B3884" s="29" t="str">
        <f t="shared" si="60"/>
        <v>RET-62</v>
      </c>
      <c r="C3884" s="29" t="s">
        <v>10871</v>
      </c>
      <c r="D3884" s="67" t="s">
        <v>10872</v>
      </c>
      <c r="E3884" s="96" t="s">
        <v>62</v>
      </c>
      <c r="F3884" s="29" t="s">
        <v>61</v>
      </c>
      <c r="G3884" s="29"/>
      <c r="H3884" s="103">
        <f>_xlfn.XLOOKUP(B3884,GM!$Q$5:$Q$756,GM!$J$5:$J$756)</f>
        <v>44926</v>
      </c>
    </row>
    <row r="3885" spans="1:8" x14ac:dyDescent="0.35">
      <c r="A3885" s="29" t="s">
        <v>24</v>
      </c>
      <c r="B3885" s="29" t="str">
        <f t="shared" si="60"/>
        <v>JUP-62</v>
      </c>
      <c r="C3885" s="29" t="s">
        <v>10873</v>
      </c>
      <c r="D3885" s="67" t="s">
        <v>10874</v>
      </c>
      <c r="E3885" s="96" t="s">
        <v>62</v>
      </c>
      <c r="F3885" s="29" t="s">
        <v>61</v>
      </c>
      <c r="G3885" s="29"/>
      <c r="H3885" s="103">
        <f>_xlfn.XLOOKUP(B3885,GM!$Q$5:$Q$756,GM!$J$5:$J$756)</f>
        <v>44914</v>
      </c>
    </row>
    <row r="3886" spans="1:8" hidden="1" x14ac:dyDescent="0.35">
      <c r="A3886" s="29" t="s">
        <v>23</v>
      </c>
      <c r="B3886" s="29" t="str">
        <f t="shared" si="60"/>
        <v>ILS-62</v>
      </c>
      <c r="C3886" s="29" t="s">
        <v>10875</v>
      </c>
      <c r="D3886" s="67" t="s">
        <v>10876</v>
      </c>
      <c r="E3886" s="96" t="s">
        <v>62</v>
      </c>
      <c r="F3886" s="29" t="s">
        <v>61</v>
      </c>
      <c r="G3886" s="29"/>
      <c r="H3886" s="103">
        <f>_xlfn.XLOOKUP(B3886,GM!$Q$5:$Q$756,GM!$J$5:$J$756)</f>
        <v>44926</v>
      </c>
    </row>
    <row r="3887" spans="1:8" hidden="1" x14ac:dyDescent="0.35">
      <c r="A3887" s="29" t="s">
        <v>19</v>
      </c>
      <c r="B3887" s="29" t="str">
        <f t="shared" si="60"/>
        <v>TAQ-62</v>
      </c>
      <c r="C3887" s="29" t="s">
        <v>10877</v>
      </c>
      <c r="D3887" s="67" t="s">
        <v>10878</v>
      </c>
      <c r="E3887" s="96" t="s">
        <v>62</v>
      </c>
      <c r="F3887" s="29" t="s">
        <v>61</v>
      </c>
      <c r="G3887" s="29"/>
      <c r="H3887" s="103">
        <f>_xlfn.XLOOKUP(B3887,GM!$Q$5:$Q$756,GM!$J$5:$J$756)</f>
        <v>44926</v>
      </c>
    </row>
    <row r="3888" spans="1:8" hidden="1" x14ac:dyDescent="0.35">
      <c r="A3888" s="29" t="s">
        <v>20</v>
      </c>
      <c r="B3888" s="29" t="str">
        <f t="shared" si="60"/>
        <v>ROS-62</v>
      </c>
      <c r="C3888" s="29" t="s">
        <v>10879</v>
      </c>
      <c r="D3888" s="67" t="s">
        <v>10880</v>
      </c>
      <c r="E3888" s="96" t="s">
        <v>62</v>
      </c>
      <c r="F3888" s="29" t="s">
        <v>61</v>
      </c>
      <c r="G3888" s="29"/>
      <c r="H3888" s="103">
        <f>_xlfn.XLOOKUP(B3888,GM!$Q$5:$Q$756,GM!$J$5:$J$756)</f>
        <v>44926</v>
      </c>
    </row>
    <row r="3889" spans="1:8" hidden="1" x14ac:dyDescent="0.35">
      <c r="A3889" s="29" t="s">
        <v>14</v>
      </c>
      <c r="B3889" s="29" t="str">
        <f t="shared" si="60"/>
        <v>CHV-61</v>
      </c>
      <c r="C3889" s="29" t="s">
        <v>10881</v>
      </c>
      <c r="D3889" s="67" t="s">
        <v>10882</v>
      </c>
      <c r="E3889" s="96" t="s">
        <v>62</v>
      </c>
      <c r="F3889" s="29" t="s">
        <v>61</v>
      </c>
      <c r="G3889" s="29"/>
      <c r="H3889" s="103">
        <f>_xlfn.XLOOKUP(B3889,GM!$Q$5:$Q$756,GM!$J$5:$J$756)</f>
        <v>44926</v>
      </c>
    </row>
    <row r="3890" spans="1:8" hidden="1" x14ac:dyDescent="0.35">
      <c r="A3890" s="29" t="s">
        <v>13</v>
      </c>
      <c r="B3890" s="29" t="str">
        <f t="shared" si="60"/>
        <v>JUR-61</v>
      </c>
      <c r="C3890" s="29" t="s">
        <v>10883</v>
      </c>
      <c r="D3890" s="67" t="s">
        <v>10884</v>
      </c>
      <c r="E3890" s="96" t="s">
        <v>62</v>
      </c>
      <c r="F3890" s="29" t="s">
        <v>61</v>
      </c>
      <c r="G3890" s="29"/>
      <c r="H3890" s="103">
        <f>_xlfn.XLOOKUP(B3890,GM!$Q$5:$Q$756,GM!$J$5:$J$756)</f>
        <v>45202</v>
      </c>
    </row>
    <row r="3891" spans="1:8" hidden="1" x14ac:dyDescent="0.35">
      <c r="A3891" s="29" t="s">
        <v>15</v>
      </c>
      <c r="B3891" s="29" t="str">
        <f t="shared" si="60"/>
        <v>SAG-61</v>
      </c>
      <c r="C3891" s="29" t="s">
        <v>10885</v>
      </c>
      <c r="D3891" s="67" t="s">
        <v>10886</v>
      </c>
      <c r="E3891" s="96" t="s">
        <v>62</v>
      </c>
      <c r="F3891" s="29" t="s">
        <v>61</v>
      </c>
      <c r="G3891" s="29"/>
      <c r="H3891" s="103">
        <f>_xlfn.XLOOKUP(B3891,GM!$Q$5:$Q$756,GM!$J$5:$J$756)</f>
        <v>44926</v>
      </c>
    </row>
    <row r="3892" spans="1:8" hidden="1" x14ac:dyDescent="0.35">
      <c r="A3892" s="29" t="s">
        <v>16</v>
      </c>
      <c r="B3892" s="29" t="str">
        <f t="shared" si="60"/>
        <v>CN1-61</v>
      </c>
      <c r="C3892" s="29" t="s">
        <v>10887</v>
      </c>
      <c r="D3892" s="67" t="s">
        <v>10888</v>
      </c>
      <c r="E3892" s="96" t="s">
        <v>62</v>
      </c>
      <c r="F3892" s="29" t="s">
        <v>61</v>
      </c>
      <c r="G3892" s="29"/>
      <c r="H3892" s="103">
        <f>_xlfn.XLOOKUP(B3892,GM!$Q$5:$Q$756,GM!$J$5:$J$756)</f>
        <v>44926</v>
      </c>
    </row>
    <row r="3893" spans="1:8" hidden="1" x14ac:dyDescent="0.35">
      <c r="A3893" s="29" t="s">
        <v>17</v>
      </c>
      <c r="B3893" s="29" t="str">
        <f t="shared" si="60"/>
        <v>CN2-61</v>
      </c>
      <c r="C3893" s="29" t="s">
        <v>10889</v>
      </c>
      <c r="D3893" s="67" t="s">
        <v>10890</v>
      </c>
      <c r="E3893" s="96" t="s">
        <v>62</v>
      </c>
      <c r="F3893" s="29" t="s">
        <v>61</v>
      </c>
      <c r="G3893" s="29"/>
      <c r="H3893" s="103">
        <f>_xlfn.XLOOKUP(B3893,GM!$Q$5:$Q$756,GM!$J$5:$J$756)</f>
        <v>44926</v>
      </c>
    </row>
    <row r="3894" spans="1:8" hidden="1" x14ac:dyDescent="0.35">
      <c r="A3894" s="29" t="s">
        <v>18</v>
      </c>
      <c r="B3894" s="29" t="str">
        <f t="shared" si="60"/>
        <v>CPV-61</v>
      </c>
      <c r="C3894" s="29" t="s">
        <v>10891</v>
      </c>
      <c r="D3894" s="67" t="s">
        <v>10892</v>
      </c>
      <c r="E3894" s="96" t="s">
        <v>62</v>
      </c>
      <c r="F3894" s="29" t="s">
        <v>61</v>
      </c>
      <c r="G3894" s="29"/>
      <c r="H3894" s="103">
        <f>_xlfn.XLOOKUP(B3894,GM!$Q$5:$Q$756,GM!$J$5:$J$756)</f>
        <v>44926</v>
      </c>
    </row>
    <row r="3895" spans="1:8" hidden="1" x14ac:dyDescent="0.35">
      <c r="A3895" s="29" t="s">
        <v>26</v>
      </c>
      <c r="B3895" s="29" t="str">
        <f t="shared" ref="B3895:B3958" si="61">IF(OR(A3895="ARN",A3895="SDP"),MID(C3895,4,7),MID(C3895,4,6))</f>
        <v>GAR-61</v>
      </c>
      <c r="C3895" s="29" t="s">
        <v>10893</v>
      </c>
      <c r="D3895" s="67" t="s">
        <v>10894</v>
      </c>
      <c r="E3895" s="96" t="s">
        <v>62</v>
      </c>
      <c r="F3895" s="29" t="s">
        <v>61</v>
      </c>
      <c r="G3895" s="29"/>
      <c r="H3895" s="103" t="e">
        <f>_xlfn.XLOOKUP(B3895,GM!$Q$5:$Q$756,GM!$J$5:$J$756)</f>
        <v>#N/A</v>
      </c>
    </row>
    <row r="3896" spans="1:8" hidden="1" x14ac:dyDescent="0.35">
      <c r="A3896" s="29" t="s">
        <v>25</v>
      </c>
      <c r="B3896" s="29" t="str">
        <f t="shared" si="61"/>
        <v>STO-61</v>
      </c>
      <c r="C3896" s="29" t="s">
        <v>10895</v>
      </c>
      <c r="D3896" s="67" t="s">
        <v>10896</v>
      </c>
      <c r="E3896" s="96" t="s">
        <v>62</v>
      </c>
      <c r="F3896" s="29" t="s">
        <v>61</v>
      </c>
      <c r="G3896" s="29"/>
      <c r="H3896" s="103">
        <f>_xlfn.XLOOKUP(B3896,GM!$Q$5:$Q$756,GM!$J$5:$J$756)</f>
        <v>44926</v>
      </c>
    </row>
    <row r="3897" spans="1:8" hidden="1" x14ac:dyDescent="0.35">
      <c r="A3897" s="29" t="s">
        <v>21</v>
      </c>
      <c r="B3897" s="29" t="str">
        <f t="shared" si="61"/>
        <v>PLM-61</v>
      </c>
      <c r="C3897" s="29" t="s">
        <v>10897</v>
      </c>
      <c r="D3897" s="67" t="s">
        <v>10898</v>
      </c>
      <c r="E3897" s="96" t="s">
        <v>62</v>
      </c>
      <c r="F3897" s="29" t="s">
        <v>61</v>
      </c>
      <c r="G3897" s="29"/>
      <c r="H3897" s="103">
        <f>_xlfn.XLOOKUP(B3897,GM!$Q$5:$Q$756,GM!$J$5:$J$756)</f>
        <v>44926</v>
      </c>
    </row>
    <row r="3898" spans="1:8" hidden="1" x14ac:dyDescent="0.35">
      <c r="A3898" s="29" t="s">
        <v>22</v>
      </c>
      <c r="B3898" s="29" t="str">
        <f t="shared" si="61"/>
        <v>RET-61</v>
      </c>
      <c r="C3898" s="29" t="s">
        <v>10899</v>
      </c>
      <c r="D3898" s="67" t="s">
        <v>10900</v>
      </c>
      <c r="E3898" s="96" t="s">
        <v>62</v>
      </c>
      <c r="F3898" s="29" t="s">
        <v>61</v>
      </c>
      <c r="G3898" s="29"/>
      <c r="H3898" s="103">
        <f>_xlfn.XLOOKUP(B3898,GM!$Q$5:$Q$756,GM!$J$5:$J$756)</f>
        <v>44926</v>
      </c>
    </row>
    <row r="3899" spans="1:8" x14ac:dyDescent="0.35">
      <c r="A3899" s="29" t="s">
        <v>24</v>
      </c>
      <c r="B3899" s="29" t="str">
        <f t="shared" si="61"/>
        <v>JUP-61</v>
      </c>
      <c r="C3899" s="29" t="s">
        <v>10901</v>
      </c>
      <c r="D3899" s="67" t="s">
        <v>10902</v>
      </c>
      <c r="E3899" s="96" t="s">
        <v>62</v>
      </c>
      <c r="F3899" s="29" t="s">
        <v>61</v>
      </c>
      <c r="G3899" s="29"/>
      <c r="H3899" s="103">
        <f>_xlfn.XLOOKUP(B3899,GM!$Q$5:$Q$756,GM!$J$5:$J$756)</f>
        <v>44926</v>
      </c>
    </row>
    <row r="3900" spans="1:8" hidden="1" x14ac:dyDescent="0.35">
      <c r="A3900" s="29" t="s">
        <v>23</v>
      </c>
      <c r="B3900" s="29" t="str">
        <f t="shared" si="61"/>
        <v>ILS-61</v>
      </c>
      <c r="C3900" s="29" t="s">
        <v>10903</v>
      </c>
      <c r="D3900" s="67" t="s">
        <v>10904</v>
      </c>
      <c r="E3900" s="96" t="s">
        <v>62</v>
      </c>
      <c r="F3900" s="29" t="s">
        <v>61</v>
      </c>
      <c r="G3900" s="29"/>
      <c r="H3900" s="103">
        <f>_xlfn.XLOOKUP(B3900,GM!$Q$5:$Q$756,GM!$J$5:$J$756)</f>
        <v>44926</v>
      </c>
    </row>
    <row r="3901" spans="1:8" hidden="1" x14ac:dyDescent="0.35">
      <c r="A3901" s="29" t="s">
        <v>19</v>
      </c>
      <c r="B3901" s="29" t="str">
        <f t="shared" si="61"/>
        <v>TAQ-61</v>
      </c>
      <c r="C3901" s="29" t="s">
        <v>10905</v>
      </c>
      <c r="D3901" s="67" t="s">
        <v>10906</v>
      </c>
      <c r="E3901" s="96" t="s">
        <v>62</v>
      </c>
      <c r="F3901" s="29" t="s">
        <v>61</v>
      </c>
      <c r="G3901" s="29"/>
      <c r="H3901" s="103">
        <f>_xlfn.XLOOKUP(B3901,GM!$Q$5:$Q$756,GM!$J$5:$J$756)</f>
        <v>44926</v>
      </c>
    </row>
    <row r="3902" spans="1:8" hidden="1" x14ac:dyDescent="0.35">
      <c r="A3902" s="29" t="s">
        <v>20</v>
      </c>
      <c r="B3902" s="29" t="str">
        <f t="shared" si="61"/>
        <v>ROS-61</v>
      </c>
      <c r="C3902" s="29" t="s">
        <v>10907</v>
      </c>
      <c r="D3902" s="67" t="s">
        <v>10908</v>
      </c>
      <c r="E3902" s="96" t="s">
        <v>62</v>
      </c>
      <c r="F3902" s="29" t="s">
        <v>61</v>
      </c>
      <c r="G3902" s="29"/>
      <c r="H3902" s="103">
        <f>_xlfn.XLOOKUP(B3902,GM!$Q$5:$Q$756,GM!$J$5:$J$756)</f>
        <v>44926</v>
      </c>
    </row>
    <row r="3903" spans="1:8" hidden="1" x14ac:dyDescent="0.35">
      <c r="A3903" s="29" t="s">
        <v>14</v>
      </c>
      <c r="B3903" s="29" t="str">
        <f t="shared" si="61"/>
        <v>CHV-61</v>
      </c>
      <c r="C3903" s="29" t="s">
        <v>10909</v>
      </c>
      <c r="D3903" s="67" t="s">
        <v>10910</v>
      </c>
      <c r="E3903" s="96" t="s">
        <v>62</v>
      </c>
      <c r="F3903" s="29" t="s">
        <v>61</v>
      </c>
      <c r="G3903" s="29"/>
      <c r="H3903" s="103">
        <f>_xlfn.XLOOKUP(B3903,GM!$Q$5:$Q$756,GM!$J$5:$J$756)</f>
        <v>44926</v>
      </c>
    </row>
    <row r="3904" spans="1:8" hidden="1" x14ac:dyDescent="0.35">
      <c r="A3904" s="29" t="s">
        <v>13</v>
      </c>
      <c r="B3904" s="29" t="str">
        <f t="shared" si="61"/>
        <v>JUR-61</v>
      </c>
      <c r="C3904" s="29" t="s">
        <v>10911</v>
      </c>
      <c r="D3904" s="67" t="s">
        <v>10912</v>
      </c>
      <c r="E3904" s="96" t="s">
        <v>62</v>
      </c>
      <c r="F3904" s="29" t="s">
        <v>61</v>
      </c>
      <c r="G3904" s="29"/>
      <c r="H3904" s="103">
        <f>_xlfn.XLOOKUP(B3904,GM!$Q$5:$Q$756,GM!$J$5:$J$756)</f>
        <v>45202</v>
      </c>
    </row>
    <row r="3905" spans="1:8" hidden="1" x14ac:dyDescent="0.35">
      <c r="A3905" s="29" t="s">
        <v>15</v>
      </c>
      <c r="B3905" s="29" t="str">
        <f t="shared" si="61"/>
        <v>SAG-61</v>
      </c>
      <c r="C3905" s="29" t="s">
        <v>10913</v>
      </c>
      <c r="D3905" s="67" t="s">
        <v>10914</v>
      </c>
      <c r="E3905" s="96" t="s">
        <v>62</v>
      </c>
      <c r="F3905" s="29" t="s">
        <v>61</v>
      </c>
      <c r="G3905" s="29"/>
      <c r="H3905" s="103">
        <f>_xlfn.XLOOKUP(B3905,GM!$Q$5:$Q$756,GM!$J$5:$J$756)</f>
        <v>44926</v>
      </c>
    </row>
    <row r="3906" spans="1:8" hidden="1" x14ac:dyDescent="0.35">
      <c r="A3906" s="29" t="s">
        <v>16</v>
      </c>
      <c r="B3906" s="29" t="str">
        <f t="shared" si="61"/>
        <v>CN1-61</v>
      </c>
      <c r="C3906" s="29" t="s">
        <v>10915</v>
      </c>
      <c r="D3906" s="67" t="s">
        <v>10916</v>
      </c>
      <c r="E3906" s="96" t="s">
        <v>62</v>
      </c>
      <c r="F3906" s="29" t="s">
        <v>61</v>
      </c>
      <c r="G3906" s="29"/>
      <c r="H3906" s="103">
        <f>_xlfn.XLOOKUP(B3906,GM!$Q$5:$Q$756,GM!$J$5:$J$756)</f>
        <v>44926</v>
      </c>
    </row>
    <row r="3907" spans="1:8" hidden="1" x14ac:dyDescent="0.35">
      <c r="A3907" s="29" t="s">
        <v>17</v>
      </c>
      <c r="B3907" s="29" t="str">
        <f t="shared" si="61"/>
        <v>CN2-61</v>
      </c>
      <c r="C3907" s="29" t="s">
        <v>10917</v>
      </c>
      <c r="D3907" s="67" t="s">
        <v>10918</v>
      </c>
      <c r="E3907" s="96" t="s">
        <v>62</v>
      </c>
      <c r="F3907" s="29" t="s">
        <v>61</v>
      </c>
      <c r="G3907" s="29"/>
      <c r="H3907" s="103">
        <f>_xlfn.XLOOKUP(B3907,GM!$Q$5:$Q$756,GM!$J$5:$J$756)</f>
        <v>44926</v>
      </c>
    </row>
    <row r="3908" spans="1:8" hidden="1" x14ac:dyDescent="0.35">
      <c r="A3908" s="29" t="s">
        <v>18</v>
      </c>
      <c r="B3908" s="29" t="str">
        <f t="shared" si="61"/>
        <v>CPV-61</v>
      </c>
      <c r="C3908" s="29" t="s">
        <v>10919</v>
      </c>
      <c r="D3908" s="67" t="s">
        <v>10920</v>
      </c>
      <c r="E3908" s="96" t="s">
        <v>62</v>
      </c>
      <c r="F3908" s="29" t="s">
        <v>61</v>
      </c>
      <c r="G3908" s="29"/>
      <c r="H3908" s="103">
        <f>_xlfn.XLOOKUP(B3908,GM!$Q$5:$Q$756,GM!$J$5:$J$756)</f>
        <v>44926</v>
      </c>
    </row>
    <row r="3909" spans="1:8" hidden="1" x14ac:dyDescent="0.35">
      <c r="A3909" s="29" t="s">
        <v>26</v>
      </c>
      <c r="B3909" s="29" t="str">
        <f t="shared" si="61"/>
        <v>GAR-61</v>
      </c>
      <c r="C3909" s="29" t="s">
        <v>10921</v>
      </c>
      <c r="D3909" s="67" t="s">
        <v>10922</v>
      </c>
      <c r="E3909" s="96" t="s">
        <v>62</v>
      </c>
      <c r="F3909" s="29" t="s">
        <v>61</v>
      </c>
      <c r="G3909" s="29"/>
      <c r="H3909" s="103" t="e">
        <f>_xlfn.XLOOKUP(B3909,GM!$Q$5:$Q$756,GM!$J$5:$J$756)</f>
        <v>#N/A</v>
      </c>
    </row>
    <row r="3910" spans="1:8" hidden="1" x14ac:dyDescent="0.35">
      <c r="A3910" s="29" t="s">
        <v>25</v>
      </c>
      <c r="B3910" s="29" t="str">
        <f t="shared" si="61"/>
        <v>STO-61</v>
      </c>
      <c r="C3910" s="29" t="s">
        <v>10923</v>
      </c>
      <c r="D3910" s="67" t="s">
        <v>10924</v>
      </c>
      <c r="E3910" s="96" t="s">
        <v>62</v>
      </c>
      <c r="F3910" s="29" t="s">
        <v>61</v>
      </c>
      <c r="G3910" s="29"/>
      <c r="H3910" s="103">
        <f>_xlfn.XLOOKUP(B3910,GM!$Q$5:$Q$756,GM!$J$5:$J$756)</f>
        <v>44926</v>
      </c>
    </row>
    <row r="3911" spans="1:8" hidden="1" x14ac:dyDescent="0.35">
      <c r="A3911" s="29" t="s">
        <v>21</v>
      </c>
      <c r="B3911" s="29" t="str">
        <f t="shared" si="61"/>
        <v>PLM-61</v>
      </c>
      <c r="C3911" s="29" t="s">
        <v>10925</v>
      </c>
      <c r="D3911" s="67" t="s">
        <v>10926</v>
      </c>
      <c r="E3911" s="96" t="s">
        <v>62</v>
      </c>
      <c r="F3911" s="29" t="s">
        <v>61</v>
      </c>
      <c r="G3911" s="29"/>
      <c r="H3911" s="103">
        <f>_xlfn.XLOOKUP(B3911,GM!$Q$5:$Q$756,GM!$J$5:$J$756)</f>
        <v>44926</v>
      </c>
    </row>
    <row r="3912" spans="1:8" hidden="1" x14ac:dyDescent="0.35">
      <c r="A3912" s="29" t="s">
        <v>22</v>
      </c>
      <c r="B3912" s="29" t="str">
        <f t="shared" si="61"/>
        <v>RET-61</v>
      </c>
      <c r="C3912" s="29" t="s">
        <v>10927</v>
      </c>
      <c r="D3912" s="67" t="s">
        <v>10928</v>
      </c>
      <c r="E3912" s="96" t="s">
        <v>62</v>
      </c>
      <c r="F3912" s="29" t="s">
        <v>61</v>
      </c>
      <c r="G3912" s="29"/>
      <c r="H3912" s="103">
        <f>_xlfn.XLOOKUP(B3912,GM!$Q$5:$Q$756,GM!$J$5:$J$756)</f>
        <v>44926</v>
      </c>
    </row>
    <row r="3913" spans="1:8" x14ac:dyDescent="0.35">
      <c r="A3913" s="29" t="s">
        <v>24</v>
      </c>
      <c r="B3913" s="29" t="str">
        <f t="shared" si="61"/>
        <v>JUP-61</v>
      </c>
      <c r="C3913" s="29" t="s">
        <v>10929</v>
      </c>
      <c r="D3913" s="67" t="s">
        <v>10930</v>
      </c>
      <c r="E3913" s="96" t="s">
        <v>62</v>
      </c>
      <c r="F3913" s="29" t="s">
        <v>61</v>
      </c>
      <c r="G3913" s="29"/>
      <c r="H3913" s="103">
        <f>_xlfn.XLOOKUP(B3913,GM!$Q$5:$Q$756,GM!$J$5:$J$756)</f>
        <v>44926</v>
      </c>
    </row>
    <row r="3914" spans="1:8" hidden="1" x14ac:dyDescent="0.35">
      <c r="A3914" s="29" t="s">
        <v>23</v>
      </c>
      <c r="B3914" s="29" t="str">
        <f t="shared" si="61"/>
        <v>ILS-61</v>
      </c>
      <c r="C3914" s="29" t="s">
        <v>10931</v>
      </c>
      <c r="D3914" s="67" t="s">
        <v>10932</v>
      </c>
      <c r="E3914" s="96" t="s">
        <v>62</v>
      </c>
      <c r="F3914" s="29" t="s">
        <v>61</v>
      </c>
      <c r="G3914" s="29"/>
      <c r="H3914" s="103">
        <f>_xlfn.XLOOKUP(B3914,GM!$Q$5:$Q$756,GM!$J$5:$J$756)</f>
        <v>44926</v>
      </c>
    </row>
    <row r="3915" spans="1:8" hidden="1" x14ac:dyDescent="0.35">
      <c r="A3915" s="29" t="s">
        <v>19</v>
      </c>
      <c r="B3915" s="29" t="str">
        <f t="shared" si="61"/>
        <v>TAQ-61</v>
      </c>
      <c r="C3915" s="29" t="s">
        <v>10933</v>
      </c>
      <c r="D3915" s="67" t="s">
        <v>10934</v>
      </c>
      <c r="E3915" s="96" t="s">
        <v>62</v>
      </c>
      <c r="F3915" s="29" t="s">
        <v>61</v>
      </c>
      <c r="G3915" s="29"/>
      <c r="H3915" s="103">
        <f>_xlfn.XLOOKUP(B3915,GM!$Q$5:$Q$756,GM!$J$5:$J$756)</f>
        <v>44926</v>
      </c>
    </row>
    <row r="3916" spans="1:8" hidden="1" x14ac:dyDescent="0.35">
      <c r="A3916" s="29" t="s">
        <v>20</v>
      </c>
      <c r="B3916" s="29" t="str">
        <f t="shared" si="61"/>
        <v>ROS-61</v>
      </c>
      <c r="C3916" s="29" t="s">
        <v>10935</v>
      </c>
      <c r="D3916" s="67" t="s">
        <v>10936</v>
      </c>
      <c r="E3916" s="96" t="s">
        <v>62</v>
      </c>
      <c r="F3916" s="29" t="s">
        <v>61</v>
      </c>
      <c r="G3916" s="29"/>
      <c r="H3916" s="103">
        <f>_xlfn.XLOOKUP(B3916,GM!$Q$5:$Q$756,GM!$J$5:$J$756)</f>
        <v>44926</v>
      </c>
    </row>
    <row r="3917" spans="1:8" hidden="1" x14ac:dyDescent="0.35">
      <c r="A3917" s="29" t="s">
        <v>16</v>
      </c>
      <c r="B3917" s="29" t="str">
        <f t="shared" si="61"/>
        <v>CN1-03</v>
      </c>
      <c r="C3917" s="29" t="s">
        <v>10937</v>
      </c>
      <c r="D3917" s="67" t="s">
        <v>10938</v>
      </c>
      <c r="E3917" s="96" t="s">
        <v>62</v>
      </c>
      <c r="F3917" s="29" t="s">
        <v>61</v>
      </c>
      <c r="G3917" s="29"/>
      <c r="H3917" s="103">
        <f>_xlfn.XLOOKUP(B3917,GM!$Q$5:$Q$756,GM!$J$5:$J$756)</f>
        <v>45506</v>
      </c>
    </row>
    <row r="3918" spans="1:8" hidden="1" x14ac:dyDescent="0.35">
      <c r="A3918" s="29" t="s">
        <v>16</v>
      </c>
      <c r="B3918" s="29" t="str">
        <f t="shared" si="61"/>
        <v>CN1-03</v>
      </c>
      <c r="C3918" s="29" t="s">
        <v>10939</v>
      </c>
      <c r="D3918" s="67" t="s">
        <v>10940</v>
      </c>
      <c r="E3918" s="96" t="s">
        <v>62</v>
      </c>
      <c r="F3918" s="29" t="s">
        <v>61</v>
      </c>
      <c r="G3918" s="29"/>
      <c r="H3918" s="103">
        <f>_xlfn.XLOOKUP(B3918,GM!$Q$5:$Q$756,GM!$J$5:$J$756)</f>
        <v>45506</v>
      </c>
    </row>
    <row r="3919" spans="1:8" hidden="1" x14ac:dyDescent="0.35">
      <c r="A3919" s="29" t="s">
        <v>17</v>
      </c>
      <c r="B3919" s="29" t="str">
        <f t="shared" si="61"/>
        <v>CN2-03</v>
      </c>
      <c r="C3919" s="29" t="s">
        <v>10941</v>
      </c>
      <c r="D3919" s="67" t="s">
        <v>10942</v>
      </c>
      <c r="E3919" s="96" t="s">
        <v>62</v>
      </c>
      <c r="F3919" s="29" t="s">
        <v>61</v>
      </c>
      <c r="G3919" s="29"/>
      <c r="H3919" s="103">
        <f>_xlfn.XLOOKUP(B3919,GM!$Q$5:$Q$756,GM!$J$5:$J$756)</f>
        <v>45506</v>
      </c>
    </row>
    <row r="3920" spans="1:8" hidden="1" x14ac:dyDescent="0.35">
      <c r="A3920" s="29" t="s">
        <v>17</v>
      </c>
      <c r="B3920" s="29" t="str">
        <f t="shared" si="61"/>
        <v>CN2-03</v>
      </c>
      <c r="C3920" s="29" t="s">
        <v>10943</v>
      </c>
      <c r="D3920" s="67" t="s">
        <v>10944</v>
      </c>
      <c r="E3920" s="96" t="s">
        <v>62</v>
      </c>
      <c r="F3920" s="29" t="s">
        <v>61</v>
      </c>
      <c r="G3920" s="29"/>
      <c r="H3920" s="103">
        <f>_xlfn.XLOOKUP(B3920,GM!$Q$5:$Q$756,GM!$J$5:$J$756)</f>
        <v>45506</v>
      </c>
    </row>
    <row r="3921" spans="1:8" hidden="1" x14ac:dyDescent="0.35">
      <c r="A3921" s="29" t="s">
        <v>26</v>
      </c>
      <c r="B3921" s="29" t="str">
        <f t="shared" si="61"/>
        <v>GAR-03</v>
      </c>
      <c r="C3921" s="29" t="s">
        <v>10945</v>
      </c>
      <c r="D3921" s="67" t="s">
        <v>10946</v>
      </c>
      <c r="E3921" s="96" t="s">
        <v>62</v>
      </c>
      <c r="F3921" s="29" t="s">
        <v>61</v>
      </c>
      <c r="G3921" s="29"/>
      <c r="H3921" s="103">
        <f>_xlfn.XLOOKUP(B3921,GM!$Q$5:$Q$756,GM!$J$5:$J$756)</f>
        <v>45506</v>
      </c>
    </row>
    <row r="3922" spans="1:8" hidden="1" x14ac:dyDescent="0.35">
      <c r="A3922" s="29" t="s">
        <v>26</v>
      </c>
      <c r="B3922" s="29" t="str">
        <f t="shared" si="61"/>
        <v>GAR-03</v>
      </c>
      <c r="C3922" s="29" t="s">
        <v>10947</v>
      </c>
      <c r="D3922" s="67" t="s">
        <v>10948</v>
      </c>
      <c r="E3922" s="96" t="s">
        <v>62</v>
      </c>
      <c r="F3922" s="29" t="s">
        <v>61</v>
      </c>
      <c r="G3922" s="29"/>
      <c r="H3922" s="103">
        <f>_xlfn.XLOOKUP(B3922,GM!$Q$5:$Q$756,GM!$J$5:$J$756)</f>
        <v>45506</v>
      </c>
    </row>
    <row r="3923" spans="1:8" hidden="1" x14ac:dyDescent="0.35">
      <c r="A3923" s="29" t="s">
        <v>26</v>
      </c>
      <c r="B3923" s="29" t="str">
        <f t="shared" si="61"/>
        <v>GAR-03</v>
      </c>
      <c r="C3923" s="29" t="s">
        <v>10949</v>
      </c>
      <c r="D3923" s="67" t="s">
        <v>10950</v>
      </c>
      <c r="E3923" s="96" t="s">
        <v>62</v>
      </c>
      <c r="F3923" s="29" t="s">
        <v>61</v>
      </c>
      <c r="G3923" s="29"/>
      <c r="H3923" s="103">
        <f>_xlfn.XLOOKUP(B3923,GM!$Q$5:$Q$756,GM!$J$5:$J$756)</f>
        <v>45506</v>
      </c>
    </row>
    <row r="3924" spans="1:8" hidden="1" x14ac:dyDescent="0.35">
      <c r="A3924" s="29" t="s">
        <v>26</v>
      </c>
      <c r="B3924" s="29" t="str">
        <f t="shared" si="61"/>
        <v>GAR-03</v>
      </c>
      <c r="C3924" s="29" t="s">
        <v>10951</v>
      </c>
      <c r="D3924" s="67" t="s">
        <v>10952</v>
      </c>
      <c r="E3924" s="96" t="s">
        <v>62</v>
      </c>
      <c r="F3924" s="29" t="s">
        <v>61</v>
      </c>
      <c r="G3924" s="29"/>
      <c r="H3924" s="103">
        <f>_xlfn.XLOOKUP(B3924,GM!$Q$5:$Q$756,GM!$J$5:$J$756)</f>
        <v>45506</v>
      </c>
    </row>
    <row r="3925" spans="1:8" hidden="1" x14ac:dyDescent="0.35">
      <c r="A3925" s="29" t="s">
        <v>26</v>
      </c>
      <c r="B3925" s="29" t="str">
        <f t="shared" si="61"/>
        <v>GAR-03</v>
      </c>
      <c r="C3925" s="29" t="s">
        <v>10953</v>
      </c>
      <c r="D3925" s="67" t="s">
        <v>10954</v>
      </c>
      <c r="E3925" s="96" t="s">
        <v>62</v>
      </c>
      <c r="F3925" s="29" t="s">
        <v>61</v>
      </c>
      <c r="G3925" s="29"/>
      <c r="H3925" s="103">
        <f>_xlfn.XLOOKUP(B3925,GM!$Q$5:$Q$756,GM!$J$5:$J$756)</f>
        <v>45506</v>
      </c>
    </row>
    <row r="3926" spans="1:8" hidden="1" x14ac:dyDescent="0.35">
      <c r="A3926" s="29" t="s">
        <v>26</v>
      </c>
      <c r="B3926" s="29" t="str">
        <f t="shared" si="61"/>
        <v>GAR-03</v>
      </c>
      <c r="C3926" s="29" t="s">
        <v>10955</v>
      </c>
      <c r="D3926" s="67" t="s">
        <v>10956</v>
      </c>
      <c r="E3926" s="96" t="s">
        <v>62</v>
      </c>
      <c r="F3926" s="29" t="s">
        <v>61</v>
      </c>
      <c r="G3926" s="29"/>
      <c r="H3926" s="103">
        <f>_xlfn.XLOOKUP(B3926,GM!$Q$5:$Q$756,GM!$J$5:$J$756)</f>
        <v>45506</v>
      </c>
    </row>
    <row r="3927" spans="1:8" hidden="1" x14ac:dyDescent="0.35">
      <c r="A3927" s="29" t="s">
        <v>26</v>
      </c>
      <c r="B3927" s="29" t="str">
        <f t="shared" si="61"/>
        <v>GAR-03</v>
      </c>
      <c r="C3927" s="29" t="s">
        <v>10957</v>
      </c>
      <c r="D3927" s="67" t="s">
        <v>10958</v>
      </c>
      <c r="E3927" s="96" t="s">
        <v>62</v>
      </c>
      <c r="F3927" s="29" t="s">
        <v>61</v>
      </c>
      <c r="G3927" s="29"/>
      <c r="H3927" s="103">
        <f>_xlfn.XLOOKUP(B3927,GM!$Q$5:$Q$756,GM!$J$5:$J$756)</f>
        <v>45506</v>
      </c>
    </row>
    <row r="3928" spans="1:8" hidden="1" x14ac:dyDescent="0.35">
      <c r="A3928" s="29" t="s">
        <v>26</v>
      </c>
      <c r="B3928" s="29" t="str">
        <f t="shared" si="61"/>
        <v>GAR-03</v>
      </c>
      <c r="C3928" s="29" t="s">
        <v>10959</v>
      </c>
      <c r="D3928" s="67" t="s">
        <v>10960</v>
      </c>
      <c r="E3928" s="96" t="s">
        <v>62</v>
      </c>
      <c r="F3928" s="29" t="s">
        <v>61</v>
      </c>
      <c r="G3928" s="29"/>
      <c r="H3928" s="103">
        <f>_xlfn.XLOOKUP(B3928,GM!$Q$5:$Q$756,GM!$J$5:$J$756)</f>
        <v>45506</v>
      </c>
    </row>
    <row r="3929" spans="1:8" hidden="1" x14ac:dyDescent="0.35">
      <c r="A3929" s="29" t="s">
        <v>26</v>
      </c>
      <c r="B3929" s="29" t="str">
        <f t="shared" si="61"/>
        <v>GAR-03</v>
      </c>
      <c r="C3929" s="29" t="s">
        <v>10961</v>
      </c>
      <c r="D3929" s="67" t="s">
        <v>10962</v>
      </c>
      <c r="E3929" s="96" t="s">
        <v>62</v>
      </c>
      <c r="F3929" s="29" t="s">
        <v>61</v>
      </c>
      <c r="G3929" s="29"/>
      <c r="H3929" s="103">
        <f>_xlfn.XLOOKUP(B3929,GM!$Q$5:$Q$756,GM!$J$5:$J$756)</f>
        <v>45506</v>
      </c>
    </row>
    <row r="3930" spans="1:8" hidden="1" x14ac:dyDescent="0.35">
      <c r="A3930" s="29" t="s">
        <v>26</v>
      </c>
      <c r="B3930" s="29" t="str">
        <f t="shared" si="61"/>
        <v>GAR-03</v>
      </c>
      <c r="C3930" s="29" t="s">
        <v>10963</v>
      </c>
      <c r="D3930" s="67" t="s">
        <v>10964</v>
      </c>
      <c r="E3930" s="96" t="s">
        <v>62</v>
      </c>
      <c r="F3930" s="29" t="s">
        <v>61</v>
      </c>
      <c r="G3930" s="29"/>
      <c r="H3930" s="103">
        <f>_xlfn.XLOOKUP(B3930,GM!$Q$5:$Q$756,GM!$J$5:$J$756)</f>
        <v>45506</v>
      </c>
    </row>
    <row r="3931" spans="1:8" hidden="1" x14ac:dyDescent="0.35">
      <c r="A3931" s="29" t="s">
        <v>26</v>
      </c>
      <c r="B3931" s="29" t="str">
        <f t="shared" si="61"/>
        <v>GAR-03</v>
      </c>
      <c r="C3931" s="29" t="s">
        <v>10965</v>
      </c>
      <c r="D3931" s="67" t="s">
        <v>10966</v>
      </c>
      <c r="E3931" s="96" t="s">
        <v>62</v>
      </c>
      <c r="F3931" s="29" t="s">
        <v>61</v>
      </c>
      <c r="G3931" s="29"/>
      <c r="H3931" s="103">
        <f>_xlfn.XLOOKUP(B3931,GM!$Q$5:$Q$756,GM!$J$5:$J$756)</f>
        <v>45506</v>
      </c>
    </row>
    <row r="3932" spans="1:8" hidden="1" x14ac:dyDescent="0.35">
      <c r="A3932" s="29" t="s">
        <v>26</v>
      </c>
      <c r="B3932" s="29" t="str">
        <f t="shared" si="61"/>
        <v>GAR-03</v>
      </c>
      <c r="C3932" s="29" t="s">
        <v>10967</v>
      </c>
      <c r="D3932" s="67" t="s">
        <v>10968</v>
      </c>
      <c r="E3932" s="96" t="s">
        <v>62</v>
      </c>
      <c r="F3932" s="29" t="s">
        <v>61</v>
      </c>
      <c r="G3932" s="29"/>
      <c r="H3932" s="103">
        <f>_xlfn.XLOOKUP(B3932,GM!$Q$5:$Q$756,GM!$J$5:$J$756)</f>
        <v>45506</v>
      </c>
    </row>
    <row r="3933" spans="1:8" hidden="1" x14ac:dyDescent="0.35">
      <c r="A3933" s="29" t="s">
        <v>26</v>
      </c>
      <c r="B3933" s="29" t="str">
        <f t="shared" si="61"/>
        <v>GAR-03</v>
      </c>
      <c r="C3933" s="29" t="s">
        <v>10969</v>
      </c>
      <c r="D3933" s="67" t="s">
        <v>10970</v>
      </c>
      <c r="E3933" s="96" t="s">
        <v>62</v>
      </c>
      <c r="F3933" s="29" t="s">
        <v>61</v>
      </c>
      <c r="G3933" s="29"/>
      <c r="H3933" s="103">
        <f>_xlfn.XLOOKUP(B3933,GM!$Q$5:$Q$756,GM!$J$5:$J$756)</f>
        <v>45506</v>
      </c>
    </row>
    <row r="3934" spans="1:8" hidden="1" x14ac:dyDescent="0.35">
      <c r="A3934" s="29" t="s">
        <v>26</v>
      </c>
      <c r="B3934" s="29" t="str">
        <f t="shared" si="61"/>
        <v>GAR-03</v>
      </c>
      <c r="C3934" s="29" t="s">
        <v>10545</v>
      </c>
      <c r="D3934" s="67" t="s">
        <v>10971</v>
      </c>
      <c r="E3934" s="96" t="s">
        <v>62</v>
      </c>
      <c r="F3934" s="29" t="s">
        <v>61</v>
      </c>
      <c r="G3934" s="29"/>
      <c r="H3934" s="103">
        <f>_xlfn.XLOOKUP(B3934,GM!$Q$5:$Q$756,GM!$J$5:$J$756)</f>
        <v>45506</v>
      </c>
    </row>
    <row r="3935" spans="1:8" hidden="1" x14ac:dyDescent="0.35">
      <c r="A3935" s="29" t="s">
        <v>26</v>
      </c>
      <c r="B3935" s="29" t="str">
        <f t="shared" si="61"/>
        <v>GAR-03</v>
      </c>
      <c r="C3935" s="29" t="s">
        <v>10972</v>
      </c>
      <c r="D3935" s="67" t="s">
        <v>10973</v>
      </c>
      <c r="E3935" s="96" t="s">
        <v>62</v>
      </c>
      <c r="F3935" s="29" t="s">
        <v>61</v>
      </c>
      <c r="G3935" s="29"/>
      <c r="H3935" s="103">
        <f>_xlfn.XLOOKUP(B3935,GM!$Q$5:$Q$756,GM!$J$5:$J$756)</f>
        <v>45506</v>
      </c>
    </row>
    <row r="3936" spans="1:8" hidden="1" x14ac:dyDescent="0.35">
      <c r="A3936" s="29" t="s">
        <v>26</v>
      </c>
      <c r="B3936" s="29" t="str">
        <f t="shared" si="61"/>
        <v>GAR-03</v>
      </c>
      <c r="C3936" s="29" t="s">
        <v>10974</v>
      </c>
      <c r="D3936" s="67" t="s">
        <v>10975</v>
      </c>
      <c r="E3936" s="96" t="s">
        <v>62</v>
      </c>
      <c r="F3936" s="29" t="s">
        <v>61</v>
      </c>
      <c r="G3936" s="29"/>
      <c r="H3936" s="103">
        <f>_xlfn.XLOOKUP(B3936,GM!$Q$5:$Q$756,GM!$J$5:$J$756)</f>
        <v>45506</v>
      </c>
    </row>
    <row r="3937" spans="1:8" hidden="1" x14ac:dyDescent="0.35">
      <c r="A3937" s="29" t="s">
        <v>23</v>
      </c>
      <c r="B3937" s="29" t="str">
        <f t="shared" si="61"/>
        <v>ILS-03</v>
      </c>
      <c r="C3937" s="29" t="s">
        <v>10976</v>
      </c>
      <c r="D3937" s="67" t="s">
        <v>10977</v>
      </c>
      <c r="E3937" s="96" t="s">
        <v>62</v>
      </c>
      <c r="F3937" s="29" t="s">
        <v>61</v>
      </c>
      <c r="G3937" s="29"/>
      <c r="H3937" s="103">
        <f>_xlfn.XLOOKUP(B3937,GM!$Q$5:$Q$756,GM!$J$5:$J$756)</f>
        <v>45506</v>
      </c>
    </row>
    <row r="3938" spans="1:8" x14ac:dyDescent="0.35">
      <c r="A3938" s="29" t="s">
        <v>24</v>
      </c>
      <c r="B3938" s="29" t="str">
        <f t="shared" si="61"/>
        <v>JUP-03</v>
      </c>
      <c r="C3938" s="29" t="s">
        <v>10978</v>
      </c>
      <c r="D3938" s="67" t="s">
        <v>10979</v>
      </c>
      <c r="E3938" s="96" t="s">
        <v>62</v>
      </c>
      <c r="F3938" s="29" t="s">
        <v>61</v>
      </c>
      <c r="G3938" s="29"/>
      <c r="H3938" s="103">
        <f>_xlfn.XLOOKUP(B3938,GM!$Q$5:$Q$756,GM!$J$5:$J$756)</f>
        <v>45506</v>
      </c>
    </row>
    <row r="3939" spans="1:8" hidden="1" x14ac:dyDescent="0.35">
      <c r="A3939" s="29" t="s">
        <v>21</v>
      </c>
      <c r="B3939" s="29" t="str">
        <f t="shared" si="61"/>
        <v>PLM-03</v>
      </c>
      <c r="C3939" s="29" t="s">
        <v>10980</v>
      </c>
      <c r="D3939" s="67" t="s">
        <v>10981</v>
      </c>
      <c r="E3939" s="96" t="s">
        <v>62</v>
      </c>
      <c r="F3939" s="29" t="s">
        <v>61</v>
      </c>
      <c r="G3939" s="29"/>
      <c r="H3939" s="103">
        <f>_xlfn.XLOOKUP(B3939,GM!$Q$5:$Q$756,GM!$J$5:$J$756)</f>
        <v>45506</v>
      </c>
    </row>
    <row r="3940" spans="1:8" hidden="1" x14ac:dyDescent="0.35">
      <c r="A3940" s="29" t="s">
        <v>21</v>
      </c>
      <c r="B3940" s="29" t="str">
        <f t="shared" si="61"/>
        <v>PLM-03</v>
      </c>
      <c r="C3940" s="29" t="s">
        <v>10982</v>
      </c>
      <c r="D3940" s="67" t="s">
        <v>10983</v>
      </c>
      <c r="E3940" s="96" t="s">
        <v>62</v>
      </c>
      <c r="F3940" s="29" t="s">
        <v>61</v>
      </c>
      <c r="G3940" s="29"/>
      <c r="H3940" s="103">
        <f>_xlfn.XLOOKUP(B3940,GM!$Q$5:$Q$756,GM!$J$5:$J$756)</f>
        <v>45506</v>
      </c>
    </row>
    <row r="3941" spans="1:8" hidden="1" x14ac:dyDescent="0.35">
      <c r="A3941" s="29" t="s">
        <v>21</v>
      </c>
      <c r="B3941" s="29" t="str">
        <f t="shared" si="61"/>
        <v>PLM-03</v>
      </c>
      <c r="C3941" s="29" t="s">
        <v>10984</v>
      </c>
      <c r="D3941" s="67" t="s">
        <v>10985</v>
      </c>
      <c r="E3941" s="96" t="s">
        <v>62</v>
      </c>
      <c r="F3941" s="29" t="s">
        <v>61</v>
      </c>
      <c r="G3941" s="29"/>
      <c r="H3941" s="103">
        <f>_xlfn.XLOOKUP(B3941,GM!$Q$5:$Q$756,GM!$J$5:$J$756)</f>
        <v>45506</v>
      </c>
    </row>
    <row r="3942" spans="1:8" hidden="1" x14ac:dyDescent="0.35">
      <c r="A3942" s="29" t="s">
        <v>21</v>
      </c>
      <c r="B3942" s="29" t="str">
        <f t="shared" si="61"/>
        <v>PLM-03</v>
      </c>
      <c r="C3942" s="29" t="s">
        <v>10986</v>
      </c>
      <c r="D3942" s="67" t="s">
        <v>10987</v>
      </c>
      <c r="E3942" s="96" t="s">
        <v>62</v>
      </c>
      <c r="F3942" s="29" t="s">
        <v>61</v>
      </c>
      <c r="G3942" s="29"/>
      <c r="H3942" s="103">
        <f>_xlfn.XLOOKUP(B3942,GM!$Q$5:$Q$756,GM!$J$5:$J$756)</f>
        <v>45506</v>
      </c>
    </row>
    <row r="3943" spans="1:8" hidden="1" x14ac:dyDescent="0.35">
      <c r="A3943" s="29" t="s">
        <v>21</v>
      </c>
      <c r="B3943" s="29" t="str">
        <f t="shared" si="61"/>
        <v>PLM-03</v>
      </c>
      <c r="C3943" s="29" t="s">
        <v>10988</v>
      </c>
      <c r="D3943" s="67" t="s">
        <v>10989</v>
      </c>
      <c r="E3943" s="96" t="s">
        <v>62</v>
      </c>
      <c r="F3943" s="29" t="s">
        <v>61</v>
      </c>
      <c r="G3943" s="29"/>
      <c r="H3943" s="103">
        <f>_xlfn.XLOOKUP(B3943,GM!$Q$5:$Q$756,GM!$J$5:$J$756)</f>
        <v>45506</v>
      </c>
    </row>
    <row r="3944" spans="1:8" hidden="1" x14ac:dyDescent="0.35">
      <c r="A3944" s="29" t="s">
        <v>21</v>
      </c>
      <c r="B3944" s="29" t="str">
        <f t="shared" si="61"/>
        <v>PLM-03</v>
      </c>
      <c r="C3944" s="29" t="s">
        <v>10990</v>
      </c>
      <c r="D3944" s="67" t="s">
        <v>10991</v>
      </c>
      <c r="E3944" s="96" t="s">
        <v>62</v>
      </c>
      <c r="F3944" s="29" t="s">
        <v>61</v>
      </c>
      <c r="G3944" s="29"/>
      <c r="H3944" s="103">
        <f>_xlfn.XLOOKUP(B3944,GM!$Q$5:$Q$756,GM!$J$5:$J$756)</f>
        <v>45506</v>
      </c>
    </row>
    <row r="3945" spans="1:8" hidden="1" x14ac:dyDescent="0.35">
      <c r="A3945" s="29" t="s">
        <v>21</v>
      </c>
      <c r="B3945" s="29" t="str">
        <f t="shared" si="61"/>
        <v>PLM-03</v>
      </c>
      <c r="C3945" s="29" t="s">
        <v>10992</v>
      </c>
      <c r="D3945" s="67" t="s">
        <v>10993</v>
      </c>
      <c r="E3945" s="96" t="s">
        <v>62</v>
      </c>
      <c r="F3945" s="29" t="s">
        <v>61</v>
      </c>
      <c r="G3945" s="29"/>
      <c r="H3945" s="103">
        <f>_xlfn.XLOOKUP(B3945,GM!$Q$5:$Q$756,GM!$J$5:$J$756)</f>
        <v>45506</v>
      </c>
    </row>
    <row r="3946" spans="1:8" hidden="1" x14ac:dyDescent="0.35">
      <c r="A3946" s="29" t="s">
        <v>21</v>
      </c>
      <c r="B3946" s="29" t="str">
        <f t="shared" si="61"/>
        <v>PLM-03</v>
      </c>
      <c r="C3946" s="29" t="s">
        <v>10994</v>
      </c>
      <c r="D3946" s="67" t="s">
        <v>10995</v>
      </c>
      <c r="E3946" s="96" t="s">
        <v>62</v>
      </c>
      <c r="F3946" s="29" t="s">
        <v>61</v>
      </c>
      <c r="G3946" s="29"/>
      <c r="H3946" s="103">
        <f>_xlfn.XLOOKUP(B3946,GM!$Q$5:$Q$756,GM!$J$5:$J$756)</f>
        <v>45506</v>
      </c>
    </row>
    <row r="3947" spans="1:8" hidden="1" x14ac:dyDescent="0.35">
      <c r="A3947" s="29" t="s">
        <v>21</v>
      </c>
      <c r="B3947" s="29" t="str">
        <f t="shared" si="61"/>
        <v>PLM-03</v>
      </c>
      <c r="C3947" s="29" t="s">
        <v>10996</v>
      </c>
      <c r="D3947" s="67" t="s">
        <v>10997</v>
      </c>
      <c r="E3947" s="96" t="s">
        <v>62</v>
      </c>
      <c r="F3947" s="29" t="s">
        <v>61</v>
      </c>
      <c r="G3947" s="29"/>
      <c r="H3947" s="103">
        <f>_xlfn.XLOOKUP(B3947,GM!$Q$5:$Q$756,GM!$J$5:$J$756)</f>
        <v>45506</v>
      </c>
    </row>
    <row r="3948" spans="1:8" hidden="1" x14ac:dyDescent="0.35">
      <c r="A3948" s="29" t="s">
        <v>21</v>
      </c>
      <c r="B3948" s="29" t="str">
        <f t="shared" si="61"/>
        <v>PLM-03</v>
      </c>
      <c r="C3948" s="29" t="s">
        <v>10998</v>
      </c>
      <c r="D3948" s="67" t="s">
        <v>10999</v>
      </c>
      <c r="E3948" s="96" t="s">
        <v>62</v>
      </c>
      <c r="F3948" s="29" t="s">
        <v>61</v>
      </c>
      <c r="G3948" s="29"/>
      <c r="H3948" s="103">
        <f>_xlfn.XLOOKUP(B3948,GM!$Q$5:$Q$756,GM!$J$5:$J$756)</f>
        <v>45506</v>
      </c>
    </row>
    <row r="3949" spans="1:8" hidden="1" x14ac:dyDescent="0.35">
      <c r="A3949" s="29" t="s">
        <v>21</v>
      </c>
      <c r="B3949" s="29" t="str">
        <f t="shared" si="61"/>
        <v>PLM-03</v>
      </c>
      <c r="C3949" s="29" t="s">
        <v>11000</v>
      </c>
      <c r="D3949" s="67" t="s">
        <v>11001</v>
      </c>
      <c r="E3949" s="96" t="s">
        <v>62</v>
      </c>
      <c r="F3949" s="29" t="s">
        <v>61</v>
      </c>
      <c r="G3949" s="29"/>
      <c r="H3949" s="103">
        <f>_xlfn.XLOOKUP(B3949,GM!$Q$5:$Q$756,GM!$J$5:$J$756)</f>
        <v>45506</v>
      </c>
    </row>
    <row r="3950" spans="1:8" hidden="1" x14ac:dyDescent="0.35">
      <c r="A3950" s="29" t="s">
        <v>21</v>
      </c>
      <c r="B3950" s="29" t="str">
        <f t="shared" si="61"/>
        <v>PLM-03</v>
      </c>
      <c r="C3950" s="29" t="s">
        <v>11002</v>
      </c>
      <c r="D3950" s="67" t="s">
        <v>11003</v>
      </c>
      <c r="E3950" s="96" t="s">
        <v>62</v>
      </c>
      <c r="F3950" s="29" t="s">
        <v>61</v>
      </c>
      <c r="G3950" s="29"/>
      <c r="H3950" s="103">
        <f>_xlfn.XLOOKUP(B3950,GM!$Q$5:$Q$756,GM!$J$5:$J$756)</f>
        <v>45506</v>
      </c>
    </row>
    <row r="3951" spans="1:8" hidden="1" x14ac:dyDescent="0.35">
      <c r="A3951" s="29" t="s">
        <v>21</v>
      </c>
      <c r="B3951" s="29" t="str">
        <f t="shared" si="61"/>
        <v>PLM-03</v>
      </c>
      <c r="C3951" s="29" t="s">
        <v>11004</v>
      </c>
      <c r="D3951" s="67" t="s">
        <v>11005</v>
      </c>
      <c r="E3951" s="96" t="s">
        <v>62</v>
      </c>
      <c r="F3951" s="29" t="s">
        <v>61</v>
      </c>
      <c r="G3951" s="29"/>
      <c r="H3951" s="103">
        <f>_xlfn.XLOOKUP(B3951,GM!$Q$5:$Q$756,GM!$J$5:$J$756)</f>
        <v>45506</v>
      </c>
    </row>
    <row r="3952" spans="1:8" hidden="1" x14ac:dyDescent="0.35">
      <c r="A3952" s="29" t="s">
        <v>21</v>
      </c>
      <c r="B3952" s="29" t="str">
        <f t="shared" si="61"/>
        <v>PLM-03</v>
      </c>
      <c r="C3952" s="29" t="s">
        <v>11006</v>
      </c>
      <c r="D3952" s="67" t="s">
        <v>11007</v>
      </c>
      <c r="E3952" s="96" t="s">
        <v>62</v>
      </c>
      <c r="F3952" s="29" t="s">
        <v>61</v>
      </c>
      <c r="G3952" s="29"/>
      <c r="H3952" s="103">
        <f>_xlfn.XLOOKUP(B3952,GM!$Q$5:$Q$756,GM!$J$5:$J$756)</f>
        <v>45506</v>
      </c>
    </row>
    <row r="3953" spans="1:8" hidden="1" x14ac:dyDescent="0.35">
      <c r="A3953" s="29" t="s">
        <v>21</v>
      </c>
      <c r="B3953" s="29" t="str">
        <f t="shared" si="61"/>
        <v>PLM-03</v>
      </c>
      <c r="C3953" s="29" t="s">
        <v>11008</v>
      </c>
      <c r="D3953" s="67" t="s">
        <v>11009</v>
      </c>
      <c r="E3953" s="96" t="s">
        <v>62</v>
      </c>
      <c r="F3953" s="29" t="s">
        <v>61</v>
      </c>
      <c r="G3953" s="29"/>
      <c r="H3953" s="103">
        <f>_xlfn.XLOOKUP(B3953,GM!$Q$5:$Q$756,GM!$J$5:$J$756)</f>
        <v>45506</v>
      </c>
    </row>
    <row r="3954" spans="1:8" hidden="1" x14ac:dyDescent="0.35">
      <c r="A3954" s="29" t="s">
        <v>22</v>
      </c>
      <c r="B3954" s="29" t="str">
        <f t="shared" si="61"/>
        <v>RET-03</v>
      </c>
      <c r="C3954" s="29" t="s">
        <v>11010</v>
      </c>
      <c r="D3954" s="67" t="s">
        <v>11011</v>
      </c>
      <c r="E3954" s="96" t="s">
        <v>62</v>
      </c>
      <c r="F3954" s="29" t="s">
        <v>61</v>
      </c>
      <c r="G3954" s="29"/>
      <c r="H3954" s="103">
        <f>_xlfn.XLOOKUP(B3954,GM!$Q$5:$Q$756,GM!$J$5:$J$756)</f>
        <v>45506</v>
      </c>
    </row>
    <row r="3955" spans="1:8" hidden="1" x14ac:dyDescent="0.35">
      <c r="A3955" s="29" t="s">
        <v>22</v>
      </c>
      <c r="B3955" s="29" t="str">
        <f t="shared" si="61"/>
        <v>RET-03</v>
      </c>
      <c r="C3955" s="29" t="s">
        <v>11012</v>
      </c>
      <c r="D3955" s="67" t="s">
        <v>11013</v>
      </c>
      <c r="E3955" s="96" t="s">
        <v>62</v>
      </c>
      <c r="F3955" s="29" t="s">
        <v>61</v>
      </c>
      <c r="G3955" s="29"/>
      <c r="H3955" s="103">
        <f>_xlfn.XLOOKUP(B3955,GM!$Q$5:$Q$756,GM!$J$5:$J$756)</f>
        <v>45506</v>
      </c>
    </row>
    <row r="3956" spans="1:8" hidden="1" x14ac:dyDescent="0.35">
      <c r="A3956" s="29" t="s">
        <v>22</v>
      </c>
      <c r="B3956" s="29" t="str">
        <f t="shared" si="61"/>
        <v>RET-03</v>
      </c>
      <c r="C3956" s="29" t="s">
        <v>11014</v>
      </c>
      <c r="D3956" s="67" t="s">
        <v>11015</v>
      </c>
      <c r="E3956" s="96" t="s">
        <v>62</v>
      </c>
      <c r="F3956" s="29" t="s">
        <v>61</v>
      </c>
      <c r="G3956" s="29"/>
      <c r="H3956" s="103">
        <f>_xlfn.XLOOKUP(B3956,GM!$Q$5:$Q$756,GM!$J$5:$J$756)</f>
        <v>45506</v>
      </c>
    </row>
    <row r="3957" spans="1:8" hidden="1" x14ac:dyDescent="0.35">
      <c r="A3957" s="29" t="s">
        <v>22</v>
      </c>
      <c r="B3957" s="29" t="str">
        <f t="shared" si="61"/>
        <v>RET-03</v>
      </c>
      <c r="C3957" s="29" t="s">
        <v>11016</v>
      </c>
      <c r="D3957" s="67" t="s">
        <v>11017</v>
      </c>
      <c r="E3957" s="96" t="s">
        <v>62</v>
      </c>
      <c r="F3957" s="29" t="s">
        <v>61</v>
      </c>
      <c r="G3957" s="29"/>
      <c r="H3957" s="103">
        <f>_xlfn.XLOOKUP(B3957,GM!$Q$5:$Q$756,GM!$J$5:$J$756)</f>
        <v>45506</v>
      </c>
    </row>
    <row r="3958" spans="1:8" hidden="1" x14ac:dyDescent="0.35">
      <c r="A3958" s="29" t="s">
        <v>22</v>
      </c>
      <c r="B3958" s="29" t="str">
        <f t="shared" si="61"/>
        <v>RET-03</v>
      </c>
      <c r="C3958" s="29" t="s">
        <v>11018</v>
      </c>
      <c r="D3958" s="67" t="s">
        <v>11019</v>
      </c>
      <c r="E3958" s="96" t="s">
        <v>62</v>
      </c>
      <c r="F3958" s="29" t="s">
        <v>61</v>
      </c>
      <c r="G3958" s="29"/>
      <c r="H3958" s="103">
        <f>_xlfn.XLOOKUP(B3958,GM!$Q$5:$Q$756,GM!$J$5:$J$756)</f>
        <v>45506</v>
      </c>
    </row>
    <row r="3959" spans="1:8" hidden="1" x14ac:dyDescent="0.35">
      <c r="A3959" s="29" t="s">
        <v>22</v>
      </c>
      <c r="B3959" s="29" t="str">
        <f t="shared" ref="B3959:B4022" si="62">IF(OR(A3959="ARN",A3959="SDP"),MID(C3959,4,7),MID(C3959,4,6))</f>
        <v>RET-03</v>
      </c>
      <c r="C3959" s="29" t="s">
        <v>11020</v>
      </c>
      <c r="D3959" s="67" t="s">
        <v>11021</v>
      </c>
      <c r="E3959" s="96" t="s">
        <v>62</v>
      </c>
      <c r="F3959" s="29" t="s">
        <v>61</v>
      </c>
      <c r="G3959" s="29"/>
      <c r="H3959" s="103">
        <f>_xlfn.XLOOKUP(B3959,GM!$Q$5:$Q$756,GM!$J$5:$J$756)</f>
        <v>45506</v>
      </c>
    </row>
    <row r="3960" spans="1:8" hidden="1" x14ac:dyDescent="0.35">
      <c r="A3960" s="29" t="s">
        <v>22</v>
      </c>
      <c r="B3960" s="29" t="str">
        <f t="shared" si="62"/>
        <v>RET-03</v>
      </c>
      <c r="C3960" s="29" t="s">
        <v>11022</v>
      </c>
      <c r="D3960" s="67" t="s">
        <v>11023</v>
      </c>
      <c r="E3960" s="96" t="s">
        <v>62</v>
      </c>
      <c r="F3960" s="29" t="s">
        <v>61</v>
      </c>
      <c r="G3960" s="29"/>
      <c r="H3960" s="103">
        <f>_xlfn.XLOOKUP(B3960,GM!$Q$5:$Q$756,GM!$J$5:$J$756)</f>
        <v>45506</v>
      </c>
    </row>
    <row r="3961" spans="1:8" hidden="1" x14ac:dyDescent="0.35">
      <c r="A3961" s="29" t="s">
        <v>22</v>
      </c>
      <c r="B3961" s="29" t="str">
        <f t="shared" si="62"/>
        <v>RET-03</v>
      </c>
      <c r="C3961" s="29" t="s">
        <v>11024</v>
      </c>
      <c r="D3961" s="67" t="s">
        <v>11025</v>
      </c>
      <c r="E3961" s="96" t="s">
        <v>62</v>
      </c>
      <c r="F3961" s="29" t="s">
        <v>61</v>
      </c>
      <c r="G3961" s="29"/>
      <c r="H3961" s="103">
        <f>_xlfn.XLOOKUP(B3961,GM!$Q$5:$Q$756,GM!$J$5:$J$756)</f>
        <v>45506</v>
      </c>
    </row>
    <row r="3962" spans="1:8" hidden="1" x14ac:dyDescent="0.35">
      <c r="A3962" s="29" t="s">
        <v>22</v>
      </c>
      <c r="B3962" s="29" t="str">
        <f t="shared" si="62"/>
        <v>RET-03</v>
      </c>
      <c r="C3962" s="29" t="s">
        <v>11026</v>
      </c>
      <c r="D3962" s="67" t="s">
        <v>11027</v>
      </c>
      <c r="E3962" s="96" t="s">
        <v>62</v>
      </c>
      <c r="F3962" s="29" t="s">
        <v>61</v>
      </c>
      <c r="G3962" s="29"/>
      <c r="H3962" s="103">
        <f>_xlfn.XLOOKUP(B3962,GM!$Q$5:$Q$756,GM!$J$5:$J$756)</f>
        <v>45506</v>
      </c>
    </row>
    <row r="3963" spans="1:8" hidden="1" x14ac:dyDescent="0.35">
      <c r="A3963" s="29" t="s">
        <v>22</v>
      </c>
      <c r="B3963" s="29" t="str">
        <f t="shared" si="62"/>
        <v>RET-03</v>
      </c>
      <c r="C3963" s="29" t="s">
        <v>11028</v>
      </c>
      <c r="D3963" s="67" t="s">
        <v>11029</v>
      </c>
      <c r="E3963" s="96" t="s">
        <v>62</v>
      </c>
      <c r="F3963" s="29" t="s">
        <v>61</v>
      </c>
      <c r="G3963" s="29"/>
      <c r="H3963" s="103">
        <f>_xlfn.XLOOKUP(B3963,GM!$Q$5:$Q$756,GM!$J$5:$J$756)</f>
        <v>45506</v>
      </c>
    </row>
    <row r="3964" spans="1:8" hidden="1" x14ac:dyDescent="0.35">
      <c r="A3964" s="29" t="s">
        <v>22</v>
      </c>
      <c r="B3964" s="29" t="str">
        <f t="shared" si="62"/>
        <v>RET-03</v>
      </c>
      <c r="C3964" s="29" t="s">
        <v>11030</v>
      </c>
      <c r="D3964" s="67" t="s">
        <v>11031</v>
      </c>
      <c r="E3964" s="96" t="s">
        <v>62</v>
      </c>
      <c r="F3964" s="29" t="s">
        <v>61</v>
      </c>
      <c r="G3964" s="29"/>
      <c r="H3964" s="103">
        <f>_xlfn.XLOOKUP(B3964,GM!$Q$5:$Q$756,GM!$J$5:$J$756)</f>
        <v>45506</v>
      </c>
    </row>
    <row r="3965" spans="1:8" hidden="1" x14ac:dyDescent="0.35">
      <c r="A3965" s="29" t="s">
        <v>22</v>
      </c>
      <c r="B3965" s="29" t="str">
        <f t="shared" si="62"/>
        <v>RET-03</v>
      </c>
      <c r="C3965" s="29" t="s">
        <v>11032</v>
      </c>
      <c r="D3965" s="67" t="s">
        <v>11033</v>
      </c>
      <c r="E3965" s="96" t="s">
        <v>62</v>
      </c>
      <c r="F3965" s="29" t="s">
        <v>61</v>
      </c>
      <c r="G3965" s="29"/>
      <c r="H3965" s="103">
        <f>_xlfn.XLOOKUP(B3965,GM!$Q$5:$Q$756,GM!$J$5:$J$756)</f>
        <v>45506</v>
      </c>
    </row>
    <row r="3966" spans="1:8" hidden="1" x14ac:dyDescent="0.35">
      <c r="A3966" s="29" t="s">
        <v>22</v>
      </c>
      <c r="B3966" s="29" t="str">
        <f t="shared" si="62"/>
        <v>RET-03</v>
      </c>
      <c r="C3966" s="29" t="s">
        <v>11034</v>
      </c>
      <c r="D3966" s="67" t="s">
        <v>11035</v>
      </c>
      <c r="E3966" s="96" t="s">
        <v>62</v>
      </c>
      <c r="F3966" s="29" t="s">
        <v>61</v>
      </c>
      <c r="G3966" s="29"/>
      <c r="H3966" s="103">
        <f>_xlfn.XLOOKUP(B3966,GM!$Q$5:$Q$756,GM!$J$5:$J$756)</f>
        <v>45506</v>
      </c>
    </row>
    <row r="3967" spans="1:8" hidden="1" x14ac:dyDescent="0.35">
      <c r="A3967" s="29" t="s">
        <v>22</v>
      </c>
      <c r="B3967" s="29" t="str">
        <f t="shared" si="62"/>
        <v>RET-03</v>
      </c>
      <c r="C3967" s="29" t="s">
        <v>11036</v>
      </c>
      <c r="D3967" s="67" t="s">
        <v>11037</v>
      </c>
      <c r="E3967" s="96" t="s">
        <v>62</v>
      </c>
      <c r="F3967" s="29" t="s">
        <v>61</v>
      </c>
      <c r="G3967" s="29"/>
      <c r="H3967" s="103">
        <f>_xlfn.XLOOKUP(B3967,GM!$Q$5:$Q$756,GM!$J$5:$J$756)</f>
        <v>45506</v>
      </c>
    </row>
    <row r="3968" spans="1:8" hidden="1" x14ac:dyDescent="0.35">
      <c r="A3968" s="29" t="s">
        <v>22</v>
      </c>
      <c r="B3968" s="29" t="str">
        <f t="shared" si="62"/>
        <v>RET-03</v>
      </c>
      <c r="C3968" s="29" t="s">
        <v>11038</v>
      </c>
      <c r="D3968" s="67" t="s">
        <v>11039</v>
      </c>
      <c r="E3968" s="96" t="s">
        <v>62</v>
      </c>
      <c r="F3968" s="29" t="s">
        <v>61</v>
      </c>
      <c r="G3968" s="29"/>
      <c r="H3968" s="103">
        <f>_xlfn.XLOOKUP(B3968,GM!$Q$5:$Q$756,GM!$J$5:$J$756)</f>
        <v>45506</v>
      </c>
    </row>
    <row r="3969" spans="1:8" hidden="1" x14ac:dyDescent="0.35">
      <c r="A3969" s="29" t="s">
        <v>15</v>
      </c>
      <c r="B3969" s="29" t="str">
        <f t="shared" si="62"/>
        <v>SAG-03</v>
      </c>
      <c r="C3969" s="29" t="s">
        <v>11040</v>
      </c>
      <c r="D3969" s="67" t="s">
        <v>11041</v>
      </c>
      <c r="E3969" s="96" t="s">
        <v>62</v>
      </c>
      <c r="F3969" s="29" t="s">
        <v>61</v>
      </c>
      <c r="G3969" s="29"/>
      <c r="H3969" s="103">
        <f>_xlfn.XLOOKUP(B3969,GM!$Q$5:$Q$756,GM!$J$5:$J$756)</f>
        <v>45506</v>
      </c>
    </row>
    <row r="3970" spans="1:8" hidden="1" x14ac:dyDescent="0.35">
      <c r="A3970" s="29" t="s">
        <v>25</v>
      </c>
      <c r="B3970" s="29" t="str">
        <f t="shared" si="62"/>
        <v>STO-03</v>
      </c>
      <c r="C3970" s="29" t="s">
        <v>11042</v>
      </c>
      <c r="D3970" s="67" t="s">
        <v>11043</v>
      </c>
      <c r="E3970" s="96" t="s">
        <v>62</v>
      </c>
      <c r="F3970" s="29" t="s">
        <v>61</v>
      </c>
      <c r="G3970" s="29"/>
      <c r="H3970" s="103">
        <f>_xlfn.XLOOKUP(B3970,GM!$Q$5:$Q$756,GM!$J$5:$J$756)</f>
        <v>45506</v>
      </c>
    </row>
    <row r="3971" spans="1:8" hidden="1" x14ac:dyDescent="0.35">
      <c r="A3971" s="29" t="s">
        <v>25</v>
      </c>
      <c r="B3971" s="29" t="str">
        <f t="shared" si="62"/>
        <v>STO-03</v>
      </c>
      <c r="C3971" s="29" t="s">
        <v>11044</v>
      </c>
      <c r="D3971" s="67" t="s">
        <v>11045</v>
      </c>
      <c r="E3971" s="96" t="s">
        <v>62</v>
      </c>
      <c r="F3971" s="29" t="s">
        <v>61</v>
      </c>
      <c r="G3971" s="29"/>
      <c r="H3971" s="103">
        <f>_xlfn.XLOOKUP(B3971,GM!$Q$5:$Q$756,GM!$J$5:$J$756)</f>
        <v>45506</v>
      </c>
    </row>
    <row r="3972" spans="1:8" hidden="1" x14ac:dyDescent="0.35">
      <c r="A3972" s="29" t="s">
        <v>25</v>
      </c>
      <c r="B3972" s="29" t="str">
        <f t="shared" si="62"/>
        <v>STO-03</v>
      </c>
      <c r="C3972" s="29" t="s">
        <v>11046</v>
      </c>
      <c r="D3972" s="67" t="s">
        <v>11047</v>
      </c>
      <c r="E3972" s="96" t="s">
        <v>62</v>
      </c>
      <c r="F3972" s="29" t="s">
        <v>61</v>
      </c>
      <c r="G3972" s="29"/>
      <c r="H3972" s="103">
        <f>_xlfn.XLOOKUP(B3972,GM!$Q$5:$Q$756,GM!$J$5:$J$756)</f>
        <v>45506</v>
      </c>
    </row>
    <row r="3973" spans="1:8" hidden="1" x14ac:dyDescent="0.35">
      <c r="A3973" s="29" t="s">
        <v>25</v>
      </c>
      <c r="B3973" s="29" t="str">
        <f t="shared" si="62"/>
        <v>STO-03</v>
      </c>
      <c r="C3973" s="29" t="s">
        <v>11048</v>
      </c>
      <c r="D3973" s="67" t="s">
        <v>11049</v>
      </c>
      <c r="E3973" s="96" t="s">
        <v>62</v>
      </c>
      <c r="F3973" s="29" t="s">
        <v>61</v>
      </c>
      <c r="G3973" s="29"/>
      <c r="H3973" s="103">
        <f>_xlfn.XLOOKUP(B3973,GM!$Q$5:$Q$756,GM!$J$5:$J$756)</f>
        <v>45506</v>
      </c>
    </row>
    <row r="3974" spans="1:8" hidden="1" x14ac:dyDescent="0.35">
      <c r="A3974" s="29" t="s">
        <v>25</v>
      </c>
      <c r="B3974" s="29" t="str">
        <f t="shared" si="62"/>
        <v>STO-03</v>
      </c>
      <c r="C3974" s="29" t="s">
        <v>11050</v>
      </c>
      <c r="D3974" s="67" t="s">
        <v>11051</v>
      </c>
      <c r="E3974" s="96" t="s">
        <v>62</v>
      </c>
      <c r="F3974" s="29" t="s">
        <v>61</v>
      </c>
      <c r="G3974" s="29"/>
      <c r="H3974" s="103">
        <f>_xlfn.XLOOKUP(B3974,GM!$Q$5:$Q$756,GM!$J$5:$J$756)</f>
        <v>45506</v>
      </c>
    </row>
    <row r="3975" spans="1:8" hidden="1" x14ac:dyDescent="0.35">
      <c r="A3975" s="29" t="s">
        <v>25</v>
      </c>
      <c r="B3975" s="29" t="str">
        <f t="shared" si="62"/>
        <v>STO-03</v>
      </c>
      <c r="C3975" s="29" t="s">
        <v>11052</v>
      </c>
      <c r="D3975" s="67" t="s">
        <v>11053</v>
      </c>
      <c r="E3975" s="96" t="s">
        <v>62</v>
      </c>
      <c r="F3975" s="29" t="s">
        <v>61</v>
      </c>
      <c r="G3975" s="29"/>
      <c r="H3975" s="103">
        <f>_xlfn.XLOOKUP(B3975,GM!$Q$5:$Q$756,GM!$J$5:$J$756)</f>
        <v>45506</v>
      </c>
    </row>
    <row r="3976" spans="1:8" hidden="1" x14ac:dyDescent="0.35">
      <c r="A3976" s="29" t="s">
        <v>25</v>
      </c>
      <c r="B3976" s="29" t="str">
        <f t="shared" si="62"/>
        <v>STO-03</v>
      </c>
      <c r="C3976" s="29" t="s">
        <v>11054</v>
      </c>
      <c r="D3976" s="67" t="s">
        <v>11055</v>
      </c>
      <c r="E3976" s="96" t="s">
        <v>62</v>
      </c>
      <c r="F3976" s="29" t="s">
        <v>61</v>
      </c>
      <c r="G3976" s="29"/>
      <c r="H3976" s="103">
        <f>_xlfn.XLOOKUP(B3976,GM!$Q$5:$Q$756,GM!$J$5:$J$756)</f>
        <v>45506</v>
      </c>
    </row>
    <row r="3977" spans="1:8" hidden="1" x14ac:dyDescent="0.35">
      <c r="A3977" s="29" t="s">
        <v>25</v>
      </c>
      <c r="B3977" s="29" t="str">
        <f t="shared" si="62"/>
        <v>STO-03</v>
      </c>
      <c r="C3977" s="29" t="s">
        <v>11056</v>
      </c>
      <c r="D3977" s="67" t="s">
        <v>11057</v>
      </c>
      <c r="E3977" s="96" t="s">
        <v>62</v>
      </c>
      <c r="F3977" s="29" t="s">
        <v>61</v>
      </c>
      <c r="G3977" s="29"/>
      <c r="H3977" s="103">
        <f>_xlfn.XLOOKUP(B3977,GM!$Q$5:$Q$756,GM!$J$5:$J$756)</f>
        <v>45506</v>
      </c>
    </row>
    <row r="3978" spans="1:8" hidden="1" x14ac:dyDescent="0.35">
      <c r="A3978" s="29" t="s">
        <v>25</v>
      </c>
      <c r="B3978" s="29" t="str">
        <f t="shared" si="62"/>
        <v>STO-03</v>
      </c>
      <c r="C3978" s="29" t="s">
        <v>11058</v>
      </c>
      <c r="D3978" s="67" t="s">
        <v>11059</v>
      </c>
      <c r="E3978" s="96" t="s">
        <v>62</v>
      </c>
      <c r="F3978" s="29" t="s">
        <v>61</v>
      </c>
      <c r="G3978" s="29"/>
      <c r="H3978" s="103">
        <f>_xlfn.XLOOKUP(B3978,GM!$Q$5:$Q$756,GM!$J$5:$J$756)</f>
        <v>45506</v>
      </c>
    </row>
    <row r="3979" spans="1:8" hidden="1" x14ac:dyDescent="0.35">
      <c r="A3979" s="29" t="s">
        <v>25</v>
      </c>
      <c r="B3979" s="29" t="str">
        <f t="shared" si="62"/>
        <v>STO-03</v>
      </c>
      <c r="C3979" s="29" t="s">
        <v>11060</v>
      </c>
      <c r="D3979" s="67" t="s">
        <v>11061</v>
      </c>
      <c r="E3979" s="96" t="s">
        <v>62</v>
      </c>
      <c r="F3979" s="29" t="s">
        <v>61</v>
      </c>
      <c r="G3979" s="29"/>
      <c r="H3979" s="103">
        <f>_xlfn.XLOOKUP(B3979,GM!$Q$5:$Q$756,GM!$J$5:$J$756)</f>
        <v>45506</v>
      </c>
    </row>
    <row r="3980" spans="1:8" hidden="1" x14ac:dyDescent="0.35">
      <c r="A3980" s="29" t="s">
        <v>25</v>
      </c>
      <c r="B3980" s="29" t="str">
        <f t="shared" si="62"/>
        <v>STO-03</v>
      </c>
      <c r="C3980" s="29" t="s">
        <v>11062</v>
      </c>
      <c r="D3980" s="67" t="s">
        <v>11063</v>
      </c>
      <c r="E3980" s="96" t="s">
        <v>62</v>
      </c>
      <c r="F3980" s="29" t="s">
        <v>61</v>
      </c>
      <c r="G3980" s="29"/>
      <c r="H3980" s="103">
        <f>_xlfn.XLOOKUP(B3980,GM!$Q$5:$Q$756,GM!$J$5:$J$756)</f>
        <v>45506</v>
      </c>
    </row>
    <row r="3981" spans="1:8" hidden="1" x14ac:dyDescent="0.35">
      <c r="A3981" s="29" t="s">
        <v>25</v>
      </c>
      <c r="B3981" s="29" t="str">
        <f t="shared" si="62"/>
        <v>STO-03</v>
      </c>
      <c r="C3981" s="29" t="s">
        <v>11064</v>
      </c>
      <c r="D3981" s="67" t="s">
        <v>11065</v>
      </c>
      <c r="E3981" s="96" t="s">
        <v>62</v>
      </c>
      <c r="F3981" s="29" t="s">
        <v>61</v>
      </c>
      <c r="G3981" s="29"/>
      <c r="H3981" s="103">
        <f>_xlfn.XLOOKUP(B3981,GM!$Q$5:$Q$756,GM!$J$5:$J$756)</f>
        <v>45506</v>
      </c>
    </row>
    <row r="3982" spans="1:8" hidden="1" x14ac:dyDescent="0.35">
      <c r="A3982" s="29" t="s">
        <v>25</v>
      </c>
      <c r="B3982" s="29" t="str">
        <f t="shared" si="62"/>
        <v>STO-03</v>
      </c>
      <c r="C3982" s="29" t="s">
        <v>11066</v>
      </c>
      <c r="D3982" s="67" t="s">
        <v>11067</v>
      </c>
      <c r="E3982" s="96" t="s">
        <v>62</v>
      </c>
      <c r="F3982" s="29" t="s">
        <v>61</v>
      </c>
      <c r="G3982" s="29"/>
      <c r="H3982" s="103">
        <f>_xlfn.XLOOKUP(B3982,GM!$Q$5:$Q$756,GM!$J$5:$J$756)</f>
        <v>45506</v>
      </c>
    </row>
    <row r="3983" spans="1:8" hidden="1" x14ac:dyDescent="0.35">
      <c r="A3983" s="29" t="s">
        <v>25</v>
      </c>
      <c r="B3983" s="29" t="str">
        <f t="shared" si="62"/>
        <v>STO-03</v>
      </c>
      <c r="C3983" s="29" t="s">
        <v>11068</v>
      </c>
      <c r="D3983" s="67" t="s">
        <v>11069</v>
      </c>
      <c r="E3983" s="96" t="s">
        <v>62</v>
      </c>
      <c r="F3983" s="29" t="s">
        <v>61</v>
      </c>
      <c r="G3983" s="29"/>
      <c r="H3983" s="103">
        <f>_xlfn.XLOOKUP(B3983,GM!$Q$5:$Q$756,GM!$J$5:$J$756)</f>
        <v>45506</v>
      </c>
    </row>
    <row r="3984" spans="1:8" hidden="1" x14ac:dyDescent="0.35">
      <c r="A3984" s="29" t="s">
        <v>25</v>
      </c>
      <c r="B3984" s="29" t="str">
        <f t="shared" si="62"/>
        <v>STO-03</v>
      </c>
      <c r="C3984" s="29" t="s">
        <v>11070</v>
      </c>
      <c r="D3984" s="67" t="s">
        <v>11071</v>
      </c>
      <c r="E3984" s="96" t="s">
        <v>62</v>
      </c>
      <c r="F3984" s="29" t="s">
        <v>61</v>
      </c>
      <c r="G3984" s="29"/>
      <c r="H3984" s="103">
        <f>_xlfn.XLOOKUP(B3984,GM!$Q$5:$Q$756,GM!$J$5:$J$756)</f>
        <v>45506</v>
      </c>
    </row>
    <row r="3985" spans="1:8" hidden="1" x14ac:dyDescent="0.35">
      <c r="A3985" s="29" t="s">
        <v>14</v>
      </c>
      <c r="B3985" s="29" t="str">
        <f t="shared" si="62"/>
        <v>CHV-51</v>
      </c>
      <c r="C3985" s="29" t="s">
        <v>3633</v>
      </c>
      <c r="D3985" s="67" t="s">
        <v>11072</v>
      </c>
      <c r="E3985" s="96" t="s">
        <v>62</v>
      </c>
      <c r="F3985" s="29" t="s">
        <v>61</v>
      </c>
      <c r="G3985" s="29"/>
      <c r="H3985" s="103">
        <f>_xlfn.XLOOKUP(B3985,GM!$Q$5:$Q$756,GM!$J$5:$J$756)</f>
        <v>45959</v>
      </c>
    </row>
    <row r="3986" spans="1:8" hidden="1" x14ac:dyDescent="0.35">
      <c r="A3986" s="29" t="s">
        <v>16</v>
      </c>
      <c r="B3986" s="29" t="str">
        <f t="shared" si="62"/>
        <v>CN1-51</v>
      </c>
      <c r="C3986" s="29" t="s">
        <v>4162</v>
      </c>
      <c r="D3986" s="67" t="s">
        <v>11073</v>
      </c>
      <c r="E3986" s="96" t="s">
        <v>62</v>
      </c>
      <c r="F3986" s="29" t="s">
        <v>61</v>
      </c>
      <c r="G3986" s="29"/>
      <c r="H3986" s="103">
        <f>_xlfn.XLOOKUP(B3986,GM!$Q$5:$Q$756,GM!$J$5:$J$756)</f>
        <v>45959</v>
      </c>
    </row>
    <row r="3987" spans="1:8" hidden="1" x14ac:dyDescent="0.35">
      <c r="A3987" s="29" t="s">
        <v>17</v>
      </c>
      <c r="B3987" s="29" t="str">
        <f t="shared" si="62"/>
        <v>CN2-51</v>
      </c>
      <c r="C3987" s="29" t="s">
        <v>4640</v>
      </c>
      <c r="D3987" s="67" t="s">
        <v>11074</v>
      </c>
      <c r="E3987" s="96" t="s">
        <v>62</v>
      </c>
      <c r="F3987" s="29" t="s">
        <v>61</v>
      </c>
      <c r="G3987" s="29"/>
      <c r="H3987" s="103">
        <f>_xlfn.XLOOKUP(B3987,GM!$Q$5:$Q$756,GM!$J$5:$J$756)</f>
        <v>45959</v>
      </c>
    </row>
    <row r="3988" spans="1:8" hidden="1" x14ac:dyDescent="0.35">
      <c r="A3988" s="29" t="s">
        <v>18</v>
      </c>
      <c r="B3988" s="29" t="str">
        <f t="shared" si="62"/>
        <v>CPV-51</v>
      </c>
      <c r="C3988" s="29" t="s">
        <v>4706</v>
      </c>
      <c r="D3988" s="67" t="s">
        <v>11075</v>
      </c>
      <c r="E3988" s="96" t="s">
        <v>62</v>
      </c>
      <c r="F3988" s="29" t="s">
        <v>61</v>
      </c>
      <c r="G3988" s="29"/>
      <c r="H3988" s="103">
        <f>_xlfn.XLOOKUP(B3988,GM!$Q$5:$Q$756,GM!$J$5:$J$756)</f>
        <v>45959</v>
      </c>
    </row>
    <row r="3989" spans="1:8" hidden="1" x14ac:dyDescent="0.35">
      <c r="A3989" s="29" t="s">
        <v>26</v>
      </c>
      <c r="B3989" s="29" t="str">
        <f t="shared" si="62"/>
        <v>GAR-51</v>
      </c>
      <c r="C3989" s="29" t="s">
        <v>5669</v>
      </c>
      <c r="D3989" s="67" t="s">
        <v>11076</v>
      </c>
      <c r="E3989" s="96" t="s">
        <v>62</v>
      </c>
      <c r="F3989" s="29" t="s">
        <v>61</v>
      </c>
      <c r="G3989" s="29"/>
      <c r="H3989" s="103">
        <f>_xlfn.XLOOKUP(B3989,GM!$Q$5:$Q$756,GM!$J$5:$J$756)</f>
        <v>45959</v>
      </c>
    </row>
    <row r="3990" spans="1:8" hidden="1" x14ac:dyDescent="0.35">
      <c r="A3990" s="29" t="s">
        <v>23</v>
      </c>
      <c r="B3990" s="29" t="str">
        <f t="shared" si="62"/>
        <v>ILS-51</v>
      </c>
      <c r="C3990" s="29" t="s">
        <v>6230</v>
      </c>
      <c r="D3990" s="67" t="s">
        <v>11077</v>
      </c>
      <c r="E3990" s="96" t="s">
        <v>62</v>
      </c>
      <c r="F3990" s="29" t="s">
        <v>61</v>
      </c>
      <c r="G3990" s="29"/>
      <c r="H3990" s="103">
        <f>_xlfn.XLOOKUP(B3990,GM!$Q$5:$Q$756,GM!$J$5:$J$756)</f>
        <v>45959</v>
      </c>
    </row>
    <row r="3991" spans="1:8" x14ac:dyDescent="0.35">
      <c r="A3991" s="29" t="s">
        <v>24</v>
      </c>
      <c r="B3991" s="29" t="str">
        <f t="shared" si="62"/>
        <v>JUP-51</v>
      </c>
      <c r="C3991" s="29" t="s">
        <v>6292</v>
      </c>
      <c r="D3991" s="67" t="s">
        <v>11078</v>
      </c>
      <c r="E3991" s="96" t="s">
        <v>62</v>
      </c>
      <c r="F3991" s="29" t="s">
        <v>61</v>
      </c>
      <c r="G3991" s="29"/>
      <c r="H3991" s="103">
        <f>_xlfn.XLOOKUP(B3991,GM!$Q$5:$Q$756,GM!$J$5:$J$756)</f>
        <v>45959</v>
      </c>
    </row>
    <row r="3992" spans="1:8" hidden="1" x14ac:dyDescent="0.35">
      <c r="A3992" s="29" t="s">
        <v>13</v>
      </c>
      <c r="B3992" s="29" t="str">
        <f t="shared" si="62"/>
        <v>JUR-51</v>
      </c>
      <c r="C3992" s="29" t="s">
        <v>7351</v>
      </c>
      <c r="D3992" s="67" t="s">
        <v>11079</v>
      </c>
      <c r="E3992" s="96" t="s">
        <v>62</v>
      </c>
      <c r="F3992" s="29" t="s">
        <v>61</v>
      </c>
      <c r="G3992" s="29"/>
      <c r="H3992" s="103">
        <f>_xlfn.XLOOKUP(B3992,GM!$Q$5:$Q$756,GM!$J$5:$J$756)</f>
        <v>45959</v>
      </c>
    </row>
    <row r="3993" spans="1:8" hidden="1" x14ac:dyDescent="0.35">
      <c r="A3993" s="29" t="s">
        <v>20</v>
      </c>
      <c r="B3993" s="29" t="str">
        <f t="shared" si="62"/>
        <v>ROS-51</v>
      </c>
      <c r="C3993" s="29" t="s">
        <v>11080</v>
      </c>
      <c r="D3993" s="67" t="s">
        <v>11081</v>
      </c>
      <c r="E3993" s="96" t="s">
        <v>62</v>
      </c>
      <c r="F3993" s="29" t="s">
        <v>61</v>
      </c>
      <c r="G3993" s="29"/>
      <c r="H3993" s="103">
        <f>_xlfn.XLOOKUP(B3993,GM!$Q$5:$Q$756,GM!$J$5:$J$756)</f>
        <v>45959</v>
      </c>
    </row>
    <row r="3994" spans="1:8" hidden="1" x14ac:dyDescent="0.35">
      <c r="A3994" s="29" t="s">
        <v>19</v>
      </c>
      <c r="B3994" s="29" t="str">
        <f t="shared" si="62"/>
        <v>TAQ-51</v>
      </c>
      <c r="C3994" s="29" t="s">
        <v>10343</v>
      </c>
      <c r="D3994" s="67" t="s">
        <v>11082</v>
      </c>
      <c r="E3994" s="96" t="s">
        <v>62</v>
      </c>
      <c r="F3994" s="29" t="s">
        <v>61</v>
      </c>
      <c r="G3994" s="29"/>
      <c r="H3994" s="103">
        <f>_xlfn.XLOOKUP(B3994,GM!$Q$5:$Q$756,GM!$J$5:$J$756)</f>
        <v>45959</v>
      </c>
    </row>
    <row r="3995" spans="1:8" hidden="1" x14ac:dyDescent="0.35">
      <c r="A3995" s="29" t="s">
        <v>26</v>
      </c>
      <c r="B3995" s="29" t="str">
        <f t="shared" si="62"/>
        <v>GAR-31</v>
      </c>
      <c r="C3995" s="29" t="s">
        <v>11083</v>
      </c>
      <c r="D3995" s="67" t="s">
        <v>11084</v>
      </c>
      <c r="E3995" s="96" t="s">
        <v>62</v>
      </c>
      <c r="F3995" s="29" t="s">
        <v>371</v>
      </c>
      <c r="G3995" s="29"/>
      <c r="H3995" s="103">
        <f>_xlfn.XLOOKUP(B3995,GM!$Q$5:$Q$756,GM!$J$5:$J$756)</f>
        <v>44838</v>
      </c>
    </row>
    <row r="3996" spans="1:8" hidden="1" x14ac:dyDescent="0.35">
      <c r="A3996" s="29" t="s">
        <v>26</v>
      </c>
      <c r="B3996" s="29" t="str">
        <f t="shared" si="62"/>
        <v>GAR-63</v>
      </c>
      <c r="C3996" s="29" t="s">
        <v>11085</v>
      </c>
      <c r="D3996" s="67" t="s">
        <v>11086</v>
      </c>
      <c r="E3996" s="96" t="s">
        <v>62</v>
      </c>
      <c r="F3996" s="29" t="s">
        <v>371</v>
      </c>
      <c r="G3996" s="29"/>
      <c r="H3996" s="103">
        <f>_xlfn.XLOOKUP(B3996,GM!$Q$5:$Q$756,GM!$J$5:$J$756)</f>
        <v>44838</v>
      </c>
    </row>
    <row r="3997" spans="1:8" hidden="1" x14ac:dyDescent="0.35">
      <c r="A3997" s="29" t="s">
        <v>26</v>
      </c>
      <c r="B3997" s="29" t="str">
        <f t="shared" si="62"/>
        <v>GAR-63</v>
      </c>
      <c r="C3997" s="29" t="s">
        <v>11087</v>
      </c>
      <c r="D3997" s="67" t="s">
        <v>11088</v>
      </c>
      <c r="E3997" s="96" t="s">
        <v>62</v>
      </c>
      <c r="F3997" s="29" t="s">
        <v>371</v>
      </c>
      <c r="G3997" s="29"/>
      <c r="H3997" s="103">
        <f>_xlfn.XLOOKUP(B3997,GM!$Q$5:$Q$756,GM!$J$5:$J$756)</f>
        <v>44838</v>
      </c>
    </row>
    <row r="3998" spans="1:8" hidden="1" x14ac:dyDescent="0.35">
      <c r="A3998" s="29" t="s">
        <v>26</v>
      </c>
      <c r="B3998" s="29" t="str">
        <f t="shared" si="62"/>
        <v>GAR-31</v>
      </c>
      <c r="C3998" s="29" t="s">
        <v>11089</v>
      </c>
      <c r="D3998" s="67" t="s">
        <v>11090</v>
      </c>
      <c r="E3998" s="96" t="s">
        <v>62</v>
      </c>
      <c r="F3998" s="29" t="s">
        <v>371</v>
      </c>
      <c r="G3998" s="29"/>
      <c r="H3998" s="103">
        <f>_xlfn.XLOOKUP(B3998,GM!$Q$5:$Q$756,GM!$J$5:$J$756)</f>
        <v>44838</v>
      </c>
    </row>
    <row r="3999" spans="1:8" hidden="1" x14ac:dyDescent="0.35">
      <c r="A3999" s="29" t="s">
        <v>14</v>
      </c>
      <c r="B3999" s="29" t="str">
        <f t="shared" si="62"/>
        <v>CHV-35</v>
      </c>
      <c r="C3999" s="29" t="s">
        <v>11091</v>
      </c>
      <c r="D3999" s="67" t="s">
        <v>11092</v>
      </c>
      <c r="E3999" s="96" t="s">
        <v>62</v>
      </c>
      <c r="F3999" s="29" t="s">
        <v>371</v>
      </c>
      <c r="G3999" s="29"/>
      <c r="H3999" s="103">
        <f>_xlfn.XLOOKUP(B3999,GM!$Q$5:$Q$756,GM!$J$5:$J$756)</f>
        <v>45274</v>
      </c>
    </row>
    <row r="4000" spans="1:8" hidden="1" x14ac:dyDescent="0.35">
      <c r="A4000" s="29" t="s">
        <v>16</v>
      </c>
      <c r="B4000" s="29" t="str">
        <f t="shared" si="62"/>
        <v>CN1-86</v>
      </c>
      <c r="C4000" s="29" t="s">
        <v>11093</v>
      </c>
      <c r="D4000" s="67" t="s">
        <v>11094</v>
      </c>
      <c r="E4000" s="96" t="s">
        <v>62</v>
      </c>
      <c r="F4000" s="29" t="s">
        <v>371</v>
      </c>
      <c r="G4000" s="29"/>
      <c r="H4000" s="103">
        <f>_xlfn.XLOOKUP(B4000,GM!$Q$5:$Q$756,GM!$J$5:$J$756)</f>
        <v>45274</v>
      </c>
    </row>
    <row r="4001" spans="1:8" hidden="1" x14ac:dyDescent="0.35">
      <c r="A4001" s="29" t="s">
        <v>17</v>
      </c>
      <c r="B4001" s="29" t="str">
        <f t="shared" si="62"/>
        <v>CN2-86</v>
      </c>
      <c r="C4001" s="29" t="s">
        <v>11095</v>
      </c>
      <c r="D4001" s="67" t="s">
        <v>11096</v>
      </c>
      <c r="E4001" s="96" t="s">
        <v>62</v>
      </c>
      <c r="F4001" s="29" t="s">
        <v>371</v>
      </c>
      <c r="G4001" s="29"/>
      <c r="H4001" s="103">
        <f>_xlfn.XLOOKUP(B4001,GM!$Q$5:$Q$756,GM!$J$5:$J$756)</f>
        <v>45274</v>
      </c>
    </row>
    <row r="4002" spans="1:8" hidden="1" x14ac:dyDescent="0.35">
      <c r="A4002" s="29" t="s">
        <v>18</v>
      </c>
      <c r="B4002" s="29" t="str">
        <f t="shared" si="62"/>
        <v>CPV-35</v>
      </c>
      <c r="C4002" s="29" t="s">
        <v>11097</v>
      </c>
      <c r="D4002" s="67" t="s">
        <v>11098</v>
      </c>
      <c r="E4002" s="96" t="s">
        <v>62</v>
      </c>
      <c r="F4002" s="29" t="s">
        <v>371</v>
      </c>
      <c r="G4002" s="29"/>
      <c r="H4002" s="103">
        <f>_xlfn.XLOOKUP(B4002,GM!$Q$5:$Q$756,GM!$J$5:$J$756)</f>
        <v>45274</v>
      </c>
    </row>
    <row r="4003" spans="1:8" hidden="1" x14ac:dyDescent="0.35">
      <c r="A4003" s="29" t="s">
        <v>26</v>
      </c>
      <c r="B4003" s="29" t="str">
        <f t="shared" si="62"/>
        <v>GAR-35</v>
      </c>
      <c r="C4003" s="29" t="s">
        <v>11099</v>
      </c>
      <c r="D4003" s="67" t="s">
        <v>11100</v>
      </c>
      <c r="E4003" s="96" t="s">
        <v>62</v>
      </c>
      <c r="F4003" s="29" t="s">
        <v>371</v>
      </c>
      <c r="G4003" s="29"/>
      <c r="H4003" s="103">
        <f>_xlfn.XLOOKUP(B4003,GM!$Q$5:$Q$756,GM!$J$5:$J$756)</f>
        <v>45274</v>
      </c>
    </row>
    <row r="4004" spans="1:8" hidden="1" x14ac:dyDescent="0.35">
      <c r="A4004" s="29" t="s">
        <v>26</v>
      </c>
      <c r="B4004" s="29" t="str">
        <f t="shared" si="62"/>
        <v>GAR-35</v>
      </c>
      <c r="C4004" s="29" t="s">
        <v>11101</v>
      </c>
      <c r="D4004" s="67" t="s">
        <v>11102</v>
      </c>
      <c r="E4004" s="96" t="s">
        <v>62</v>
      </c>
      <c r="F4004" s="29" t="s">
        <v>371</v>
      </c>
      <c r="G4004" s="29"/>
      <c r="H4004" s="103">
        <f>_xlfn.XLOOKUP(B4004,GM!$Q$5:$Q$756,GM!$J$5:$J$756)</f>
        <v>45274</v>
      </c>
    </row>
    <row r="4005" spans="1:8" hidden="1" x14ac:dyDescent="0.35">
      <c r="A4005" s="29" t="s">
        <v>26</v>
      </c>
      <c r="B4005" s="29" t="str">
        <f t="shared" si="62"/>
        <v>GAR-86</v>
      </c>
      <c r="C4005" s="29" t="s">
        <v>11103</v>
      </c>
      <c r="D4005" s="67" t="s">
        <v>11104</v>
      </c>
      <c r="E4005" s="96" t="s">
        <v>62</v>
      </c>
      <c r="F4005" s="29" t="s">
        <v>371</v>
      </c>
      <c r="G4005" s="29"/>
      <c r="H4005" s="103">
        <f>_xlfn.XLOOKUP(B4005,GM!$Q$5:$Q$756,GM!$J$5:$J$756)</f>
        <v>45274</v>
      </c>
    </row>
    <row r="4006" spans="1:8" hidden="1" x14ac:dyDescent="0.35">
      <c r="A4006" s="29" t="s">
        <v>26</v>
      </c>
      <c r="B4006" s="29" t="str">
        <f t="shared" si="62"/>
        <v>GAR-86</v>
      </c>
      <c r="C4006" s="29" t="s">
        <v>11105</v>
      </c>
      <c r="D4006" s="67" t="s">
        <v>11106</v>
      </c>
      <c r="E4006" s="96" t="s">
        <v>62</v>
      </c>
      <c r="F4006" s="29" t="s">
        <v>371</v>
      </c>
      <c r="G4006" s="29"/>
      <c r="H4006" s="103">
        <f>_xlfn.XLOOKUP(B4006,GM!$Q$5:$Q$756,GM!$J$5:$J$756)</f>
        <v>45274</v>
      </c>
    </row>
    <row r="4007" spans="1:8" hidden="1" x14ac:dyDescent="0.35">
      <c r="A4007" s="29" t="s">
        <v>23</v>
      </c>
      <c r="B4007" s="29" t="str">
        <f t="shared" si="62"/>
        <v>ILS-35</v>
      </c>
      <c r="C4007" s="29" t="s">
        <v>11107</v>
      </c>
      <c r="D4007" s="67" t="s">
        <v>11108</v>
      </c>
      <c r="E4007" s="96" t="s">
        <v>62</v>
      </c>
      <c r="F4007" s="29" t="s">
        <v>61</v>
      </c>
      <c r="G4007" s="29"/>
      <c r="H4007" s="103">
        <f>_xlfn.XLOOKUP(B4007,GM!$Q$5:$Q$756,GM!$J$5:$J$756)</f>
        <v>45274</v>
      </c>
    </row>
    <row r="4008" spans="1:8" x14ac:dyDescent="0.35">
      <c r="A4008" s="29" t="s">
        <v>24</v>
      </c>
      <c r="B4008" s="29" t="str">
        <f t="shared" si="62"/>
        <v>JUP-35</v>
      </c>
      <c r="C4008" s="29" t="s">
        <v>11109</v>
      </c>
      <c r="D4008" s="67" t="s">
        <v>11110</v>
      </c>
      <c r="E4008" s="96" t="s">
        <v>62</v>
      </c>
      <c r="F4008" s="29" t="s">
        <v>61</v>
      </c>
      <c r="G4008" s="29"/>
      <c r="H4008" s="103">
        <f>_xlfn.XLOOKUP(B4008,GM!$Q$5:$Q$756,GM!$J$5:$J$756)</f>
        <v>45274</v>
      </c>
    </row>
    <row r="4009" spans="1:8" x14ac:dyDescent="0.35">
      <c r="A4009" s="29" t="s">
        <v>24</v>
      </c>
      <c r="B4009" s="29" t="str">
        <f t="shared" si="62"/>
        <v>JUP-86</v>
      </c>
      <c r="C4009" s="29" t="s">
        <v>11111</v>
      </c>
      <c r="D4009" s="67" t="s">
        <v>11112</v>
      </c>
      <c r="E4009" s="96" t="s">
        <v>62</v>
      </c>
      <c r="F4009" s="29" t="s">
        <v>61</v>
      </c>
      <c r="G4009" s="29"/>
      <c r="H4009" s="103">
        <f>_xlfn.XLOOKUP(B4009,GM!$Q$5:$Q$756,GM!$J$5:$J$756)</f>
        <v>45274</v>
      </c>
    </row>
    <row r="4010" spans="1:8" hidden="1" x14ac:dyDescent="0.35">
      <c r="A4010" s="29" t="s">
        <v>13</v>
      </c>
      <c r="B4010" s="29" t="str">
        <f t="shared" si="62"/>
        <v>JUR-35</v>
      </c>
      <c r="C4010" s="29" t="s">
        <v>11113</v>
      </c>
      <c r="D4010" s="67" t="s">
        <v>11114</v>
      </c>
      <c r="E4010" s="96" t="s">
        <v>62</v>
      </c>
      <c r="F4010" s="29" t="s">
        <v>371</v>
      </c>
      <c r="G4010" s="29"/>
      <c r="H4010" s="103">
        <f>_xlfn.XLOOKUP(B4010,GM!$Q$5:$Q$756,GM!$J$5:$J$756)</f>
        <v>45274</v>
      </c>
    </row>
    <row r="4011" spans="1:8" hidden="1" x14ac:dyDescent="0.35">
      <c r="A4011" s="29" t="s">
        <v>20</v>
      </c>
      <c r="B4011" s="29" t="str">
        <f t="shared" si="62"/>
        <v>ROS-86</v>
      </c>
      <c r="C4011" s="29" t="s">
        <v>11115</v>
      </c>
      <c r="D4011" s="67" t="s">
        <v>11116</v>
      </c>
      <c r="E4011" s="96" t="s">
        <v>62</v>
      </c>
      <c r="F4011" s="29" t="s">
        <v>61</v>
      </c>
      <c r="G4011" s="29"/>
      <c r="H4011" s="103">
        <f>_xlfn.XLOOKUP(B4011,GM!$Q$5:$Q$756,GM!$J$5:$J$756)</f>
        <v>45274</v>
      </c>
    </row>
    <row r="4012" spans="1:8" hidden="1" x14ac:dyDescent="0.35">
      <c r="A4012" s="29" t="s">
        <v>25</v>
      </c>
      <c r="B4012" s="29" t="str">
        <f t="shared" si="62"/>
        <v>STO-35</v>
      </c>
      <c r="C4012" s="29" t="s">
        <v>11117</v>
      </c>
      <c r="D4012" s="67" t="s">
        <v>11118</v>
      </c>
      <c r="E4012" s="96" t="s">
        <v>62</v>
      </c>
      <c r="F4012" s="29" t="s">
        <v>61</v>
      </c>
      <c r="G4012" s="29"/>
      <c r="H4012" s="103">
        <f>_xlfn.XLOOKUP(B4012,GM!$Q$5:$Q$756,GM!$J$5:$J$756)</f>
        <v>45274</v>
      </c>
    </row>
    <row r="4013" spans="1:8" hidden="1" x14ac:dyDescent="0.35">
      <c r="A4013" s="29" t="s">
        <v>19</v>
      </c>
      <c r="B4013" s="29" t="str">
        <f t="shared" si="62"/>
        <v>TAQ-86</v>
      </c>
      <c r="C4013" s="29" t="s">
        <v>11119</v>
      </c>
      <c r="D4013" s="67" t="s">
        <v>11120</v>
      </c>
      <c r="E4013" s="96" t="s">
        <v>62</v>
      </c>
      <c r="F4013" s="29" t="s">
        <v>371</v>
      </c>
      <c r="G4013" s="29"/>
      <c r="H4013" s="103">
        <f>_xlfn.XLOOKUP(B4013,GM!$Q$5:$Q$756,GM!$J$5:$J$756)</f>
        <v>45274</v>
      </c>
    </row>
    <row r="4014" spans="1:8" hidden="1" x14ac:dyDescent="0.35">
      <c r="A4014" s="29" t="s">
        <v>40</v>
      </c>
      <c r="B4014" s="29" t="str">
        <f t="shared" si="62"/>
        <v>ARN-306</v>
      </c>
      <c r="C4014" s="29" t="str">
        <f>LEFT(D4014,15)</f>
        <v xml:space="preserve">PR-ARN-306-001 </v>
      </c>
      <c r="D4014" s="67" t="s">
        <v>11121</v>
      </c>
      <c r="E4014" s="96" t="s">
        <v>62</v>
      </c>
      <c r="F4014" s="29" t="s">
        <v>371</v>
      </c>
      <c r="G4014" s="29"/>
      <c r="H4014" s="103">
        <f>_xlfn.XLOOKUP(B4014,GM!$Q$5:$Q$756,GM!$J$5:$J$756)</f>
        <v>45462</v>
      </c>
    </row>
    <row r="4015" spans="1:8" hidden="1" x14ac:dyDescent="0.35">
      <c r="A4015" s="29" t="s">
        <v>40</v>
      </c>
      <c r="B4015" s="29" t="str">
        <f t="shared" si="62"/>
        <v>ARN-306</v>
      </c>
      <c r="C4015" s="29" t="str">
        <f t="shared" ref="C4015:C4083" si="63">LEFT(D4015,15)</f>
        <v xml:space="preserve">PR-ARN-306-002 </v>
      </c>
      <c r="D4015" s="67" t="s">
        <v>11122</v>
      </c>
      <c r="E4015" s="96" t="s">
        <v>62</v>
      </c>
      <c r="F4015" s="29" t="s">
        <v>371</v>
      </c>
      <c r="G4015" s="29"/>
      <c r="H4015" s="103">
        <f>_xlfn.XLOOKUP(B4015,GM!$Q$5:$Q$756,GM!$J$5:$J$756)</f>
        <v>45462</v>
      </c>
    </row>
    <row r="4016" spans="1:8" hidden="1" x14ac:dyDescent="0.35">
      <c r="A4016" s="29" t="s">
        <v>40</v>
      </c>
      <c r="B4016" s="29" t="str">
        <f t="shared" ref="B4016" si="64">IF(OR(A4016="ARN",A4016="SDP"),MID(C4016,4,7),MID(C4016,4,6))</f>
        <v>ARN-306</v>
      </c>
      <c r="C4016" s="29" t="str">
        <f t="shared" si="63"/>
        <v xml:space="preserve">PR-ARN-306-003 </v>
      </c>
      <c r="D4016" s="67" t="s">
        <v>11123</v>
      </c>
      <c r="E4016" s="96" t="s">
        <v>62</v>
      </c>
      <c r="F4016" s="29" t="s">
        <v>371</v>
      </c>
      <c r="G4016" s="29"/>
      <c r="H4016" s="103">
        <f>_xlfn.XLOOKUP(B4016,GM!$Q$5:$Q$756,GM!$J$5:$J$756)</f>
        <v>45462</v>
      </c>
    </row>
    <row r="4017" spans="1:8" hidden="1" x14ac:dyDescent="0.35">
      <c r="A4017" s="29" t="s">
        <v>40</v>
      </c>
      <c r="B4017" s="29" t="str">
        <f t="shared" si="62"/>
        <v>ARN-306</v>
      </c>
      <c r="C4017" s="29" t="str">
        <f t="shared" si="63"/>
        <v xml:space="preserve">PR-ARN-306-004 </v>
      </c>
      <c r="D4017" s="67" t="s">
        <v>11124</v>
      </c>
      <c r="E4017" s="96" t="s">
        <v>62</v>
      </c>
      <c r="F4017" s="29" t="s">
        <v>371</v>
      </c>
      <c r="G4017" s="29"/>
      <c r="H4017" s="103">
        <f>_xlfn.XLOOKUP(B4017,GM!$Q$5:$Q$756,GM!$J$5:$J$756)</f>
        <v>45462</v>
      </c>
    </row>
    <row r="4018" spans="1:8" hidden="1" x14ac:dyDescent="0.35">
      <c r="A4018" s="29" t="s">
        <v>40</v>
      </c>
      <c r="B4018" s="29" t="str">
        <f t="shared" si="62"/>
        <v>ARN-306</v>
      </c>
      <c r="C4018" s="29" t="str">
        <f t="shared" si="63"/>
        <v xml:space="preserve">PR-ARN-306-005 </v>
      </c>
      <c r="D4018" s="67" t="s">
        <v>11125</v>
      </c>
      <c r="E4018" s="96" t="s">
        <v>62</v>
      </c>
      <c r="F4018" s="29" t="s">
        <v>371</v>
      </c>
      <c r="G4018" s="29"/>
      <c r="H4018" s="103">
        <f>_xlfn.XLOOKUP(B4018,GM!$Q$5:$Q$756,GM!$J$5:$J$756)</f>
        <v>45462</v>
      </c>
    </row>
    <row r="4019" spans="1:8" hidden="1" x14ac:dyDescent="0.35">
      <c r="A4019" s="29" t="s">
        <v>40</v>
      </c>
      <c r="B4019" s="29" t="str">
        <f t="shared" si="62"/>
        <v>ARN-306</v>
      </c>
      <c r="C4019" s="29" t="str">
        <f t="shared" si="63"/>
        <v xml:space="preserve">PR-ARN-306-006 </v>
      </c>
      <c r="D4019" s="67" t="s">
        <v>11126</v>
      </c>
      <c r="E4019" s="96" t="s">
        <v>62</v>
      </c>
      <c r="F4019" s="29" t="s">
        <v>371</v>
      </c>
      <c r="G4019" s="29"/>
      <c r="H4019" s="103">
        <f>_xlfn.XLOOKUP(B4019,GM!$Q$5:$Q$756,GM!$J$5:$J$756)</f>
        <v>45462</v>
      </c>
    </row>
    <row r="4020" spans="1:8" hidden="1" x14ac:dyDescent="0.35">
      <c r="A4020" s="29" t="s">
        <v>40</v>
      </c>
      <c r="B4020" s="29" t="str">
        <f t="shared" si="62"/>
        <v>ARN-306</v>
      </c>
      <c r="C4020" s="29" t="str">
        <f t="shared" si="63"/>
        <v xml:space="preserve">PR-ARN-306-007 </v>
      </c>
      <c r="D4020" s="67" t="s">
        <v>11127</v>
      </c>
      <c r="E4020" s="96" t="s">
        <v>62</v>
      </c>
      <c r="F4020" s="29" t="s">
        <v>371</v>
      </c>
      <c r="G4020" s="29"/>
      <c r="H4020" s="103">
        <f>_xlfn.XLOOKUP(B4020,GM!$Q$5:$Q$756,GM!$J$5:$J$756)</f>
        <v>45462</v>
      </c>
    </row>
    <row r="4021" spans="1:8" hidden="1" x14ac:dyDescent="0.35">
      <c r="A4021" s="29" t="s">
        <v>40</v>
      </c>
      <c r="B4021" s="29" t="str">
        <f t="shared" si="62"/>
        <v>ARN-306</v>
      </c>
      <c r="C4021" s="29" t="str">
        <f t="shared" si="63"/>
        <v xml:space="preserve">PR-ARN-306-008 </v>
      </c>
      <c r="D4021" s="67" t="s">
        <v>11128</v>
      </c>
      <c r="E4021" s="96" t="s">
        <v>62</v>
      </c>
      <c r="F4021" s="29" t="s">
        <v>371</v>
      </c>
      <c r="G4021" s="29"/>
      <c r="H4021" s="103">
        <f>_xlfn.XLOOKUP(B4021,GM!$Q$5:$Q$756,GM!$J$5:$J$756)</f>
        <v>45462</v>
      </c>
    </row>
    <row r="4022" spans="1:8" hidden="1" x14ac:dyDescent="0.35">
      <c r="A4022" s="29" t="s">
        <v>40</v>
      </c>
      <c r="B4022" s="29" t="str">
        <f t="shared" si="62"/>
        <v>ARN-306</v>
      </c>
      <c r="C4022" s="29" t="str">
        <f t="shared" si="63"/>
        <v xml:space="preserve">PR-ARN-306-009 </v>
      </c>
      <c r="D4022" s="67" t="s">
        <v>11129</v>
      </c>
      <c r="E4022" s="96" t="s">
        <v>62</v>
      </c>
      <c r="F4022" s="29" t="s">
        <v>371</v>
      </c>
      <c r="G4022" s="29"/>
      <c r="H4022" s="103">
        <f>_xlfn.XLOOKUP(B4022,GM!$Q$5:$Q$756,GM!$J$5:$J$756)</f>
        <v>45462</v>
      </c>
    </row>
    <row r="4023" spans="1:8" hidden="1" x14ac:dyDescent="0.35">
      <c r="A4023" s="29" t="s">
        <v>40</v>
      </c>
      <c r="B4023" s="29" t="str">
        <f t="shared" ref="B4023:B4085" si="65">IF(OR(A4023="ARN",A4023="SDP"),MID(C4023,4,7),MID(C4023,4,6))</f>
        <v>ARN-306</v>
      </c>
      <c r="C4023" s="29" t="str">
        <f t="shared" si="63"/>
        <v xml:space="preserve">PR-ARN-306-010 </v>
      </c>
      <c r="D4023" s="67" t="s">
        <v>11130</v>
      </c>
      <c r="E4023" s="96" t="s">
        <v>62</v>
      </c>
      <c r="F4023" s="29" t="s">
        <v>371</v>
      </c>
      <c r="G4023" s="29"/>
      <c r="H4023" s="103">
        <f>_xlfn.XLOOKUP(B4023,GM!$Q$5:$Q$756,GM!$J$5:$J$756)</f>
        <v>45462</v>
      </c>
    </row>
    <row r="4024" spans="1:8" hidden="1" x14ac:dyDescent="0.35">
      <c r="A4024" s="29" t="s">
        <v>40</v>
      </c>
      <c r="B4024" s="29" t="str">
        <f t="shared" si="65"/>
        <v>ARN-306</v>
      </c>
      <c r="C4024" s="29" t="str">
        <f t="shared" si="63"/>
        <v xml:space="preserve">PR-ARN-306-011 </v>
      </c>
      <c r="D4024" s="67" t="s">
        <v>11131</v>
      </c>
      <c r="E4024" s="96" t="s">
        <v>62</v>
      </c>
      <c r="F4024" s="29" t="s">
        <v>371</v>
      </c>
      <c r="G4024" s="29"/>
      <c r="H4024" s="103">
        <f>_xlfn.XLOOKUP(B4024,GM!$Q$5:$Q$756,GM!$J$5:$J$756)</f>
        <v>45462</v>
      </c>
    </row>
    <row r="4025" spans="1:8" hidden="1" x14ac:dyDescent="0.35">
      <c r="A4025" s="29" t="s">
        <v>40</v>
      </c>
      <c r="B4025" s="29" t="str">
        <f t="shared" si="65"/>
        <v>ARN-306</v>
      </c>
      <c r="C4025" s="29" t="str">
        <f t="shared" si="63"/>
        <v>PR-ARN-306-013-</v>
      </c>
      <c r="D4025" s="67" t="s">
        <v>11132</v>
      </c>
      <c r="E4025" s="96" t="s">
        <v>62</v>
      </c>
      <c r="F4025" s="29" t="s">
        <v>371</v>
      </c>
      <c r="G4025" s="29"/>
      <c r="H4025" s="103">
        <f>_xlfn.XLOOKUP(B4025,GM!$Q$5:$Q$756,GM!$J$5:$J$756)</f>
        <v>45462</v>
      </c>
    </row>
    <row r="4026" spans="1:8" hidden="1" x14ac:dyDescent="0.35">
      <c r="A4026" s="29" t="s">
        <v>40</v>
      </c>
      <c r="B4026" s="29" t="str">
        <f t="shared" si="65"/>
        <v>ARN-306</v>
      </c>
      <c r="C4026" s="29" t="str">
        <f t="shared" si="63"/>
        <v>PR-ARN-306-016-</v>
      </c>
      <c r="D4026" s="67" t="s">
        <v>11133</v>
      </c>
      <c r="E4026" s="96" t="s">
        <v>62</v>
      </c>
      <c r="F4026" s="29" t="s">
        <v>371</v>
      </c>
      <c r="G4026" s="29"/>
      <c r="H4026" s="103">
        <f>_xlfn.XLOOKUP(B4026,GM!$Q$5:$Q$756,GM!$J$5:$J$756)</f>
        <v>45462</v>
      </c>
    </row>
    <row r="4027" spans="1:8" hidden="1" x14ac:dyDescent="0.35">
      <c r="A4027" s="29" t="s">
        <v>40</v>
      </c>
      <c r="B4027" s="29" t="str">
        <f t="shared" si="65"/>
        <v>ARN-306</v>
      </c>
      <c r="C4027" s="29" t="str">
        <f t="shared" si="63"/>
        <v xml:space="preserve">PR-ARN-306-018 </v>
      </c>
      <c r="D4027" s="67" t="s">
        <v>11134</v>
      </c>
      <c r="E4027" s="96" t="s">
        <v>62</v>
      </c>
      <c r="F4027" s="29" t="s">
        <v>371</v>
      </c>
      <c r="G4027" s="29"/>
      <c r="H4027" s="103">
        <f>_xlfn.XLOOKUP(B4027,GM!$Q$5:$Q$756,GM!$J$5:$J$756)</f>
        <v>45462</v>
      </c>
    </row>
    <row r="4028" spans="1:8" hidden="1" x14ac:dyDescent="0.35">
      <c r="A4028" s="29" t="s">
        <v>40</v>
      </c>
      <c r="B4028" s="29" t="str">
        <f t="shared" si="65"/>
        <v>ARN-306</v>
      </c>
      <c r="C4028" s="29" t="str">
        <f t="shared" si="63"/>
        <v xml:space="preserve">PR-ARN-306-019 </v>
      </c>
      <c r="D4028" s="67" t="s">
        <v>11135</v>
      </c>
      <c r="E4028" s="96" t="s">
        <v>62</v>
      </c>
      <c r="F4028" s="29" t="s">
        <v>371</v>
      </c>
      <c r="G4028" s="29"/>
      <c r="H4028" s="103">
        <f>_xlfn.XLOOKUP(B4028,GM!$Q$5:$Q$756,GM!$J$5:$J$756)</f>
        <v>45462</v>
      </c>
    </row>
    <row r="4029" spans="1:8" hidden="1" x14ac:dyDescent="0.35">
      <c r="A4029" s="29" t="s">
        <v>40</v>
      </c>
      <c r="B4029" s="29" t="str">
        <f t="shared" si="65"/>
        <v>ARN-306</v>
      </c>
      <c r="C4029" s="29" t="str">
        <f t="shared" si="63"/>
        <v xml:space="preserve">PR-ARN-306-020 </v>
      </c>
      <c r="D4029" s="67" t="s">
        <v>11136</v>
      </c>
      <c r="E4029" s="96" t="s">
        <v>62</v>
      </c>
      <c r="F4029" s="29" t="s">
        <v>371</v>
      </c>
      <c r="G4029" s="29"/>
      <c r="H4029" s="103">
        <f>_xlfn.XLOOKUP(B4029,GM!$Q$5:$Q$756,GM!$J$5:$J$756)</f>
        <v>45462</v>
      </c>
    </row>
    <row r="4030" spans="1:8" hidden="1" x14ac:dyDescent="0.35">
      <c r="A4030" s="29" t="s">
        <v>40</v>
      </c>
      <c r="B4030" s="29" t="str">
        <f t="shared" si="65"/>
        <v>ARN-315</v>
      </c>
      <c r="C4030" s="29" t="str">
        <f t="shared" si="63"/>
        <v xml:space="preserve">PR-ARN-315-001 </v>
      </c>
      <c r="D4030" s="67" t="s">
        <v>11137</v>
      </c>
      <c r="E4030" s="96" t="s">
        <v>62</v>
      </c>
      <c r="F4030" s="29" t="s">
        <v>371</v>
      </c>
      <c r="G4030" s="29"/>
      <c r="H4030" s="103">
        <f>_xlfn.XLOOKUP(B4030,GM!$Q$5:$Q$756,GM!$J$5:$J$756)</f>
        <v>45379</v>
      </c>
    </row>
    <row r="4031" spans="1:8" hidden="1" x14ac:dyDescent="0.35">
      <c r="A4031" s="29" t="s">
        <v>40</v>
      </c>
      <c r="B4031" s="29" t="str">
        <f t="shared" si="65"/>
        <v>ARN-315</v>
      </c>
      <c r="C4031" s="29" t="str">
        <f t="shared" si="63"/>
        <v xml:space="preserve">PR-ARN-315-002 </v>
      </c>
      <c r="D4031" s="67" t="s">
        <v>11138</v>
      </c>
      <c r="E4031" s="96" t="s">
        <v>62</v>
      </c>
      <c r="F4031" s="29" t="s">
        <v>371</v>
      </c>
      <c r="G4031" s="29"/>
      <c r="H4031" s="103">
        <f>_xlfn.XLOOKUP(B4031,GM!$Q$5:$Q$756,GM!$J$5:$J$756)</f>
        <v>45379</v>
      </c>
    </row>
    <row r="4032" spans="1:8" hidden="1" x14ac:dyDescent="0.35">
      <c r="A4032" s="29" t="s">
        <v>40</v>
      </c>
      <c r="B4032" s="29" t="str">
        <f t="shared" si="65"/>
        <v>ARN-315</v>
      </c>
      <c r="C4032" s="29" t="str">
        <f t="shared" si="63"/>
        <v xml:space="preserve">PR-ARN-315-003 </v>
      </c>
      <c r="D4032" s="67" t="s">
        <v>11139</v>
      </c>
      <c r="E4032" s="96" t="s">
        <v>62</v>
      </c>
      <c r="F4032" s="29" t="s">
        <v>371</v>
      </c>
      <c r="G4032" s="29"/>
      <c r="H4032" s="103">
        <f>_xlfn.XLOOKUP(B4032,GM!$Q$5:$Q$756,GM!$J$5:$J$756)</f>
        <v>45379</v>
      </c>
    </row>
    <row r="4033" spans="1:8" hidden="1" x14ac:dyDescent="0.35">
      <c r="A4033" s="29" t="s">
        <v>40</v>
      </c>
      <c r="B4033" s="29" t="str">
        <f t="shared" si="65"/>
        <v>ARN-315</v>
      </c>
      <c r="C4033" s="29" t="str">
        <f t="shared" si="63"/>
        <v xml:space="preserve">PR-ARN-315-004 </v>
      </c>
      <c r="D4033" s="67" t="s">
        <v>11140</v>
      </c>
      <c r="E4033" s="96" t="s">
        <v>62</v>
      </c>
      <c r="F4033" s="29" t="s">
        <v>371</v>
      </c>
      <c r="G4033" s="29"/>
      <c r="H4033" s="103">
        <f>_xlfn.XLOOKUP(B4033,GM!$Q$5:$Q$756,GM!$J$5:$J$756)</f>
        <v>45379</v>
      </c>
    </row>
    <row r="4034" spans="1:8" hidden="1" x14ac:dyDescent="0.35">
      <c r="A4034" s="29" t="s">
        <v>40</v>
      </c>
      <c r="B4034" s="29" t="str">
        <f t="shared" si="65"/>
        <v>ARN-315</v>
      </c>
      <c r="C4034" s="29" t="str">
        <f t="shared" si="63"/>
        <v xml:space="preserve">PR-ARN-315-005 </v>
      </c>
      <c r="D4034" s="67" t="s">
        <v>11141</v>
      </c>
      <c r="E4034" s="96" t="s">
        <v>62</v>
      </c>
      <c r="F4034" s="29" t="s">
        <v>371</v>
      </c>
      <c r="G4034" s="29"/>
      <c r="H4034" s="103">
        <f>_xlfn.XLOOKUP(B4034,GM!$Q$5:$Q$756,GM!$J$5:$J$756)</f>
        <v>45379</v>
      </c>
    </row>
    <row r="4035" spans="1:8" hidden="1" x14ac:dyDescent="0.35">
      <c r="A4035" s="29" t="s">
        <v>40</v>
      </c>
      <c r="B4035" s="29" t="str">
        <f t="shared" si="65"/>
        <v>ARN-315</v>
      </c>
      <c r="C4035" s="29" t="str">
        <f t="shared" si="63"/>
        <v xml:space="preserve">PR-ARN-315-006 </v>
      </c>
      <c r="D4035" s="67" t="s">
        <v>11142</v>
      </c>
      <c r="E4035" s="96" t="s">
        <v>62</v>
      </c>
      <c r="F4035" s="29" t="s">
        <v>371</v>
      </c>
      <c r="G4035" s="29"/>
      <c r="H4035" s="103">
        <f>_xlfn.XLOOKUP(B4035,GM!$Q$5:$Q$756,GM!$J$5:$J$756)</f>
        <v>45379</v>
      </c>
    </row>
    <row r="4036" spans="1:8" hidden="1" x14ac:dyDescent="0.35">
      <c r="A4036" s="29" t="s">
        <v>40</v>
      </c>
      <c r="B4036" s="29" t="str">
        <f t="shared" si="65"/>
        <v>ARN-315</v>
      </c>
      <c r="C4036" s="29" t="str">
        <f t="shared" si="63"/>
        <v xml:space="preserve">PR-ARN-315-007 </v>
      </c>
      <c r="D4036" s="67" t="s">
        <v>11143</v>
      </c>
      <c r="E4036" s="96" t="s">
        <v>62</v>
      </c>
      <c r="F4036" s="29" t="s">
        <v>371</v>
      </c>
      <c r="G4036" s="29"/>
      <c r="H4036" s="103">
        <f>_xlfn.XLOOKUP(B4036,GM!$Q$5:$Q$756,GM!$J$5:$J$756)</f>
        <v>45379</v>
      </c>
    </row>
    <row r="4037" spans="1:8" hidden="1" x14ac:dyDescent="0.35">
      <c r="A4037" s="29" t="s">
        <v>40</v>
      </c>
      <c r="B4037" s="29" t="str">
        <f t="shared" si="65"/>
        <v>ARN-315</v>
      </c>
      <c r="C4037" s="29" t="str">
        <f t="shared" si="63"/>
        <v xml:space="preserve">PR-ARN-315-008 </v>
      </c>
      <c r="D4037" s="67" t="s">
        <v>11144</v>
      </c>
      <c r="E4037" s="96" t="s">
        <v>62</v>
      </c>
      <c r="F4037" s="29" t="s">
        <v>371</v>
      </c>
      <c r="G4037" s="29"/>
      <c r="H4037" s="103">
        <f>_xlfn.XLOOKUP(B4037,GM!$Q$5:$Q$756,GM!$J$5:$J$756)</f>
        <v>45379</v>
      </c>
    </row>
    <row r="4038" spans="1:8" hidden="1" x14ac:dyDescent="0.35">
      <c r="A4038" s="29" t="s">
        <v>40</v>
      </c>
      <c r="B4038" s="29" t="str">
        <f t="shared" si="65"/>
        <v>ARN-315</v>
      </c>
      <c r="C4038" s="29" t="str">
        <f t="shared" si="63"/>
        <v xml:space="preserve">PR-ARN-315-009 </v>
      </c>
      <c r="D4038" s="67" t="s">
        <v>11145</v>
      </c>
      <c r="E4038" s="96" t="s">
        <v>62</v>
      </c>
      <c r="F4038" s="29" t="s">
        <v>371</v>
      </c>
      <c r="G4038" s="29"/>
      <c r="H4038" s="103">
        <f>_xlfn.XLOOKUP(B4038,GM!$Q$5:$Q$756,GM!$J$5:$J$756)</f>
        <v>45379</v>
      </c>
    </row>
    <row r="4039" spans="1:8" hidden="1" x14ac:dyDescent="0.35">
      <c r="A4039" s="29" t="s">
        <v>40</v>
      </c>
      <c r="B4039" s="29" t="str">
        <f t="shared" si="65"/>
        <v>ARN-315</v>
      </c>
      <c r="C4039" s="29" t="str">
        <f t="shared" si="63"/>
        <v xml:space="preserve">PR-ARN-315-011 </v>
      </c>
      <c r="D4039" s="67" t="s">
        <v>11146</v>
      </c>
      <c r="E4039" s="96" t="s">
        <v>62</v>
      </c>
      <c r="F4039" s="29" t="s">
        <v>371</v>
      </c>
      <c r="G4039" s="29"/>
      <c r="H4039" s="103">
        <f>_xlfn.XLOOKUP(B4039,GM!$Q$5:$Q$756,GM!$J$5:$J$756)</f>
        <v>45379</v>
      </c>
    </row>
    <row r="4040" spans="1:8" hidden="1" x14ac:dyDescent="0.35">
      <c r="A4040" s="29" t="s">
        <v>40</v>
      </c>
      <c r="B4040" s="29" t="str">
        <f t="shared" si="65"/>
        <v>ARN-315</v>
      </c>
      <c r="C4040" s="29" t="str">
        <f t="shared" si="63"/>
        <v xml:space="preserve">PR-ARN-315-012 </v>
      </c>
      <c r="D4040" s="67" t="s">
        <v>11147</v>
      </c>
      <c r="E4040" s="96" t="s">
        <v>62</v>
      </c>
      <c r="F4040" s="29" t="s">
        <v>371</v>
      </c>
      <c r="G4040" s="29"/>
      <c r="H4040" s="103">
        <f>_xlfn.XLOOKUP(B4040,GM!$Q$5:$Q$756,GM!$J$5:$J$756)</f>
        <v>45379</v>
      </c>
    </row>
    <row r="4041" spans="1:8" hidden="1" x14ac:dyDescent="0.35">
      <c r="A4041" s="29" t="s">
        <v>40</v>
      </c>
      <c r="B4041" s="29" t="str">
        <f t="shared" si="65"/>
        <v>ARN-315</v>
      </c>
      <c r="C4041" s="29" t="str">
        <f t="shared" si="63"/>
        <v xml:space="preserve">PR-ARN-315-013 </v>
      </c>
      <c r="D4041" s="67" t="s">
        <v>11148</v>
      </c>
      <c r="E4041" s="96" t="s">
        <v>62</v>
      </c>
      <c r="F4041" s="29" t="s">
        <v>371</v>
      </c>
      <c r="G4041" s="29"/>
      <c r="H4041" s="103">
        <f>_xlfn.XLOOKUP(B4041,GM!$Q$5:$Q$756,GM!$J$5:$J$756)</f>
        <v>45379</v>
      </c>
    </row>
    <row r="4042" spans="1:8" hidden="1" x14ac:dyDescent="0.35">
      <c r="A4042" s="29" t="s">
        <v>40</v>
      </c>
      <c r="B4042" s="29" t="str">
        <f t="shared" si="65"/>
        <v>ARN-315</v>
      </c>
      <c r="C4042" s="29" t="str">
        <f t="shared" si="63"/>
        <v xml:space="preserve">PR-ARN-315-014 </v>
      </c>
      <c r="D4042" s="67" t="s">
        <v>11149</v>
      </c>
      <c r="E4042" s="96" t="s">
        <v>62</v>
      </c>
      <c r="F4042" s="29" t="s">
        <v>371</v>
      </c>
      <c r="G4042" s="29"/>
      <c r="H4042" s="103">
        <f>_xlfn.XLOOKUP(B4042,GM!$Q$5:$Q$756,GM!$J$5:$J$756)</f>
        <v>45379</v>
      </c>
    </row>
    <row r="4043" spans="1:8" hidden="1" x14ac:dyDescent="0.35">
      <c r="A4043" s="29" t="s">
        <v>40</v>
      </c>
      <c r="B4043" s="29" t="str">
        <f t="shared" si="65"/>
        <v>ARN-315</v>
      </c>
      <c r="C4043" s="29" t="str">
        <f t="shared" si="63"/>
        <v xml:space="preserve">PR-ARN-315-015 </v>
      </c>
      <c r="D4043" s="67" t="s">
        <v>11150</v>
      </c>
      <c r="E4043" s="96" t="s">
        <v>62</v>
      </c>
      <c r="F4043" s="29" t="s">
        <v>371</v>
      </c>
      <c r="G4043" s="29"/>
      <c r="H4043" s="103">
        <f>_xlfn.XLOOKUP(B4043,GM!$Q$5:$Q$756,GM!$J$5:$J$756)</f>
        <v>45379</v>
      </c>
    </row>
    <row r="4044" spans="1:8" hidden="1" x14ac:dyDescent="0.35">
      <c r="A4044" s="29" t="s">
        <v>40</v>
      </c>
      <c r="B4044" s="29" t="str">
        <f t="shared" si="65"/>
        <v>ARN-315</v>
      </c>
      <c r="C4044" s="29" t="str">
        <f t="shared" si="63"/>
        <v xml:space="preserve">PR-ARN-315-016 </v>
      </c>
      <c r="D4044" s="67" t="s">
        <v>11151</v>
      </c>
      <c r="E4044" s="96" t="s">
        <v>62</v>
      </c>
      <c r="F4044" s="29" t="s">
        <v>371</v>
      </c>
      <c r="G4044" s="29"/>
      <c r="H4044" s="103">
        <f>_xlfn.XLOOKUP(B4044,GM!$Q$5:$Q$756,GM!$J$5:$J$756)</f>
        <v>45379</v>
      </c>
    </row>
    <row r="4045" spans="1:8" hidden="1" x14ac:dyDescent="0.35">
      <c r="A4045" s="29" t="s">
        <v>40</v>
      </c>
      <c r="B4045" s="29" t="str">
        <f t="shared" si="65"/>
        <v>ARN-309</v>
      </c>
      <c r="C4045" s="29" t="str">
        <f t="shared" si="63"/>
        <v xml:space="preserve">PR-ARN-309-000 </v>
      </c>
      <c r="D4045" s="67" t="s">
        <v>11152</v>
      </c>
      <c r="E4045" s="96" t="s">
        <v>62</v>
      </c>
      <c r="F4045" s="29" t="s">
        <v>371</v>
      </c>
      <c r="G4045" s="29"/>
      <c r="H4045" s="103" t="e">
        <f>_xlfn.XLOOKUP(B4045,GM!$Q$5:$Q$756,GM!$J$5:$J$756)</f>
        <v>#N/A</v>
      </c>
    </row>
    <row r="4046" spans="1:8" hidden="1" x14ac:dyDescent="0.35">
      <c r="A4046" s="29" t="s">
        <v>40</v>
      </c>
      <c r="B4046" s="29" t="str">
        <f t="shared" si="65"/>
        <v>ARN-309</v>
      </c>
      <c r="C4046" s="29" t="str">
        <f t="shared" si="63"/>
        <v xml:space="preserve">PR-ARN-309-001 </v>
      </c>
      <c r="D4046" s="67" t="s">
        <v>11153</v>
      </c>
      <c r="E4046" s="96" t="s">
        <v>62</v>
      </c>
      <c r="F4046" s="29" t="s">
        <v>371</v>
      </c>
      <c r="G4046" s="29"/>
      <c r="H4046" s="103" t="e">
        <f>_xlfn.XLOOKUP(B4046,GM!$Q$5:$Q$756,GM!$J$5:$J$756)</f>
        <v>#N/A</v>
      </c>
    </row>
    <row r="4047" spans="1:8" hidden="1" x14ac:dyDescent="0.35">
      <c r="A4047" s="29" t="s">
        <v>40</v>
      </c>
      <c r="B4047" s="29" t="str">
        <f t="shared" si="65"/>
        <v>ARN-309</v>
      </c>
      <c r="C4047" s="29" t="str">
        <f t="shared" si="63"/>
        <v xml:space="preserve">PR-ARN-309-002 </v>
      </c>
      <c r="D4047" s="67" t="s">
        <v>11154</v>
      </c>
      <c r="E4047" s="96" t="s">
        <v>62</v>
      </c>
      <c r="F4047" s="29" t="s">
        <v>371</v>
      </c>
      <c r="G4047" s="29"/>
      <c r="H4047" s="103" t="e">
        <f>_xlfn.XLOOKUP(B4047,GM!$Q$5:$Q$756,GM!$J$5:$J$756)</f>
        <v>#N/A</v>
      </c>
    </row>
    <row r="4048" spans="1:8" hidden="1" x14ac:dyDescent="0.35">
      <c r="A4048" s="29" t="s">
        <v>40</v>
      </c>
      <c r="B4048" s="29" t="str">
        <f t="shared" si="65"/>
        <v>ARN-309</v>
      </c>
      <c r="C4048" s="29" t="str">
        <f t="shared" si="63"/>
        <v xml:space="preserve">PR-ARN-309-003 </v>
      </c>
      <c r="D4048" s="67" t="s">
        <v>11155</v>
      </c>
      <c r="E4048" s="96" t="s">
        <v>62</v>
      </c>
      <c r="F4048" s="29" t="s">
        <v>371</v>
      </c>
      <c r="G4048" s="29"/>
      <c r="H4048" s="103" t="e">
        <f>_xlfn.XLOOKUP(B4048,GM!$Q$5:$Q$756,GM!$J$5:$J$756)</f>
        <v>#N/A</v>
      </c>
    </row>
    <row r="4049" spans="1:8" hidden="1" x14ac:dyDescent="0.35">
      <c r="A4049" s="29" t="s">
        <v>40</v>
      </c>
      <c r="B4049" s="29" t="str">
        <f t="shared" si="65"/>
        <v>ARN-309</v>
      </c>
      <c r="C4049" s="29" t="str">
        <f t="shared" si="63"/>
        <v xml:space="preserve">PR-ARN-309-004 </v>
      </c>
      <c r="D4049" s="67" t="s">
        <v>11156</v>
      </c>
      <c r="E4049" s="96" t="s">
        <v>62</v>
      </c>
      <c r="F4049" s="29" t="s">
        <v>371</v>
      </c>
      <c r="G4049" s="29"/>
      <c r="H4049" s="103" t="e">
        <f>_xlfn.XLOOKUP(B4049,GM!$Q$5:$Q$756,GM!$J$5:$J$756)</f>
        <v>#N/A</v>
      </c>
    </row>
    <row r="4050" spans="1:8" hidden="1" x14ac:dyDescent="0.35">
      <c r="A4050" s="29" t="s">
        <v>40</v>
      </c>
      <c r="B4050" s="29" t="str">
        <f t="shared" si="65"/>
        <v>ARN-309</v>
      </c>
      <c r="C4050" s="29" t="str">
        <f t="shared" si="63"/>
        <v xml:space="preserve">PR-ARN-309-005 </v>
      </c>
      <c r="D4050" s="67" t="s">
        <v>11157</v>
      </c>
      <c r="E4050" s="96" t="s">
        <v>62</v>
      </c>
      <c r="F4050" s="29" t="s">
        <v>371</v>
      </c>
      <c r="G4050" s="29"/>
      <c r="H4050" s="103" t="e">
        <f>_xlfn.XLOOKUP(B4050,GM!$Q$5:$Q$756,GM!$J$5:$J$756)</f>
        <v>#N/A</v>
      </c>
    </row>
    <row r="4051" spans="1:8" hidden="1" x14ac:dyDescent="0.35">
      <c r="A4051" s="29" t="s">
        <v>40</v>
      </c>
      <c r="B4051" s="29" t="str">
        <f t="shared" si="65"/>
        <v>ARN-309</v>
      </c>
      <c r="C4051" s="29" t="str">
        <f t="shared" si="63"/>
        <v xml:space="preserve">PR-ARN-309-006 </v>
      </c>
      <c r="D4051" s="67" t="s">
        <v>11158</v>
      </c>
      <c r="E4051" s="96" t="s">
        <v>62</v>
      </c>
      <c r="F4051" s="29" t="s">
        <v>371</v>
      </c>
      <c r="G4051" s="29"/>
      <c r="H4051" s="103" t="e">
        <f>_xlfn.XLOOKUP(B4051,GM!$Q$5:$Q$756,GM!$J$5:$J$756)</f>
        <v>#N/A</v>
      </c>
    </row>
    <row r="4052" spans="1:8" hidden="1" x14ac:dyDescent="0.35">
      <c r="A4052" s="29" t="s">
        <v>40</v>
      </c>
      <c r="B4052" s="29" t="str">
        <f t="shared" si="65"/>
        <v>ARN-309</v>
      </c>
      <c r="C4052" s="29" t="str">
        <f t="shared" si="63"/>
        <v xml:space="preserve">PR-ARN-309-007 </v>
      </c>
      <c r="D4052" s="67" t="s">
        <v>11159</v>
      </c>
      <c r="E4052" s="96" t="s">
        <v>62</v>
      </c>
      <c r="F4052" s="29" t="s">
        <v>371</v>
      </c>
      <c r="G4052" s="29"/>
      <c r="H4052" s="103" t="e">
        <f>_xlfn.XLOOKUP(B4052,GM!$Q$5:$Q$756,GM!$J$5:$J$756)</f>
        <v>#N/A</v>
      </c>
    </row>
    <row r="4053" spans="1:8" hidden="1" x14ac:dyDescent="0.35">
      <c r="A4053" s="29" t="s">
        <v>40</v>
      </c>
      <c r="B4053" s="29" t="str">
        <f t="shared" si="65"/>
        <v>ARN-309</v>
      </c>
      <c r="C4053" s="29" t="str">
        <f t="shared" si="63"/>
        <v xml:space="preserve">PR-ARN-309-008 </v>
      </c>
      <c r="D4053" s="67" t="s">
        <v>11160</v>
      </c>
      <c r="E4053" s="96" t="s">
        <v>62</v>
      </c>
      <c r="F4053" s="29" t="s">
        <v>371</v>
      </c>
      <c r="G4053" s="29"/>
      <c r="H4053" s="103" t="e">
        <f>_xlfn.XLOOKUP(B4053,GM!$Q$5:$Q$756,GM!$J$5:$J$756)</f>
        <v>#N/A</v>
      </c>
    </row>
    <row r="4054" spans="1:8" hidden="1" x14ac:dyDescent="0.35">
      <c r="A4054" s="29" t="s">
        <v>40</v>
      </c>
      <c r="B4054" s="29" t="str">
        <f t="shared" si="65"/>
        <v>ARN-309</v>
      </c>
      <c r="C4054" s="29" t="str">
        <f t="shared" si="63"/>
        <v xml:space="preserve">PR-ARN-309-009 </v>
      </c>
      <c r="D4054" s="67" t="s">
        <v>11161</v>
      </c>
      <c r="E4054" s="96" t="s">
        <v>62</v>
      </c>
      <c r="F4054" s="29" t="s">
        <v>371</v>
      </c>
      <c r="G4054" s="29"/>
      <c r="H4054" s="103" t="e">
        <f>_xlfn.XLOOKUP(B4054,GM!$Q$5:$Q$756,GM!$J$5:$J$756)</f>
        <v>#N/A</v>
      </c>
    </row>
    <row r="4055" spans="1:8" hidden="1" x14ac:dyDescent="0.35">
      <c r="A4055" s="29" t="s">
        <v>40</v>
      </c>
      <c r="B4055" s="29" t="str">
        <f t="shared" si="65"/>
        <v>ARN-324</v>
      </c>
      <c r="C4055" s="29" t="str">
        <f t="shared" si="63"/>
        <v xml:space="preserve">PR-ARN-324-001 </v>
      </c>
      <c r="D4055" s="67" t="s">
        <v>11162</v>
      </c>
      <c r="E4055" s="96" t="s">
        <v>62</v>
      </c>
      <c r="F4055" s="29" t="s">
        <v>371</v>
      </c>
      <c r="G4055" s="29"/>
      <c r="H4055" s="103">
        <f>_xlfn.XLOOKUP(B4055,GM!$Q$5:$Q$756,GM!$J$5:$J$756)</f>
        <v>45379</v>
      </c>
    </row>
    <row r="4056" spans="1:8" ht="15.65" hidden="1" customHeight="1" x14ac:dyDescent="0.35">
      <c r="A4056" s="29" t="s">
        <v>40</v>
      </c>
      <c r="B4056" s="29" t="str">
        <f t="shared" si="65"/>
        <v>ARN-324</v>
      </c>
      <c r="C4056" s="29" t="str">
        <f t="shared" si="63"/>
        <v xml:space="preserve">PR-ARN-324-001 </v>
      </c>
      <c r="D4056" s="67" t="s">
        <v>11163</v>
      </c>
      <c r="E4056" s="96" t="s">
        <v>62</v>
      </c>
      <c r="F4056" s="29" t="s">
        <v>371</v>
      </c>
      <c r="G4056" s="29"/>
      <c r="H4056" s="103">
        <f>_xlfn.XLOOKUP(B4056,GM!$Q$5:$Q$756,GM!$J$5:$J$756)</f>
        <v>45379</v>
      </c>
    </row>
    <row r="4057" spans="1:8" hidden="1" x14ac:dyDescent="0.35">
      <c r="A4057" s="29" t="s">
        <v>40</v>
      </c>
      <c r="B4057" s="29" t="str">
        <f t="shared" si="65"/>
        <v>ARN-327</v>
      </c>
      <c r="C4057" s="29" t="str">
        <f t="shared" si="63"/>
        <v xml:space="preserve">PR-ARN-327-001 </v>
      </c>
      <c r="D4057" s="67" t="s">
        <v>11164</v>
      </c>
      <c r="E4057" s="96" t="s">
        <v>62</v>
      </c>
      <c r="F4057" s="29" t="s">
        <v>371</v>
      </c>
      <c r="G4057" s="29" t="s">
        <v>61</v>
      </c>
      <c r="H4057" s="103">
        <f>_xlfn.XLOOKUP(B4057,GM!$Q$5:$Q$756,GM!$J$5:$J$756)</f>
        <v>45506</v>
      </c>
    </row>
    <row r="4058" spans="1:8" hidden="1" x14ac:dyDescent="0.35">
      <c r="A4058" s="29" t="s">
        <v>40</v>
      </c>
      <c r="B4058" s="29" t="str">
        <f t="shared" si="65"/>
        <v>ARN-340</v>
      </c>
      <c r="C4058" s="29" t="str">
        <f t="shared" si="63"/>
        <v xml:space="preserve">PR-ARN-340-001 </v>
      </c>
      <c r="D4058" s="67" t="s">
        <v>11165</v>
      </c>
      <c r="E4058" s="96" t="s">
        <v>62</v>
      </c>
      <c r="F4058" s="29" t="s">
        <v>371</v>
      </c>
      <c r="G4058" s="29"/>
      <c r="H4058" s="103">
        <f>_xlfn.XLOOKUP(B4058,GM!$Q$5:$Q$756,GM!$J$5:$J$756)</f>
        <v>45379</v>
      </c>
    </row>
    <row r="4059" spans="1:8" hidden="1" x14ac:dyDescent="0.35">
      <c r="A4059" s="29" t="s">
        <v>40</v>
      </c>
      <c r="B4059" s="29" t="str">
        <f t="shared" si="65"/>
        <v>ARN-340</v>
      </c>
      <c r="C4059" s="29" t="str">
        <f t="shared" si="63"/>
        <v xml:space="preserve">PR-ARN-340-002 </v>
      </c>
      <c r="D4059" s="67" t="s">
        <v>11166</v>
      </c>
      <c r="E4059" s="96" t="s">
        <v>62</v>
      </c>
      <c r="F4059" s="29" t="s">
        <v>371</v>
      </c>
      <c r="G4059" s="29"/>
      <c r="H4059" s="103">
        <f>_xlfn.XLOOKUP(B4059,GM!$Q$5:$Q$756,GM!$J$5:$J$756)</f>
        <v>45379</v>
      </c>
    </row>
    <row r="4060" spans="1:8" hidden="1" x14ac:dyDescent="0.35">
      <c r="A4060" s="29" t="s">
        <v>40</v>
      </c>
      <c r="B4060" s="29" t="str">
        <f t="shared" si="65"/>
        <v>ARN-341</v>
      </c>
      <c r="C4060" s="29" t="str">
        <f t="shared" si="63"/>
        <v xml:space="preserve">PR-ARN-341-001 </v>
      </c>
      <c r="D4060" s="67" t="s">
        <v>11167</v>
      </c>
      <c r="E4060" s="96" t="s">
        <v>62</v>
      </c>
      <c r="F4060" s="29" t="s">
        <v>371</v>
      </c>
      <c r="G4060" s="29"/>
      <c r="H4060" s="103">
        <f>_xlfn.XLOOKUP(B4060,GM!$Q$5:$Q$756,GM!$J$5:$J$756)</f>
        <v>45379</v>
      </c>
    </row>
    <row r="4061" spans="1:8" hidden="1" x14ac:dyDescent="0.35">
      <c r="A4061" s="29" t="s">
        <v>40</v>
      </c>
      <c r="B4061" s="29" t="str">
        <f t="shared" si="65"/>
        <v>ARN-341</v>
      </c>
      <c r="C4061" s="29" t="str">
        <f t="shared" si="63"/>
        <v xml:space="preserve">PR-ARN-341-002 </v>
      </c>
      <c r="D4061" s="67" t="s">
        <v>11168</v>
      </c>
      <c r="E4061" s="96" t="s">
        <v>62</v>
      </c>
      <c r="F4061" s="29" t="s">
        <v>371</v>
      </c>
      <c r="G4061" s="29"/>
      <c r="H4061" s="103">
        <f>_xlfn.XLOOKUP(B4061,GM!$Q$5:$Q$756,GM!$J$5:$J$756)</f>
        <v>45379</v>
      </c>
    </row>
    <row r="4062" spans="1:8" hidden="1" x14ac:dyDescent="0.35">
      <c r="A4062" s="29" t="s">
        <v>40</v>
      </c>
      <c r="B4062" s="29" t="str">
        <f t="shared" si="65"/>
        <v>ARN-341</v>
      </c>
      <c r="C4062" s="29" t="str">
        <f t="shared" si="63"/>
        <v xml:space="preserve">PR-ARN-341-003 </v>
      </c>
      <c r="D4062" s="67" t="s">
        <v>11169</v>
      </c>
      <c r="E4062" s="96" t="s">
        <v>62</v>
      </c>
      <c r="F4062" s="29" t="s">
        <v>371</v>
      </c>
      <c r="G4062" s="29"/>
      <c r="H4062" s="103">
        <f>_xlfn.XLOOKUP(B4062,GM!$Q$5:$Q$756,GM!$J$5:$J$756)</f>
        <v>45379</v>
      </c>
    </row>
    <row r="4063" spans="1:8" hidden="1" x14ac:dyDescent="0.35">
      <c r="A4063" s="29" t="s">
        <v>40</v>
      </c>
      <c r="B4063" s="29" t="str">
        <f t="shared" si="65"/>
        <v>ARN-351</v>
      </c>
      <c r="C4063" s="29" t="str">
        <f t="shared" si="63"/>
        <v xml:space="preserve">PR-ARN-351-001 </v>
      </c>
      <c r="D4063" s="67" t="s">
        <v>11170</v>
      </c>
      <c r="E4063" s="96" t="s">
        <v>62</v>
      </c>
      <c r="F4063" s="29" t="s">
        <v>371</v>
      </c>
      <c r="G4063" s="29"/>
      <c r="H4063" s="103">
        <f>_xlfn.XLOOKUP(B4063,GM!$Q$5:$Q$756,GM!$J$5:$J$756)</f>
        <v>45379</v>
      </c>
    </row>
    <row r="4064" spans="1:8" hidden="1" x14ac:dyDescent="0.35">
      <c r="A4064" s="29" t="s">
        <v>40</v>
      </c>
      <c r="B4064" s="29" t="str">
        <f t="shared" si="65"/>
        <v>ARN-351</v>
      </c>
      <c r="C4064" s="29" t="str">
        <f t="shared" si="63"/>
        <v xml:space="preserve">PR-ARN-351-002 </v>
      </c>
      <c r="D4064" s="67" t="s">
        <v>11171</v>
      </c>
      <c r="E4064" s="96" t="s">
        <v>62</v>
      </c>
      <c r="F4064" s="29" t="s">
        <v>371</v>
      </c>
      <c r="G4064" s="29"/>
      <c r="H4064" s="103">
        <f>_xlfn.XLOOKUP(B4064,GM!$Q$5:$Q$756,GM!$J$5:$J$756)</f>
        <v>45379</v>
      </c>
    </row>
    <row r="4065" spans="1:8" hidden="1" x14ac:dyDescent="0.35">
      <c r="A4065" s="29" t="s">
        <v>40</v>
      </c>
      <c r="B4065" s="29" t="str">
        <f t="shared" si="65"/>
        <v>ARN-351</v>
      </c>
      <c r="C4065" s="29" t="str">
        <f t="shared" si="63"/>
        <v xml:space="preserve">PR-ARN-351-004 </v>
      </c>
      <c r="D4065" s="67" t="s">
        <v>11172</v>
      </c>
      <c r="E4065" s="96" t="s">
        <v>62</v>
      </c>
      <c r="F4065" s="29" t="s">
        <v>371</v>
      </c>
      <c r="G4065" s="29"/>
      <c r="H4065" s="103">
        <f>_xlfn.XLOOKUP(B4065,GM!$Q$5:$Q$756,GM!$J$5:$J$756)</f>
        <v>45379</v>
      </c>
    </row>
    <row r="4066" spans="1:8" hidden="1" x14ac:dyDescent="0.35">
      <c r="A4066" s="29" t="s">
        <v>40</v>
      </c>
      <c r="B4066" s="29" t="str">
        <f t="shared" si="65"/>
        <v>ARN-351</v>
      </c>
      <c r="C4066" s="29" t="str">
        <f t="shared" si="63"/>
        <v xml:space="preserve">PR-ARN-351-007 </v>
      </c>
      <c r="D4066" s="67" t="s">
        <v>11173</v>
      </c>
      <c r="E4066" s="96" t="s">
        <v>62</v>
      </c>
      <c r="F4066" s="29" t="s">
        <v>371</v>
      </c>
      <c r="G4066" s="29"/>
      <c r="H4066" s="103">
        <f>_xlfn.XLOOKUP(B4066,GM!$Q$5:$Q$756,GM!$J$5:$J$756)</f>
        <v>45379</v>
      </c>
    </row>
    <row r="4067" spans="1:8" hidden="1" x14ac:dyDescent="0.35">
      <c r="A4067" s="29" t="s">
        <v>40</v>
      </c>
      <c r="B4067" s="29" t="str">
        <f t="shared" si="65"/>
        <v>ARN-351</v>
      </c>
      <c r="C4067" s="29" t="str">
        <f t="shared" si="63"/>
        <v xml:space="preserve">PR-ARN-351-008 </v>
      </c>
      <c r="D4067" s="67" t="s">
        <v>11174</v>
      </c>
      <c r="E4067" s="96" t="s">
        <v>62</v>
      </c>
      <c r="F4067" s="29" t="s">
        <v>371</v>
      </c>
      <c r="G4067" s="29"/>
      <c r="H4067" s="103">
        <f>_xlfn.XLOOKUP(B4067,GM!$Q$5:$Q$756,GM!$J$5:$J$756)</f>
        <v>45379</v>
      </c>
    </row>
    <row r="4068" spans="1:8" hidden="1" x14ac:dyDescent="0.35">
      <c r="A4068" s="29" t="s">
        <v>40</v>
      </c>
      <c r="B4068" s="29" t="str">
        <f t="shared" si="65"/>
        <v>ARN-351</v>
      </c>
      <c r="C4068" s="29" t="str">
        <f t="shared" si="63"/>
        <v xml:space="preserve">PR-ARN-351-010 </v>
      </c>
      <c r="D4068" s="67" t="s">
        <v>11175</v>
      </c>
      <c r="E4068" s="96" t="s">
        <v>62</v>
      </c>
      <c r="F4068" s="29" t="s">
        <v>371</v>
      </c>
      <c r="G4068" s="29"/>
      <c r="H4068" s="103">
        <f>_xlfn.XLOOKUP(B4068,GM!$Q$5:$Q$756,GM!$J$5:$J$756)</f>
        <v>45379</v>
      </c>
    </row>
    <row r="4069" spans="1:8" hidden="1" x14ac:dyDescent="0.35">
      <c r="A4069" s="29" t="s">
        <v>40</v>
      </c>
      <c r="B4069" s="29" t="str">
        <f t="shared" si="65"/>
        <v>ARN-351</v>
      </c>
      <c r="C4069" s="29" t="str">
        <f t="shared" si="63"/>
        <v xml:space="preserve">PR-ARN-351-011 </v>
      </c>
      <c r="D4069" s="67" t="s">
        <v>11176</v>
      </c>
      <c r="E4069" s="96" t="s">
        <v>62</v>
      </c>
      <c r="F4069" s="29" t="s">
        <v>371</v>
      </c>
      <c r="G4069" s="29"/>
      <c r="H4069" s="103">
        <f>_xlfn.XLOOKUP(B4069,GM!$Q$5:$Q$756,GM!$J$5:$J$756)</f>
        <v>45379</v>
      </c>
    </row>
    <row r="4070" spans="1:8" hidden="1" x14ac:dyDescent="0.35">
      <c r="A4070" s="29" t="s">
        <v>40</v>
      </c>
      <c r="B4070" s="29" t="str">
        <f t="shared" si="65"/>
        <v>ARN-360</v>
      </c>
      <c r="C4070" s="29" t="str">
        <f t="shared" si="63"/>
        <v xml:space="preserve">PR-ARN-360-001 </v>
      </c>
      <c r="D4070" s="67" t="s">
        <v>11177</v>
      </c>
      <c r="E4070" s="96" t="s">
        <v>62</v>
      </c>
      <c r="F4070" s="29" t="s">
        <v>371</v>
      </c>
      <c r="G4070" s="29"/>
      <c r="H4070" s="103">
        <f>_xlfn.XLOOKUP(B4070,GM!$Q$5:$Q$756,GM!$J$5:$J$756)</f>
        <v>45506</v>
      </c>
    </row>
    <row r="4071" spans="1:8" hidden="1" x14ac:dyDescent="0.35">
      <c r="A4071" s="29" t="s">
        <v>40</v>
      </c>
      <c r="B4071" s="29" t="str">
        <f t="shared" si="65"/>
        <v>ARN-360</v>
      </c>
      <c r="C4071" s="29" t="str">
        <f t="shared" si="63"/>
        <v xml:space="preserve">PR-ARN-360-001 </v>
      </c>
      <c r="D4071" s="67" t="s">
        <v>11178</v>
      </c>
      <c r="E4071" s="96" t="s">
        <v>62</v>
      </c>
      <c r="F4071" s="29" t="s">
        <v>371</v>
      </c>
      <c r="G4071" s="29"/>
      <c r="H4071" s="103">
        <f>_xlfn.XLOOKUP(B4071,GM!$Q$5:$Q$756,GM!$J$5:$J$756)</f>
        <v>45506</v>
      </c>
    </row>
    <row r="4072" spans="1:8" hidden="1" x14ac:dyDescent="0.35">
      <c r="A4072" s="29" t="s">
        <v>40</v>
      </c>
      <c r="B4072" s="29" t="str">
        <f t="shared" si="65"/>
        <v>ARN-310</v>
      </c>
      <c r="C4072" s="29" t="str">
        <f t="shared" si="63"/>
        <v xml:space="preserve">PR-ARN-310-000 </v>
      </c>
      <c r="D4072" s="67" t="s">
        <v>11179</v>
      </c>
      <c r="E4072" s="96" t="s">
        <v>62</v>
      </c>
      <c r="F4072" s="29" t="s">
        <v>371</v>
      </c>
      <c r="G4072" s="29"/>
      <c r="H4072" s="103">
        <f>_xlfn.XLOOKUP(B4072,GM!$Q$5:$Q$756,GM!$J$5:$J$756)</f>
        <v>45462</v>
      </c>
    </row>
    <row r="4073" spans="1:8" hidden="1" x14ac:dyDescent="0.35">
      <c r="A4073" s="29" t="s">
        <v>40</v>
      </c>
      <c r="B4073" s="29" t="str">
        <f t="shared" si="65"/>
        <v>ARN-310</v>
      </c>
      <c r="C4073" s="29" t="str">
        <f t="shared" si="63"/>
        <v xml:space="preserve">PR-ARN-310-001 </v>
      </c>
      <c r="D4073" s="67" t="s">
        <v>11180</v>
      </c>
      <c r="E4073" s="96" t="s">
        <v>62</v>
      </c>
      <c r="F4073" s="29" t="s">
        <v>371</v>
      </c>
      <c r="G4073" s="29"/>
      <c r="H4073" s="103">
        <f>_xlfn.XLOOKUP(B4073,GM!$Q$5:$Q$756,GM!$J$5:$J$756)</f>
        <v>45462</v>
      </c>
    </row>
    <row r="4074" spans="1:8" hidden="1" x14ac:dyDescent="0.35">
      <c r="A4074" s="29" t="s">
        <v>40</v>
      </c>
      <c r="B4074" s="29" t="str">
        <f t="shared" si="65"/>
        <v>ARN-310</v>
      </c>
      <c r="C4074" s="29" t="str">
        <f t="shared" si="63"/>
        <v xml:space="preserve">PR-ARN-310-002 </v>
      </c>
      <c r="D4074" s="67" t="s">
        <v>11181</v>
      </c>
      <c r="E4074" s="96" t="s">
        <v>62</v>
      </c>
      <c r="F4074" s="29" t="s">
        <v>371</v>
      </c>
      <c r="G4074" s="29"/>
      <c r="H4074" s="103">
        <f>_xlfn.XLOOKUP(B4074,GM!$Q$5:$Q$756,GM!$J$5:$J$756)</f>
        <v>45462</v>
      </c>
    </row>
    <row r="4075" spans="1:8" hidden="1" x14ac:dyDescent="0.35">
      <c r="A4075" s="29" t="s">
        <v>40</v>
      </c>
      <c r="B4075" s="29" t="str">
        <f t="shared" si="65"/>
        <v>ARN-310</v>
      </c>
      <c r="C4075" s="29" t="str">
        <f t="shared" si="63"/>
        <v xml:space="preserve">PR-ARN-310-003 </v>
      </c>
      <c r="D4075" s="67" t="s">
        <v>11182</v>
      </c>
      <c r="E4075" s="96" t="s">
        <v>62</v>
      </c>
      <c r="F4075" s="29" t="s">
        <v>371</v>
      </c>
      <c r="G4075" s="29"/>
      <c r="H4075" s="103">
        <f>_xlfn.XLOOKUP(B4075,GM!$Q$5:$Q$756,GM!$J$5:$J$756)</f>
        <v>45462</v>
      </c>
    </row>
    <row r="4076" spans="1:8" hidden="1" x14ac:dyDescent="0.35">
      <c r="A4076" s="29" t="s">
        <v>40</v>
      </c>
      <c r="B4076" s="29" t="str">
        <f t="shared" si="65"/>
        <v>ARN-310</v>
      </c>
      <c r="C4076" s="29" t="str">
        <f t="shared" si="63"/>
        <v xml:space="preserve">PR-ARN-310-004 </v>
      </c>
      <c r="D4076" s="67" t="s">
        <v>11183</v>
      </c>
      <c r="E4076" s="96" t="s">
        <v>62</v>
      </c>
      <c r="F4076" s="29" t="s">
        <v>371</v>
      </c>
      <c r="G4076" s="29"/>
      <c r="H4076" s="103">
        <f>_xlfn.XLOOKUP(B4076,GM!$Q$5:$Q$756,GM!$J$5:$J$756)</f>
        <v>45462</v>
      </c>
    </row>
    <row r="4077" spans="1:8" hidden="1" x14ac:dyDescent="0.35">
      <c r="A4077" s="29" t="s">
        <v>40</v>
      </c>
      <c r="B4077" s="29" t="str">
        <f t="shared" si="65"/>
        <v>ARN-310</v>
      </c>
      <c r="C4077" s="29" t="str">
        <f t="shared" si="63"/>
        <v xml:space="preserve">PR-ARN-310-005 </v>
      </c>
      <c r="D4077" s="67" t="s">
        <v>11184</v>
      </c>
      <c r="E4077" s="96" t="s">
        <v>62</v>
      </c>
      <c r="F4077" s="29" t="s">
        <v>371</v>
      </c>
      <c r="G4077" s="29"/>
      <c r="H4077" s="103">
        <f>_xlfn.XLOOKUP(B4077,GM!$Q$5:$Q$756,GM!$J$5:$J$756)</f>
        <v>45462</v>
      </c>
    </row>
    <row r="4078" spans="1:8" hidden="1" x14ac:dyDescent="0.35">
      <c r="A4078" s="29" t="s">
        <v>40</v>
      </c>
      <c r="B4078" s="29" t="str">
        <f t="shared" si="65"/>
        <v>ARN-310</v>
      </c>
      <c r="C4078" s="29" t="str">
        <f t="shared" si="63"/>
        <v xml:space="preserve">PR-ARN-310-006 </v>
      </c>
      <c r="D4078" s="67" t="s">
        <v>11185</v>
      </c>
      <c r="E4078" s="96" t="s">
        <v>62</v>
      </c>
      <c r="F4078" s="29" t="s">
        <v>371</v>
      </c>
      <c r="G4078" s="29"/>
      <c r="H4078" s="103">
        <f>_xlfn.XLOOKUP(B4078,GM!$Q$5:$Q$756,GM!$J$5:$J$756)</f>
        <v>45462</v>
      </c>
    </row>
    <row r="4079" spans="1:8" hidden="1" x14ac:dyDescent="0.35">
      <c r="A4079" s="29" t="s">
        <v>40</v>
      </c>
      <c r="B4079" s="29" t="str">
        <f t="shared" si="65"/>
        <v>ARN-310</v>
      </c>
      <c r="C4079" s="29" t="str">
        <f t="shared" si="63"/>
        <v>PR-ARN-310-007-</v>
      </c>
      <c r="D4079" s="67" t="s">
        <v>11186</v>
      </c>
      <c r="E4079" s="96" t="s">
        <v>62</v>
      </c>
      <c r="F4079" s="29" t="s">
        <v>371</v>
      </c>
      <c r="G4079" s="29"/>
      <c r="H4079" s="103">
        <f>_xlfn.XLOOKUP(B4079,GM!$Q$5:$Q$756,GM!$J$5:$J$756)</f>
        <v>45462</v>
      </c>
    </row>
    <row r="4080" spans="1:8" hidden="1" x14ac:dyDescent="0.35">
      <c r="A4080" s="29" t="s">
        <v>40</v>
      </c>
      <c r="B4080" s="29" t="str">
        <f t="shared" si="65"/>
        <v>ARI-319</v>
      </c>
      <c r="C4080" s="29" t="str">
        <f t="shared" si="63"/>
        <v xml:space="preserve">PR-ARI-319-000 </v>
      </c>
      <c r="D4080" s="67" t="s">
        <v>11187</v>
      </c>
      <c r="E4080" s="96" t="s">
        <v>62</v>
      </c>
      <c r="F4080" s="29" t="s">
        <v>371</v>
      </c>
      <c r="G4080" s="29"/>
      <c r="H4080" s="103" t="e">
        <f>_xlfn.XLOOKUP(B4080,GM!$Q$5:$Q$756,GM!$J$5:$J$756)</f>
        <v>#N/A</v>
      </c>
    </row>
    <row r="4081" spans="1:8" hidden="1" x14ac:dyDescent="0.35">
      <c r="A4081" s="29" t="s">
        <v>40</v>
      </c>
      <c r="B4081" s="29" t="str">
        <f t="shared" si="65"/>
        <v>ARI-319</v>
      </c>
      <c r="C4081" s="29" t="str">
        <f t="shared" si="63"/>
        <v xml:space="preserve">PR-ARI-319-001 </v>
      </c>
      <c r="D4081" s="67" t="s">
        <v>11188</v>
      </c>
      <c r="E4081" s="96" t="s">
        <v>62</v>
      </c>
      <c r="F4081" s="29" t="s">
        <v>371</v>
      </c>
      <c r="G4081" s="29"/>
      <c r="H4081" s="103" t="e">
        <f>_xlfn.XLOOKUP(B4081,GM!$Q$5:$Q$756,GM!$J$5:$J$756)</f>
        <v>#N/A</v>
      </c>
    </row>
    <row r="4082" spans="1:8" hidden="1" x14ac:dyDescent="0.35">
      <c r="A4082" s="29" t="s">
        <v>40</v>
      </c>
      <c r="B4082" s="29" t="str">
        <f t="shared" si="65"/>
        <v>ARI-319</v>
      </c>
      <c r="C4082" s="29" t="str">
        <f t="shared" si="63"/>
        <v xml:space="preserve">PR-ARI-319-002 </v>
      </c>
      <c r="D4082" s="67" t="s">
        <v>11189</v>
      </c>
      <c r="E4082" s="96" t="s">
        <v>62</v>
      </c>
      <c r="F4082" s="29" t="s">
        <v>371</v>
      </c>
      <c r="G4082" s="29"/>
      <c r="H4082" s="103" t="e">
        <f>_xlfn.XLOOKUP(B4082,GM!$Q$5:$Q$756,GM!$J$5:$J$756)</f>
        <v>#N/A</v>
      </c>
    </row>
    <row r="4083" spans="1:8" hidden="1" x14ac:dyDescent="0.35">
      <c r="A4083" s="29" t="s">
        <v>40</v>
      </c>
      <c r="B4083" s="29" t="str">
        <f t="shared" si="65"/>
        <v>ARI-319</v>
      </c>
      <c r="C4083" s="29" t="str">
        <f t="shared" si="63"/>
        <v xml:space="preserve">PR-ARI-319-003 </v>
      </c>
      <c r="D4083" s="67" t="s">
        <v>11190</v>
      </c>
      <c r="E4083" s="96" t="s">
        <v>62</v>
      </c>
      <c r="F4083" s="29" t="s">
        <v>371</v>
      </c>
      <c r="G4083" s="29"/>
      <c r="H4083" s="103" t="e">
        <f>_xlfn.XLOOKUP(B4083,GM!$Q$5:$Q$756,GM!$J$5:$J$756)</f>
        <v>#N/A</v>
      </c>
    </row>
    <row r="4084" spans="1:8" hidden="1" x14ac:dyDescent="0.35">
      <c r="A4084" s="29" t="s">
        <v>11191</v>
      </c>
      <c r="B4084" s="29" t="str">
        <f t="shared" si="65"/>
        <v>COG-12</v>
      </c>
      <c r="C4084" s="29" t="s">
        <v>11192</v>
      </c>
      <c r="D4084" s="67" t="s">
        <v>11193</v>
      </c>
      <c r="E4084" s="96" t="s">
        <v>62</v>
      </c>
      <c r="F4084" s="29" t="s">
        <v>371</v>
      </c>
      <c r="G4084" s="29"/>
      <c r="H4084" s="103">
        <f>_xlfn.XLOOKUP(B4084,GM!$Q$5:$Q$756,GM!$J$5:$J$756)</f>
        <v>45595</v>
      </c>
    </row>
    <row r="4085" spans="1:8" hidden="1" x14ac:dyDescent="0.35">
      <c r="A4085" s="29" t="s">
        <v>20</v>
      </c>
      <c r="B4085" s="29" t="str">
        <f t="shared" si="65"/>
        <v>ROS-24</v>
      </c>
      <c r="C4085" s="29" t="s">
        <v>11194</v>
      </c>
      <c r="D4085" s="67" t="s">
        <v>11195</v>
      </c>
      <c r="E4085" s="96" t="s">
        <v>62</v>
      </c>
      <c r="F4085" s="29" t="s">
        <v>61</v>
      </c>
      <c r="G4085" s="29"/>
      <c r="H4085" s="103">
        <f>_xlfn.XLOOKUP(B4085,GM!$Q$5:$Q$756,GM!$J$5:$J$756)</f>
        <v>44739</v>
      </c>
    </row>
    <row r="4086" spans="1:8" hidden="1" x14ac:dyDescent="0.35">
      <c r="A4086" s="29" t="s">
        <v>20</v>
      </c>
      <c r="B4086" s="29" t="str">
        <f t="shared" ref="B4086:B4149" si="66">IF(OR(A4086="ARN",A4086="SDP"),MID(C4086,4,7),MID(C4086,4,6))</f>
        <v>ROS-24</v>
      </c>
      <c r="C4086" s="29" t="s">
        <v>11196</v>
      </c>
      <c r="D4086" s="67" t="s">
        <v>11197</v>
      </c>
      <c r="E4086" s="96" t="s">
        <v>62</v>
      </c>
      <c r="F4086" s="29" t="s">
        <v>61</v>
      </c>
      <c r="G4086" s="29"/>
      <c r="H4086" s="103">
        <f>_xlfn.XLOOKUP(B4086,GM!$Q$5:$Q$756,GM!$J$5:$J$756)</f>
        <v>44739</v>
      </c>
    </row>
    <row r="4087" spans="1:8" hidden="1" x14ac:dyDescent="0.35">
      <c r="A4087" s="29" t="s">
        <v>20</v>
      </c>
      <c r="B4087" s="29" t="str">
        <f t="shared" si="66"/>
        <v>ROS-24</v>
      </c>
      <c r="C4087" s="29" t="s">
        <v>11198</v>
      </c>
      <c r="D4087" s="67" t="s">
        <v>11199</v>
      </c>
      <c r="E4087" s="96" t="s">
        <v>62</v>
      </c>
      <c r="F4087" s="29" t="s">
        <v>61</v>
      </c>
      <c r="G4087" s="29"/>
      <c r="H4087" s="103">
        <f>_xlfn.XLOOKUP(B4087,GM!$Q$5:$Q$756,GM!$J$5:$J$756)</f>
        <v>44739</v>
      </c>
    </row>
    <row r="4088" spans="1:8" hidden="1" x14ac:dyDescent="0.35">
      <c r="A4088" s="29" t="s">
        <v>20</v>
      </c>
      <c r="B4088" s="29" t="str">
        <f t="shared" si="66"/>
        <v>ROS-24</v>
      </c>
      <c r="C4088" s="29" t="s">
        <v>11200</v>
      </c>
      <c r="D4088" s="67" t="s">
        <v>11201</v>
      </c>
      <c r="E4088" s="96" t="s">
        <v>62</v>
      </c>
      <c r="F4088" s="29" t="s">
        <v>61</v>
      </c>
      <c r="G4088" s="29"/>
      <c r="H4088" s="103">
        <f>_xlfn.XLOOKUP(B4088,GM!$Q$5:$Q$756,GM!$J$5:$J$756)</f>
        <v>44739</v>
      </c>
    </row>
    <row r="4089" spans="1:8" hidden="1" x14ac:dyDescent="0.35">
      <c r="A4089" s="29" t="s">
        <v>20</v>
      </c>
      <c r="B4089" s="29" t="str">
        <f t="shared" si="66"/>
        <v>ROS-24</v>
      </c>
      <c r="C4089" s="29" t="s">
        <v>11202</v>
      </c>
      <c r="D4089" s="67" t="s">
        <v>11203</v>
      </c>
      <c r="E4089" s="96" t="s">
        <v>62</v>
      </c>
      <c r="F4089" s="29" t="s">
        <v>61</v>
      </c>
      <c r="G4089" s="29"/>
      <c r="H4089" s="103">
        <f>_xlfn.XLOOKUP(B4089,GM!$Q$5:$Q$756,GM!$J$5:$J$756)</f>
        <v>44739</v>
      </c>
    </row>
    <row r="4090" spans="1:8" hidden="1" x14ac:dyDescent="0.35">
      <c r="A4090" s="29" t="s">
        <v>41</v>
      </c>
      <c r="B4090" s="29" t="str">
        <f t="shared" si="66"/>
        <v>SDP-609</v>
      </c>
      <c r="C4090" s="29" t="s">
        <v>11204</v>
      </c>
      <c r="D4090" s="67" t="s">
        <v>11205</v>
      </c>
      <c r="E4090" s="96" t="s">
        <v>62</v>
      </c>
      <c r="F4090" s="29" t="s">
        <v>371</v>
      </c>
      <c r="G4090" s="29"/>
      <c r="H4090" s="103">
        <f>_xlfn.XLOOKUP(B4090,GM!$Q$5:$Q$756,GM!$J$5:$J$756)</f>
        <v>45645</v>
      </c>
    </row>
    <row r="4091" spans="1:8" hidden="1" x14ac:dyDescent="0.35">
      <c r="A4091" s="29" t="s">
        <v>41</v>
      </c>
      <c r="B4091" s="29" t="str">
        <f t="shared" si="66"/>
        <v>SDP-609</v>
      </c>
      <c r="C4091" s="29" t="s">
        <v>11206</v>
      </c>
      <c r="D4091" s="67" t="s">
        <v>11207</v>
      </c>
      <c r="E4091" s="96" t="s">
        <v>62</v>
      </c>
      <c r="F4091" s="29" t="s">
        <v>371</v>
      </c>
      <c r="G4091" s="29"/>
      <c r="H4091" s="103">
        <f>_xlfn.XLOOKUP(B4091,GM!$Q$5:$Q$756,GM!$J$5:$J$756)</f>
        <v>45645</v>
      </c>
    </row>
    <row r="4092" spans="1:8" hidden="1" x14ac:dyDescent="0.35">
      <c r="A4092" s="29" t="s">
        <v>41</v>
      </c>
      <c r="B4092" s="29" t="str">
        <f t="shared" si="66"/>
        <v>SDP-609</v>
      </c>
      <c r="C4092" s="29" t="s">
        <v>11208</v>
      </c>
      <c r="D4092" s="67" t="s">
        <v>11209</v>
      </c>
      <c r="E4092" s="96" t="s">
        <v>62</v>
      </c>
      <c r="F4092" s="29" t="s">
        <v>371</v>
      </c>
      <c r="G4092" s="29"/>
      <c r="H4092" s="103">
        <f>_xlfn.XLOOKUP(B4092,GM!$Q$5:$Q$756,GM!$J$5:$J$756)</f>
        <v>45645</v>
      </c>
    </row>
    <row r="4093" spans="1:8" hidden="1" x14ac:dyDescent="0.35">
      <c r="A4093" s="29" t="s">
        <v>41</v>
      </c>
      <c r="B4093" s="29" t="str">
        <f t="shared" si="66"/>
        <v>SDP-609</v>
      </c>
      <c r="C4093" s="29" t="s">
        <v>11210</v>
      </c>
      <c r="D4093" s="67" t="s">
        <v>11211</v>
      </c>
      <c r="E4093" s="96" t="s">
        <v>62</v>
      </c>
      <c r="F4093" s="29" t="s">
        <v>371</v>
      </c>
      <c r="G4093" s="29"/>
      <c r="H4093" s="103">
        <f>_xlfn.XLOOKUP(B4093,GM!$Q$5:$Q$756,GM!$J$5:$J$756)</f>
        <v>45645</v>
      </c>
    </row>
    <row r="4094" spans="1:8" hidden="1" x14ac:dyDescent="0.35">
      <c r="A4094" s="29" t="s">
        <v>41</v>
      </c>
      <c r="B4094" s="29" t="str">
        <f t="shared" si="66"/>
        <v>SDP-609</v>
      </c>
      <c r="C4094" s="29" t="s">
        <v>11212</v>
      </c>
      <c r="D4094" s="67" t="s">
        <v>11213</v>
      </c>
      <c r="E4094" s="96" t="s">
        <v>62</v>
      </c>
      <c r="F4094" s="29" t="s">
        <v>371</v>
      </c>
      <c r="G4094" s="29"/>
      <c r="H4094" s="103">
        <f>_xlfn.XLOOKUP(B4094,GM!$Q$5:$Q$756,GM!$J$5:$J$756)</f>
        <v>45645</v>
      </c>
    </row>
    <row r="4095" spans="1:8" hidden="1" x14ac:dyDescent="0.35">
      <c r="A4095" s="29" t="s">
        <v>41</v>
      </c>
      <c r="B4095" s="29" t="str">
        <f t="shared" si="66"/>
        <v>SDP-609</v>
      </c>
      <c r="C4095" s="29" t="s">
        <v>11214</v>
      </c>
      <c r="D4095" s="67" t="s">
        <v>11215</v>
      </c>
      <c r="E4095" s="96" t="s">
        <v>62</v>
      </c>
      <c r="F4095" s="29" t="s">
        <v>371</v>
      </c>
      <c r="G4095" s="29"/>
      <c r="H4095" s="103">
        <f>_xlfn.XLOOKUP(B4095,GM!$Q$5:$Q$756,GM!$J$5:$J$756)</f>
        <v>45645</v>
      </c>
    </row>
    <row r="4096" spans="1:8" hidden="1" x14ac:dyDescent="0.35">
      <c r="A4096" s="29" t="s">
        <v>41</v>
      </c>
      <c r="B4096" s="29" t="str">
        <f t="shared" si="66"/>
        <v>SDP-609</v>
      </c>
      <c r="C4096" s="29" t="s">
        <v>11216</v>
      </c>
      <c r="D4096" s="67" t="s">
        <v>11217</v>
      </c>
      <c r="E4096" s="96" t="s">
        <v>62</v>
      </c>
      <c r="F4096" s="29" t="s">
        <v>371</v>
      </c>
      <c r="G4096" s="29"/>
      <c r="H4096" s="103">
        <f>_xlfn.XLOOKUP(B4096,GM!$Q$5:$Q$756,GM!$J$5:$J$756)</f>
        <v>45645</v>
      </c>
    </row>
    <row r="4097" spans="1:8" hidden="1" x14ac:dyDescent="0.35">
      <c r="A4097" s="29" t="s">
        <v>41</v>
      </c>
      <c r="B4097" s="29" t="str">
        <f t="shared" si="66"/>
        <v>SDP-609</v>
      </c>
      <c r="C4097" s="29" t="s">
        <v>11218</v>
      </c>
      <c r="D4097" s="67" t="s">
        <v>11219</v>
      </c>
      <c r="E4097" s="96" t="s">
        <v>62</v>
      </c>
      <c r="F4097" s="29" t="s">
        <v>371</v>
      </c>
      <c r="G4097" s="29"/>
      <c r="H4097" s="103">
        <f>_xlfn.XLOOKUP(B4097,GM!$Q$5:$Q$756,GM!$J$5:$J$756)</f>
        <v>45645</v>
      </c>
    </row>
    <row r="4098" spans="1:8" hidden="1" x14ac:dyDescent="0.35">
      <c r="A4098" s="29" t="s">
        <v>41</v>
      </c>
      <c r="B4098" s="29" t="str">
        <f t="shared" si="66"/>
        <v>SDP-609</v>
      </c>
      <c r="C4098" s="29" t="s">
        <v>11220</v>
      </c>
      <c r="D4098" s="67" t="s">
        <v>11221</v>
      </c>
      <c r="E4098" s="96" t="s">
        <v>62</v>
      </c>
      <c r="F4098" s="29" t="s">
        <v>371</v>
      </c>
      <c r="G4098" s="29"/>
      <c r="H4098" s="103">
        <f>_xlfn.XLOOKUP(B4098,GM!$Q$5:$Q$756,GM!$J$5:$J$756)</f>
        <v>45645</v>
      </c>
    </row>
    <row r="4099" spans="1:8" hidden="1" x14ac:dyDescent="0.35">
      <c r="A4099" s="29" t="s">
        <v>41</v>
      </c>
      <c r="B4099" s="29" t="str">
        <f t="shared" si="66"/>
        <v>SDP-609</v>
      </c>
      <c r="C4099" s="29" t="s">
        <v>11222</v>
      </c>
      <c r="D4099" s="67" t="s">
        <v>11223</v>
      </c>
      <c r="E4099" s="96" t="s">
        <v>62</v>
      </c>
      <c r="F4099" s="29" t="s">
        <v>371</v>
      </c>
      <c r="G4099" s="29"/>
      <c r="H4099" s="103">
        <f>_xlfn.XLOOKUP(B4099,GM!$Q$5:$Q$756,GM!$J$5:$J$756)</f>
        <v>45645</v>
      </c>
    </row>
    <row r="4100" spans="1:8" hidden="1" x14ac:dyDescent="0.35">
      <c r="A4100" s="29" t="s">
        <v>41</v>
      </c>
      <c r="B4100" s="29" t="str">
        <f t="shared" si="66"/>
        <v>SDP-624</v>
      </c>
      <c r="C4100" s="29" t="s">
        <v>11224</v>
      </c>
      <c r="D4100" s="67" t="s">
        <v>11225</v>
      </c>
      <c r="E4100" s="96" t="s">
        <v>62</v>
      </c>
      <c r="F4100" s="29" t="s">
        <v>371</v>
      </c>
      <c r="G4100" s="29"/>
      <c r="H4100" s="103">
        <f>_xlfn.XLOOKUP(B4100,GM!$Q$5:$Q$756,GM!$J$5:$J$756)</f>
        <v>45645</v>
      </c>
    </row>
    <row r="4101" spans="1:8" hidden="1" x14ac:dyDescent="0.35">
      <c r="A4101" s="29" t="s">
        <v>41</v>
      </c>
      <c r="B4101" s="29" t="str">
        <f t="shared" si="66"/>
        <v>SDP-627</v>
      </c>
      <c r="C4101" s="29" t="s">
        <v>11226</v>
      </c>
      <c r="D4101" s="67" t="s">
        <v>11227</v>
      </c>
      <c r="E4101" s="96" t="s">
        <v>62</v>
      </c>
      <c r="F4101" s="29" t="s">
        <v>371</v>
      </c>
      <c r="G4101" s="29" t="s">
        <v>61</v>
      </c>
      <c r="H4101" s="103">
        <f>_xlfn.XLOOKUP(B4101,GM!$Q$5:$Q$756,GM!$J$5:$J$756)</f>
        <v>45645</v>
      </c>
    </row>
    <row r="4102" spans="1:8" hidden="1" x14ac:dyDescent="0.35">
      <c r="A4102" s="29" t="s">
        <v>41</v>
      </c>
      <c r="B4102" s="29" t="str">
        <f t="shared" si="66"/>
        <v>SDP-660</v>
      </c>
      <c r="C4102" s="29" t="s">
        <v>11228</v>
      </c>
      <c r="D4102" s="67" t="s">
        <v>11229</v>
      </c>
      <c r="E4102" s="96" t="s">
        <v>62</v>
      </c>
      <c r="F4102" s="29" t="s">
        <v>371</v>
      </c>
      <c r="G4102" s="29"/>
      <c r="H4102" s="103">
        <f>_xlfn.XLOOKUP(B4102,GM!$Q$5:$Q$756,GM!$J$5:$J$756)</f>
        <v>45645</v>
      </c>
    </row>
    <row r="4103" spans="1:8" hidden="1" x14ac:dyDescent="0.35">
      <c r="A4103" s="29" t="s">
        <v>41</v>
      </c>
      <c r="B4103" s="29" t="str">
        <f t="shared" si="66"/>
        <v>SDP-684</v>
      </c>
      <c r="C4103" s="29" t="s">
        <v>11230</v>
      </c>
      <c r="D4103" s="67" t="s">
        <v>11231</v>
      </c>
      <c r="E4103" s="96" t="s">
        <v>62</v>
      </c>
      <c r="F4103" s="29" t="s">
        <v>371</v>
      </c>
      <c r="G4103" s="29"/>
      <c r="H4103" s="103" t="e">
        <f>_xlfn.XLOOKUP(B4103,GM!$Q$5:$Q$756,GM!$J$5:$J$756)</f>
        <v>#N/A</v>
      </c>
    </row>
    <row r="4104" spans="1:8" hidden="1" x14ac:dyDescent="0.35">
      <c r="A4104" s="29" t="s">
        <v>23</v>
      </c>
      <c r="B4104" s="29" t="str">
        <f t="shared" si="66"/>
        <v>ILS-87</v>
      </c>
      <c r="C4104" s="29" t="s">
        <v>11232</v>
      </c>
      <c r="D4104" s="67" t="s">
        <v>11233</v>
      </c>
      <c r="E4104" s="96" t="s">
        <v>62</v>
      </c>
      <c r="F4104" s="29" t="s">
        <v>61</v>
      </c>
      <c r="G4104" s="29" t="s">
        <v>61</v>
      </c>
      <c r="H4104" s="103">
        <f>_xlfn.XLOOKUP(B4104,GM!$Q$5:$Q$756,GM!$J$5:$J$756)</f>
        <v>45531</v>
      </c>
    </row>
    <row r="4105" spans="1:8" hidden="1" x14ac:dyDescent="0.35">
      <c r="A4105" s="29" t="s">
        <v>19</v>
      </c>
      <c r="B4105" s="29" t="str">
        <f t="shared" si="66"/>
        <v>TAQ-08</v>
      </c>
      <c r="C4105" s="29" t="s">
        <v>11234</v>
      </c>
      <c r="D4105" s="67" t="s">
        <v>11235</v>
      </c>
      <c r="E4105" s="96" t="s">
        <v>62</v>
      </c>
      <c r="F4105" s="29" t="s">
        <v>371</v>
      </c>
      <c r="G4105" s="29"/>
      <c r="H4105" s="103">
        <f>_xlfn.XLOOKUP(B4105,GM!$Q$5:$Q$756,GM!$J$5:$J$756)</f>
        <v>45645</v>
      </c>
    </row>
    <row r="4106" spans="1:8" hidden="1" x14ac:dyDescent="0.35">
      <c r="A4106" s="29" t="s">
        <v>19</v>
      </c>
      <c r="B4106" s="29" t="str">
        <f t="shared" si="66"/>
        <v>TAQ-08</v>
      </c>
      <c r="C4106" s="29" t="s">
        <v>11236</v>
      </c>
      <c r="D4106" s="67" t="s">
        <v>11237</v>
      </c>
      <c r="E4106" s="96" t="s">
        <v>62</v>
      </c>
      <c r="F4106" s="29" t="s">
        <v>371</v>
      </c>
      <c r="G4106" s="29"/>
      <c r="H4106" s="103">
        <f>_xlfn.XLOOKUP(B4106,GM!$Q$5:$Q$756,GM!$J$5:$J$756)</f>
        <v>45645</v>
      </c>
    </row>
    <row r="4107" spans="1:8" hidden="1" x14ac:dyDescent="0.35">
      <c r="A4107" s="29" t="s">
        <v>19</v>
      </c>
      <c r="B4107" s="29" t="str">
        <f t="shared" si="66"/>
        <v>TAQ-08</v>
      </c>
      <c r="C4107" s="29" t="s">
        <v>11238</v>
      </c>
      <c r="D4107" s="67" t="s">
        <v>11239</v>
      </c>
      <c r="E4107" s="96" t="s">
        <v>62</v>
      </c>
      <c r="F4107" s="29" t="s">
        <v>371</v>
      </c>
      <c r="G4107" s="29"/>
      <c r="H4107" s="103">
        <f>_xlfn.XLOOKUP(B4107,GM!$Q$5:$Q$756,GM!$J$5:$J$756)</f>
        <v>45645</v>
      </c>
    </row>
    <row r="4108" spans="1:8" hidden="1" x14ac:dyDescent="0.35">
      <c r="A4108" s="29" t="s">
        <v>19</v>
      </c>
      <c r="B4108" s="29" t="str">
        <f t="shared" si="66"/>
        <v>TAQ-08</v>
      </c>
      <c r="C4108" s="29" t="s">
        <v>11240</v>
      </c>
      <c r="D4108" s="67" t="s">
        <v>11241</v>
      </c>
      <c r="E4108" s="96" t="s">
        <v>62</v>
      </c>
      <c r="F4108" s="29" t="s">
        <v>371</v>
      </c>
      <c r="G4108" s="29"/>
      <c r="H4108" s="103">
        <f>_xlfn.XLOOKUP(B4108,GM!$Q$5:$Q$756,GM!$J$5:$J$756)</f>
        <v>45645</v>
      </c>
    </row>
    <row r="4109" spans="1:8" hidden="1" x14ac:dyDescent="0.35">
      <c r="A4109" s="29" t="s">
        <v>19</v>
      </c>
      <c r="B4109" s="29" t="str">
        <f t="shared" si="66"/>
        <v>TAQ-08</v>
      </c>
      <c r="C4109" s="29" t="s">
        <v>11242</v>
      </c>
      <c r="D4109" s="67" t="s">
        <v>11243</v>
      </c>
      <c r="E4109" s="96" t="s">
        <v>62</v>
      </c>
      <c r="F4109" s="29" t="s">
        <v>371</v>
      </c>
      <c r="G4109" s="29"/>
      <c r="H4109" s="103">
        <f>_xlfn.XLOOKUP(B4109,GM!$Q$5:$Q$756,GM!$J$5:$J$756)</f>
        <v>45645</v>
      </c>
    </row>
    <row r="4110" spans="1:8" hidden="1" x14ac:dyDescent="0.35">
      <c r="A4110" s="29" t="s">
        <v>14</v>
      </c>
      <c r="B4110" s="29" t="str">
        <f t="shared" si="66"/>
        <v>CHV-24</v>
      </c>
      <c r="C4110" s="29" t="s">
        <v>11244</v>
      </c>
      <c r="D4110" s="67" t="s">
        <v>11245</v>
      </c>
      <c r="E4110" s="96" t="s">
        <v>62</v>
      </c>
      <c r="F4110" s="29" t="s">
        <v>371</v>
      </c>
      <c r="G4110" s="29"/>
      <c r="H4110" s="103">
        <f>_xlfn.XLOOKUP(B4110,GM!$Q$5:$Q$756,GM!$J$5:$J$756)</f>
        <v>44739</v>
      </c>
    </row>
    <row r="4111" spans="1:8" hidden="1" x14ac:dyDescent="0.35">
      <c r="A4111" s="29" t="s">
        <v>14</v>
      </c>
      <c r="B4111" s="29" t="str">
        <f t="shared" si="66"/>
        <v>CHV-24</v>
      </c>
      <c r="C4111" s="29" t="s">
        <v>11246</v>
      </c>
      <c r="D4111" s="67" t="s">
        <v>11247</v>
      </c>
      <c r="E4111" s="96" t="s">
        <v>62</v>
      </c>
      <c r="F4111" s="29" t="s">
        <v>371</v>
      </c>
      <c r="G4111" s="29"/>
      <c r="H4111" s="103">
        <f>_xlfn.XLOOKUP(B4111,GM!$Q$5:$Q$756,GM!$J$5:$J$756)</f>
        <v>44739</v>
      </c>
    </row>
    <row r="4112" spans="1:8" hidden="1" x14ac:dyDescent="0.35">
      <c r="A4112" s="29" t="s">
        <v>14</v>
      </c>
      <c r="B4112" s="29" t="str">
        <f t="shared" si="66"/>
        <v>CHV-24</v>
      </c>
      <c r="C4112" s="29" t="s">
        <v>11248</v>
      </c>
      <c r="D4112" s="67" t="s">
        <v>11249</v>
      </c>
      <c r="E4112" s="96" t="s">
        <v>62</v>
      </c>
      <c r="F4112" s="29" t="s">
        <v>371</v>
      </c>
      <c r="G4112" s="29"/>
      <c r="H4112" s="103">
        <f>_xlfn.XLOOKUP(B4112,GM!$Q$5:$Q$756,GM!$J$5:$J$756)</f>
        <v>44739</v>
      </c>
    </row>
    <row r="4113" spans="1:8" hidden="1" x14ac:dyDescent="0.35">
      <c r="A4113" s="29" t="s">
        <v>14</v>
      </c>
      <c r="B4113" s="29" t="str">
        <f t="shared" si="66"/>
        <v>CHV-24</v>
      </c>
      <c r="C4113" s="29" t="s">
        <v>11250</v>
      </c>
      <c r="D4113" s="67" t="s">
        <v>11251</v>
      </c>
      <c r="E4113" s="96" t="s">
        <v>62</v>
      </c>
      <c r="F4113" s="29" t="s">
        <v>371</v>
      </c>
      <c r="G4113" s="29"/>
      <c r="H4113" s="103">
        <f>_xlfn.XLOOKUP(B4113,GM!$Q$5:$Q$756,GM!$J$5:$J$756)</f>
        <v>44739</v>
      </c>
    </row>
    <row r="4114" spans="1:8" hidden="1" x14ac:dyDescent="0.35">
      <c r="A4114" s="29" t="s">
        <v>14</v>
      </c>
      <c r="B4114" s="29" t="str">
        <f t="shared" si="66"/>
        <v>CHV-24</v>
      </c>
      <c r="C4114" s="29" t="s">
        <v>11252</v>
      </c>
      <c r="D4114" s="67" t="s">
        <v>11253</v>
      </c>
      <c r="E4114" s="96" t="s">
        <v>62</v>
      </c>
      <c r="F4114" s="29" t="s">
        <v>371</v>
      </c>
      <c r="G4114" s="29"/>
      <c r="H4114" s="103">
        <f>_xlfn.XLOOKUP(B4114,GM!$Q$5:$Q$756,GM!$J$5:$J$756)</f>
        <v>44739</v>
      </c>
    </row>
    <row r="4115" spans="1:8" hidden="1" x14ac:dyDescent="0.35">
      <c r="A4115" s="29" t="s">
        <v>16</v>
      </c>
      <c r="B4115" s="29" t="str">
        <f t="shared" si="66"/>
        <v>CN1-24</v>
      </c>
      <c r="C4115" s="29" t="s">
        <v>11254</v>
      </c>
      <c r="D4115" s="67" t="s">
        <v>11255</v>
      </c>
      <c r="E4115" s="96" t="s">
        <v>62</v>
      </c>
      <c r="F4115" s="29" t="s">
        <v>371</v>
      </c>
      <c r="G4115" s="29"/>
      <c r="H4115" s="103">
        <f>_xlfn.XLOOKUP(B4115,GM!$Q$5:$Q$756,GM!$J$5:$J$756)</f>
        <v>44739</v>
      </c>
    </row>
    <row r="4116" spans="1:8" hidden="1" x14ac:dyDescent="0.35">
      <c r="A4116" s="29" t="s">
        <v>16</v>
      </c>
      <c r="B4116" s="29" t="str">
        <f t="shared" si="66"/>
        <v>CN1-24</v>
      </c>
      <c r="C4116" s="29" t="s">
        <v>11256</v>
      </c>
      <c r="D4116" s="67" t="s">
        <v>11257</v>
      </c>
      <c r="E4116" s="96" t="s">
        <v>62</v>
      </c>
      <c r="F4116" s="29" t="s">
        <v>371</v>
      </c>
      <c r="G4116" s="29"/>
      <c r="H4116" s="103">
        <f>_xlfn.XLOOKUP(B4116,GM!$Q$5:$Q$756,GM!$J$5:$J$756)</f>
        <v>44739</v>
      </c>
    </row>
    <row r="4117" spans="1:8" hidden="1" x14ac:dyDescent="0.35">
      <c r="A4117" s="29" t="s">
        <v>16</v>
      </c>
      <c r="B4117" s="29" t="str">
        <f t="shared" si="66"/>
        <v>CN1-24</v>
      </c>
      <c r="C4117" s="29" t="s">
        <v>11258</v>
      </c>
      <c r="D4117" s="67" t="s">
        <v>11259</v>
      </c>
      <c r="E4117" s="96" t="s">
        <v>62</v>
      </c>
      <c r="F4117" s="29" t="s">
        <v>371</v>
      </c>
      <c r="G4117" s="29"/>
      <c r="H4117" s="103">
        <f>_xlfn.XLOOKUP(B4117,GM!$Q$5:$Q$756,GM!$J$5:$J$756)</f>
        <v>44739</v>
      </c>
    </row>
    <row r="4118" spans="1:8" hidden="1" x14ac:dyDescent="0.35">
      <c r="A4118" s="29" t="s">
        <v>16</v>
      </c>
      <c r="B4118" s="29" t="str">
        <f t="shared" si="66"/>
        <v>CN1-24</v>
      </c>
      <c r="C4118" s="29" t="s">
        <v>11260</v>
      </c>
      <c r="D4118" s="67" t="s">
        <v>11261</v>
      </c>
      <c r="E4118" s="96" t="s">
        <v>62</v>
      </c>
      <c r="F4118" s="29" t="s">
        <v>371</v>
      </c>
      <c r="G4118" s="29"/>
      <c r="H4118" s="103">
        <f>_xlfn.XLOOKUP(B4118,GM!$Q$5:$Q$756,GM!$J$5:$J$756)</f>
        <v>44739</v>
      </c>
    </row>
    <row r="4119" spans="1:8" hidden="1" x14ac:dyDescent="0.35">
      <c r="A4119" s="29" t="s">
        <v>16</v>
      </c>
      <c r="B4119" s="29" t="str">
        <f t="shared" si="66"/>
        <v>CN1-24</v>
      </c>
      <c r="C4119" s="29" t="s">
        <v>11262</v>
      </c>
      <c r="D4119" s="67" t="s">
        <v>11263</v>
      </c>
      <c r="E4119" s="96" t="s">
        <v>62</v>
      </c>
      <c r="F4119" s="29" t="s">
        <v>371</v>
      </c>
      <c r="G4119" s="29"/>
      <c r="H4119" s="103">
        <f>_xlfn.XLOOKUP(B4119,GM!$Q$5:$Q$756,GM!$J$5:$J$756)</f>
        <v>44739</v>
      </c>
    </row>
    <row r="4120" spans="1:8" hidden="1" x14ac:dyDescent="0.35">
      <c r="A4120" s="29" t="s">
        <v>17</v>
      </c>
      <c r="B4120" s="29" t="str">
        <f t="shared" si="66"/>
        <v>CN2-24</v>
      </c>
      <c r="C4120" s="29" t="s">
        <v>11264</v>
      </c>
      <c r="D4120" s="67" t="s">
        <v>11265</v>
      </c>
      <c r="E4120" s="96" t="s">
        <v>62</v>
      </c>
      <c r="F4120" s="29" t="s">
        <v>371</v>
      </c>
      <c r="G4120" s="29"/>
      <c r="H4120" s="103">
        <f>_xlfn.XLOOKUP(B4120,GM!$Q$5:$Q$756,GM!$J$5:$J$756)</f>
        <v>44739</v>
      </c>
    </row>
    <row r="4121" spans="1:8" hidden="1" x14ac:dyDescent="0.35">
      <c r="A4121" s="29" t="s">
        <v>17</v>
      </c>
      <c r="B4121" s="29" t="str">
        <f t="shared" si="66"/>
        <v>CN2-24</v>
      </c>
      <c r="C4121" s="29" t="s">
        <v>11266</v>
      </c>
      <c r="D4121" s="67" t="s">
        <v>11267</v>
      </c>
      <c r="E4121" s="96" t="s">
        <v>62</v>
      </c>
      <c r="F4121" s="29" t="s">
        <v>371</v>
      </c>
      <c r="G4121" s="29"/>
      <c r="H4121" s="103">
        <f>_xlfn.XLOOKUP(B4121,GM!$Q$5:$Q$756,GM!$J$5:$J$756)</f>
        <v>44739</v>
      </c>
    </row>
    <row r="4122" spans="1:8" hidden="1" x14ac:dyDescent="0.35">
      <c r="A4122" s="29" t="s">
        <v>17</v>
      </c>
      <c r="B4122" s="29" t="str">
        <f t="shared" si="66"/>
        <v>CN2-24</v>
      </c>
      <c r="C4122" s="29" t="s">
        <v>11268</v>
      </c>
      <c r="D4122" s="67" t="s">
        <v>11269</v>
      </c>
      <c r="E4122" s="96" t="s">
        <v>62</v>
      </c>
      <c r="F4122" s="29" t="s">
        <v>371</v>
      </c>
      <c r="G4122" s="29"/>
      <c r="H4122" s="103">
        <f>_xlfn.XLOOKUP(B4122,GM!$Q$5:$Q$756,GM!$J$5:$J$756)</f>
        <v>44739</v>
      </c>
    </row>
    <row r="4123" spans="1:8" hidden="1" x14ac:dyDescent="0.35">
      <c r="A4123" s="29" t="s">
        <v>17</v>
      </c>
      <c r="B4123" s="29" t="str">
        <f t="shared" si="66"/>
        <v>CN2-24</v>
      </c>
      <c r="C4123" s="29" t="s">
        <v>11270</v>
      </c>
      <c r="D4123" s="67" t="s">
        <v>11271</v>
      </c>
      <c r="E4123" s="96" t="s">
        <v>62</v>
      </c>
      <c r="F4123" s="29" t="s">
        <v>371</v>
      </c>
      <c r="G4123" s="29"/>
      <c r="H4123" s="103">
        <f>_xlfn.XLOOKUP(B4123,GM!$Q$5:$Q$756,GM!$J$5:$J$756)</f>
        <v>44739</v>
      </c>
    </row>
    <row r="4124" spans="1:8" hidden="1" x14ac:dyDescent="0.35">
      <c r="A4124" s="29" t="s">
        <v>17</v>
      </c>
      <c r="B4124" s="29" t="str">
        <f t="shared" si="66"/>
        <v>CN2-24</v>
      </c>
      <c r="C4124" s="29" t="s">
        <v>11272</v>
      </c>
      <c r="D4124" s="67" t="s">
        <v>11273</v>
      </c>
      <c r="E4124" s="96" t="s">
        <v>62</v>
      </c>
      <c r="F4124" s="29" t="s">
        <v>371</v>
      </c>
      <c r="G4124" s="29"/>
      <c r="H4124" s="103">
        <f>_xlfn.XLOOKUP(B4124,GM!$Q$5:$Q$756,GM!$J$5:$J$756)</f>
        <v>44739</v>
      </c>
    </row>
    <row r="4125" spans="1:8" hidden="1" x14ac:dyDescent="0.35">
      <c r="A4125" s="29" t="s">
        <v>18</v>
      </c>
      <c r="B4125" s="29" t="str">
        <f t="shared" si="66"/>
        <v>CPV-24</v>
      </c>
      <c r="C4125" s="29" t="s">
        <v>11274</v>
      </c>
      <c r="D4125" s="67" t="s">
        <v>11275</v>
      </c>
      <c r="E4125" s="96" t="s">
        <v>62</v>
      </c>
      <c r="F4125" s="29" t="s">
        <v>371</v>
      </c>
      <c r="G4125" s="29"/>
      <c r="H4125" s="103">
        <f>_xlfn.XLOOKUP(B4125,GM!$Q$5:$Q$756,GM!$J$5:$J$756)</f>
        <v>44739</v>
      </c>
    </row>
    <row r="4126" spans="1:8" hidden="1" x14ac:dyDescent="0.35">
      <c r="A4126" s="29" t="s">
        <v>18</v>
      </c>
      <c r="B4126" s="29" t="str">
        <f t="shared" si="66"/>
        <v>CPV-24</v>
      </c>
      <c r="C4126" s="29" t="s">
        <v>11276</v>
      </c>
      <c r="D4126" s="67" t="s">
        <v>11277</v>
      </c>
      <c r="E4126" s="96" t="s">
        <v>62</v>
      </c>
      <c r="F4126" s="29" t="s">
        <v>371</v>
      </c>
      <c r="G4126" s="29"/>
      <c r="H4126" s="103">
        <f>_xlfn.XLOOKUP(B4126,GM!$Q$5:$Q$756,GM!$J$5:$J$756)</f>
        <v>44739</v>
      </c>
    </row>
    <row r="4127" spans="1:8" hidden="1" x14ac:dyDescent="0.35">
      <c r="A4127" s="29" t="s">
        <v>18</v>
      </c>
      <c r="B4127" s="29" t="str">
        <f t="shared" si="66"/>
        <v>CPV-24</v>
      </c>
      <c r="C4127" s="29" t="s">
        <v>11278</v>
      </c>
      <c r="D4127" s="67" t="s">
        <v>11279</v>
      </c>
      <c r="E4127" s="96" t="s">
        <v>62</v>
      </c>
      <c r="F4127" s="29" t="s">
        <v>371</v>
      </c>
      <c r="G4127" s="29"/>
      <c r="H4127" s="103">
        <f>_xlfn.XLOOKUP(B4127,GM!$Q$5:$Q$756,GM!$J$5:$J$756)</f>
        <v>44739</v>
      </c>
    </row>
    <row r="4128" spans="1:8" hidden="1" x14ac:dyDescent="0.35">
      <c r="A4128" s="29" t="s">
        <v>18</v>
      </c>
      <c r="B4128" s="29" t="str">
        <f t="shared" si="66"/>
        <v>CPV-24</v>
      </c>
      <c r="C4128" s="29" t="s">
        <v>11280</v>
      </c>
      <c r="D4128" s="67" t="s">
        <v>11281</v>
      </c>
      <c r="E4128" s="96" t="s">
        <v>62</v>
      </c>
      <c r="F4128" s="29" t="s">
        <v>371</v>
      </c>
      <c r="G4128" s="29"/>
      <c r="H4128" s="103">
        <f>_xlfn.XLOOKUP(B4128,GM!$Q$5:$Q$756,GM!$J$5:$J$756)</f>
        <v>44739</v>
      </c>
    </row>
    <row r="4129" spans="1:8" hidden="1" x14ac:dyDescent="0.35">
      <c r="A4129" s="29" t="s">
        <v>18</v>
      </c>
      <c r="B4129" s="29" t="str">
        <f t="shared" si="66"/>
        <v>CPV-24</v>
      </c>
      <c r="C4129" s="29" t="s">
        <v>11282</v>
      </c>
      <c r="D4129" s="67" t="s">
        <v>11283</v>
      </c>
      <c r="E4129" s="96" t="s">
        <v>62</v>
      </c>
      <c r="F4129" s="29" t="s">
        <v>371</v>
      </c>
      <c r="G4129" s="29"/>
      <c r="H4129" s="103">
        <f>_xlfn.XLOOKUP(B4129,GM!$Q$5:$Q$756,GM!$J$5:$J$756)</f>
        <v>44739</v>
      </c>
    </row>
    <row r="4130" spans="1:8" hidden="1" x14ac:dyDescent="0.35">
      <c r="A4130" s="29" t="s">
        <v>26</v>
      </c>
      <c r="B4130" s="29" t="str">
        <f t="shared" si="66"/>
        <v>GAR-24</v>
      </c>
      <c r="C4130" s="29" t="s">
        <v>11284</v>
      </c>
      <c r="D4130" s="67" t="s">
        <v>11285</v>
      </c>
      <c r="E4130" s="96" t="s">
        <v>62</v>
      </c>
      <c r="F4130" s="29" t="s">
        <v>371</v>
      </c>
      <c r="G4130" s="29"/>
      <c r="H4130" s="103">
        <f>_xlfn.XLOOKUP(B4130,GM!$Q$5:$Q$756,GM!$J$5:$J$756)</f>
        <v>44739</v>
      </c>
    </row>
    <row r="4131" spans="1:8" hidden="1" x14ac:dyDescent="0.35">
      <c r="A4131" s="29" t="s">
        <v>26</v>
      </c>
      <c r="B4131" s="29" t="str">
        <f t="shared" si="66"/>
        <v>GAR-24</v>
      </c>
      <c r="C4131" s="29" t="s">
        <v>11286</v>
      </c>
      <c r="D4131" s="67" t="s">
        <v>11287</v>
      </c>
      <c r="E4131" s="96" t="s">
        <v>62</v>
      </c>
      <c r="F4131" s="29" t="s">
        <v>371</v>
      </c>
      <c r="G4131" s="29"/>
      <c r="H4131" s="103">
        <f>_xlfn.XLOOKUP(B4131,GM!$Q$5:$Q$756,GM!$J$5:$J$756)</f>
        <v>44739</v>
      </c>
    </row>
    <row r="4132" spans="1:8" hidden="1" x14ac:dyDescent="0.35">
      <c r="A4132" s="29" t="s">
        <v>26</v>
      </c>
      <c r="B4132" s="29" t="str">
        <f t="shared" si="66"/>
        <v>GAR-24</v>
      </c>
      <c r="C4132" s="29" t="s">
        <v>11288</v>
      </c>
      <c r="D4132" s="67" t="s">
        <v>11289</v>
      </c>
      <c r="E4132" s="96" t="s">
        <v>62</v>
      </c>
      <c r="F4132" s="29" t="s">
        <v>371</v>
      </c>
      <c r="G4132" s="29"/>
      <c r="H4132" s="103">
        <f>_xlfn.XLOOKUP(B4132,GM!$Q$5:$Q$756,GM!$J$5:$J$756)</f>
        <v>44739</v>
      </c>
    </row>
    <row r="4133" spans="1:8" hidden="1" x14ac:dyDescent="0.35">
      <c r="A4133" s="29" t="s">
        <v>26</v>
      </c>
      <c r="B4133" s="29" t="str">
        <f t="shared" si="66"/>
        <v>GAR-24</v>
      </c>
      <c r="C4133" s="29" t="s">
        <v>11290</v>
      </c>
      <c r="D4133" s="67" t="s">
        <v>11291</v>
      </c>
      <c r="E4133" s="96" t="s">
        <v>62</v>
      </c>
      <c r="F4133" s="29" t="s">
        <v>371</v>
      </c>
      <c r="G4133" s="29"/>
      <c r="H4133" s="103">
        <f>_xlfn.XLOOKUP(B4133,GM!$Q$5:$Q$756,GM!$J$5:$J$756)</f>
        <v>44739</v>
      </c>
    </row>
    <row r="4134" spans="1:8" hidden="1" x14ac:dyDescent="0.35">
      <c r="A4134" s="29" t="s">
        <v>26</v>
      </c>
      <c r="B4134" s="29" t="str">
        <f t="shared" si="66"/>
        <v>GAR-24</v>
      </c>
      <c r="C4134" s="29" t="s">
        <v>11292</v>
      </c>
      <c r="D4134" s="67" t="s">
        <v>11293</v>
      </c>
      <c r="E4134" s="96" t="s">
        <v>62</v>
      </c>
      <c r="F4134" s="29" t="s">
        <v>371</v>
      </c>
      <c r="G4134" s="29"/>
      <c r="H4134" s="103">
        <f>_xlfn.XLOOKUP(B4134,GM!$Q$5:$Q$756,GM!$J$5:$J$756)</f>
        <v>44739</v>
      </c>
    </row>
    <row r="4135" spans="1:8" hidden="1" x14ac:dyDescent="0.35">
      <c r="A4135" s="29" t="s">
        <v>23</v>
      </c>
      <c r="B4135" s="29" t="str">
        <f t="shared" si="66"/>
        <v>ILS-24</v>
      </c>
      <c r="C4135" s="29" t="s">
        <v>11294</v>
      </c>
      <c r="D4135" s="67" t="s">
        <v>11295</v>
      </c>
      <c r="E4135" s="96" t="s">
        <v>62</v>
      </c>
      <c r="F4135" s="29" t="s">
        <v>61</v>
      </c>
      <c r="G4135" s="29"/>
      <c r="H4135" s="103">
        <f>_xlfn.XLOOKUP(B4135,GM!$Q$5:$Q$756,GM!$J$5:$J$756)</f>
        <v>44739</v>
      </c>
    </row>
    <row r="4136" spans="1:8" hidden="1" x14ac:dyDescent="0.35">
      <c r="A4136" s="29" t="s">
        <v>23</v>
      </c>
      <c r="B4136" s="29" t="str">
        <f t="shared" si="66"/>
        <v>ILS-24</v>
      </c>
      <c r="C4136" s="29" t="s">
        <v>11296</v>
      </c>
      <c r="D4136" s="67" t="s">
        <v>11297</v>
      </c>
      <c r="E4136" s="96" t="s">
        <v>62</v>
      </c>
      <c r="F4136" s="29" t="s">
        <v>61</v>
      </c>
      <c r="G4136" s="29"/>
      <c r="H4136" s="103">
        <f>_xlfn.XLOOKUP(B4136,GM!$Q$5:$Q$756,GM!$J$5:$J$756)</f>
        <v>44739</v>
      </c>
    </row>
    <row r="4137" spans="1:8" hidden="1" x14ac:dyDescent="0.35">
      <c r="A4137" s="29" t="s">
        <v>23</v>
      </c>
      <c r="B4137" s="29" t="str">
        <f t="shared" si="66"/>
        <v>ILS-24</v>
      </c>
      <c r="C4137" s="29" t="s">
        <v>11298</v>
      </c>
      <c r="D4137" s="67" t="s">
        <v>11299</v>
      </c>
      <c r="E4137" s="96" t="s">
        <v>62</v>
      </c>
      <c r="F4137" s="29" t="s">
        <v>61</v>
      </c>
      <c r="G4137" s="29"/>
      <c r="H4137" s="103">
        <f>_xlfn.XLOOKUP(B4137,GM!$Q$5:$Q$756,GM!$J$5:$J$756)</f>
        <v>44739</v>
      </c>
    </row>
    <row r="4138" spans="1:8" hidden="1" x14ac:dyDescent="0.35">
      <c r="A4138" s="29" t="s">
        <v>23</v>
      </c>
      <c r="B4138" s="29" t="str">
        <f t="shared" si="66"/>
        <v>ILS-24</v>
      </c>
      <c r="C4138" s="29" t="s">
        <v>11300</v>
      </c>
      <c r="D4138" s="67" t="s">
        <v>11301</v>
      </c>
      <c r="E4138" s="96" t="s">
        <v>62</v>
      </c>
      <c r="F4138" s="29" t="s">
        <v>61</v>
      </c>
      <c r="G4138" s="29"/>
      <c r="H4138" s="103">
        <f>_xlfn.XLOOKUP(B4138,GM!$Q$5:$Q$756,GM!$J$5:$J$756)</f>
        <v>44739</v>
      </c>
    </row>
    <row r="4139" spans="1:8" hidden="1" x14ac:dyDescent="0.35">
      <c r="A4139" s="29" t="s">
        <v>23</v>
      </c>
      <c r="B4139" s="29" t="str">
        <f t="shared" si="66"/>
        <v>ILS-24</v>
      </c>
      <c r="C4139" s="29" t="s">
        <v>11302</v>
      </c>
      <c r="D4139" s="67" t="s">
        <v>11303</v>
      </c>
      <c r="E4139" s="96" t="s">
        <v>62</v>
      </c>
      <c r="F4139" s="29" t="s">
        <v>61</v>
      </c>
      <c r="G4139" s="29"/>
      <c r="H4139" s="103">
        <f>_xlfn.XLOOKUP(B4139,GM!$Q$5:$Q$756,GM!$J$5:$J$756)</f>
        <v>44739</v>
      </c>
    </row>
    <row r="4140" spans="1:8" x14ac:dyDescent="0.35">
      <c r="A4140" s="29" t="s">
        <v>24</v>
      </c>
      <c r="B4140" s="29" t="str">
        <f t="shared" si="66"/>
        <v>JUP-24</v>
      </c>
      <c r="C4140" s="29" t="s">
        <v>11304</v>
      </c>
      <c r="D4140" s="67" t="s">
        <v>11305</v>
      </c>
      <c r="E4140" s="96" t="s">
        <v>62</v>
      </c>
      <c r="F4140" s="29" t="s">
        <v>61</v>
      </c>
      <c r="G4140" s="29"/>
      <c r="H4140" s="103">
        <f>_xlfn.XLOOKUP(B4140,GM!$Q$5:$Q$756,GM!$J$5:$J$756)</f>
        <v>44739</v>
      </c>
    </row>
    <row r="4141" spans="1:8" x14ac:dyDescent="0.35">
      <c r="A4141" s="29" t="s">
        <v>24</v>
      </c>
      <c r="B4141" s="29" t="str">
        <f t="shared" si="66"/>
        <v>JUP-24</v>
      </c>
      <c r="C4141" s="29" t="s">
        <v>11306</v>
      </c>
      <c r="D4141" s="67" t="s">
        <v>11307</v>
      </c>
      <c r="E4141" s="96" t="s">
        <v>62</v>
      </c>
      <c r="F4141" s="29" t="s">
        <v>61</v>
      </c>
      <c r="G4141" s="29"/>
      <c r="H4141" s="103">
        <f>_xlfn.XLOOKUP(B4141,GM!$Q$5:$Q$756,GM!$J$5:$J$756)</f>
        <v>44739</v>
      </c>
    </row>
    <row r="4142" spans="1:8" x14ac:dyDescent="0.35">
      <c r="A4142" s="29" t="s">
        <v>24</v>
      </c>
      <c r="B4142" s="29" t="str">
        <f t="shared" si="66"/>
        <v>JUP-24</v>
      </c>
      <c r="C4142" s="29" t="s">
        <v>11308</v>
      </c>
      <c r="D4142" s="67" t="s">
        <v>11309</v>
      </c>
      <c r="E4142" s="96" t="s">
        <v>62</v>
      </c>
      <c r="F4142" s="29" t="s">
        <v>61</v>
      </c>
      <c r="G4142" s="29"/>
      <c r="H4142" s="103">
        <f>_xlfn.XLOOKUP(B4142,GM!$Q$5:$Q$756,GM!$J$5:$J$756)</f>
        <v>44739</v>
      </c>
    </row>
    <row r="4143" spans="1:8" x14ac:dyDescent="0.35">
      <c r="A4143" s="29" t="s">
        <v>24</v>
      </c>
      <c r="B4143" s="29" t="str">
        <f t="shared" si="66"/>
        <v>JUP-24</v>
      </c>
      <c r="C4143" s="29" t="s">
        <v>11310</v>
      </c>
      <c r="D4143" s="67" t="s">
        <v>11311</v>
      </c>
      <c r="E4143" s="96" t="s">
        <v>62</v>
      </c>
      <c r="F4143" s="29" t="s">
        <v>61</v>
      </c>
      <c r="G4143" s="29"/>
      <c r="H4143" s="103">
        <f>_xlfn.XLOOKUP(B4143,GM!$Q$5:$Q$756,GM!$J$5:$J$756)</f>
        <v>44739</v>
      </c>
    </row>
    <row r="4144" spans="1:8" x14ac:dyDescent="0.35">
      <c r="A4144" s="29" t="s">
        <v>24</v>
      </c>
      <c r="B4144" s="29" t="str">
        <f t="shared" si="66"/>
        <v>JUP-24</v>
      </c>
      <c r="C4144" s="29" t="s">
        <v>11312</v>
      </c>
      <c r="D4144" s="67" t="s">
        <v>11313</v>
      </c>
      <c r="E4144" s="96" t="s">
        <v>62</v>
      </c>
      <c r="F4144" s="29" t="s">
        <v>61</v>
      </c>
      <c r="G4144" s="29"/>
      <c r="H4144" s="103">
        <f>_xlfn.XLOOKUP(B4144,GM!$Q$5:$Q$756,GM!$J$5:$J$756)</f>
        <v>44739</v>
      </c>
    </row>
    <row r="4145" spans="1:8" hidden="1" x14ac:dyDescent="0.35">
      <c r="A4145" s="29" t="s">
        <v>13</v>
      </c>
      <c r="B4145" s="29" t="str">
        <f t="shared" si="66"/>
        <v>JUR-24</v>
      </c>
      <c r="C4145" s="29" t="s">
        <v>11314</v>
      </c>
      <c r="D4145" s="67" t="s">
        <v>11315</v>
      </c>
      <c r="E4145" s="96" t="s">
        <v>62</v>
      </c>
      <c r="F4145" s="29" t="s">
        <v>371</v>
      </c>
      <c r="G4145" s="29"/>
      <c r="H4145" s="103">
        <f>_xlfn.XLOOKUP(B4145,GM!$Q$5:$Q$756,GM!$J$5:$J$756)</f>
        <v>44739</v>
      </c>
    </row>
    <row r="4146" spans="1:8" hidden="1" x14ac:dyDescent="0.35">
      <c r="A4146" s="29" t="s">
        <v>13</v>
      </c>
      <c r="B4146" s="29" t="str">
        <f t="shared" si="66"/>
        <v>JUR-24</v>
      </c>
      <c r="C4146" s="29" t="s">
        <v>11316</v>
      </c>
      <c r="D4146" s="67" t="s">
        <v>11317</v>
      </c>
      <c r="E4146" s="96" t="s">
        <v>62</v>
      </c>
      <c r="F4146" s="29" t="s">
        <v>371</v>
      </c>
      <c r="G4146" s="29"/>
      <c r="H4146" s="103">
        <f>_xlfn.XLOOKUP(B4146,GM!$Q$5:$Q$756,GM!$J$5:$J$756)</f>
        <v>44739</v>
      </c>
    </row>
    <row r="4147" spans="1:8" hidden="1" x14ac:dyDescent="0.35">
      <c r="A4147" s="29" t="s">
        <v>13</v>
      </c>
      <c r="B4147" s="29" t="str">
        <f t="shared" si="66"/>
        <v>JUR-24</v>
      </c>
      <c r="C4147" s="29" t="s">
        <v>11318</v>
      </c>
      <c r="D4147" s="67" t="s">
        <v>11319</v>
      </c>
      <c r="E4147" s="96" t="s">
        <v>62</v>
      </c>
      <c r="F4147" s="29" t="s">
        <v>371</v>
      </c>
      <c r="G4147" s="29"/>
      <c r="H4147" s="103">
        <f>_xlfn.XLOOKUP(B4147,GM!$Q$5:$Q$756,GM!$J$5:$J$756)</f>
        <v>44739</v>
      </c>
    </row>
    <row r="4148" spans="1:8" hidden="1" x14ac:dyDescent="0.35">
      <c r="A4148" s="29" t="s">
        <v>13</v>
      </c>
      <c r="B4148" s="29" t="str">
        <f t="shared" si="66"/>
        <v>JUR-24</v>
      </c>
      <c r="C4148" s="29" t="s">
        <v>11320</v>
      </c>
      <c r="D4148" s="67" t="s">
        <v>11321</v>
      </c>
      <c r="E4148" s="96" t="s">
        <v>62</v>
      </c>
      <c r="F4148" s="29" t="s">
        <v>371</v>
      </c>
      <c r="G4148" s="29"/>
      <c r="H4148" s="103">
        <f>_xlfn.XLOOKUP(B4148,GM!$Q$5:$Q$756,GM!$J$5:$J$756)</f>
        <v>44739</v>
      </c>
    </row>
    <row r="4149" spans="1:8" hidden="1" x14ac:dyDescent="0.35">
      <c r="A4149" s="29" t="s">
        <v>13</v>
      </c>
      <c r="B4149" s="29" t="str">
        <f t="shared" si="66"/>
        <v>JUR-24</v>
      </c>
      <c r="C4149" s="29" t="s">
        <v>11322</v>
      </c>
      <c r="D4149" s="67" t="s">
        <v>11323</v>
      </c>
      <c r="E4149" s="96" t="s">
        <v>62</v>
      </c>
      <c r="F4149" s="29" t="s">
        <v>371</v>
      </c>
      <c r="G4149" s="29"/>
      <c r="H4149" s="103">
        <f>_xlfn.XLOOKUP(B4149,GM!$Q$5:$Q$756,GM!$J$5:$J$756)</f>
        <v>44739</v>
      </c>
    </row>
    <row r="4150" spans="1:8" hidden="1" x14ac:dyDescent="0.35">
      <c r="A4150" s="29" t="s">
        <v>21</v>
      </c>
      <c r="B4150" s="29" t="str">
        <f t="shared" ref="B4150:B4174" si="67">IF(OR(A4150="ARN",A4150="SDP"),MID(C4150,4,7),MID(C4150,4,6))</f>
        <v>PLM-24</v>
      </c>
      <c r="C4150" s="29" t="s">
        <v>11324</v>
      </c>
      <c r="D4150" s="67" t="s">
        <v>11325</v>
      </c>
      <c r="E4150" s="96" t="s">
        <v>62</v>
      </c>
      <c r="F4150" s="29" t="s">
        <v>371</v>
      </c>
      <c r="G4150" s="29"/>
      <c r="H4150" s="103">
        <f>_xlfn.XLOOKUP(B4150,GM!$Q$5:$Q$756,GM!$J$5:$J$756)</f>
        <v>44739</v>
      </c>
    </row>
    <row r="4151" spans="1:8" hidden="1" x14ac:dyDescent="0.35">
      <c r="A4151" s="29" t="s">
        <v>21</v>
      </c>
      <c r="B4151" s="29" t="str">
        <f t="shared" si="67"/>
        <v>PLM-24</v>
      </c>
      <c r="C4151" s="29" t="s">
        <v>11326</v>
      </c>
      <c r="D4151" s="67" t="s">
        <v>11327</v>
      </c>
      <c r="E4151" s="96" t="s">
        <v>62</v>
      </c>
      <c r="F4151" s="29" t="s">
        <v>371</v>
      </c>
      <c r="G4151" s="29"/>
      <c r="H4151" s="103">
        <f>_xlfn.XLOOKUP(B4151,GM!$Q$5:$Q$756,GM!$J$5:$J$756)</f>
        <v>44739</v>
      </c>
    </row>
    <row r="4152" spans="1:8" hidden="1" x14ac:dyDescent="0.35">
      <c r="A4152" s="29" t="s">
        <v>21</v>
      </c>
      <c r="B4152" s="29" t="str">
        <f t="shared" si="67"/>
        <v>PLM-24</v>
      </c>
      <c r="C4152" s="29" t="s">
        <v>11328</v>
      </c>
      <c r="D4152" s="67" t="s">
        <v>11329</v>
      </c>
      <c r="E4152" s="96" t="s">
        <v>62</v>
      </c>
      <c r="F4152" s="29" t="s">
        <v>371</v>
      </c>
      <c r="G4152" s="29"/>
      <c r="H4152" s="103">
        <f>_xlfn.XLOOKUP(B4152,GM!$Q$5:$Q$756,GM!$J$5:$J$756)</f>
        <v>44739</v>
      </c>
    </row>
    <row r="4153" spans="1:8" hidden="1" x14ac:dyDescent="0.35">
      <c r="A4153" s="29" t="s">
        <v>21</v>
      </c>
      <c r="B4153" s="29" t="str">
        <f t="shared" si="67"/>
        <v>PLM-24</v>
      </c>
      <c r="C4153" s="29" t="s">
        <v>11330</v>
      </c>
      <c r="D4153" s="67" t="s">
        <v>11331</v>
      </c>
      <c r="E4153" s="96" t="s">
        <v>62</v>
      </c>
      <c r="F4153" s="29" t="s">
        <v>371</v>
      </c>
      <c r="G4153" s="29"/>
      <c r="H4153" s="103">
        <f>_xlfn.XLOOKUP(B4153,GM!$Q$5:$Q$756,GM!$J$5:$J$756)</f>
        <v>44739</v>
      </c>
    </row>
    <row r="4154" spans="1:8" hidden="1" x14ac:dyDescent="0.35">
      <c r="A4154" s="29" t="s">
        <v>21</v>
      </c>
      <c r="B4154" s="29" t="str">
        <f t="shared" si="67"/>
        <v>PLM-24</v>
      </c>
      <c r="C4154" s="29" t="s">
        <v>11332</v>
      </c>
      <c r="D4154" s="67" t="s">
        <v>11333</v>
      </c>
      <c r="E4154" s="96" t="s">
        <v>62</v>
      </c>
      <c r="F4154" s="29" t="s">
        <v>371</v>
      </c>
      <c r="G4154" s="29"/>
      <c r="H4154" s="103">
        <f>_xlfn.XLOOKUP(B4154,GM!$Q$5:$Q$756,GM!$J$5:$J$756)</f>
        <v>44739</v>
      </c>
    </row>
    <row r="4155" spans="1:8" hidden="1" x14ac:dyDescent="0.35">
      <c r="A4155" s="29" t="s">
        <v>22</v>
      </c>
      <c r="B4155" s="29" t="str">
        <f t="shared" si="67"/>
        <v>RET-24</v>
      </c>
      <c r="C4155" s="29" t="s">
        <v>11334</v>
      </c>
      <c r="D4155" s="67" t="s">
        <v>11335</v>
      </c>
      <c r="E4155" s="96" t="s">
        <v>62</v>
      </c>
      <c r="F4155" s="29" t="s">
        <v>61</v>
      </c>
      <c r="G4155" s="29"/>
      <c r="H4155" s="103">
        <f>_xlfn.XLOOKUP(B4155,GM!$Q$5:$Q$756,GM!$J$5:$J$756)</f>
        <v>44739</v>
      </c>
    </row>
    <row r="4156" spans="1:8" hidden="1" x14ac:dyDescent="0.35">
      <c r="A4156" s="29" t="s">
        <v>22</v>
      </c>
      <c r="B4156" s="29" t="str">
        <f t="shared" si="67"/>
        <v>RET-24</v>
      </c>
      <c r="C4156" s="29" t="s">
        <v>11336</v>
      </c>
      <c r="D4156" s="67" t="s">
        <v>11337</v>
      </c>
      <c r="E4156" s="96" t="s">
        <v>62</v>
      </c>
      <c r="F4156" s="29" t="s">
        <v>61</v>
      </c>
      <c r="G4156" s="29"/>
      <c r="H4156" s="103">
        <f>_xlfn.XLOOKUP(B4156,GM!$Q$5:$Q$756,GM!$J$5:$J$756)</f>
        <v>44739</v>
      </c>
    </row>
    <row r="4157" spans="1:8" hidden="1" x14ac:dyDescent="0.35">
      <c r="A4157" s="29" t="s">
        <v>22</v>
      </c>
      <c r="B4157" s="29" t="str">
        <f t="shared" si="67"/>
        <v>RET-24</v>
      </c>
      <c r="C4157" s="29" t="s">
        <v>11338</v>
      </c>
      <c r="D4157" s="67" t="s">
        <v>11339</v>
      </c>
      <c r="E4157" s="96" t="s">
        <v>62</v>
      </c>
      <c r="F4157" s="29" t="s">
        <v>61</v>
      </c>
      <c r="G4157" s="29"/>
      <c r="H4157" s="103">
        <f>_xlfn.XLOOKUP(B4157,GM!$Q$5:$Q$756,GM!$J$5:$J$756)</f>
        <v>44739</v>
      </c>
    </row>
    <row r="4158" spans="1:8" hidden="1" x14ac:dyDescent="0.35">
      <c r="A4158" s="29" t="s">
        <v>22</v>
      </c>
      <c r="B4158" s="29" t="str">
        <f t="shared" si="67"/>
        <v>RET-24</v>
      </c>
      <c r="C4158" s="29" t="s">
        <v>11340</v>
      </c>
      <c r="D4158" s="67" t="s">
        <v>11341</v>
      </c>
      <c r="E4158" s="96" t="s">
        <v>62</v>
      </c>
      <c r="F4158" s="29" t="s">
        <v>61</v>
      </c>
      <c r="G4158" s="29"/>
      <c r="H4158" s="103">
        <f>_xlfn.XLOOKUP(B4158,GM!$Q$5:$Q$756,GM!$J$5:$J$756)</f>
        <v>44739</v>
      </c>
    </row>
    <row r="4159" spans="1:8" hidden="1" x14ac:dyDescent="0.35">
      <c r="A4159" s="29" t="s">
        <v>22</v>
      </c>
      <c r="B4159" s="29" t="str">
        <f t="shared" si="67"/>
        <v>RET-24</v>
      </c>
      <c r="C4159" s="29" t="s">
        <v>11342</v>
      </c>
      <c r="D4159" s="67" t="s">
        <v>11343</v>
      </c>
      <c r="E4159" s="96" t="s">
        <v>62</v>
      </c>
      <c r="F4159" s="29" t="s">
        <v>61</v>
      </c>
      <c r="G4159" s="29"/>
      <c r="H4159" s="103">
        <f>_xlfn.XLOOKUP(B4159,GM!$Q$5:$Q$756,GM!$J$5:$J$756)</f>
        <v>44739</v>
      </c>
    </row>
    <row r="4160" spans="1:8" hidden="1" x14ac:dyDescent="0.35">
      <c r="A4160" s="29" t="s">
        <v>15</v>
      </c>
      <c r="B4160" s="29" t="str">
        <f t="shared" si="67"/>
        <v>SAG-24</v>
      </c>
      <c r="C4160" s="29" t="s">
        <v>11344</v>
      </c>
      <c r="D4160" s="67" t="s">
        <v>11345</v>
      </c>
      <c r="E4160" s="96" t="s">
        <v>62</v>
      </c>
      <c r="F4160" s="29" t="s">
        <v>371</v>
      </c>
      <c r="G4160" s="29"/>
      <c r="H4160" s="103">
        <f>_xlfn.XLOOKUP(B4160,GM!$Q$5:$Q$756,GM!$J$5:$J$756)</f>
        <v>44739</v>
      </c>
    </row>
    <row r="4161" spans="1:8" hidden="1" x14ac:dyDescent="0.35">
      <c r="A4161" s="29" t="s">
        <v>15</v>
      </c>
      <c r="B4161" s="29" t="str">
        <f t="shared" si="67"/>
        <v>SAG-24</v>
      </c>
      <c r="C4161" s="29" t="s">
        <v>11346</v>
      </c>
      <c r="D4161" s="67" t="s">
        <v>11347</v>
      </c>
      <c r="E4161" s="96" t="s">
        <v>62</v>
      </c>
      <c r="F4161" s="29" t="s">
        <v>371</v>
      </c>
      <c r="G4161" s="29"/>
      <c r="H4161" s="103">
        <f>_xlfn.XLOOKUP(B4161,GM!$Q$5:$Q$756,GM!$J$5:$J$756)</f>
        <v>44739</v>
      </c>
    </row>
    <row r="4162" spans="1:8" hidden="1" x14ac:dyDescent="0.35">
      <c r="A4162" s="29" t="s">
        <v>15</v>
      </c>
      <c r="B4162" s="29" t="str">
        <f t="shared" si="67"/>
        <v>SAG-24</v>
      </c>
      <c r="C4162" s="29" t="s">
        <v>11348</v>
      </c>
      <c r="D4162" s="67" t="s">
        <v>11349</v>
      </c>
      <c r="E4162" s="96" t="s">
        <v>62</v>
      </c>
      <c r="F4162" s="29" t="s">
        <v>371</v>
      </c>
      <c r="G4162" s="29"/>
      <c r="H4162" s="103">
        <f>_xlfn.XLOOKUP(B4162,GM!$Q$5:$Q$756,GM!$J$5:$J$756)</f>
        <v>44739</v>
      </c>
    </row>
    <row r="4163" spans="1:8" hidden="1" x14ac:dyDescent="0.35">
      <c r="A4163" s="29" t="s">
        <v>15</v>
      </c>
      <c r="B4163" s="29" t="str">
        <f t="shared" si="67"/>
        <v>SAG-24</v>
      </c>
      <c r="C4163" s="29" t="s">
        <v>11350</v>
      </c>
      <c r="D4163" s="67" t="s">
        <v>11351</v>
      </c>
      <c r="E4163" s="96" t="s">
        <v>62</v>
      </c>
      <c r="F4163" s="29" t="s">
        <v>371</v>
      </c>
      <c r="G4163" s="29"/>
      <c r="H4163" s="103">
        <f>_xlfn.XLOOKUP(B4163,GM!$Q$5:$Q$756,GM!$J$5:$J$756)</f>
        <v>44739</v>
      </c>
    </row>
    <row r="4164" spans="1:8" hidden="1" x14ac:dyDescent="0.35">
      <c r="A4164" s="29" t="s">
        <v>15</v>
      </c>
      <c r="B4164" s="29" t="str">
        <f t="shared" si="67"/>
        <v>SAG-24</v>
      </c>
      <c r="C4164" s="29" t="s">
        <v>11352</v>
      </c>
      <c r="D4164" s="67" t="s">
        <v>11353</v>
      </c>
      <c r="E4164" s="96" t="s">
        <v>62</v>
      </c>
      <c r="F4164" s="29" t="s">
        <v>371</v>
      </c>
      <c r="G4164" s="29"/>
      <c r="H4164" s="103">
        <f>_xlfn.XLOOKUP(B4164,GM!$Q$5:$Q$756,GM!$J$5:$J$756)</f>
        <v>44739</v>
      </c>
    </row>
    <row r="4165" spans="1:8" hidden="1" x14ac:dyDescent="0.35">
      <c r="A4165" s="29" t="s">
        <v>25</v>
      </c>
      <c r="B4165" s="29" t="str">
        <f t="shared" si="67"/>
        <v>STO-24</v>
      </c>
      <c r="C4165" s="29" t="s">
        <v>11354</v>
      </c>
      <c r="D4165" s="67" t="s">
        <v>11355</v>
      </c>
      <c r="E4165" s="96" t="s">
        <v>62</v>
      </c>
      <c r="F4165" s="29" t="s">
        <v>61</v>
      </c>
      <c r="G4165" s="29"/>
      <c r="H4165" s="103">
        <f>_xlfn.XLOOKUP(B4165,GM!$Q$5:$Q$756,GM!$J$5:$J$756)</f>
        <v>44739</v>
      </c>
    </row>
    <row r="4166" spans="1:8" hidden="1" x14ac:dyDescent="0.35">
      <c r="A4166" s="29" t="s">
        <v>25</v>
      </c>
      <c r="B4166" s="29" t="str">
        <f t="shared" si="67"/>
        <v>STO-24</v>
      </c>
      <c r="C4166" s="29" t="s">
        <v>11356</v>
      </c>
      <c r="D4166" s="67" t="s">
        <v>11357</v>
      </c>
      <c r="E4166" s="96" t="s">
        <v>62</v>
      </c>
      <c r="F4166" s="29" t="s">
        <v>61</v>
      </c>
      <c r="G4166" s="29"/>
      <c r="H4166" s="103">
        <f>_xlfn.XLOOKUP(B4166,GM!$Q$5:$Q$756,GM!$J$5:$J$756)</f>
        <v>44739</v>
      </c>
    </row>
    <row r="4167" spans="1:8" hidden="1" x14ac:dyDescent="0.35">
      <c r="A4167" s="29" t="s">
        <v>25</v>
      </c>
      <c r="B4167" s="29" t="str">
        <f t="shared" si="67"/>
        <v>STO-24</v>
      </c>
      <c r="C4167" s="29" t="s">
        <v>11358</v>
      </c>
      <c r="D4167" s="67" t="s">
        <v>11359</v>
      </c>
      <c r="E4167" s="96" t="s">
        <v>62</v>
      </c>
      <c r="F4167" s="29" t="s">
        <v>61</v>
      </c>
      <c r="G4167" s="29"/>
      <c r="H4167" s="103">
        <f>_xlfn.XLOOKUP(B4167,GM!$Q$5:$Q$756,GM!$J$5:$J$756)</f>
        <v>44739</v>
      </c>
    </row>
    <row r="4168" spans="1:8" hidden="1" x14ac:dyDescent="0.35">
      <c r="A4168" s="29" t="s">
        <v>25</v>
      </c>
      <c r="B4168" s="29" t="str">
        <f t="shared" si="67"/>
        <v>STO-24</v>
      </c>
      <c r="C4168" s="29" t="s">
        <v>11360</v>
      </c>
      <c r="D4168" s="67" t="s">
        <v>11361</v>
      </c>
      <c r="E4168" s="96" t="s">
        <v>62</v>
      </c>
      <c r="F4168" s="29" t="s">
        <v>61</v>
      </c>
      <c r="G4168" s="29"/>
      <c r="H4168" s="103">
        <f>_xlfn.XLOOKUP(B4168,GM!$Q$5:$Q$756,GM!$J$5:$J$756)</f>
        <v>44739</v>
      </c>
    </row>
    <row r="4169" spans="1:8" hidden="1" x14ac:dyDescent="0.35">
      <c r="A4169" s="29" t="s">
        <v>25</v>
      </c>
      <c r="B4169" s="29" t="str">
        <f t="shared" si="67"/>
        <v>STO-24</v>
      </c>
      <c r="C4169" s="29" t="s">
        <v>11362</v>
      </c>
      <c r="D4169" s="67" t="s">
        <v>11363</v>
      </c>
      <c r="E4169" s="96" t="s">
        <v>62</v>
      </c>
      <c r="F4169" s="29" t="s">
        <v>61</v>
      </c>
      <c r="G4169" s="29"/>
      <c r="H4169" s="103">
        <f>_xlfn.XLOOKUP(B4169,GM!$Q$5:$Q$756,GM!$J$5:$J$756)</f>
        <v>44739</v>
      </c>
    </row>
    <row r="4170" spans="1:8" hidden="1" x14ac:dyDescent="0.35">
      <c r="A4170" s="29" t="s">
        <v>19</v>
      </c>
      <c r="B4170" s="29" t="str">
        <f t="shared" si="67"/>
        <v>TAQ-24</v>
      </c>
      <c r="C4170" s="29" t="s">
        <v>11364</v>
      </c>
      <c r="D4170" s="67" t="s">
        <v>11365</v>
      </c>
      <c r="E4170" s="96" t="s">
        <v>62</v>
      </c>
      <c r="F4170" s="29" t="s">
        <v>371</v>
      </c>
      <c r="G4170" s="29"/>
      <c r="H4170" s="103">
        <f>_xlfn.XLOOKUP(B4170,GM!$Q$5:$Q$756,GM!$J$5:$J$756)</f>
        <v>44739</v>
      </c>
    </row>
    <row r="4171" spans="1:8" hidden="1" x14ac:dyDescent="0.35">
      <c r="A4171" s="29" t="s">
        <v>19</v>
      </c>
      <c r="B4171" s="29" t="str">
        <f t="shared" si="67"/>
        <v>TAQ-24</v>
      </c>
      <c r="C4171" s="29" t="s">
        <v>11366</v>
      </c>
      <c r="D4171" s="67" t="s">
        <v>11367</v>
      </c>
      <c r="E4171" s="96" t="s">
        <v>62</v>
      </c>
      <c r="F4171" s="29" t="s">
        <v>371</v>
      </c>
      <c r="G4171" s="29"/>
      <c r="H4171" s="103">
        <f>_xlfn.XLOOKUP(B4171,GM!$Q$5:$Q$756,GM!$J$5:$J$756)</f>
        <v>44739</v>
      </c>
    </row>
    <row r="4172" spans="1:8" hidden="1" x14ac:dyDescent="0.35">
      <c r="A4172" s="29" t="s">
        <v>19</v>
      </c>
      <c r="B4172" s="29" t="str">
        <f t="shared" si="67"/>
        <v>TAQ-24</v>
      </c>
      <c r="C4172" s="29" t="s">
        <v>11368</v>
      </c>
      <c r="D4172" s="67" t="s">
        <v>11369</v>
      </c>
      <c r="E4172" s="96" t="s">
        <v>62</v>
      </c>
      <c r="F4172" s="29" t="s">
        <v>371</v>
      </c>
      <c r="G4172" s="29"/>
      <c r="H4172" s="103">
        <f>_xlfn.XLOOKUP(B4172,GM!$Q$5:$Q$756,GM!$J$5:$J$756)</f>
        <v>44739</v>
      </c>
    </row>
    <row r="4173" spans="1:8" hidden="1" x14ac:dyDescent="0.35">
      <c r="A4173" s="29" t="s">
        <v>19</v>
      </c>
      <c r="B4173" s="29" t="str">
        <f t="shared" si="67"/>
        <v>TAQ-24</v>
      </c>
      <c r="C4173" s="29" t="s">
        <v>11370</v>
      </c>
      <c r="D4173" s="67" t="s">
        <v>11371</v>
      </c>
      <c r="E4173" s="96" t="s">
        <v>62</v>
      </c>
      <c r="F4173" s="29" t="s">
        <v>371</v>
      </c>
      <c r="G4173" s="29"/>
      <c r="H4173" s="103">
        <f>_xlfn.XLOOKUP(B4173,GM!$Q$5:$Q$756,GM!$J$5:$J$756)</f>
        <v>44739</v>
      </c>
    </row>
    <row r="4174" spans="1:8" hidden="1" x14ac:dyDescent="0.35">
      <c r="A4174" s="29" t="s">
        <v>19</v>
      </c>
      <c r="B4174" s="29" t="str">
        <f t="shared" si="67"/>
        <v>TAQ-24</v>
      </c>
      <c r="C4174" s="29" t="s">
        <v>11372</v>
      </c>
      <c r="D4174" s="67" t="s">
        <v>11373</v>
      </c>
      <c r="E4174" s="96" t="s">
        <v>62</v>
      </c>
      <c r="F4174" s="29" t="s">
        <v>371</v>
      </c>
      <c r="G4174" s="29"/>
      <c r="H4174" s="103">
        <f>_xlfn.XLOOKUP(B4174,GM!$Q$5:$Q$756,GM!$J$5:$J$756)</f>
        <v>44739</v>
      </c>
    </row>
  </sheetData>
  <autoFilter ref="A4:H4174" xr:uid="{6ECB4C9A-11D0-40C6-9514-0050436DD488}">
    <filterColumn colId="0">
      <filters>
        <filter val="JUP"/>
      </filters>
    </filterColumn>
  </autoFilter>
  <mergeCells count="1">
    <mergeCell ref="A1:G1"/>
  </mergeCells>
  <phoneticPr fontId="11" type="noConversion"/>
  <hyperlinks>
    <hyperlink ref="D3999" r:id="rId1" display="C:\C:\Users\RMLARA\Downloads\OneDrive_1_26-12-2023\GM MECANICA\PR-CHV-35-001 - Inspe%C3%A7%C3%A3o no conduto for%C3%A7ado.xlsx" xr:uid="{48C1FC3C-E26D-4D2A-8F86-777E2A3144B9}"/>
    <hyperlink ref="D4000" r:id="rId2" display="C:\C:\Users\RMLARA\Downloads\OneDrive_1_26-12-2023\GM MECANICA\PR-CN1-86-001 - Itens de manuten%C3%A7%C3%A3o - Sistema dosagem dicloro - Check-list.xlsx" xr:uid="{6DE17108-B37A-4F3D-ADDB-992866FAF495}"/>
    <hyperlink ref="D4001" r:id="rId3" display="C:\C:\Users\RMLARA\Downloads\OneDrive_1_26-12-2023\GM MECANICA\PR-CN2-86-001 - Itens de manuten%C3%A7%C3%A3o - Sistema dosagem dicloro - Check-list.xlsx" xr:uid="{133D6968-F98D-4254-8FAE-B25EB991325A}"/>
    <hyperlink ref="D4002" r:id="rId4" display="C:\C:\Users\RMLARA\Downloads\OneDrive_1_26-12-2023\GM MECANICA\PR-CPV-35-001 - Inspe%C3%A7%C3%A3o no conduto for%C3%A7ado.xlsx" xr:uid="{1E0D9705-A563-4B69-81C3-95AD97D80AF9}"/>
    <hyperlink ref="D4003" r:id="rId5" display="C:\C:\Users\RMLARA\Downloads\OneDrive_1_26-12-2023\GM MECANICA\PR-GAR-35-001 - Inspe%C3%A7%C3%A3o no conduto for%C3%A7ado.xlsx" xr:uid="{0598CBB9-3E76-4E41-B49C-1E48AA4928CD}"/>
    <hyperlink ref="D4004" r:id="rId6" display="C:\C:\Users\RMLARA\Downloads\OneDrive_1_26-12-2023\GM MECANICA\PR-GAR-35.1-001 - Inspe%C3%A7%C3%A3o no conduto for%C3%A7ado.xlsx" xr:uid="{6A63438A-05BD-4EBE-BEAA-6F4598B0A8FA}"/>
    <hyperlink ref="D4005" r:id="rId7" display="C:\C:\Users\RMLARA\Downloads\OneDrive_1_26-12-2023\GM MECANICA\PR-GAR-86-001 - Itens de manuten%C3%A7%C3%A3o - Sistema dosagem dicloro - Check-list_Usina.xlsx" xr:uid="{2F9D5855-4356-45A2-AF61-687A0EBF1BDA}"/>
    <hyperlink ref="D4006" r:id="rId8" display="C:\C:\Users\RMLARA\Downloads\OneDrive_1_26-12-2023\GM MECANICA\PR-GAR-86.1-001 - Itens de manuten%C3%A7%C3%A3o - Sistema dosagem dicloro - Check-list_PCH.xlsx" xr:uid="{E880E48F-2033-4A0C-9497-C28643E0C0B5}"/>
    <hyperlink ref="D4007" r:id="rId9" display="C:\C:\Users\RMLARA\Downloads\OneDrive_1_26-12-2023\GM MECANICA\PR-ILS-35-001 - Inspe%C3%A7%C3%A3o no conduto for%C3%A7ado.xlsx" xr:uid="{C70B8410-7EA9-4E67-96EE-78EB84668E8D}"/>
    <hyperlink ref="D4008" r:id="rId10" display="C:\C:\Users\RMLARA\Downloads\OneDrive_1_26-12-2023\GM MECANICA\PR-JUP-35-001 - Inspe%C3%A7%C3%A3o no conduto for%C3%A7ado.xlsx" xr:uid="{A0A3516C-64D5-4C69-938C-E5CF1EF27A01}"/>
    <hyperlink ref="D4009" r:id="rId11" display="C:\C:\Users\RMLARA\Downloads\OneDrive_1_26-12-2023\GM MECANICA\PR-JUP-86-001 - Itens de manuten%C3%A7%C3%A3o - Sistema dosagem dicloro - Check-list.xlsx" xr:uid="{401E4CA0-CD03-4060-9DE0-2FE6AFAC68C6}"/>
    <hyperlink ref="D4010" r:id="rId12" display="C:\C:\Users\RMLARA\Downloads\OneDrive_1_26-12-2023\GM MECANICA\PR-JUR-35-001 - Inspe%C3%A7%C3%A3o no conduto for%C3%A7ado.xlsx" xr:uid="{6F08423C-7593-49ED-80A4-7209918685EF}"/>
    <hyperlink ref="D4011" r:id="rId13" display="C:\C:\Users\RMLARA\Downloads\OneDrive_1_26-12-2023\GM MECANICA\PR-ROS-86-001 - Itens de manuten%C3%A7%C3%A3o - Sistema dosagem dicloro - Check-list.xlsx" xr:uid="{BB49BBE0-5946-4A2F-A43B-885114D16F87}"/>
    <hyperlink ref="D4012" r:id="rId14" display="C:\C:\Users\RMLARA\Downloads\OneDrive_1_26-12-2023\GM MECANICA\PR-STO-35-001 - Inspe%C3%A7%C3%A3o no conduto for%C3%A7ado.xlsx" xr:uid="{517B77A6-F046-4860-ACCD-081B1E1D8580}"/>
    <hyperlink ref="D4013" r:id="rId15" display="C:\C:\Users\RMLARA\Downloads\OneDrive_1_26-12-2023\GM MECANICA\PR-TAQ-86-001 - Itens de manuten%C3%A7%C3%A3o - Sistema dosagem dicloro - Check-list.xlsx" xr:uid="{D1B2ACCB-3383-4EEB-B22D-9E95E2EC94F6}"/>
  </hyperlinks>
  <pageMargins left="0.511811024" right="0.511811024" top="0.78740157499999996" bottom="0.78740157499999996" header="0.31496062000000002" footer="0.31496062000000002"/>
  <customProperties>
    <customPr name="EpmWorksheetKeyString_GUID" r:id="rId16"/>
  </customProperties>
  <drawing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48e373-0438-46e2-a27e-39069ecf3149" xsi:nil="true"/>
    <Data_x0020_de_x0020_Expiracao xmlns="8248e373-0438-46e2-a27e-39069ecf3149" xsi:nil="true"/>
    <Data_x0020_Referência xmlns="8248e373-0438-46e2-a27e-39069ecf3149">2020-11-03T07:14:07+00:00</Data_x0020_Referência>
    <ke64188649d44821b8bda8421c13ce49 xmlns="8248e373-0438-46e2-a27e-39069ecf3149">
      <Terms xmlns="http://schemas.microsoft.com/office/infopath/2007/PartnerControls"/>
    </ke64188649d44821b8bda8421c13ce49>
    <Referencia1 xmlns="8248e373-0438-46e2-a27e-39069ecf314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Material bilbiográfico" ma:contentTypeID="0x0101006567188C17CDCE4BA12E8C3D748117AA00D79904438CDD274A808A3BD8EB30C00D" ma:contentTypeVersion="8" ma:contentTypeDescription="" ma:contentTypeScope="" ma:versionID="0fa4af12c847bb9cba9afd27613e3a6a">
  <xsd:schema xmlns:xsd="http://www.w3.org/2001/XMLSchema" xmlns:xs="http://www.w3.org/2001/XMLSchema" xmlns:p="http://schemas.microsoft.com/office/2006/metadata/properties" xmlns:ns2="8248e373-0438-46e2-a27e-39069ecf3149" targetNamespace="http://schemas.microsoft.com/office/2006/metadata/properties" ma:root="true" ma:fieldsID="3ad36fb883decfbdb29f196a5ec6b0b5" ns2:_="">
    <xsd:import namespace="8248e373-0438-46e2-a27e-39069ecf3149"/>
    <xsd:element name="properties">
      <xsd:complexType>
        <xsd:sequence>
          <xsd:element name="documentManagement">
            <xsd:complexType>
              <xsd:all>
                <xsd:element ref="ns2:Data_x0020_de_x0020_Expiracao" minOccurs="0"/>
                <xsd:element ref="ns2:Data_x0020_Referência"/>
                <xsd:element ref="ns2:ke64188649d44821b8bda8421c13ce49" minOccurs="0"/>
                <xsd:element ref="ns2:TaxCatchAll" minOccurs="0"/>
                <xsd:element ref="ns2:TaxCatchAllLabel" minOccurs="0"/>
                <xsd:element ref="ns2:Referencia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48e373-0438-46e2-a27e-39069ecf3149" elementFormDefault="qualified">
    <xsd:import namespace="http://schemas.microsoft.com/office/2006/documentManagement/types"/>
    <xsd:import namespace="http://schemas.microsoft.com/office/infopath/2007/PartnerControls"/>
    <xsd:element name="Data_x0020_de_x0020_Expiracao" ma:index="8" nillable="true" ma:displayName="Data de Expiração" ma:format="DateOnly" ma:internalName="Data_x0020_de_x0020_Expiracao">
      <xsd:simpleType>
        <xsd:restriction base="dms:DateTime"/>
      </xsd:simpleType>
    </xsd:element>
    <xsd:element name="Data_x0020_Referência" ma:index="9" ma:displayName="Data de Referência" ma:default="[today]" ma:format="DateOnly" ma:internalName="Data_x0020_Refer_x00ea_ncia" ma:readOnly="false">
      <xsd:simpleType>
        <xsd:restriction base="dms:DateTime"/>
      </xsd:simpleType>
    </xsd:element>
    <xsd:element name="ke64188649d44821b8bda8421c13ce49" ma:index="10" nillable="true" ma:taxonomy="true" ma:internalName="ke64188649d44821b8bda8421c13ce49" ma:taxonomyFieldName="Empresa_x0020_ou_x0020_Unidade" ma:displayName="Empresa ou Unidade" ma:readOnly="false" ma:default="" ma:fieldId="{4e641886-49d4-4821-b8bd-a8421c13ce49}" ma:sspId="46dca550-4456-4e9c-8026-cc2d2adf15de" ma:termSetId="5b0bdd3a-80cc-4f9e-a7c0-a5d16ea07a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3b528cf3-ce1d-43c6-a80b-10c37a73b30c}" ma:internalName="TaxCatchAll" ma:showField="CatchAllData" ma:web="56649bde-76e5-4c16-b305-3bfd6806c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3b528cf3-ce1d-43c6-a80b-10c37a73b30c}" ma:internalName="TaxCatchAllLabel" ma:readOnly="true" ma:showField="CatchAllDataLabel" ma:web="56649bde-76e5-4c16-b305-3bfd6806c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Referencia1" ma:index="14" nillable="true" ma:displayName="Referência" ma:internalName="Referencia1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46dca550-4456-4e9c-8026-cc2d2adf15de" ContentTypeId="0x0101006567188C17CDCE4BA12E8C3D748117AA" PreviousValue="false"/>
</file>

<file path=customXml/itemProps1.xml><?xml version="1.0" encoding="utf-8"?>
<ds:datastoreItem xmlns:ds="http://schemas.openxmlformats.org/officeDocument/2006/customXml" ds:itemID="{099613D5-3C91-4433-A2C5-1CD2C41FFD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1E6218-BDC9-4DFA-B44F-48AF7234BACC}">
  <ds:schemaRefs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8248e373-0438-46e2-a27e-39069ecf314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B5919DD-0D48-437A-BDF6-F67DE517CE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48e373-0438-46e2-a27e-39069ecf31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777862-30E3-498A-86D2-2D9DAF37A1F6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</vt:i4>
      </vt:variant>
    </vt:vector>
  </HeadingPairs>
  <TitlesOfParts>
    <vt:vector size="17" baseType="lpstr">
      <vt:lpstr>MAIN (Anterior)</vt:lpstr>
      <vt:lpstr>MAIN</vt:lpstr>
      <vt:lpstr>POL</vt:lpstr>
      <vt:lpstr>IM</vt:lpstr>
      <vt:lpstr>GM</vt:lpstr>
      <vt:lpstr>MM</vt:lpstr>
      <vt:lpstr>IO</vt:lpstr>
      <vt:lpstr>GO</vt:lpstr>
      <vt:lpstr>MO</vt:lpstr>
      <vt:lpstr>STANDARD HYDRO</vt:lpstr>
      <vt:lpstr>STANDARD SOLAR</vt:lpstr>
      <vt:lpstr>STANDARD WIND</vt:lpstr>
      <vt:lpstr>MANUAIS </vt:lpstr>
      <vt:lpstr>Planilha1</vt:lpstr>
      <vt:lpstr>PR</vt:lpstr>
      <vt:lpstr>'MANUAIS '!Area_de_impressao</vt:lpstr>
      <vt:lpstr>'MANUAIS '!Titulos_de_impressao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Leao, Marco A</dc:creator>
  <cp:keywords/>
  <dc:description/>
  <cp:lastModifiedBy>Julio Lima Casagrande</cp:lastModifiedBy>
  <cp:revision/>
  <dcterms:created xsi:type="dcterms:W3CDTF">2014-06-02T11:12:43Z</dcterms:created>
  <dcterms:modified xsi:type="dcterms:W3CDTF">2026-06-25T12:14:02Z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0x0101006567188C17CDCE4BA12E8C3D748117AA00D79904438CDD274A808A3BD8EB30C00D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TaxKeyword">
    <vt:lpwstr/>
  </property>
  <property fmtid="{D5CDD505-2E9C-101B-9397-08002B2CF9AE}" pid="5" name="Data Referência">
    <vt:lpwstr>2020-11-03T07:14:07Z</vt:lpwstr>
  </property>
  <property fmtid="{D5CDD505-2E9C-101B-9397-08002B2CF9AE}" pid="6" name="Empresa ou Unidade">
    <vt:lpwstr/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  <property fmtid="{D5CDD505-2E9C-101B-9397-08002B2CF9AE}" pid="9" name="SharedWithUsers">
    <vt:lpwstr>1443;#Leandro Pains Moura</vt:lpwstr>
  </property>
  <property fmtid="{D5CDD505-2E9C-101B-9397-08002B2CF9AE}" pid="10" name="Empresa_x0020_ou_x0020_Unidade">
    <vt:lpwstr/>
  </property>
</Properties>
</file>