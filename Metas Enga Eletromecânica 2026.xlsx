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drawings/drawing1.xml" ContentType="application/vnd.openxmlformats-officedocument.drawing+xml"/>
  <Override PartName="/xl/customProperty4.bin" ContentType="application/vnd.openxmlformats-officedocument.spreadsheetml.customProperty"/>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ustomProperty5.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66925"/>
  <mc:AlternateContent xmlns:mc="http://schemas.openxmlformats.org/markup-compatibility/2006">
    <mc:Choice Requires="x15">
      <x15ac:absPath xmlns:x15ac="http://schemas.microsoft.com/office/spreadsheetml/2010/11/ac" url="https://cweibr011.sharepoint.com/sites/HubGestaoAtivosEngenharia/ENGENHARIA_ELETROMECANICA/METAS CTG/2026/"/>
    </mc:Choice>
  </mc:AlternateContent>
  <xr:revisionPtr revIDLastSave="0" documentId="8_{7B6E034F-9D1E-4EA3-AD26-DB9395B979F1}" xr6:coauthVersionLast="47" xr6:coauthVersionMax="47" xr10:uidLastSave="{00000000-0000-0000-0000-000000000000}"/>
  <bookViews>
    <workbookView xWindow="-110" yWindow="-110" windowWidth="19420" windowHeight="11500" firstSheet="4" activeTab="4" xr2:uid="{D6E31DBE-A656-408A-A838-CFC8CCD90472}"/>
  </bookViews>
  <sheets>
    <sheet name="André" sheetId="22" r:id="rId1"/>
    <sheet name="Metas-2026-Conf." sheetId="19" r:id="rId2"/>
    <sheet name="Metas-2026-Modern" sheetId="16" r:id="rId3"/>
    <sheet name="Metas-2026-Eletr." sheetId="18" r:id="rId4"/>
    <sheet name="Metas-2026-Mec." sheetId="20" r:id="rId5"/>
  </sheets>
  <definedNames>
    <definedName name="_xlnm._FilterDatabase" localSheetId="1" hidden="1">'Metas-2026-Conf.'!$A$1:$I$60</definedName>
    <definedName name="_xlnm._FilterDatabase" localSheetId="3" hidden="1">'Metas-2026-Eletr.'!$A$1:$J$62</definedName>
    <definedName name="_xlnm._FilterDatabase" localSheetId="4" hidden="1">'Metas-2026-Mec.'!$A$1:$P$127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6" i="18" l="1"/>
  <c r="J71" i="18"/>
  <c r="A16" i="20"/>
  <c r="A74" i="20"/>
  <c r="GF149" i="20"/>
  <c r="GF147" i="20"/>
  <c r="GF148" i="20"/>
  <c r="A92" i="20"/>
  <c r="A27" i="20"/>
  <c r="GF152" i="20" l="1"/>
  <c r="A62" i="20"/>
  <c r="A127" i="20"/>
  <c r="A116" i="20"/>
  <c r="A103" i="20"/>
  <c r="A84" i="20"/>
  <c r="A51" i="20"/>
  <c r="A41" i="20"/>
  <c r="J78" i="18"/>
  <c r="J43" i="18" l="1"/>
  <c r="J50" i="18"/>
  <c r="J36" i="18"/>
  <c r="J24" i="18"/>
  <c r="J18" i="18"/>
  <c r="J64" i="18"/>
  <c r="J2" i="18"/>
  <c r="J30" i="18" l="1"/>
  <c r="J12" i="18" l="1"/>
  <c r="J57"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tc={17D23160-A70D-4A49-864E-8A15B03BF131}</author>
    <author>tc={6CA5ED82-7982-4143-A565-CAD863ED3AFD}</author>
    <author>tc={88BC9D9A-2875-432F-9C70-0CC42449072F}</author>
    <author>tc={8B4911F6-560E-40FF-B3E4-311317911397}</author>
  </authors>
  <commentList>
    <comment ref="A18" authorId="0" shapeId="0" xr:uid="{17D23160-A70D-4A49-864E-8A15B03BF131}">
      <text>
        <t>[Threaded comment]
Your version of Excel allows you to read this threaded comment; however, any edits to it will get removed if the file is opened in a newer version of Excel. Learn more: https://go.microsoft.com/fwlink/?linkid=870924
Comment:
    @Leonardo Seiji Watanabe favor incluir as metas</t>
      </text>
    </comment>
    <comment ref="A50" authorId="1" shapeId="0" xr:uid="{6CA5ED82-7982-4143-A565-CAD863ED3AFD}">
      <text>
        <t>[Threaded comment]
Your version of Excel allows you to read this threaded comment; however, any edits to it will get removed if the file is opened in a newer version of Excel. Learn more: https://go.microsoft.com/fwlink/?linkid=870924
Comment:
    @Hallyson Izidoro dos Santos incluir mais metas</t>
      </text>
    </comment>
    <comment ref="A78" authorId="2" shapeId="0" xr:uid="{88BC9D9A-2875-432F-9C70-0CC42449072F}">
      <text>
        <t>[Threaded comment]
Your version of Excel allows you to read this threaded comment; however, any edits to it will get removed if the file is opened in a newer version of Excel. Learn more: https://go.microsoft.com/fwlink/?linkid=870924
Comment:
    @Marcos Hiroshi Kadota favor incluir as metas</t>
      </text>
    </comment>
    <comment ref="A86" authorId="3" shapeId="0" xr:uid="{8B4911F6-560E-40FF-B3E4-311317911397}">
      <text>
        <t>[Threaded comment]
Your version of Excel allows you to read this threaded comment; however, any edits to it will get removed if the file is opened in a newer version of Excel. Learn more: https://go.microsoft.com/fwlink/?linkid=870924
Comment:
    @Victor Alberto Garcia Osorio favor incluir as metas</t>
      </text>
    </comment>
  </commentList>
</comments>
</file>

<file path=xl/sharedStrings.xml><?xml version="1.0" encoding="utf-8"?>
<sst xmlns="http://schemas.openxmlformats.org/spreadsheetml/2006/main" count="660" uniqueCount="353">
  <si>
    <t>RESPONSÁVEL</t>
  </si>
  <si>
    <t>TARGET NAME</t>
  </si>
  <si>
    <t>KPI</t>
  </si>
  <si>
    <t>Detailed</t>
  </si>
  <si>
    <t>Weight</t>
    <phoneticPr fontId="0" type="noConversion"/>
  </si>
  <si>
    <t>Notes</t>
  </si>
  <si>
    <t>André Proença</t>
  </si>
  <si>
    <t>Availability HPPs</t>
  </si>
  <si>
    <t>Keep availability of all projects not less than the value assessed by Brazilian regulators - based on a 60-month average availability</t>
  </si>
  <si>
    <t xml:space="preserve"> Availability CTG Brasil = [(result of Availability goal for HPP1 x weight power capacity HPP1) + (result of Availability goal for HPP2 x weight Power capacity HPP2) +…((result of Availability goal for HPP12 x weight Power capacity HPP12)]</t>
  </si>
  <si>
    <t>Forced Outages CTGBr</t>
  </si>
  <si>
    <t xml:space="preserve">Cost Optimization - O&amp;M + Environmental &amp; Safety + Engineering &amp; CAPEX </t>
  </si>
  <si>
    <t>Achievement of 5% accuracy (95%-105%) in the CAPEX and MSO Budget Review.
Achievement will be calculated based on the proportional weight of each item in the total budget (Opex and Capex of per directory)
(i) Does not include any pre-operational costs related to SdP;
(ii) Does not include any opex or capex related to Arinos, 
and (iii) Exclusion of People costs from capex</t>
  </si>
  <si>
    <t>Achievement of 5% accuracy (95%-105%) in the MSO and Capex Budget Review, without exceeding the original budget.
3rd Budget Review: October 
Details in the "Annex - Cost Optimization"</t>
  </si>
  <si>
    <t>Achievement of 10% accuracy (95%-105%) in the MSO and Capex Budget Review, without exceeding the original budget.
2nd Budget Review: July
Details in the "Annex - Cost Optimization"</t>
  </si>
  <si>
    <t>Achievement of 15% accuracy (95%-105%) in the MSO and Capex Budget Review, without exceeding the original budget.
1st Budget Review: April 
Details in the "Annex - Cost Optimization"</t>
  </si>
  <si>
    <t>Non-occurrence of:
1) Environmental accidents (mainly: oil/chemicals spills in the powerplant, oil/chemicals spill into the river or uncovered soil, fish death or arrestings due to operation or reservoir low levels); (50%)
2) Serious structural damage (Dam Safety, Powerhouse Flood, Major Equipment Damage) in the CTG Brazil HPPs until Dec/25 (damages involving equipment under warranty and/or covered and reimbursed by insurance policy are not included in this goal); (50%)</t>
  </si>
  <si>
    <t>Procurement &amp; Contract Management KPI - VP/CO</t>
  </si>
  <si>
    <t>Weight</t>
  </si>
  <si>
    <t>Unit of measurement</t>
  </si>
  <si>
    <t>Description</t>
  </si>
  <si>
    <t>Measurement Criteria</t>
  </si>
  <si>
    <r>
      <t xml:space="preserve">Seq. / 
</t>
    </r>
    <r>
      <rPr>
        <b/>
        <sz val="12"/>
        <color theme="7" tint="0.39997558519241921"/>
        <rFont val="CTG Sans Light"/>
        <family val="3"/>
      </rPr>
      <t>Number</t>
    </r>
  </si>
  <si>
    <r>
      <t xml:space="preserve">Nome da Meta /
</t>
    </r>
    <r>
      <rPr>
        <b/>
        <sz val="12"/>
        <color theme="7" tint="0.39997558519241921"/>
        <rFont val="CTG Sans Light"/>
        <family val="3"/>
      </rPr>
      <t>Goal Name</t>
    </r>
  </si>
  <si>
    <r>
      <t xml:space="preserve">Indicador / 
</t>
    </r>
    <r>
      <rPr>
        <b/>
        <sz val="12"/>
        <color theme="7" tint="0.39997558519241921"/>
        <rFont val="CTG Sans Light"/>
        <family val="3"/>
      </rPr>
      <t>Metric:</t>
    </r>
  </si>
  <si>
    <r>
      <t xml:space="preserve">Peso /
</t>
    </r>
    <r>
      <rPr>
        <b/>
        <sz val="12"/>
        <color theme="7" tint="0.39997558519241921"/>
        <rFont val="CTG Sans Light"/>
        <family val="3"/>
      </rPr>
      <t>Weight</t>
    </r>
  </si>
  <si>
    <t>Target</t>
  </si>
  <si>
    <r>
      <t xml:space="preserve">Descrição do Target /
</t>
    </r>
    <r>
      <rPr>
        <b/>
        <sz val="12"/>
        <color theme="7" tint="0.39997558519241921"/>
        <rFont val="CTG Sans Light"/>
        <family val="3"/>
      </rPr>
      <t>Target Description</t>
    </r>
  </si>
  <si>
    <r>
      <t xml:space="preserve">Valor da Meta /
</t>
    </r>
    <r>
      <rPr>
        <b/>
        <sz val="12"/>
        <color theme="7" tint="0.39997558519241921"/>
        <rFont val="CTG Sans Light"/>
        <family val="3"/>
      </rPr>
      <t>Target value</t>
    </r>
  </si>
  <si>
    <t>Everthon</t>
  </si>
  <si>
    <t>Availability - HPP</t>
  </si>
  <si>
    <t>Procurement &amp; Contract Management -VP/CO</t>
  </si>
  <si>
    <t>Meta 1</t>
  </si>
  <si>
    <t>Juliano Torres</t>
  </si>
  <si>
    <t>Gustavo</t>
  </si>
  <si>
    <t>Procurement &amp; Contract Management - VP/CO</t>
  </si>
  <si>
    <t>Roberto</t>
  </si>
  <si>
    <t>??</t>
  </si>
  <si>
    <t xml:space="preserve">Á definir </t>
  </si>
  <si>
    <t>Meta realização de orçamento</t>
  </si>
  <si>
    <t xml:space="preserve"> </t>
  </si>
  <si>
    <t>Milestone</t>
  </si>
  <si>
    <t xml:space="preserve">Conclusão dos pedidos de compra da área. </t>
  </si>
  <si>
    <t>Geração até 31/12/2026 de 70% dos POs solicitados até 31/10/2026.</t>
  </si>
  <si>
    <t>Geração até 31/12/2026 de 80% dos POs solicitados até 31/10/2026.</t>
  </si>
  <si>
    <t>Geração até 31/12/2026 de 90% dos POs solicitados até 31/10/2026.</t>
  </si>
  <si>
    <t xml:space="preserve">Revisão Planilha de Aquisição de sobressalente </t>
  </si>
  <si>
    <t xml:space="preserve">Revisar as quantidades de sobressalentes em estoque nos almoxarifados, identificar os itens que não possui a quantidade minima conforme IM-ENG-365 e planejar a estratégia de aquisição dos itens faltantes. </t>
  </si>
  <si>
    <t>Estruturar a planilha principal consolidada e as planilhas individuais por usina, contemplando a atualização dos itens de acordo com a IM-ENG-365, , concluir até 31/12/2026</t>
  </si>
  <si>
    <t>Atualizar as quantidades em estoque conforme visita aos almoxarifados das UHEs , identificar as pendências de acordo com o estoque minimo, informar o valor de cada item e designar uma area para realizar a aquisição IM-ENG-365, concluir até 31/12/2026</t>
  </si>
  <si>
    <t>Elaborar a distribuição plurianual do orçamento de sobressalentes para o período de 2027 a 2031. O planejamento deverá contemplar a priorização dos itens críticos, concluir até 31/12/2026</t>
  </si>
  <si>
    <t xml:space="preserve">Cronograma de inspeção de Drone </t>
  </si>
  <si>
    <t xml:space="preserve">Garantir as inspeções por drone nas usinas. </t>
  </si>
  <si>
    <t xml:space="preserve">5 Usinas </t>
  </si>
  <si>
    <t xml:space="preserve">10 Usinas </t>
  </si>
  <si>
    <t>14 Usinas</t>
  </si>
  <si>
    <t xml:space="preserve">Instrução sobre utilização do Drone e GM do que inspecionar em casa usina. </t>
  </si>
  <si>
    <t>Propor uma instrução padronizada para a utilização de drones e GMs incluindo a definição dos critérios para inspeção em cada unidade.</t>
  </si>
  <si>
    <t>Criação de instrução técnica para utilização de drones nas usinas, até 31/12/2026</t>
  </si>
  <si>
    <t>Criaçaõ das GMs, até 31/12/2026</t>
  </si>
  <si>
    <t>Aprovação da instrução e Guias da área e envio ao Comitê Técnico até 31/12/2026.</t>
  </si>
  <si>
    <t xml:space="preserve">Gestão de Documentos </t>
  </si>
  <si>
    <t xml:space="preserve">Organização dos arquivos, estrutura de pasta e layout </t>
  </si>
  <si>
    <t>Propor a revisão da estrutura de pastas do ambiente da Engenharia e revisão da IM-ENG-38, concluir até 31/12/2026</t>
  </si>
  <si>
    <t>Realocar os documentos existentes para a nova estrutura de pastas, concluir até 31/12/2026</t>
  </si>
  <si>
    <t>Modernizar o layout da página principal da Diretoria e de Gestão de Ativos, concluir até 31/12/2026</t>
  </si>
  <si>
    <t>Júlio Cury</t>
  </si>
  <si>
    <t>Forced Outages CTGBr+B28:B30</t>
  </si>
  <si>
    <t>Substituição das grades das UG's da UHE SAG das UG's 03 e 04</t>
  </si>
  <si>
    <t>Concluir a substituição das grades de SAG, sendo: UG03 e UG4 em 60 dias a partir do seu início, com atraso de até 15 dias</t>
  </si>
  <si>
    <t>Concluir a substituição das grades de SAG, sendo: UG03 e UG4 em 60 dias a partir do seu início, com atraso de até 5 dias</t>
  </si>
  <si>
    <t>Concluir a substituição das grades de SAG, sendo: UG03 e UG4 em 60 dias a partir do seu início.</t>
  </si>
  <si>
    <t>MPP2 UG01 - SAG</t>
  </si>
  <si>
    <t xml:space="preserve">Milestone </t>
  </si>
  <si>
    <t>Concluir a MPP-2 com atraso de até 15 dias conforme Cronograma</t>
  </si>
  <si>
    <t>Concluir a MPP-2 no prazo conforme Cronograma</t>
  </si>
  <si>
    <t>Concluir a MPP-2 antecipadamente conforme Cronograma</t>
  </si>
  <si>
    <t>MPP-2 da UG-1 JUR</t>
  </si>
  <si>
    <t>Substituição das grades das UG's da UHE SAG das UG's 01 e 02</t>
  </si>
  <si>
    <t>Concluir a substituição das grades de SAG, sendo: UG01 e UG02 em 60 dias a partir do seu início, com atraso de até 15 dias</t>
  </si>
  <si>
    <t>Concluir a substituição das grades de SAG, sendo: UG01 e UG02 em 60 dias a partir do seu início, com atraso de até 5 dias</t>
  </si>
  <si>
    <t>Guilherme Polis</t>
  </si>
  <si>
    <t>Everton Silva</t>
  </si>
  <si>
    <t>Marcão</t>
  </si>
  <si>
    <t>Gestão de Rotas da Operação</t>
  </si>
  <si>
    <t>O Sistema MDM apresenta limitações no controle e na confiabilidade das rotas executadas em modo off-line, comprometendo a rastreabilidade e a qualidade das informações. Para mitigar esses problemas, propõe-se o desenvolvimento de uma aplicação paralela focada na gestão dessas rotas, garantindo registro consistente, melhor controle operacional e maior visibilidade dos dados. A solução complementa o MDM, aumentando a eficiência e a confiabilidade do processo.</t>
  </si>
  <si>
    <t>Aplicação concluida e implementada na UHE Jupiá até Dezembro de 2026</t>
  </si>
  <si>
    <t>Aplicação concluida e implementada nas Usinas da Rio Paraná até Dezembro de 2026</t>
  </si>
  <si>
    <t>Aplicação concluida e implementada em todas as Usinas da CTG até Dezembro de 2026</t>
  </si>
  <si>
    <t>Aline</t>
  </si>
  <si>
    <t>3rd BATCH – TECHNICAL DOCUMENTATION JUP and ILS HPP</t>
  </si>
  <si>
    <t>Indicator = (qty "Approved"+ qty “Approved with Comments” + qty "Not approved" within 10 working days) / (qty "For Analysis"+ qty "Approved" + qty “Approved with Comments”+ qty "Not approved") *100 [%]</t>
  </si>
  <si>
    <r>
      <rPr>
        <sz val="11"/>
        <color rgb="FF000000"/>
        <rFont val="Arial"/>
        <family val="2"/>
      </rPr>
      <t>3rd batch modernization documents verified within 10 working days by Engineering Team to</t>
    </r>
    <r>
      <rPr>
        <sz val="11"/>
        <color rgb="FFFF0000"/>
        <rFont val="Arial"/>
        <family val="2"/>
      </rPr>
      <t xml:space="preserve"> SYSTEM of Jupiá and Ilha Solteira HPPs</t>
    </r>
    <r>
      <rPr>
        <sz val="11"/>
        <color rgb="FF000000"/>
        <rFont val="Arial"/>
        <family val="2"/>
      </rPr>
      <t>, submitted by the supplier. The evaluation will be through the Colaborativo system report considering documentation with status "For Analysis"; "Approved/For Construction"; “Approved with Comments” and "Not approved" for documents uploaded to the Colaborativo system until December 11th, 2026 (date of verification in the Colaborativo system December 18th, 2026).</t>
    </r>
  </si>
  <si>
    <r>
      <rPr>
        <sz val="11"/>
        <color rgb="FF000000"/>
        <rFont val="Arial"/>
        <family val="2"/>
      </rPr>
      <t xml:space="preserve">Responder </t>
    </r>
    <r>
      <rPr>
        <sz val="11"/>
        <color rgb="FFED7D31"/>
        <rFont val="Arial"/>
        <family val="2"/>
      </rPr>
      <t>75%</t>
    </r>
    <r>
      <rPr>
        <sz val="11"/>
        <color rgb="FF000000"/>
        <rFont val="Arial"/>
        <family val="2"/>
      </rPr>
      <t xml:space="preserve"> da documentação dentro do prazo de 10 dias úteis para </t>
    </r>
    <r>
      <rPr>
        <sz val="11"/>
        <color rgb="FFFF0000"/>
        <rFont val="Arial"/>
        <family val="2"/>
      </rPr>
      <t>SYSTEM</t>
    </r>
    <r>
      <rPr>
        <sz val="11"/>
        <color rgb="FF000000"/>
        <rFont val="Arial"/>
        <family val="2"/>
      </rPr>
      <t xml:space="preserve"> das UHEs </t>
    </r>
    <r>
      <rPr>
        <sz val="11"/>
        <color rgb="FFFF0000"/>
        <rFont val="Arial"/>
        <family val="2"/>
      </rPr>
      <t>Ilha Solteira e UHE Jupiá</t>
    </r>
  </si>
  <si>
    <r>
      <rPr>
        <sz val="11"/>
        <color rgb="FF000000"/>
        <rFont val="Arial"/>
        <family val="2"/>
      </rPr>
      <t xml:space="preserve">Responder </t>
    </r>
    <r>
      <rPr>
        <sz val="11"/>
        <color rgb="FFED7D31"/>
        <rFont val="Arial"/>
        <family val="2"/>
      </rPr>
      <t>85%</t>
    </r>
    <r>
      <rPr>
        <sz val="11"/>
        <color rgb="FF000000"/>
        <rFont val="Arial"/>
        <family val="2"/>
      </rPr>
      <t xml:space="preserve"> da documentação dentro do prazo de 10 dias úteis para </t>
    </r>
    <r>
      <rPr>
        <sz val="11"/>
        <color rgb="FFFF0000"/>
        <rFont val="Arial"/>
        <family val="2"/>
      </rPr>
      <t>SYSTEM</t>
    </r>
    <r>
      <rPr>
        <sz val="11"/>
        <color rgb="FF000000"/>
        <rFont val="Arial"/>
        <family val="2"/>
      </rPr>
      <t xml:space="preserve"> da UHEs </t>
    </r>
    <r>
      <rPr>
        <sz val="11"/>
        <color rgb="FFFF0000"/>
        <rFont val="Arial"/>
        <family val="2"/>
      </rPr>
      <t>Ilha Solteira e UHE Jupiá</t>
    </r>
  </si>
  <si>
    <r>
      <rPr>
        <sz val="11"/>
        <color rgb="FF000000"/>
        <rFont val="Arial"/>
        <family val="2"/>
      </rPr>
      <t xml:space="preserve">Responder </t>
    </r>
    <r>
      <rPr>
        <sz val="11"/>
        <color rgb="FFED7D31"/>
        <rFont val="Arial"/>
        <family val="2"/>
      </rPr>
      <t>100%</t>
    </r>
    <r>
      <rPr>
        <sz val="11"/>
        <color rgb="FF000000"/>
        <rFont val="Arial"/>
        <family val="2"/>
      </rPr>
      <t xml:space="preserve"> da documentação dentro do prazo de 10 dias úteis para </t>
    </r>
    <r>
      <rPr>
        <sz val="11"/>
        <color rgb="FFFF0000"/>
        <rFont val="Arial"/>
        <family val="2"/>
      </rPr>
      <t>SYSTEM</t>
    </r>
    <r>
      <rPr>
        <sz val="11"/>
        <color rgb="FF000000"/>
        <rFont val="Arial"/>
        <family val="2"/>
      </rPr>
      <t xml:space="preserve"> da UHEs </t>
    </r>
    <r>
      <rPr>
        <sz val="11"/>
        <color rgb="FFFF0000"/>
        <rFont val="Arial"/>
        <family val="2"/>
      </rPr>
      <t>Ilha Solteira e UHE Jupiá</t>
    </r>
  </si>
  <si>
    <t>Ana Borges</t>
  </si>
  <si>
    <t>Juliano</t>
  </si>
  <si>
    <t>Lucas</t>
  </si>
  <si>
    <t>Procurement &amp; Contract Management</t>
  </si>
  <si>
    <t>Modernização ILS</t>
  </si>
  <si>
    <t>Modernização JUP</t>
  </si>
  <si>
    <t>Leonardo LL</t>
  </si>
  <si>
    <t>Treinamento para mantenedores - Noções basicas de regulador de velocidade</t>
  </si>
  <si>
    <t>MILESTONE</t>
  </si>
  <si>
    <t>Execution</t>
  </si>
  <si>
    <t>Entrega por email da apresentação gravada até DEZ/26</t>
  </si>
  <si>
    <t>Entrega por email da apresentação gravada até NOV/26</t>
  </si>
  <si>
    <t>Entrega por email da apresentação gravada até OUT/26.</t>
  </si>
  <si>
    <t>Treinamento para mantenedores - Regulador de tensão, operação e limitadores</t>
  </si>
  <si>
    <t>Elaborar relatório de P&amp;D, conforme padrão ANEEEL para proposta: Sistema de acoplamento de fontes de corrente contínua com isolação galvânica</t>
  </si>
  <si>
    <t>Entrega por email do relatório de proposta completo até DEZ/26</t>
  </si>
  <si>
    <t>Entrega por email do relatório de proposta completo até NOV/26</t>
  </si>
  <si>
    <t>Entrega por email do relatório de proposta completo até OUT/26.</t>
  </si>
  <si>
    <t>Watanabe</t>
  </si>
  <si>
    <t>Paradas forçada após comissionamento</t>
  </si>
  <si>
    <t>Sem paradas forçadas após 30 dias</t>
  </si>
  <si>
    <t>Sem paradas forçadas até 60 dias</t>
  </si>
  <si>
    <t>Sem paradas forçadas até 90dias</t>
  </si>
  <si>
    <t>Marcel</t>
  </si>
  <si>
    <t>STO - Estudo de otimização de demanda contratada - Fatura de Energia Equatorial</t>
  </si>
  <si>
    <t>Entrega por email da versão inicial do texto do estudo proposto até DEZ/25</t>
  </si>
  <si>
    <t>Entrega por email da versão inicial do texto do estudo proposto até NOV/25</t>
  </si>
  <si>
    <t>Entrega por email da versão inicial do texto do estudo proposto até OUT/25</t>
  </si>
  <si>
    <t>ILS - Estudo de conexões de circuito amortecedor danificadas</t>
  </si>
  <si>
    <t>Treinamento de manutenção em hidrogeradores</t>
  </si>
  <si>
    <t>Realizar treinamento até DEZ/25</t>
  </si>
  <si>
    <t>Realizar treinamento até NOV/25</t>
  </si>
  <si>
    <t>Realizar treinamento até OUT/25</t>
  </si>
  <si>
    <t>Yuri</t>
  </si>
  <si>
    <t>Realizar levantamento técnico dos relés de proteção instalados nas usinas UHE CHV, UHE CN1, UHE CN2, UHE CPV, UHE GAR, UHE ILS, UHE JUP, UHE JUR, PCH PLM, PCH RET, UHE ROS, UHE SAG, UHE STO e UHE TAQ</t>
  </si>
  <si>
    <t>Inventário concluído para 8 usinas + dashboard implementado até Dez/26</t>
  </si>
  <si>
    <t>Inventário concluído para 12 usinas + dashboard implementado até Dez/26</t>
  </si>
  <si>
    <t>Inventário concluído para 14 usinas + dashboard implementado até Dez/26</t>
  </si>
  <si>
    <t>Fabrício</t>
  </si>
  <si>
    <t xml:space="preserve">Viabilizar a comunicação entre HyCon e Anunciador Mauell das Maquinas não modernizadas para disponibilizar as informações para operadores da Sala de Controle de ILS.
</t>
  </si>
  <si>
    <t>Desenvovolver as telas, executar os testes e desenvolver o manual de alterações até Dezembro 2026</t>
  </si>
  <si>
    <t>Desenvovolver as telas, executar os testes e desenvolver o manual de alterações até Novembro 2026</t>
  </si>
  <si>
    <t>Desenvovolver as telas, executar os testes e desenvolver o manual de alterações até Setembro 2026</t>
  </si>
  <si>
    <t>ok</t>
  </si>
  <si>
    <t>Jean</t>
  </si>
  <si>
    <t>Inventário dos equipamentos de alta tensão das usinas da CTG Brasil</t>
  </si>
  <si>
    <t>Etapas executadas</t>
  </si>
  <si>
    <t>Realizar o inventário e a identificação dos equipamentos de alta tensão das subestações de todas as usinas da CTG. O inventário contemplará os seguintes equipamentos: transformadores de corrente, transformadores de potência, para-raios, disjuntores das unidades, seccionadoras e equipamentos sobressalentes.</t>
  </si>
  <si>
    <t>Desenvolver um modelo padrão de planilha e estruturar a pasta no servidor da Engenharia Eletromecânica, organizando todos os dados por usina e por unidade geradora.</t>
  </si>
  <si>
    <t>Garantir o preenchimento completo da planilha de equipamentos de alta tensão com os dados dos respectivos equipamentos de sete (07) usinas da CTG.</t>
  </si>
  <si>
    <t>Garantir o preenchimento completo da planilha de equipamentos de alta tensão com os dados dos respectivos equipamentos de todas as usinas da CTG.</t>
  </si>
  <si>
    <t>Treinamento de equipamentos de alta tensão</t>
  </si>
  <si>
    <t xml:space="preserve">Elaborar e ministrar treinamento de equipamentos de alta tensão para as usinas </t>
  </si>
  <si>
    <t>Hallyson</t>
  </si>
  <si>
    <t>Elaborar GM-Estação Operação - SCADAS Power 5 COG</t>
  </si>
  <si>
    <t>MILLESTONE</t>
  </si>
  <si>
    <t>Elaborar uma Guia de Manutenção (GM) para as estações de operação do sistema SCADA COG - Power 5</t>
  </si>
  <si>
    <t>Elaborar Guia de Manutenção (GM) para estações de operação do Sistema SCADA Power 5 - COG até Dez/2026.</t>
  </si>
  <si>
    <t>Elaborar e aprovar em comitê técnico, Guia de Manutenção (GM) para estações de operação do Sistema SCADA Power 5 - COG até Nov/2026.</t>
  </si>
  <si>
    <t>Elaborar, aprova em comitê técnico e publicar, Guia de Manutenção (GM) para estações de operação do Sistema SCADA Power 5 - COG até Out/2026.</t>
  </si>
  <si>
    <t>Elaborar Instrução comportamento e classificação de alarmes e eventos - SCADA Power 5 COG</t>
  </si>
  <si>
    <t>Elaborar documentação de instrução para operação do COG, referente ao comportamento e classificação de alarmes e eventos do SCADA Power 5.</t>
  </si>
  <si>
    <t>10%%</t>
  </si>
  <si>
    <t>Elaborar documentação de instrução para operação do COG, referente ao comportamento e classificação de alarmes e eventos do SCADA Power 5 até Dez/2026.</t>
  </si>
  <si>
    <t>Elaborar documentação de instrução para operação do COG, referente ao comportamento e classificação de alarmes e eventos do SCADA Power 5 até Nov/2026.</t>
  </si>
  <si>
    <t>Elaborar documentação de instrução para operação do COG, referente ao comportamento e classificação de alarmes e eventos do SCADA Power 5 até Out/2026.</t>
  </si>
  <si>
    <t>Victor Pedraci</t>
  </si>
  <si>
    <t>Elaboração de manuais de manutenção para calibração dos medidores de energia do SMF</t>
  </si>
  <si>
    <t xml:space="preserve">Elaboração de manuais de manutenção para calibração dos medidores de energia do SMF, utilizando os padrões PRS1.3 e PRS600.3, bem como a execução de uma calibração pelos técnicos de campo utilizando o manual. </t>
  </si>
  <si>
    <t>Aprovação dos manuais de manutenção em subcomitê técnico até setembro de 2026</t>
  </si>
  <si>
    <t>Aprovação dos manuais de manutenção em subcomitê técnico até junho de 2026</t>
  </si>
  <si>
    <t>100% + Repasse de informações e execução de uma calibração pelos técnicos de campo utilizando o respectivo manual.</t>
  </si>
  <si>
    <t>Treinamento técnico de regulador de tensão e velocidade teórico e prático</t>
  </si>
  <si>
    <t>Aplicação de treinamento técnico de regulador de tensão e velocidade teórico e prático</t>
  </si>
  <si>
    <t>Aplicação do treinamento teórico de forma virtual</t>
  </si>
  <si>
    <t>80% + Aplicação do treinamento prático nos pólos CHV e CPV</t>
  </si>
  <si>
    <t>100% + Aplicação do treinamento prático nos pólos JUP e ILS</t>
  </si>
  <si>
    <t>Levantamento, atualização e estruturação dos dados dos reguladores das usinas hidrelétricas da CTG Brasil</t>
  </si>
  <si>
    <t>Levantamento, atualização e estruturação dos dados dos reguladores reguladores de velocidade digital, reguladores de tensão controle e reguladores de tensão potência das usinas hidrelétricas da CTG Brasil.</t>
  </si>
  <si>
    <t>Levantamento e estruturação dos dados dos reguladores reguladores de velocidade digital, reguladores de tensão controle e reguladores de tensão potência de 08 das 14 usinas hidrelétricas da CTG Brasil.</t>
  </si>
  <si>
    <t>Levantamento e estruturação dos dados dos reguladores reguladores de velocidade digital, reguladores de tensão controle e reguladores de tensão potência de 11 das 14 usinas hidrelétricas da CTG Brasil.</t>
  </si>
  <si>
    <t>Levantamento e estruturação dos dados dos reguladores reguladores de velocidade digital, reguladores de tensão controle e reguladores de tensão potência das 14 usinas hidrelétricas da CTG Brasil.</t>
  </si>
  <si>
    <t>Maurilio</t>
  </si>
  <si>
    <t>Realizar estudo para a realização do plano de arraste dos transformadores elevadores de todas as usinas (Meta conjunta com a Mecânica).</t>
  </si>
  <si>
    <t>Realizar relatório e/ou plano de arraste para todas as usinas. A realização do plano depende da disponibilidade dos equipamentos de arraste disponíveis, não havendo deverá ser evidenciado no relatório.</t>
  </si>
  <si>
    <t>Elaboração de relatório com o levantamento e informações para a realização dos planos  até dez/26</t>
  </si>
  <si>
    <t>Elaboração de relatório com o levantamento e informações para a realização dos planos  até nov/26</t>
  </si>
  <si>
    <t>Elaboração de relatório com o levantamento e informações para a realização dos planos  até out/26</t>
  </si>
  <si>
    <t>Base de dados histórico de ensaios de buchas e TRs por SN (&gt;5  anos)</t>
  </si>
  <si>
    <t>Realizar banco de dados histórico de ensaios por número de série das buchas de AT, N (onde aplicável) e TRs</t>
  </si>
  <si>
    <t>Aprovação do histórico de ensaios até dez/26</t>
  </si>
  <si>
    <t>Aprovação do histórico de ensaios até nov/26</t>
  </si>
  <si>
    <t>Aprovação do histórico de ensaios até out/26</t>
  </si>
  <si>
    <t>Júlio Casagrande</t>
  </si>
  <si>
    <t>Desmontagem, montagem, testes elétricos e comissionamento do CLP da última unidade geradora da UHE Garibaldi</t>
  </si>
  <si>
    <t>Execução da modernização do CLP da última unidade geradora da UHE Garibaldi, com retorno para operação assistida.</t>
  </si>
  <si>
    <t>Término dos serviços e entrega para a operação assistida em 20 dias úteis</t>
  </si>
  <si>
    <t>Término dos serviços e entrega para a operação assistida em 19 dias úteis</t>
  </si>
  <si>
    <t>Término dos serviços e entrega para a operação assistida em 18 dias úteis</t>
  </si>
  <si>
    <t>Desenvolvimento de Sistema de Gestão para a Engenharia da CTG Brasil, para promover a centralização e maior controle sobre os processos</t>
  </si>
  <si>
    <t>Implementação da ferramenta nas áreas</t>
  </si>
  <si>
    <t>Implementação na Engenharia Elétrica até Julho/26</t>
  </si>
  <si>
    <t>Implementação na Engenharia Mecânica até Agosto/26</t>
  </si>
  <si>
    <t>Implementação na Engenharia de Confiabilidade até Agosto/26</t>
  </si>
  <si>
    <t>Kadota</t>
  </si>
  <si>
    <t>Realizar estudos sobre técnicas complementares para o
diagnóstico de transformadores de potência</t>
  </si>
  <si>
    <t>Entrega por email do estudo elaborado até DEZ/26</t>
  </si>
  <si>
    <t>Entrega por email do estudo elaborado até NOV/26</t>
  </si>
  <si>
    <t>Entrega por email do estudo elaborado até OUT/26</t>
  </si>
  <si>
    <t>Estudo de avaliação e classificação de óleos
minerais isolantes de transformadores de potência por meio de
análises físico-químicas</t>
  </si>
  <si>
    <t>Victor Osorio</t>
  </si>
  <si>
    <t>Levantamento, atualização e avaliação de estudos sistemicos e ajustes de sistemas de proteção de LTs e SEs da CTG Brasil.</t>
  </si>
  <si>
    <t>Entrega por email da pasta organizada e planilha de controle e mapeamento até DEZ/26</t>
  </si>
  <si>
    <t>Entrega por email da pasta organizada e planilha de controle e mapeamento até NOV26</t>
  </si>
  <si>
    <t>Entrega por email da pasta organizada e planilha de controle e mapeamento até OUT26</t>
  </si>
  <si>
    <t>Contraste de filosofias de proteção atuais instaladas nas LTs  e SEs da CTG conforme procedimentos  de rede e necessidade de melhorias considerando acessantes futuros e atuais</t>
  </si>
  <si>
    <t>Entrega por email da planilha com discretização de IEDs funções e melhorias adicionalmente manual doa cessante  DEZ/26</t>
  </si>
  <si>
    <t>Entrega por email da planilha com discretização de IEDs funções e melhorias adicionalmente manual doa cessante  NOV/26</t>
  </si>
  <si>
    <t>Entrega por email da planilha com discretização de IEDs funções e melhorias adicionalmente manual do cessante  OUT/26</t>
  </si>
  <si>
    <t>Treinamento de operação e manutenção e contingencia em sistemas de proteção das UHEs subestações e LTs da CTG Brasil.</t>
  </si>
  <si>
    <t>Meta</t>
  </si>
  <si>
    <t>Fabiano</t>
  </si>
  <si>
    <t>1.1</t>
  </si>
  <si>
    <t>1.2</t>
  </si>
  <si>
    <t>1.3</t>
  </si>
  <si>
    <t>1.4</t>
  </si>
  <si>
    <t>Modernization - HPP ILS</t>
  </si>
  <si>
    <t>1.5</t>
  </si>
  <si>
    <t>Modernization - HPP JUP</t>
  </si>
  <si>
    <t>1.6</t>
  </si>
  <si>
    <t>1.7</t>
  </si>
  <si>
    <t>2.1</t>
  </si>
  <si>
    <r>
      <rPr>
        <sz val="11"/>
        <color rgb="FF000000"/>
        <rFont val="Arial"/>
        <family val="2"/>
      </rPr>
      <t>3rd batch modernization documents verified within 10 working days by Engineering Team to</t>
    </r>
    <r>
      <rPr>
        <sz val="11"/>
        <color rgb="FFFF0000"/>
        <rFont val="Arial"/>
        <family val="2"/>
      </rPr>
      <t xml:space="preserve"> TUR and HYD of Jupiá and Ilha Solteira HPPs</t>
    </r>
    <r>
      <rPr>
        <sz val="11"/>
        <color rgb="FF000000"/>
        <rFont val="Arial"/>
        <family val="2"/>
      </rPr>
      <t>, submitted by the supplier. The evaluation will be through the Colaborativo system report considering documentation with status "For Analysis"; "Approved/For Construction"; “Approved with Comments” and "Not approved" for documents uploaded to the Colaborativo system until December 10th, 2025 (date of verification in the Colaborativo system December 22, 2025).</t>
    </r>
  </si>
  <si>
    <r>
      <rPr>
        <sz val="11"/>
        <color rgb="FF000000"/>
        <rFont val="Arial"/>
        <family val="2"/>
      </rPr>
      <t xml:space="preserve">Responder </t>
    </r>
    <r>
      <rPr>
        <sz val="11"/>
        <color rgb="FFED7D31"/>
        <rFont val="Arial"/>
        <family val="2"/>
      </rPr>
      <t>75%</t>
    </r>
    <r>
      <rPr>
        <sz val="11"/>
        <color rgb="FF000000"/>
        <rFont val="Arial"/>
        <family val="2"/>
      </rPr>
      <t xml:space="preserve"> da documentação dentro do prazo de 10 dias úteis para </t>
    </r>
    <r>
      <rPr>
        <sz val="11"/>
        <color rgb="FFFF0000"/>
        <rFont val="Arial"/>
        <family val="2"/>
      </rPr>
      <t>TUR and HYD</t>
    </r>
    <r>
      <rPr>
        <sz val="11"/>
        <color rgb="FF000000"/>
        <rFont val="Arial"/>
        <family val="2"/>
      </rPr>
      <t xml:space="preserve"> das UHEs </t>
    </r>
    <r>
      <rPr>
        <sz val="11"/>
        <color rgb="FFFF0000"/>
        <rFont val="Arial"/>
        <family val="2"/>
      </rPr>
      <t>Ilha Solteira e UHE Jupiá</t>
    </r>
  </si>
  <si>
    <r>
      <rPr>
        <sz val="11"/>
        <color rgb="FF000000"/>
        <rFont val="Arial"/>
        <family val="2"/>
      </rPr>
      <t xml:space="preserve">Responder </t>
    </r>
    <r>
      <rPr>
        <sz val="11"/>
        <color rgb="FFED7D31"/>
        <rFont val="Arial"/>
        <family val="2"/>
      </rPr>
      <t>85%</t>
    </r>
    <r>
      <rPr>
        <sz val="11"/>
        <color rgb="FF000000"/>
        <rFont val="Arial"/>
        <family val="2"/>
      </rPr>
      <t xml:space="preserve"> da documentação dentro do prazo de 10 dias úteis para </t>
    </r>
    <r>
      <rPr>
        <sz val="11"/>
        <color rgb="FFFF0000"/>
        <rFont val="Arial"/>
        <family val="2"/>
      </rPr>
      <t>TUR and HYD</t>
    </r>
    <r>
      <rPr>
        <sz val="11"/>
        <color rgb="FF000000"/>
        <rFont val="Arial"/>
        <family val="2"/>
      </rPr>
      <t xml:space="preserve"> da UHEs </t>
    </r>
    <r>
      <rPr>
        <sz val="11"/>
        <color rgb="FFFF0000"/>
        <rFont val="Arial"/>
        <family val="2"/>
      </rPr>
      <t>Ilha Solteira e UHE Jupiá</t>
    </r>
  </si>
  <si>
    <r>
      <rPr>
        <sz val="11"/>
        <color rgb="FF000000"/>
        <rFont val="Arial"/>
        <family val="2"/>
      </rPr>
      <t xml:space="preserve">Responder </t>
    </r>
    <r>
      <rPr>
        <sz val="11"/>
        <color rgb="FFED7D31"/>
        <rFont val="Arial"/>
        <family val="2"/>
      </rPr>
      <t>100%</t>
    </r>
    <r>
      <rPr>
        <sz val="11"/>
        <color rgb="FF000000"/>
        <rFont val="Arial"/>
        <family val="2"/>
      </rPr>
      <t xml:space="preserve"> da documentação dentro do prazo de 10 dias úteis para </t>
    </r>
    <r>
      <rPr>
        <sz val="11"/>
        <color rgb="FFFF0000"/>
        <rFont val="Arial"/>
        <family val="2"/>
      </rPr>
      <t>TUR and HYD</t>
    </r>
    <r>
      <rPr>
        <sz val="11"/>
        <color rgb="FF000000"/>
        <rFont val="Arial"/>
        <family val="2"/>
      </rPr>
      <t xml:space="preserve"> da UHEs </t>
    </r>
    <r>
      <rPr>
        <sz val="11"/>
        <color rgb="FFFF0000"/>
        <rFont val="Arial"/>
        <family val="2"/>
      </rPr>
      <t>Ilha Solteira e UHE Jupiá</t>
    </r>
  </si>
  <si>
    <t>2.2</t>
  </si>
  <si>
    <t>Develop a study to define the power unit sequency for modernization project. The study shall consider remaining power units of Ilha Solteira and Jupia, evaluation reports from 1st and 2nd Batch, information from criticity report and O&amp;M considerations.</t>
  </si>
  <si>
    <t>Organize all existing data with the information from the criticity report.</t>
  </si>
  <si>
    <t>Present the study results to modernization team until September, 2025</t>
  </si>
  <si>
    <t>Present the study results to modernization team until August, 2025</t>
  </si>
  <si>
    <t>Rafael</t>
  </si>
  <si>
    <t>MPP-2 UG01 SAG</t>
  </si>
  <si>
    <t>Concluir planejamento e enviar o cronograma da MPP2 da UG01 da UHE SAG 15 dias antes da parada da UG.</t>
  </si>
  <si>
    <t>80% + Concluir planejamento e enviar o cronograma da MPP2 da UG01 da UHE SAG 30 dias antes da parada da UG.</t>
  </si>
  <si>
    <t>100% +  Entrega da UG01 da UHE SAG para operação na data aprovada no cronograma no início da MPP2</t>
  </si>
  <si>
    <t>Relatório MPP-2 UG01 SAG</t>
  </si>
  <si>
    <t>Elaborar e entregar por e-mail o Relatório da MPP-2 até 45 dias após o término da MPP2</t>
  </si>
  <si>
    <t>Elaborar e entregar por e-mail o Relatório da MPP-2 até 40 dias após o término da MPP2</t>
  </si>
  <si>
    <t>Elaborar e entregar por e-mail o Relatório da MPP-2 até 30 dias após o término da MPP2</t>
  </si>
  <si>
    <t>2.3</t>
  </si>
  <si>
    <t>Projeto das Grades - UHE SAG UG03 e 04</t>
  </si>
  <si>
    <t>1) Compartilhamento do cronograma completo de substituição das grades com distribuição de recursos em até 30 dias antes da parada da unidade geradora (50%);
2) Término das tarefas de substituição das grades e entrega da UG para comissionamento até 90 dias após a parada (50%)</t>
  </si>
  <si>
    <t>1) Compartilhamento do cronograma de substituição das grades  com distribuição de recursos em até 30 dias antes da parada da unidade geradora (50%);
2) Término das tarefas de substituição das grades  e entrega da UG para comissionamento até 75 dias após a parada e nenhuma parada forçada até 20 dias após o retorno da UG à operação (50%);</t>
  </si>
  <si>
    <t>1) Compartilhamento do cronograma de substituição das grades  com distribuição de recursos em até 30 dias antes da parada da unidade geradora (50%);
2) Término das tarefas de substituição das grades e entrega da UG para comissionamento até 60 dias após a parada + nenhuma parada forçada até 20 dias após o retorno da UG à operação (50%)</t>
  </si>
  <si>
    <t>2.4</t>
  </si>
  <si>
    <t>Projeto das Grades - UHE SAG UG01 e 02</t>
  </si>
  <si>
    <t>Izeds</t>
  </si>
  <si>
    <t>Revisão EPS/RQPS com o time da engenharia mecânica (3°batch)</t>
  </si>
  <si>
    <t>apresentar até dez 26</t>
  </si>
  <si>
    <t>Apresentar até nov 26</t>
  </si>
  <si>
    <t>Apresentar até out 26</t>
  </si>
  <si>
    <t>Criação de uma especificação técnica para compra de um novo limpa grade para as grades novas e originais da UHE Jupiá (Relatório do atual, ET)</t>
  </si>
  <si>
    <t>Criação do documento</t>
  </si>
  <si>
    <t>Aprovação coordenação O&amp;M Jupiá</t>
  </si>
  <si>
    <t>Aprovação da coordenação mecânica</t>
  </si>
  <si>
    <t xml:space="preserve">4o Batch Modernization - Scope definition and Technical Specification </t>
  </si>
  <si>
    <t>JUPIÁ (50%) + ILHA SOLTEIRA (50%), sendo cada UHE:
- Turbina - 25%
- Regulador de velocidade - 10%
- Hidromecânicos - 10%
- BOP-M - 5%</t>
  </si>
  <si>
    <r>
      <rPr>
        <sz val="11"/>
        <color rgb="FF000000"/>
        <rFont val="Arial"/>
        <family val="2"/>
      </rPr>
      <t xml:space="preserve">Atualizar as especificações técnicas, baseadas no 3o lote, versão inglês e português para o escopo do 4o lote. A primeira versão da especificação técnica </t>
    </r>
    <r>
      <rPr>
        <sz val="11"/>
        <color rgb="FFFF0000"/>
        <rFont val="Arial"/>
        <family val="2"/>
      </rPr>
      <t xml:space="preserve"> TURBINA, RV, HYD and BoP-M</t>
    </r>
    <r>
      <rPr>
        <sz val="11"/>
        <color rgb="FF000000"/>
        <rFont val="Arial"/>
        <family val="2"/>
      </rPr>
      <t xml:space="preserve"> para Ilha Solteira e Jupiá feita e emitida pela engenharia deve estar pronta até [data]</t>
    </r>
  </si>
  <si>
    <t>Entregar as Especificações Técnicas (ET) da TUR para ILS e JUP + 02 outras ETs até 31/12/2025</t>
  </si>
  <si>
    <t>Entregar as Especificações Técnicas (ET) da TUR para ILS e JUP + 04 outras ETs até 30/11/2025.</t>
  </si>
  <si>
    <t>Entregar as 08 Especificações Técnicas (ET) até 31/10/2025.</t>
  </si>
  <si>
    <t>Elaborar uma Instrução para uso/aplicar inspeção de cavitação por ROV (Elaboração, aprovação e divulgação via teams aos coordenadores e time de engenharia)</t>
  </si>
  <si>
    <t>2.5</t>
  </si>
  <si>
    <t>Emanuel</t>
  </si>
  <si>
    <r>
      <rPr>
        <sz val="11"/>
        <color rgb="FF000000"/>
        <rFont val="Arial"/>
        <family val="2"/>
      </rPr>
      <t>3rd batch modernization documents verified within 10 working days by Engineering Team to</t>
    </r>
    <r>
      <rPr>
        <sz val="11"/>
        <color rgb="FFFF0000"/>
        <rFont val="Arial"/>
        <family val="2"/>
      </rPr>
      <t xml:space="preserve"> BoP-M of Jupiá and Ilha Solteira HPPs</t>
    </r>
    <r>
      <rPr>
        <sz val="11"/>
        <color rgb="FF000000"/>
        <rFont val="Arial"/>
        <family val="2"/>
      </rPr>
      <t>, submitted by the supplier. The evaluation will be through the Colaborativo system report considering documentation with status "For Analysis"; "Approved/For Construction"; “Approved with Comments” and "Not approved" for documents uploaded to the Colaborativo system until December 10th, 2025 (date of verification in the Colaborativo system December 22, 2025).</t>
    </r>
  </si>
  <si>
    <r>
      <t xml:space="preserve">Responder </t>
    </r>
    <r>
      <rPr>
        <sz val="11"/>
        <color theme="5"/>
        <rFont val="Arial"/>
        <family val="2"/>
      </rPr>
      <t>75%</t>
    </r>
    <r>
      <rPr>
        <sz val="11"/>
        <rFont val="Arial"/>
        <family val="2"/>
      </rPr>
      <t xml:space="preserve"> da documentação dentro do prazo de 10 dias úteis para </t>
    </r>
    <r>
      <rPr>
        <sz val="11"/>
        <color rgb="FFFF0000"/>
        <rFont val="Arial"/>
        <family val="2"/>
      </rPr>
      <t>BoP-M</t>
    </r>
    <r>
      <rPr>
        <sz val="11"/>
        <rFont val="Arial"/>
        <family val="2"/>
      </rPr>
      <t xml:space="preserve"> das UHEs </t>
    </r>
    <r>
      <rPr>
        <sz val="11"/>
        <color rgb="FFFF0000"/>
        <rFont val="Arial"/>
        <family val="2"/>
      </rPr>
      <t>Ilha Solteira e UHE Jupiá</t>
    </r>
  </si>
  <si>
    <r>
      <t xml:space="preserve">Responder </t>
    </r>
    <r>
      <rPr>
        <sz val="11"/>
        <color theme="5"/>
        <rFont val="Arial"/>
        <family val="2"/>
      </rPr>
      <t>85%</t>
    </r>
    <r>
      <rPr>
        <sz val="11"/>
        <rFont val="Arial"/>
        <family val="2"/>
      </rPr>
      <t xml:space="preserve"> da documentação dentro do prazo de 10 dias úteis para </t>
    </r>
    <r>
      <rPr>
        <sz val="11"/>
        <color rgb="FFFF0000"/>
        <rFont val="Arial"/>
        <family val="2"/>
      </rPr>
      <t>BoP-M</t>
    </r>
    <r>
      <rPr>
        <sz val="11"/>
        <rFont val="Arial"/>
        <family val="2"/>
      </rPr>
      <t xml:space="preserve"> da UHEs </t>
    </r>
    <r>
      <rPr>
        <sz val="11"/>
        <color rgb="FFFF0000"/>
        <rFont val="Arial"/>
        <family val="2"/>
      </rPr>
      <t>Ilha Solteira e UHE Jupiá</t>
    </r>
  </si>
  <si>
    <r>
      <t xml:space="preserve">Responder </t>
    </r>
    <r>
      <rPr>
        <sz val="11"/>
        <color theme="5"/>
        <rFont val="Arial"/>
        <family val="2"/>
      </rPr>
      <t>100%</t>
    </r>
    <r>
      <rPr>
        <sz val="11"/>
        <rFont val="Arial"/>
        <family val="2"/>
      </rPr>
      <t xml:space="preserve"> da documentação dentro do prazo de 10 dias úteis para </t>
    </r>
    <r>
      <rPr>
        <sz val="11"/>
        <color rgb="FFFF0000"/>
        <rFont val="Arial"/>
        <family val="2"/>
      </rPr>
      <t>BoP-M</t>
    </r>
    <r>
      <rPr>
        <sz val="11"/>
        <rFont val="Arial"/>
        <family val="2"/>
      </rPr>
      <t xml:space="preserve"> da UHEs </t>
    </r>
    <r>
      <rPr>
        <sz val="11"/>
        <color rgb="FFFF0000"/>
        <rFont val="Arial"/>
        <family val="2"/>
      </rPr>
      <t>Ilha Solteira e UHE Jupiá</t>
    </r>
  </si>
  <si>
    <t>Elaborar estudo de melhorias para melhorar a eficiência do limpa grades da GH</t>
  </si>
  <si>
    <t>Elaborar relatório de melhorias para o rastelo do limpa grades da GH até 31/12/2026</t>
  </si>
  <si>
    <t>Elaborar relatório de melhorias para o rastelo do limpa grades da GH e elaborar uma especificação ténica de compra de um limpa grade novo até até 31/12/2026</t>
  </si>
  <si>
    <t>Elaborar relatório de melhorias para o rastelo do limpa grades da GH e elaborar uma especificação ténica de compra de um limpa grade novo até até 31/11/2026</t>
  </si>
  <si>
    <t xml:space="preserve">Elaborar estudo para substiruição das plataformas e escadas dos poços de drenagem 3, 4 e 5 com viabilidade técnica e economica. </t>
  </si>
  <si>
    <t>Elaborar desenho do estudo com lista de materiais das novas plataformas e escadas até 31/12/2026</t>
  </si>
  <si>
    <t>Elaborar desenho do estudo com lista de materiais das novas plataformas e escadas. Market screening com 3 empresas até 31/12/2026.</t>
  </si>
  <si>
    <t>Elaborar desenho do estudo com lista de materiais das novas plataformas e escadas. Market screening com 3 empresas e projeto de implantação no poço até 31/12/2026.</t>
  </si>
  <si>
    <t>Hélio</t>
  </si>
  <si>
    <t>3rd batch modernization documents verified within 10 working days by Engineering Team to TUR, HYD and GOV of Jupiá and Ilha Solteira HPPs, submitted by the supplier. The evaluation will be through the Colaborativo system report considering documentation with status "For Analysis"; "Approved/For Construction"; “Approved with Comments” and "Not approved" for documents uploaded to the Colaborativo system until December 10th, 2026 (date of verification in the Colaborativo system December 21, 2026).</t>
  </si>
  <si>
    <t>Responder 75% da documentação dentro do prazo de 10 dias úteis para TUR, HYD e GOV das UHEs Ilha Solteira e UHE Jupiá</t>
  </si>
  <si>
    <t>Responder 85% da documentação dentro do prazo de 10 dias úteis para TUR, HYD e GOV da UHEs Ilha Solteira e UHE Jupiá</t>
  </si>
  <si>
    <t>Responder 95% da documentação dentro do prazo de 10 dias úteis para TUR, HYD e GOV da UHEs Ilha Solteira e UHE Jupiá</t>
  </si>
  <si>
    <t>Elaborar projeto para içamento do servomotor da comporta de emergência</t>
  </si>
  <si>
    <t>Elaborar desenho de detalhamento técnico e memorial de cálculo até 30/09/2026</t>
  </si>
  <si>
    <t>Elaborar desenho de detalhamento técnico e memorial de cálculo até 31/08/2026</t>
  </si>
  <si>
    <t>Elaborar desenho de detalhamento técnico e memorial de cálculo até 31/07/2026</t>
  </si>
  <si>
    <t>Alexsson</t>
  </si>
  <si>
    <t>3rd batch modernization documents verified within 10 working days by Engineering Team to TUR, HYD and GOV of Jupiá and Ilha Solteira HPPs, submitted by the supplier. The evaluation will be through the Colaborativo system report considering documentation with status "For Analysis"; "Approved/For Construction"; “Approved with Comments” and "Not approved" for documents uploaded to the Colaborativo system until December 10th, 2026 (date of verification in the Colaborativo system December 22, 2026).</t>
  </si>
  <si>
    <t>Realizar análise por Método dos Elementos Finitos (MEF) no SolidWorks Simulation para determinar a deformação da tampa inferior das UGs 01 a 04 devido ao peso próprio, avaliando seu efeito no alinhamento entre os alojamentos dos mancais das palhetas diretrizes (superior e intermediário) e o mancal inferior, nas condições de montagem.</t>
  </si>
  <si>
    <t>Entrega, até 30/12/2026, do estudo completo de análise MEF da tampa inferior das UGs 01 a 04, incluindo modelo numérico estruturado, premissas e condições de contorno, resultados de deformação por peso próprio e relatório técnico consolidado com avaliação do impacto no alinhamento dos mancais.</t>
  </si>
  <si>
    <t>Entrega, até 30/11/2026, do estudo completo de análise MEF da tampa inferior das UGs 01 a 04, incluindo modelo numérico estruturado, premissas e condições de contorno, resultados de deformação por peso próprio e relatório técnico consolidado com avaliação do impacto no alinhamento dos mancais.</t>
  </si>
  <si>
    <t>Entrega, até 30/10/2026, do estudo completo de análise MEF da tampa inferior das UGs 01 a 04, incluindo modelo numérico estruturado, premissas e condições de contorno, resultados de deformação por peso próprio e relatório técnico consolidado com avaliação do impacto no alinhamento dos mancais.</t>
  </si>
  <si>
    <t>Desenvolver um procedimento técnico de boas práticas para a desmontagem, conferência em fábrica e remontagem com alinhamento da tampa superior em relação à tampa inferior da turbina das UGs 01 a 04, fundamentado nas lições aprendidas da UG01, abrangendo de forma estruturada os critérios, métodos, tolerâncias, sequência, pontos de controle críticos e requisitos de aceitação, visando garantir a qualidade da montagem do conjunto.</t>
  </si>
  <si>
    <t>Entrega, até 30/12/2026, do procedimento técnico de boas práticas para desmontagem, conferência em fábrica e remontagem com alinhamento da tampa superior em relação à tampa inferior das UGs 01 a 04, fundamentado nas lições aprendidas da UG01, incluindo documento técnico estruturado com critérios, métodos, tolerâncias, sequência, pontos de controle críticos e requisitos de aceitação.</t>
  </si>
  <si>
    <t>Entrega, até 30/11/2026, do procedimento técnico de boas práticas para desmontagem, conferência em fábrica e remontagem com alinhamento da tampa superior em relação à tampa inferior das UGs 01 a 04, fundamentado nas lições aprendidas da UG01, incluindo documento técnico estruturado com critérios, métodos, tolerâncias, sequência, pontos de controle críticos e requisitos de aceitação.</t>
  </si>
  <si>
    <t>Entrega, até 30/10/2026, do procedimento técnico de boas práticas para desmontagem, conferência em fábrica e remontagem com alinhamento da tampa superior em relação à tampa inferior das UGs 01 a 04, fundamentado nas lições aprendidas da UG01, incluindo documento técnico estruturado com critérios, métodos, tolerâncias, sequência, pontos de controle críticos e requisitos de aceitação.</t>
  </si>
  <si>
    <t>Ricardo</t>
  </si>
  <si>
    <t>Planejamento e execução da MPP2 da UG08 da UHE Jupiá</t>
  </si>
  <si>
    <t>Concluir planejamento e enviar o cronograma da MPP2 da UG08 da UHE Jupiá 15 dias antes da parada da UG.</t>
  </si>
  <si>
    <t>80% + Concluir planejamento e enviar o cronograma da MPP2 da UG08 da UHE Jupiá 30 dias antes da parada da UG.</t>
  </si>
  <si>
    <t>100% +  Entrega da UG08 da UHE Jupiá para operação na data aprovada no primeiro cronograma.</t>
  </si>
  <si>
    <t>Entrega do relatório da MPP2 da UG08 da UHE Jupiá</t>
  </si>
  <si>
    <t>Deservolver um programa para cálculo de rotação crítica para as UHEs</t>
  </si>
  <si>
    <t>Elaborar um programa para cálculo de rotação crítica para UGs verticais com 2 mancais de guia até dezembro de 2026</t>
  </si>
  <si>
    <t>80% + Elaborar um programa para cálculo de rotação crítica para UGs verticais com 3 mancais de guia até dezembro de 2026</t>
  </si>
  <si>
    <t>100% + Elaborar um manual de utilização até dezembro de 2026</t>
  </si>
  <si>
    <t>Rodrigo</t>
  </si>
  <si>
    <t>Criar Guia de Manutenção (PMS) do sistema de hidrojateamento de grades de Jupiá</t>
  </si>
  <si>
    <t>Elaborar e Entregar o Guia por e-mail até 31/12/2026</t>
  </si>
  <si>
    <t>Elaborar e Entregar o Guia por e-mail até 31/11/2026</t>
  </si>
  <si>
    <t>Elaborar e Entregar o Guia por e-mail até 31/10/2026</t>
  </si>
  <si>
    <t>Relatório MPP-2 da UG-1 JUR</t>
  </si>
  <si>
    <t>Elaborar e entregar por e-mail o Relatório da MPP-2 até 31/12/2026</t>
  </si>
  <si>
    <t>Elaborar e entregar por e-mail o Relatório da MPP-2 até 40 dias após a conclusão da MPP-2</t>
  </si>
  <si>
    <t>Elaborar e entregar por e-mail o Relatório da MPP-2 até 30 dias após a conclusão da MPP-2</t>
  </si>
  <si>
    <t>Itamar</t>
  </si>
  <si>
    <r>
      <t xml:space="preserve">Responder </t>
    </r>
    <r>
      <rPr>
        <sz val="11"/>
        <color theme="5"/>
        <rFont val="Arial"/>
        <family val="2"/>
      </rPr>
      <t>75%</t>
    </r>
    <r>
      <rPr>
        <sz val="11"/>
        <rFont val="Arial"/>
        <family val="2"/>
      </rPr>
      <t xml:space="preserve"> da documentação dentro do prazo de 10 dias úteis para </t>
    </r>
    <r>
      <rPr>
        <sz val="11"/>
        <color rgb="FFFF0000"/>
        <rFont val="Arial"/>
        <family val="2"/>
      </rPr>
      <t>TUR and HYD</t>
    </r>
    <r>
      <rPr>
        <sz val="11"/>
        <rFont val="Arial"/>
        <family val="2"/>
      </rPr>
      <t xml:space="preserve"> das UHEs </t>
    </r>
    <r>
      <rPr>
        <sz val="11"/>
        <color rgb="FFFF0000"/>
        <rFont val="Arial"/>
        <family val="2"/>
      </rPr>
      <t>Ilha Solteira e UHE Jupiá</t>
    </r>
  </si>
  <si>
    <r>
      <t xml:space="preserve">Responder </t>
    </r>
    <r>
      <rPr>
        <sz val="11"/>
        <color theme="5"/>
        <rFont val="Arial"/>
        <family val="2"/>
      </rPr>
      <t>85%</t>
    </r>
    <r>
      <rPr>
        <sz val="11"/>
        <rFont val="Arial"/>
        <family val="2"/>
      </rPr>
      <t xml:space="preserve"> da documentação dentro do prazo de 10 dias úteis para </t>
    </r>
    <r>
      <rPr>
        <sz val="11"/>
        <color rgb="FFFF0000"/>
        <rFont val="Arial"/>
        <family val="2"/>
      </rPr>
      <t>TUR and HYD</t>
    </r>
    <r>
      <rPr>
        <sz val="11"/>
        <rFont val="Arial"/>
        <family val="2"/>
      </rPr>
      <t xml:space="preserve"> da UHEs </t>
    </r>
    <r>
      <rPr>
        <sz val="11"/>
        <color rgb="FFFF0000"/>
        <rFont val="Arial"/>
        <family val="2"/>
      </rPr>
      <t>Ilha Solteira e UHE Jupiá</t>
    </r>
  </si>
  <si>
    <r>
      <t xml:space="preserve">Responder </t>
    </r>
    <r>
      <rPr>
        <sz val="11"/>
        <color theme="5"/>
        <rFont val="Arial"/>
        <family val="2"/>
      </rPr>
      <t>100%</t>
    </r>
    <r>
      <rPr>
        <sz val="11"/>
        <rFont val="Arial"/>
        <family val="2"/>
      </rPr>
      <t xml:space="preserve"> da documentação dentro do prazo de 10 dias úteis para </t>
    </r>
    <r>
      <rPr>
        <sz val="11"/>
        <color rgb="FFFF0000"/>
        <rFont val="Arial"/>
        <family val="2"/>
      </rPr>
      <t>TUR and HYD</t>
    </r>
    <r>
      <rPr>
        <sz val="11"/>
        <rFont val="Arial"/>
        <family val="2"/>
      </rPr>
      <t xml:space="preserve"> da UHEs </t>
    </r>
    <r>
      <rPr>
        <sz val="11"/>
        <color rgb="FFFF0000"/>
        <rFont val="Arial"/>
        <family val="2"/>
      </rPr>
      <t>Ilha Solteira e UHE Jupiá</t>
    </r>
  </si>
  <si>
    <t>Disponibilizar os Planos de içamento dos stoplogs (TA, TS, VS e VF, onde aplicável, para todos pórticos/pontes das UHEs da CTG</t>
  </si>
  <si>
    <t>Todas as atividades que envolvem içamento de stoplogs são consideradas críticas pela carga ser maior que 5 toneladas, a meta é prontificar todos os planos não existentes, em acordo com os procedimentos da CTG</t>
  </si>
  <si>
    <t>Elaborar planos de todas as UHEs até 31/11/2026</t>
  </si>
  <si>
    <t>Elaborar planos de todas as UHEs até 31/10/2026</t>
  </si>
  <si>
    <t>Elaborar planos de todas as UHEs até 31/09/2026</t>
  </si>
  <si>
    <t xml:space="preserve">Desenvolver um programa para análise de andaimes tubulares "rohr" </t>
  </si>
  <si>
    <t>Desenvolver um projeto técnico para análise de andaimes tubulares ROHR, por meio da verificação
estrutural conforme normas vigentes, utilizando automação computacional como ferramenta de apoio à
engenharia.</t>
  </si>
  <si>
    <t xml:space="preserve">Desenvolvimento de um programa em Python para análise de projetos a partir de arquivos DWG dos projetos dos andaimes, com as verificações estruturais normativas. Até 31 de dezembro de 2026
</t>
  </si>
  <si>
    <t>80% +  relatório técnico automático contendo premissas,
verificações, não conformidades e conclusão. Até 31 de dezembro de 2026</t>
  </si>
  <si>
    <t>100% + Elaborar um manual de utilização até 31 de dezembro de 2026</t>
  </si>
  <si>
    <t>Entrega do relatório técnico por email até 31/12/2025</t>
  </si>
  <si>
    <t>Entrega do relatório técnico por email até 31/11/2025</t>
  </si>
  <si>
    <t>Entrega do relatório técnico por email até 31/10/2025</t>
  </si>
  <si>
    <t>Alessandro</t>
  </si>
  <si>
    <t>Abertura de projeto para contratação de projeto, fabricação e instalação de plataforma para acesso e manutenção as juntas de dilatações dos condutos forçados da UHE STO.</t>
  </si>
  <si>
    <t>Abaertura até 31/12/2026</t>
  </si>
  <si>
    <t>Abaertura até 31/11/2026</t>
  </si>
  <si>
    <t>Abaertura até 31/10/2026</t>
  </si>
  <si>
    <t>Planejamento e execução da MPP2 da UG02 da UHE Salto</t>
  </si>
  <si>
    <t>Concluir planejamento e enviar o cronograma da MPP2 da UG02 da UHE Salto 15 dias antes da parada da UG.</t>
  </si>
  <si>
    <t>80% + Concluir planejamento e enviar o cronograma da MPP2 da UG02 da UHE Salto 30 dias antes da parada da UG.</t>
  </si>
  <si>
    <t>100% +  Entrega da UG02 da UHE Salto para operação na data aprovada no primeiro cronograma.</t>
  </si>
  <si>
    <t>Entrega do relatório da MPP2 da UG02 da UHE Salto</t>
  </si>
  <si>
    <t>Hercules</t>
  </si>
  <si>
    <t>Todas as atividades que envolvem içamento de stoplogs são consideradas críticas pela carga ser maior que 5 toneladas, a meta é prontificar todos os planos não existente, em acordo com os procedimentos da CTG</t>
  </si>
  <si>
    <t>parada</t>
  </si>
  <si>
    <t>Linha do poço</t>
  </si>
  <si>
    <t>recup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</si>
</sst>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 #,##0.00_ ;_ * \-#,##0.00_ ;_ * &quot;-&quot;??_ ;_ @_ "/>
  </numFmts>
  <fonts count="34">
    <font>
      <sz val="11"/>
      <color theme="1"/>
      <name val="Calibri"/>
      <family val="2"/>
      <scheme val="minor"/>
    </font>
    <font>
      <sz val="11"/>
      <color theme="1"/>
      <name val="Calibri"/>
      <family val="2"/>
      <scheme val="minor"/>
    </font>
    <font>
      <sz val="11"/>
      <name val="Arial"/>
      <family val="2"/>
    </font>
    <font>
      <sz val="11"/>
      <color theme="1"/>
      <name val="Arial"/>
      <family val="2"/>
    </font>
    <font>
      <b/>
      <sz val="11"/>
      <color theme="1"/>
      <name val="Arial"/>
      <family val="2"/>
    </font>
    <font>
      <b/>
      <sz val="11"/>
      <color theme="0"/>
      <name val="Arial"/>
      <family val="2"/>
    </font>
    <font>
      <b/>
      <sz val="11"/>
      <color theme="1"/>
      <name val="Calibri"/>
      <family val="2"/>
      <scheme val="minor"/>
    </font>
    <font>
      <sz val="8"/>
      <name val="Calibri"/>
      <family val="2"/>
      <scheme val="minor"/>
    </font>
    <font>
      <sz val="11"/>
      <color theme="1"/>
      <name val="Calibri"/>
      <family val="3"/>
      <charset val="134"/>
      <scheme val="minor"/>
    </font>
    <font>
      <sz val="12"/>
      <name val="Times New Roman"/>
      <family val="1"/>
    </font>
    <font>
      <sz val="11"/>
      <color theme="1"/>
      <name val="Times New Roman"/>
      <family val="1"/>
    </font>
    <font>
      <sz val="10"/>
      <color theme="1"/>
      <name val="Times New Roman"/>
      <family val="1"/>
    </font>
    <font>
      <sz val="11"/>
      <color rgb="FF000000"/>
      <name val="Arial"/>
      <family val="2"/>
    </font>
    <font>
      <sz val="11"/>
      <name val="Calibri"/>
      <family val="2"/>
    </font>
    <font>
      <sz val="12"/>
      <color theme="1"/>
      <name val="Arial"/>
      <family val="2"/>
    </font>
    <font>
      <sz val="11"/>
      <color rgb="FFFF0000"/>
      <name val="Arial"/>
      <family val="2"/>
    </font>
    <font>
      <b/>
      <sz val="11"/>
      <color rgb="FFFF0000"/>
      <name val="Arial"/>
      <family val="2"/>
    </font>
    <font>
      <sz val="11"/>
      <color rgb="FFFF0000"/>
      <name val="Calibri"/>
      <family val="2"/>
      <scheme val="minor"/>
    </font>
    <font>
      <sz val="11"/>
      <name val="Calibri"/>
      <family val="2"/>
      <scheme val="minor"/>
    </font>
    <font>
      <sz val="12"/>
      <color theme="1"/>
      <name val="Calibri"/>
      <family val="2"/>
      <scheme val="minor"/>
    </font>
    <font>
      <sz val="11"/>
      <color rgb="FF00B050"/>
      <name val="Arial"/>
      <family val="2"/>
    </font>
    <font>
      <sz val="11"/>
      <color rgb="FF000000"/>
      <name val="Calibri"/>
      <family val="2"/>
      <scheme val="minor"/>
    </font>
    <font>
      <sz val="11"/>
      <color rgb="FF242424"/>
      <name val="Arial"/>
      <family val="2"/>
    </font>
    <font>
      <sz val="11"/>
      <color theme="5"/>
      <name val="Arial"/>
      <family val="2"/>
    </font>
    <font>
      <sz val="11"/>
      <color rgb="FFED7D31"/>
      <name val="Arial"/>
      <family val="2"/>
    </font>
    <font>
      <sz val="12"/>
      <color theme="0"/>
      <name val="CTG Sans Regular"/>
      <family val="3"/>
    </font>
    <font>
      <b/>
      <sz val="12"/>
      <color rgb="FFFFFFFF"/>
      <name val="CTG Sans Light"/>
      <family val="3"/>
    </font>
    <font>
      <b/>
      <sz val="12"/>
      <color theme="7" tint="0.39997558519241921"/>
      <name val="CTG Sans Light"/>
      <family val="3"/>
    </font>
    <font>
      <sz val="12"/>
      <color rgb="FF000000"/>
      <name val="CTG Sans"/>
      <family val="3"/>
    </font>
    <font>
      <sz val="11"/>
      <color rgb="FF7030A0"/>
      <name val="Calibri"/>
      <family val="2"/>
      <scheme val="minor"/>
    </font>
    <font>
      <sz val="11"/>
      <color rgb="FF7030A0"/>
      <name val="Arial"/>
      <family val="2"/>
    </font>
    <font>
      <sz val="11"/>
      <color theme="1"/>
      <name val="Arial"/>
    </font>
    <font>
      <sz val="11"/>
      <name val="Arial"/>
    </font>
    <font>
      <sz val="11"/>
      <color rgb="FF242424"/>
      <name val="Arial"/>
    </font>
  </fonts>
  <fills count="19">
    <fill>
      <patternFill patternType="none"/>
    </fill>
    <fill>
      <patternFill patternType="gray125"/>
    </fill>
    <fill>
      <patternFill patternType="solid">
        <fgColor theme="4" tint="-0.249977111117893"/>
        <bgColor indexed="64"/>
      </patternFill>
    </fill>
    <fill>
      <patternFill patternType="solid">
        <fgColor theme="8"/>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0" tint="-0.499984740745262"/>
        <bgColor indexed="64"/>
      </patternFill>
    </fill>
    <fill>
      <patternFill patternType="solid">
        <fgColor rgb="FF00B0F0"/>
        <bgColor indexed="64"/>
      </patternFill>
    </fill>
    <fill>
      <patternFill patternType="solid">
        <fgColor rgb="FF00B050"/>
        <bgColor indexed="64"/>
      </patternFill>
    </fill>
    <fill>
      <patternFill patternType="solid">
        <fgColor rgb="FF0070C0"/>
      </patternFill>
    </fill>
  </fills>
  <borders count="8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theme="0"/>
      </left>
      <right style="thin">
        <color theme="0"/>
      </right>
      <top style="thin">
        <color theme="0"/>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auto="1"/>
      </left>
      <right style="thin">
        <color auto="1"/>
      </right>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thin">
        <color indexed="64"/>
      </right>
      <top/>
      <bottom/>
      <diagonal/>
    </border>
    <border>
      <left/>
      <right style="thin">
        <color indexed="64"/>
      </right>
      <top style="thin">
        <color rgb="FF000000"/>
      </top>
      <bottom style="medium">
        <color rgb="FF000000"/>
      </bottom>
      <diagonal/>
    </border>
    <border>
      <left/>
      <right style="thin">
        <color indexed="64"/>
      </right>
      <top/>
      <bottom style="medium">
        <color rgb="FF000000"/>
      </bottom>
      <diagonal/>
    </border>
    <border>
      <left style="thin">
        <color indexed="64"/>
      </left>
      <right style="thin">
        <color indexed="64"/>
      </right>
      <top/>
      <bottom style="medium">
        <color indexed="64"/>
      </bottom>
      <diagonal/>
    </border>
    <border>
      <left style="thin">
        <color indexed="64"/>
      </left>
      <right style="thin">
        <color indexed="64"/>
      </right>
      <top style="thin">
        <color rgb="FF000000"/>
      </top>
      <bottom style="medium">
        <color rgb="FF000000"/>
      </bottom>
      <diagonal/>
    </border>
    <border>
      <left style="thin">
        <color indexed="64"/>
      </left>
      <right style="medium">
        <color indexed="64"/>
      </right>
      <top style="thin">
        <color rgb="FF000000"/>
      </top>
      <bottom style="medium">
        <color rgb="FF000000"/>
      </bottom>
      <diagonal/>
    </border>
    <border>
      <left/>
      <right style="medium">
        <color indexed="64"/>
      </right>
      <top style="thin">
        <color rgb="FF000000"/>
      </top>
      <bottom style="medium">
        <color rgb="FF000000"/>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right style="medium">
        <color rgb="FF000000"/>
      </right>
      <top style="thin">
        <color indexed="64"/>
      </top>
      <bottom style="thin">
        <color indexed="64"/>
      </bottom>
      <diagonal/>
    </border>
    <border>
      <left/>
      <right style="medium">
        <color rgb="FF000000"/>
      </right>
      <top style="thin">
        <color indexed="64"/>
      </top>
      <bottom/>
      <diagonal/>
    </border>
    <border>
      <left/>
      <right style="medium">
        <color rgb="FF000000"/>
      </right>
      <top style="thin">
        <color indexed="64"/>
      </top>
      <bottom style="medium">
        <color rgb="FF000000"/>
      </bottom>
      <diagonal/>
    </border>
    <border>
      <left/>
      <right style="thin">
        <color indexed="64"/>
      </right>
      <top style="medium">
        <color rgb="FF000000"/>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medium">
        <color rgb="FF000000"/>
      </top>
      <bottom/>
      <diagonal/>
    </border>
    <border>
      <left style="thin">
        <color indexed="64"/>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top style="medium">
        <color rgb="FF000000"/>
      </top>
      <bottom style="thin">
        <color indexed="64"/>
      </bottom>
      <diagonal/>
    </border>
    <border>
      <left style="medium">
        <color rgb="FF000000"/>
      </left>
      <right/>
      <top style="thin">
        <color indexed="64"/>
      </top>
      <bottom style="thin">
        <color indexed="64"/>
      </bottom>
      <diagonal/>
    </border>
    <border>
      <left style="medium">
        <color rgb="FF000000"/>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thin">
        <color rgb="FF000000"/>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thin">
        <color indexed="64"/>
      </right>
      <top style="medium">
        <color indexed="64"/>
      </top>
      <bottom style="thin">
        <color indexed="64"/>
      </bottom>
      <diagonal/>
    </border>
  </borders>
  <cellStyleXfs count="6">
    <xf numFmtId="0" fontId="0" fillId="0" borderId="0"/>
    <xf numFmtId="9" fontId="1" fillId="0" borderId="0" applyFont="0" applyFill="0" applyBorder="0" applyAlignment="0" applyProtection="0"/>
    <xf numFmtId="0" fontId="8" fillId="0" borderId="0">
      <alignment vertical="center"/>
    </xf>
    <xf numFmtId="9" fontId="1" fillId="0" borderId="0" applyFont="0" applyFill="0" applyBorder="0" applyAlignment="0" applyProtection="0">
      <alignment vertical="center"/>
    </xf>
    <xf numFmtId="164" fontId="1" fillId="0" borderId="0" applyFont="0" applyFill="0" applyBorder="0" applyAlignment="0" applyProtection="0">
      <alignment vertical="center"/>
    </xf>
    <xf numFmtId="0" fontId="13" fillId="0" borderId="0"/>
  </cellStyleXfs>
  <cellXfs count="470">
    <xf numFmtId="0" fontId="0" fillId="0" borderId="0" xfId="0"/>
    <xf numFmtId="0" fontId="0" fillId="0" borderId="0" xfId="0" applyAlignment="1">
      <alignment horizontal="center"/>
    </xf>
    <xf numFmtId="0" fontId="4" fillId="0" borderId="0" xfId="0" applyFont="1"/>
    <xf numFmtId="0" fontId="5" fillId="2" borderId="14" xfId="0" applyFont="1" applyFill="1" applyBorder="1" applyAlignment="1">
      <alignment horizontal="center" vertical="center" wrapText="1"/>
    </xf>
    <xf numFmtId="9" fontId="5" fillId="2" borderId="14" xfId="0" applyNumberFormat="1" applyFont="1" applyFill="1" applyBorder="1" applyAlignment="1">
      <alignment horizontal="center" vertical="center" wrapText="1"/>
    </xf>
    <xf numFmtId="0" fontId="3" fillId="0" borderId="1" xfId="0" applyFont="1" applyBorder="1" applyAlignment="1">
      <alignment vertical="top" wrapText="1"/>
    </xf>
    <xf numFmtId="10" fontId="3" fillId="0" borderId="1" xfId="0" applyNumberFormat="1" applyFont="1" applyBorder="1" applyAlignment="1">
      <alignment vertical="top" wrapText="1"/>
    </xf>
    <xf numFmtId="0" fontId="3" fillId="0" borderId="1" xfId="0" applyFont="1" applyBorder="1" applyAlignment="1">
      <alignment horizontal="center" vertical="center" wrapText="1"/>
    </xf>
    <xf numFmtId="0" fontId="0" fillId="0" borderId="0" xfId="0" applyAlignment="1">
      <alignment horizontal="center" vertical="center"/>
    </xf>
    <xf numFmtId="0" fontId="3" fillId="0" borderId="1" xfId="0" applyFont="1" applyBorder="1" applyAlignment="1">
      <alignment horizontal="left" vertical="center" wrapText="1"/>
    </xf>
    <xf numFmtId="0" fontId="5" fillId="2" borderId="14" xfId="0" applyFont="1" applyFill="1" applyBorder="1" applyAlignment="1">
      <alignment vertical="center" wrapText="1"/>
    </xf>
    <xf numFmtId="0" fontId="3" fillId="0" borderId="1" xfId="0" applyFont="1" applyBorder="1" applyAlignment="1">
      <alignment vertical="center" wrapText="1"/>
    </xf>
    <xf numFmtId="0" fontId="0" fillId="0" borderId="0" xfId="0" applyAlignment="1">
      <alignment vertical="center"/>
    </xf>
    <xf numFmtId="0" fontId="0" fillId="3" borderId="0" xfId="0" applyFill="1"/>
    <xf numFmtId="0" fontId="3" fillId="0" borderId="3" xfId="0" applyFont="1" applyBorder="1" applyAlignment="1">
      <alignment vertical="center" wrapText="1"/>
    </xf>
    <xf numFmtId="0" fontId="3" fillId="0" borderId="1" xfId="0" applyFont="1" applyBorder="1" applyAlignment="1">
      <alignment horizontal="left" vertical="top" wrapText="1"/>
    </xf>
    <xf numFmtId="9" fontId="3" fillId="0" borderId="1" xfId="1" applyFont="1" applyFill="1" applyBorder="1" applyAlignment="1">
      <alignment horizontal="center" vertical="center" wrapText="1"/>
    </xf>
    <xf numFmtId="0" fontId="0" fillId="0" borderId="0" xfId="0" applyAlignment="1">
      <alignment horizontal="left"/>
    </xf>
    <xf numFmtId="0" fontId="10" fillId="0" borderId="1" xfId="2" applyFont="1" applyBorder="1" applyAlignment="1">
      <alignment horizontal="left" vertical="center" wrapText="1"/>
    </xf>
    <xf numFmtId="0" fontId="2" fillId="0" borderId="1" xfId="0" applyFont="1" applyBorder="1" applyAlignment="1">
      <alignment horizontal="center" vertical="center" wrapText="1"/>
    </xf>
    <xf numFmtId="9" fontId="3" fillId="0" borderId="1" xfId="0" applyNumberFormat="1" applyFont="1" applyBorder="1" applyAlignment="1">
      <alignment horizontal="center" vertical="center" wrapText="1"/>
    </xf>
    <xf numFmtId="0" fontId="3" fillId="4" borderId="1" xfId="0" applyFont="1" applyFill="1" applyBorder="1" applyAlignment="1">
      <alignment horizontal="left" vertical="center" wrapText="1"/>
    </xf>
    <xf numFmtId="9" fontId="3" fillId="4" borderId="1" xfId="1" applyFont="1" applyFill="1" applyBorder="1" applyAlignment="1">
      <alignment horizontal="center" vertical="center" wrapText="1"/>
    </xf>
    <xf numFmtId="9" fontId="3" fillId="0" borderId="1" xfId="1" applyFont="1" applyBorder="1" applyAlignment="1">
      <alignment horizontal="center" vertical="center" wrapText="1"/>
    </xf>
    <xf numFmtId="0" fontId="3" fillId="0" borderId="0" xfId="2" applyFont="1">
      <alignment vertical="center"/>
    </xf>
    <xf numFmtId="0" fontId="10" fillId="0" borderId="1" xfId="2" applyFont="1" applyBorder="1" applyAlignment="1">
      <alignment horizontal="center" vertical="center" wrapText="1"/>
    </xf>
    <xf numFmtId="0" fontId="11" fillId="0" borderId="1" xfId="2" applyFont="1" applyBorder="1" applyAlignment="1">
      <alignment horizontal="left" vertical="center" wrapText="1"/>
    </xf>
    <xf numFmtId="0" fontId="17" fillId="0" borderId="0" xfId="0" applyFont="1"/>
    <xf numFmtId="10" fontId="3" fillId="0" borderId="1" xfId="0" applyNumberFormat="1" applyFont="1" applyBorder="1" applyAlignment="1">
      <alignment vertical="center" wrapText="1"/>
    </xf>
    <xf numFmtId="9" fontId="6" fillId="0" borderId="0" xfId="0" applyNumberFormat="1" applyFont="1" applyAlignment="1">
      <alignment horizontal="center" vertical="center"/>
    </xf>
    <xf numFmtId="0" fontId="3" fillId="0" borderId="0" xfId="0" applyFont="1" applyAlignment="1">
      <alignment vertical="center" wrapText="1"/>
    </xf>
    <xf numFmtId="9" fontId="3" fillId="0" borderId="0" xfId="1" applyFont="1" applyFill="1" applyBorder="1" applyAlignment="1">
      <alignment horizontal="center" vertical="center" wrapText="1"/>
    </xf>
    <xf numFmtId="9" fontId="6" fillId="0" borderId="0" xfId="0" applyNumberFormat="1" applyFont="1" applyAlignment="1">
      <alignment horizontal="left" vertical="center"/>
    </xf>
    <xf numFmtId="9" fontId="3" fillId="0" borderId="0" xfId="1" applyFont="1" applyFill="1" applyBorder="1" applyAlignment="1">
      <alignment horizontal="center" vertical="top" wrapText="1"/>
    </xf>
    <xf numFmtId="0" fontId="0" fillId="0" borderId="0" xfId="0" applyAlignment="1">
      <alignment horizontal="left" vertical="center"/>
    </xf>
    <xf numFmtId="10" fontId="15" fillId="0" borderId="1" xfId="0" applyNumberFormat="1" applyFont="1" applyBorder="1" applyAlignment="1">
      <alignment horizontal="left" vertical="top" wrapText="1"/>
    </xf>
    <xf numFmtId="43" fontId="2" fillId="0" borderId="8" xfId="4" applyNumberFormat="1" applyFont="1" applyFill="1" applyBorder="1" applyAlignment="1">
      <alignment horizontal="left" vertical="center" wrapText="1"/>
    </xf>
    <xf numFmtId="0" fontId="6" fillId="0" borderId="0" xfId="0" applyFont="1" applyAlignment="1">
      <alignment horizontal="center" vertical="center"/>
    </xf>
    <xf numFmtId="0" fontId="6" fillId="0" borderId="0" xfId="0" applyFont="1"/>
    <xf numFmtId="0" fontId="4" fillId="0" borderId="0" xfId="0" applyFont="1" applyAlignment="1">
      <alignment vertical="center"/>
    </xf>
    <xf numFmtId="0" fontId="0" fillId="3" borderId="0" xfId="0" applyFill="1" applyAlignment="1">
      <alignment vertical="center"/>
    </xf>
    <xf numFmtId="0" fontId="18" fillId="0" borderId="0" xfId="0" applyFont="1"/>
    <xf numFmtId="0" fontId="19" fillId="0" borderId="0" xfId="0" applyFont="1" applyAlignment="1">
      <alignment vertical="center"/>
    </xf>
    <xf numFmtId="0" fontId="4" fillId="0" borderId="0" xfId="0" applyFont="1" applyAlignment="1">
      <alignment horizontal="center" vertical="center" wrapText="1"/>
    </xf>
    <xf numFmtId="0" fontId="0" fillId="0" borderId="0" xfId="0" applyAlignment="1">
      <alignment horizontal="center" wrapText="1"/>
    </xf>
    <xf numFmtId="0" fontId="4" fillId="0" borderId="1" xfId="0" applyFont="1" applyBorder="1" applyAlignment="1">
      <alignment horizontal="center" vertical="center" wrapText="1"/>
    </xf>
    <xf numFmtId="0" fontId="4" fillId="0" borderId="1" xfId="0" applyFont="1" applyBorder="1" applyAlignment="1">
      <alignment vertical="top" wrapText="1"/>
    </xf>
    <xf numFmtId="0" fontId="3" fillId="0" borderId="1" xfId="2" applyFont="1" applyBorder="1" applyAlignment="1">
      <alignment horizontal="center" vertical="center" wrapText="1"/>
    </xf>
    <xf numFmtId="10" fontId="2" fillId="0" borderId="10" xfId="0" applyNumberFormat="1" applyFont="1" applyBorder="1" applyAlignment="1">
      <alignment horizontal="center" vertical="center" wrapText="1"/>
    </xf>
    <xf numFmtId="0" fontId="3" fillId="0" borderId="26" xfId="0" applyFont="1" applyBorder="1" applyAlignment="1">
      <alignment horizontal="left" vertical="center" wrapText="1"/>
    </xf>
    <xf numFmtId="0" fontId="3" fillId="0" borderId="26" xfId="0" applyFont="1" applyBorder="1" applyAlignment="1">
      <alignment horizontal="center" vertical="center" wrapText="1"/>
    </xf>
    <xf numFmtId="0" fontId="3" fillId="0" borderId="25" xfId="2" applyFont="1" applyBorder="1" applyAlignment="1">
      <alignment horizontal="center" vertical="center" wrapText="1"/>
    </xf>
    <xf numFmtId="0" fontId="2" fillId="0" borderId="1" xfId="0" applyFont="1" applyBorder="1" applyAlignment="1">
      <alignment horizontal="left" vertical="center" wrapText="1"/>
    </xf>
    <xf numFmtId="0" fontId="3" fillId="0" borderId="6" xfId="0" applyFont="1" applyBorder="1" applyAlignment="1">
      <alignment vertical="center" wrapText="1"/>
    </xf>
    <xf numFmtId="0" fontId="3" fillId="0" borderId="15" xfId="0" applyFont="1" applyBorder="1" applyAlignment="1">
      <alignment horizontal="center" vertical="center" wrapText="1"/>
    </xf>
    <xf numFmtId="0" fontId="3" fillId="0" borderId="15" xfId="0" applyFont="1" applyBorder="1" applyAlignment="1">
      <alignment vertical="center" wrapText="1"/>
    </xf>
    <xf numFmtId="0" fontId="3" fillId="0" borderId="33" xfId="0" applyFont="1" applyBorder="1" applyAlignment="1">
      <alignment vertical="center" wrapText="1"/>
    </xf>
    <xf numFmtId="0" fontId="3" fillId="0" borderId="9" xfId="0" applyFont="1" applyBorder="1" applyAlignment="1">
      <alignment vertical="top" wrapText="1"/>
    </xf>
    <xf numFmtId="0" fontId="3" fillId="0" borderId="0" xfId="0" applyFont="1" applyAlignment="1">
      <alignment horizontal="center" vertical="center" wrapText="1"/>
    </xf>
    <xf numFmtId="0" fontId="3" fillId="0" borderId="0" xfId="0" applyFont="1" applyAlignment="1">
      <alignment vertical="top" wrapText="1"/>
    </xf>
    <xf numFmtId="9" fontId="3" fillId="0" borderId="1" xfId="2" applyNumberFormat="1" applyFont="1" applyBorder="1" applyAlignment="1">
      <alignment horizontal="center" vertical="center" wrapText="1"/>
    </xf>
    <xf numFmtId="0" fontId="3" fillId="0" borderId="6" xfId="0" applyFont="1" applyBorder="1" applyAlignment="1">
      <alignment horizontal="left" vertical="center" wrapText="1"/>
    </xf>
    <xf numFmtId="0" fontId="3" fillId="0" borderId="0" xfId="0" applyFont="1" applyAlignment="1">
      <alignment horizontal="left" vertical="top" wrapText="1"/>
    </xf>
    <xf numFmtId="9" fontId="3" fillId="0" borderId="0" xfId="0" applyNumberFormat="1" applyFont="1" applyAlignment="1">
      <alignment horizontal="center" vertical="center" wrapText="1"/>
    </xf>
    <xf numFmtId="0" fontId="3" fillId="0" borderId="4"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12" fillId="0" borderId="0" xfId="0" applyFont="1" applyAlignment="1">
      <alignment horizontal="center" vertical="center" wrapText="1"/>
    </xf>
    <xf numFmtId="0" fontId="3" fillId="0" borderId="0" xfId="0" applyFont="1" applyAlignment="1">
      <alignment horizontal="center" vertical="top" wrapText="1"/>
    </xf>
    <xf numFmtId="9" fontId="2" fillId="0" borderId="1" xfId="1" applyFont="1" applyFill="1" applyBorder="1" applyAlignment="1">
      <alignment horizontal="center" vertical="center" wrapText="1"/>
    </xf>
    <xf numFmtId="0" fontId="3" fillId="0" borderId="0" xfId="0" applyFont="1" applyAlignment="1">
      <alignment horizontal="left" vertical="center" wrapText="1"/>
    </xf>
    <xf numFmtId="0" fontId="2" fillId="0" borderId="0" xfId="0" applyFont="1" applyAlignment="1">
      <alignment vertical="center" wrapText="1"/>
    </xf>
    <xf numFmtId="0" fontId="16" fillId="0" borderId="0" xfId="0" applyFont="1" applyAlignment="1">
      <alignment vertical="center" wrapText="1"/>
    </xf>
    <xf numFmtId="0" fontId="15" fillId="0" borderId="0" xfId="0" applyFont="1" applyAlignment="1">
      <alignment vertical="top" wrapText="1"/>
    </xf>
    <xf numFmtId="0" fontId="3" fillId="0" borderId="34" xfId="0" applyFont="1" applyBorder="1" applyAlignment="1">
      <alignment vertical="top" wrapText="1"/>
    </xf>
    <xf numFmtId="0" fontId="3" fillId="0" borderId="37" xfId="0" applyFont="1" applyBorder="1" applyAlignment="1">
      <alignment vertical="top" wrapText="1"/>
    </xf>
    <xf numFmtId="10" fontId="2" fillId="0" borderId="1" xfId="0" applyNumberFormat="1" applyFont="1" applyBorder="1" applyAlignment="1">
      <alignment horizontal="center" vertical="center" wrapText="1"/>
    </xf>
    <xf numFmtId="0" fontId="3" fillId="0" borderId="38" xfId="0" applyFont="1" applyBorder="1" applyAlignment="1">
      <alignment vertical="top" wrapText="1"/>
    </xf>
    <xf numFmtId="0" fontId="3" fillId="0" borderId="35" xfId="0" applyFont="1" applyBorder="1" applyAlignment="1">
      <alignment vertical="top" wrapText="1"/>
    </xf>
    <xf numFmtId="0" fontId="3" fillId="0" borderId="4" xfId="0" applyFont="1" applyBorder="1" applyAlignment="1">
      <alignment vertical="center" wrapText="1"/>
    </xf>
    <xf numFmtId="0" fontId="2" fillId="0" borderId="34" xfId="0" applyFont="1" applyBorder="1" applyAlignment="1">
      <alignment vertical="top" wrapText="1"/>
    </xf>
    <xf numFmtId="0" fontId="4" fillId="0" borderId="0" xfId="0" applyFont="1" applyAlignment="1">
      <alignment vertical="top" wrapText="1"/>
    </xf>
    <xf numFmtId="0" fontId="2" fillId="0" borderId="37" xfId="0" applyFont="1" applyBorder="1" applyAlignment="1">
      <alignment vertical="top" wrapText="1"/>
    </xf>
    <xf numFmtId="9" fontId="3" fillId="0" borderId="12" xfId="2" applyNumberFormat="1" applyFont="1" applyBorder="1" applyAlignment="1">
      <alignment horizontal="center" vertical="center" wrapText="1"/>
    </xf>
    <xf numFmtId="0" fontId="3" fillId="0" borderId="30" xfId="0" applyFont="1" applyBorder="1" applyAlignment="1">
      <alignment horizontal="left" vertical="center" wrapText="1"/>
    </xf>
    <xf numFmtId="0" fontId="3" fillId="0" borderId="13" xfId="0" applyFont="1" applyBorder="1" applyAlignment="1">
      <alignment vertical="center" wrapText="1"/>
    </xf>
    <xf numFmtId="0" fontId="3" fillId="0" borderId="11" xfId="0" applyFont="1" applyBorder="1" applyAlignment="1">
      <alignment vertical="center" wrapText="1"/>
    </xf>
    <xf numFmtId="0" fontId="9" fillId="0" borderId="1" xfId="0" applyFont="1" applyBorder="1" applyAlignment="1">
      <alignment vertical="center" wrapText="1"/>
    </xf>
    <xf numFmtId="0" fontId="3" fillId="0" borderId="15" xfId="0" applyFont="1" applyBorder="1" applyAlignment="1">
      <alignment horizontal="left" vertical="center" wrapText="1"/>
    </xf>
    <xf numFmtId="9" fontId="3" fillId="0" borderId="1" xfId="0" applyNumberFormat="1" applyFont="1" applyBorder="1" applyAlignment="1">
      <alignment horizontal="left" vertical="center" wrapText="1"/>
    </xf>
    <xf numFmtId="0" fontId="3" fillId="0" borderId="15" xfId="2" applyFont="1" applyBorder="1" applyAlignment="1">
      <alignment horizontal="left" vertical="center" wrapText="1"/>
    </xf>
    <xf numFmtId="0" fontId="0" fillId="0" borderId="1" xfId="0" applyBorder="1" applyAlignment="1">
      <alignment vertical="center"/>
    </xf>
    <xf numFmtId="9" fontId="3" fillId="0" borderId="10" xfId="2" applyNumberFormat="1" applyFont="1" applyBorder="1" applyAlignment="1">
      <alignment horizontal="center" vertical="center" wrapText="1"/>
    </xf>
    <xf numFmtId="0" fontId="3" fillId="0" borderId="3" xfId="0" applyFont="1" applyBorder="1" applyAlignment="1">
      <alignment vertical="top" wrapText="1"/>
    </xf>
    <xf numFmtId="0" fontId="12" fillId="0" borderId="6" xfId="0" applyFont="1" applyBorder="1" applyAlignment="1">
      <alignment vertical="top" wrapText="1"/>
    </xf>
    <xf numFmtId="9" fontId="3" fillId="0" borderId="12" xfId="0" applyNumberFormat="1" applyFont="1" applyBorder="1" applyAlignment="1">
      <alignment horizontal="left" vertical="center" wrapText="1"/>
    </xf>
    <xf numFmtId="0" fontId="0" fillId="0" borderId="39" xfId="0" applyBorder="1" applyAlignment="1">
      <alignment vertical="center" wrapText="1"/>
    </xf>
    <xf numFmtId="0" fontId="21" fillId="0" borderId="1" xfId="0" applyFont="1" applyBorder="1" applyAlignment="1">
      <alignment vertical="center"/>
    </xf>
    <xf numFmtId="0" fontId="2" fillId="0" borderId="17" xfId="2" applyFont="1" applyBorder="1" applyAlignment="1">
      <alignment horizontal="left" vertical="center" wrapText="1"/>
    </xf>
    <xf numFmtId="0" fontId="0" fillId="0" borderId="1" xfId="0" applyBorder="1" applyAlignment="1">
      <alignment vertical="center" wrapText="1"/>
    </xf>
    <xf numFmtId="0" fontId="3" fillId="0" borderId="23" xfId="0" applyFont="1" applyBorder="1" applyAlignment="1">
      <alignment vertical="top" wrapText="1"/>
    </xf>
    <xf numFmtId="0" fontId="4" fillId="0" borderId="1" xfId="0" applyFont="1" applyBorder="1" applyAlignment="1">
      <alignment horizontal="center" vertical="center"/>
    </xf>
    <xf numFmtId="9" fontId="0" fillId="0" borderId="23" xfId="0" applyNumberFormat="1" applyBorder="1" applyAlignment="1">
      <alignment horizontal="center" vertical="center"/>
    </xf>
    <xf numFmtId="0" fontId="3" fillId="0" borderId="3" xfId="2" applyFont="1" applyBorder="1" applyAlignment="1">
      <alignment horizontal="center" vertical="center" wrapText="1"/>
    </xf>
    <xf numFmtId="9" fontId="3" fillId="0" borderId="3" xfId="2" applyNumberFormat="1" applyFont="1" applyBorder="1" applyAlignment="1">
      <alignment horizontal="center" vertical="center" wrapText="1"/>
    </xf>
    <xf numFmtId="0" fontId="14" fillId="0" borderId="1" xfId="0" applyFont="1" applyBorder="1" applyAlignment="1">
      <alignment vertical="center" wrapText="1"/>
    </xf>
    <xf numFmtId="0" fontId="3" fillId="0" borderId="3" xfId="0" applyFont="1" applyBorder="1" applyAlignment="1">
      <alignment horizontal="left" vertical="top" wrapText="1"/>
    </xf>
    <xf numFmtId="0" fontId="3" fillId="0" borderId="36" xfId="0" applyFont="1" applyBorder="1" applyAlignment="1">
      <alignment vertical="top" wrapText="1"/>
    </xf>
    <xf numFmtId="0" fontId="3" fillId="0" borderId="25" xfId="0" applyFont="1" applyBorder="1" applyAlignment="1">
      <alignment vertical="top" wrapText="1"/>
    </xf>
    <xf numFmtId="0" fontId="3" fillId="0" borderId="40" xfId="0" applyFont="1" applyBorder="1" applyAlignment="1">
      <alignment vertical="top" wrapText="1"/>
    </xf>
    <xf numFmtId="10" fontId="2" fillId="0" borderId="3" xfId="0" applyNumberFormat="1" applyFont="1" applyBorder="1" applyAlignment="1">
      <alignment horizontal="center" vertical="center" wrapText="1"/>
    </xf>
    <xf numFmtId="0" fontId="4" fillId="0" borderId="0" xfId="0" applyFont="1" applyAlignment="1">
      <alignment horizontal="center" vertical="center"/>
    </xf>
    <xf numFmtId="0" fontId="4" fillId="0" borderId="16" xfId="0" applyFont="1" applyBorder="1" applyAlignment="1">
      <alignment horizontal="center" vertical="center"/>
    </xf>
    <xf numFmtId="0" fontId="3" fillId="0" borderId="30" xfId="2" applyFont="1" applyBorder="1" applyAlignment="1">
      <alignment horizontal="left" vertical="center" wrapText="1"/>
    </xf>
    <xf numFmtId="0" fontId="4" fillId="4" borderId="1" xfId="0" applyFont="1" applyFill="1" applyBorder="1" applyAlignment="1">
      <alignment horizontal="center" vertical="center"/>
    </xf>
    <xf numFmtId="0" fontId="3" fillId="0" borderId="1" xfId="2" applyFont="1" applyBorder="1" applyAlignment="1">
      <alignment horizontal="left" vertical="center" wrapText="1"/>
    </xf>
    <xf numFmtId="0" fontId="3" fillId="0" borderId="3" xfId="2" applyFont="1" applyBorder="1" applyAlignment="1">
      <alignment horizontal="left" vertical="center" wrapText="1"/>
    </xf>
    <xf numFmtId="0" fontId="4" fillId="4" borderId="16" xfId="0" applyFont="1" applyFill="1" applyBorder="1" applyAlignment="1">
      <alignment horizontal="center" vertical="center"/>
    </xf>
    <xf numFmtId="0" fontId="3" fillId="0" borderId="10" xfId="2" applyFont="1" applyBorder="1" applyAlignment="1">
      <alignment horizontal="center" vertical="center" wrapText="1"/>
    </xf>
    <xf numFmtId="0" fontId="12" fillId="0" borderId="9" xfId="0" applyFont="1" applyBorder="1" applyAlignment="1">
      <alignment vertical="top" wrapText="1"/>
    </xf>
    <xf numFmtId="0" fontId="3" fillId="0" borderId="12" xfId="0" applyFont="1" applyBorder="1" applyAlignment="1">
      <alignment horizontal="left" vertical="center" wrapText="1"/>
    </xf>
    <xf numFmtId="9" fontId="4" fillId="8" borderId="46" xfId="0" applyNumberFormat="1" applyFont="1" applyFill="1" applyBorder="1" applyAlignment="1">
      <alignment horizontal="center" vertical="center"/>
    </xf>
    <xf numFmtId="9" fontId="4" fillId="9" borderId="46" xfId="0" applyNumberFormat="1" applyFont="1" applyFill="1" applyBorder="1" applyAlignment="1">
      <alignment horizontal="center" vertical="center"/>
    </xf>
    <xf numFmtId="0" fontId="3" fillId="4" borderId="1" xfId="0" applyFont="1" applyFill="1" applyBorder="1" applyAlignment="1">
      <alignment vertical="center" wrapText="1"/>
    </xf>
    <xf numFmtId="0" fontId="4" fillId="0" borderId="3" xfId="0" applyFont="1" applyBorder="1" applyAlignment="1">
      <alignment horizontal="center" vertical="center"/>
    </xf>
    <xf numFmtId="0" fontId="3" fillId="11" borderId="12" xfId="0" applyFont="1" applyFill="1" applyBorder="1" applyAlignment="1">
      <alignment horizontal="left" vertical="center" wrapText="1"/>
    </xf>
    <xf numFmtId="0" fontId="3" fillId="11" borderId="12" xfId="0" applyFont="1" applyFill="1" applyBorder="1" applyAlignment="1">
      <alignment horizontal="center" vertical="center" wrapText="1"/>
    </xf>
    <xf numFmtId="9" fontId="3" fillId="11" borderId="12" xfId="1" applyFont="1" applyFill="1" applyBorder="1" applyAlignment="1">
      <alignment horizontal="center" vertical="center" wrapText="1"/>
    </xf>
    <xf numFmtId="0" fontId="3" fillId="11" borderId="12" xfId="0" applyFont="1" applyFill="1" applyBorder="1" applyAlignment="1">
      <alignment vertical="center" wrapText="1"/>
    </xf>
    <xf numFmtId="0" fontId="3" fillId="11" borderId="13" xfId="0" applyFont="1" applyFill="1" applyBorder="1" applyAlignment="1">
      <alignment vertical="center" wrapText="1"/>
    </xf>
    <xf numFmtId="0" fontId="4" fillId="7" borderId="31" xfId="0" applyFont="1" applyFill="1" applyBorder="1" applyAlignment="1">
      <alignment horizontal="center" vertical="center"/>
    </xf>
    <xf numFmtId="0" fontId="3" fillId="7" borderId="29" xfId="0" applyFont="1" applyFill="1" applyBorder="1" applyAlignment="1">
      <alignment vertical="center" wrapText="1"/>
    </xf>
    <xf numFmtId="0" fontId="3" fillId="7" borderId="12" xfId="0" applyFont="1" applyFill="1" applyBorder="1" applyAlignment="1">
      <alignment vertical="center" wrapText="1"/>
    </xf>
    <xf numFmtId="9" fontId="3" fillId="7" borderId="12" xfId="1" applyFont="1" applyFill="1" applyBorder="1" applyAlignment="1">
      <alignment horizontal="center" vertical="center" wrapText="1"/>
    </xf>
    <xf numFmtId="0" fontId="10" fillId="7" borderId="12" xfId="2" applyFont="1" applyFill="1" applyBorder="1" applyAlignment="1">
      <alignment horizontal="left" vertical="center" wrapText="1"/>
    </xf>
    <xf numFmtId="0" fontId="3" fillId="7" borderId="13" xfId="0" applyFont="1" applyFill="1" applyBorder="1" applyAlignment="1">
      <alignment vertical="center" wrapText="1"/>
    </xf>
    <xf numFmtId="0" fontId="4" fillId="8" borderId="31" xfId="0" applyFont="1" applyFill="1" applyBorder="1" applyAlignment="1">
      <alignment horizontal="center" vertical="center"/>
    </xf>
    <xf numFmtId="0" fontId="3" fillId="8" borderId="17" xfId="0" applyFont="1" applyFill="1" applyBorder="1" applyAlignment="1">
      <alignment vertical="center" wrapText="1"/>
    </xf>
    <xf numFmtId="0" fontId="3" fillId="8" borderId="8" xfId="0" applyFont="1" applyFill="1" applyBorder="1" applyAlignment="1">
      <alignment vertical="center" wrapText="1"/>
    </xf>
    <xf numFmtId="9" fontId="3" fillId="8" borderId="8" xfId="1" applyFont="1" applyFill="1" applyBorder="1" applyAlignment="1">
      <alignment horizontal="center" vertical="center" wrapText="1"/>
    </xf>
    <xf numFmtId="0" fontId="3" fillId="8" borderId="9" xfId="0" applyFont="1" applyFill="1" applyBorder="1" applyAlignment="1">
      <alignment vertical="center" wrapText="1"/>
    </xf>
    <xf numFmtId="9" fontId="4" fillId="5" borderId="46" xfId="0" applyNumberFormat="1" applyFont="1" applyFill="1" applyBorder="1" applyAlignment="1">
      <alignment horizontal="center" vertical="center"/>
    </xf>
    <xf numFmtId="0" fontId="3" fillId="5" borderId="29" xfId="0" applyFont="1" applyFill="1" applyBorder="1" applyAlignment="1">
      <alignment vertical="center" wrapText="1"/>
    </xf>
    <xf numFmtId="0" fontId="3" fillId="5" borderId="12" xfId="0" applyFont="1" applyFill="1" applyBorder="1" applyAlignment="1">
      <alignment vertical="center" wrapText="1"/>
    </xf>
    <xf numFmtId="9" fontId="3" fillId="5" borderId="12" xfId="1" applyFont="1" applyFill="1" applyBorder="1" applyAlignment="1">
      <alignment horizontal="center" vertical="center" wrapText="1"/>
    </xf>
    <xf numFmtId="0" fontId="10" fillId="5" borderId="12" xfId="2" applyFont="1" applyFill="1" applyBorder="1" applyAlignment="1">
      <alignment horizontal="left" vertical="center" wrapText="1"/>
    </xf>
    <xf numFmtId="0" fontId="3" fillId="5" borderId="13" xfId="0" applyFont="1" applyFill="1" applyBorder="1" applyAlignment="1">
      <alignment vertical="center" wrapText="1"/>
    </xf>
    <xf numFmtId="9" fontId="4" fillId="10" borderId="18" xfId="0" applyNumberFormat="1" applyFont="1" applyFill="1" applyBorder="1" applyAlignment="1">
      <alignment horizontal="center" vertical="center"/>
    </xf>
    <xf numFmtId="0" fontId="22" fillId="0" borderId="1" xfId="0" applyFont="1" applyBorder="1" applyAlignment="1">
      <alignment vertical="center"/>
    </xf>
    <xf numFmtId="9" fontId="4" fillId="12" borderId="18" xfId="0" applyNumberFormat="1" applyFont="1" applyFill="1" applyBorder="1" applyAlignment="1">
      <alignment horizontal="center" vertical="center"/>
    </xf>
    <xf numFmtId="0" fontId="4" fillId="12" borderId="29" xfId="0" applyFont="1" applyFill="1" applyBorder="1" applyAlignment="1">
      <alignment horizontal="center" vertical="center"/>
    </xf>
    <xf numFmtId="0" fontId="22" fillId="12" borderId="12" xfId="0" applyFont="1" applyFill="1" applyBorder="1" applyAlignment="1">
      <alignment vertical="center"/>
    </xf>
    <xf numFmtId="0" fontId="21" fillId="12" borderId="12" xfId="0" applyFont="1" applyFill="1" applyBorder="1" applyAlignment="1">
      <alignment vertical="center"/>
    </xf>
    <xf numFmtId="0" fontId="3" fillId="12" borderId="12" xfId="0" applyFont="1" applyFill="1" applyBorder="1" applyAlignment="1">
      <alignment vertical="center" wrapText="1"/>
    </xf>
    <xf numFmtId="9" fontId="3" fillId="12" borderId="12" xfId="0" applyNumberFormat="1" applyFont="1" applyFill="1" applyBorder="1" applyAlignment="1">
      <alignment horizontal="center" vertical="center" wrapText="1"/>
    </xf>
    <xf numFmtId="0" fontId="3" fillId="12" borderId="12" xfId="0" applyFont="1" applyFill="1" applyBorder="1" applyAlignment="1">
      <alignment horizontal="left" vertical="center" wrapText="1"/>
    </xf>
    <xf numFmtId="0" fontId="3" fillId="12" borderId="13" xfId="0" applyFont="1" applyFill="1" applyBorder="1" applyAlignment="1">
      <alignment horizontal="left" vertical="center" wrapText="1"/>
    </xf>
    <xf numFmtId="0" fontId="3" fillId="0" borderId="10" xfId="2" applyFont="1" applyBorder="1" applyAlignment="1">
      <alignment horizontal="left" vertical="center" wrapText="1"/>
    </xf>
    <xf numFmtId="0" fontId="4" fillId="4" borderId="15" xfId="0" applyFont="1" applyFill="1" applyBorder="1" applyAlignment="1">
      <alignment horizontal="center" vertical="center"/>
    </xf>
    <xf numFmtId="0" fontId="4" fillId="0" borderId="27" xfId="0" applyFont="1" applyBorder="1" applyAlignment="1">
      <alignment horizontal="center" vertical="center"/>
    </xf>
    <xf numFmtId="0" fontId="4" fillId="0" borderId="15" xfId="0" applyFont="1" applyBorder="1" applyAlignment="1">
      <alignment horizontal="center" vertical="center"/>
    </xf>
    <xf numFmtId="0" fontId="4" fillId="0" borderId="30" xfId="0" applyFont="1" applyBorder="1" applyAlignment="1">
      <alignment horizontal="center" vertical="center"/>
    </xf>
    <xf numFmtId="9" fontId="4" fillId="7" borderId="18" xfId="0" applyNumberFormat="1" applyFont="1" applyFill="1" applyBorder="1" applyAlignment="1">
      <alignment horizontal="center" vertical="center"/>
    </xf>
    <xf numFmtId="0" fontId="0" fillId="0" borderId="6" xfId="0" applyBorder="1" applyAlignment="1">
      <alignment vertical="center"/>
    </xf>
    <xf numFmtId="0" fontId="3" fillId="9" borderId="8" xfId="0" applyFont="1" applyFill="1" applyBorder="1" applyAlignment="1">
      <alignment horizontal="center" vertical="center" wrapText="1"/>
    </xf>
    <xf numFmtId="9" fontId="3" fillId="9" borderId="8" xfId="1" applyFont="1" applyFill="1" applyBorder="1" applyAlignment="1">
      <alignment horizontal="center" vertical="center" wrapText="1"/>
    </xf>
    <xf numFmtId="0" fontId="3" fillId="9" borderId="9" xfId="0" applyFont="1" applyFill="1" applyBorder="1" applyAlignment="1">
      <alignment vertical="center" wrapText="1"/>
    </xf>
    <xf numFmtId="0" fontId="4" fillId="9" borderId="17" xfId="0" applyFont="1" applyFill="1" applyBorder="1" applyAlignment="1">
      <alignment horizontal="center" vertical="center"/>
    </xf>
    <xf numFmtId="0" fontId="4" fillId="5" borderId="20" xfId="0" applyFont="1" applyFill="1" applyBorder="1" applyAlignment="1">
      <alignment horizontal="center" vertical="center"/>
    </xf>
    <xf numFmtId="9" fontId="2" fillId="0" borderId="8" xfId="1" applyFont="1" applyFill="1" applyBorder="1" applyAlignment="1">
      <alignment horizontal="center" vertical="center" wrapText="1"/>
    </xf>
    <xf numFmtId="15" fontId="2" fillId="0" borderId="8" xfId="4" applyNumberFormat="1" applyFont="1" applyFill="1" applyBorder="1" applyAlignment="1">
      <alignment horizontal="left" vertical="center" wrapText="1"/>
    </xf>
    <xf numFmtId="0" fontId="3" fillId="6" borderId="12" xfId="0" applyFont="1" applyFill="1" applyBorder="1" applyAlignment="1">
      <alignment horizontal="center" vertical="center" wrapText="1"/>
    </xf>
    <xf numFmtId="9" fontId="3" fillId="6" borderId="12" xfId="1" applyFont="1" applyFill="1" applyBorder="1" applyAlignment="1">
      <alignment horizontal="center" vertical="center" wrapText="1"/>
    </xf>
    <xf numFmtId="0" fontId="2" fillId="0" borderId="8" xfId="0" applyFont="1" applyBorder="1" applyAlignment="1">
      <alignment horizontal="left" vertical="top" wrapText="1"/>
    </xf>
    <xf numFmtId="9" fontId="4" fillId="13" borderId="18" xfId="0" applyNumberFormat="1" applyFont="1" applyFill="1" applyBorder="1" applyAlignment="1">
      <alignment horizontal="center" vertical="center"/>
    </xf>
    <xf numFmtId="0" fontId="4" fillId="13" borderId="29" xfId="0" applyFont="1" applyFill="1" applyBorder="1" applyAlignment="1">
      <alignment horizontal="center" vertical="center"/>
    </xf>
    <xf numFmtId="0" fontId="3" fillId="13" borderId="12" xfId="0" applyFont="1" applyFill="1" applyBorder="1" applyAlignment="1">
      <alignment vertical="center" wrapText="1"/>
    </xf>
    <xf numFmtId="9" fontId="3" fillId="13" borderId="12" xfId="1" applyFont="1" applyFill="1" applyBorder="1" applyAlignment="1">
      <alignment horizontal="center" vertical="center" wrapText="1"/>
    </xf>
    <xf numFmtId="0" fontId="3" fillId="13" borderId="13" xfId="0" applyFont="1" applyFill="1" applyBorder="1" applyAlignment="1">
      <alignment vertical="center" wrapText="1"/>
    </xf>
    <xf numFmtId="0" fontId="4" fillId="6" borderId="29" xfId="0" applyFont="1" applyFill="1" applyBorder="1" applyAlignment="1">
      <alignment horizontal="center" vertical="center"/>
    </xf>
    <xf numFmtId="0" fontId="3" fillId="6" borderId="12" xfId="0" applyFont="1" applyFill="1" applyBorder="1" applyAlignment="1">
      <alignment vertical="center" wrapText="1"/>
    </xf>
    <xf numFmtId="0" fontId="3" fillId="6" borderId="13" xfId="0" applyFont="1" applyFill="1" applyBorder="1" applyAlignment="1">
      <alignment vertical="center" wrapText="1"/>
    </xf>
    <xf numFmtId="9" fontId="4" fillId="14" borderId="18" xfId="0" applyNumberFormat="1" applyFont="1" applyFill="1" applyBorder="1" applyAlignment="1">
      <alignment horizontal="center" vertical="center"/>
    </xf>
    <xf numFmtId="0" fontId="4" fillId="14" borderId="29" xfId="0" applyFont="1" applyFill="1" applyBorder="1" applyAlignment="1">
      <alignment horizontal="center" vertical="center"/>
    </xf>
    <xf numFmtId="0" fontId="3" fillId="14" borderId="12" xfId="0" applyFont="1" applyFill="1" applyBorder="1" applyAlignment="1">
      <alignment vertical="center" wrapText="1"/>
    </xf>
    <xf numFmtId="0" fontId="3" fillId="14" borderId="12" xfId="0" applyFont="1" applyFill="1" applyBorder="1" applyAlignment="1">
      <alignment horizontal="center" vertical="center" wrapText="1"/>
    </xf>
    <xf numFmtId="9" fontId="3" fillId="14" borderId="12" xfId="1" applyFont="1" applyFill="1" applyBorder="1" applyAlignment="1">
      <alignment horizontal="center" vertical="center" wrapText="1"/>
    </xf>
    <xf numFmtId="0" fontId="3" fillId="14" borderId="13" xfId="0" applyFont="1" applyFill="1" applyBorder="1" applyAlignment="1">
      <alignment vertical="center" wrapText="1"/>
    </xf>
    <xf numFmtId="0" fontId="3" fillId="0" borderId="48" xfId="2" applyFont="1" applyBorder="1" applyAlignment="1">
      <alignment horizontal="left" vertical="center" wrapText="1"/>
    </xf>
    <xf numFmtId="0" fontId="3" fillId="4" borderId="12"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vertical="top" wrapText="1"/>
    </xf>
    <xf numFmtId="10" fontId="2" fillId="0" borderId="1" xfId="0" applyNumberFormat="1" applyFont="1" applyBorder="1" applyAlignment="1">
      <alignment horizontal="left" vertical="center" wrapText="1"/>
    </xf>
    <xf numFmtId="0" fontId="3" fillId="0" borderId="12" xfId="0" applyFont="1" applyBorder="1" applyAlignment="1">
      <alignment vertical="center" wrapText="1"/>
    </xf>
    <xf numFmtId="0" fontId="4" fillId="5" borderId="17" xfId="0" applyFont="1" applyFill="1" applyBorder="1" applyAlignment="1">
      <alignment horizontal="center" vertical="center"/>
    </xf>
    <xf numFmtId="0" fontId="3" fillId="5" borderId="8" xfId="0" applyFont="1" applyFill="1" applyBorder="1" applyAlignment="1">
      <alignment horizontal="left" vertical="center" wrapText="1"/>
    </xf>
    <xf numFmtId="0" fontId="3" fillId="5" borderId="8" xfId="0" applyFont="1" applyFill="1" applyBorder="1" applyAlignment="1">
      <alignment horizontal="center" vertical="center" wrapText="1"/>
    </xf>
    <xf numFmtId="9" fontId="3" fillId="5" borderId="8" xfId="1" applyFont="1" applyFill="1" applyBorder="1" applyAlignment="1">
      <alignment horizontal="center" vertical="center" wrapText="1"/>
    </xf>
    <xf numFmtId="0" fontId="3" fillId="5" borderId="8" xfId="0" applyFont="1" applyFill="1" applyBorder="1" applyAlignment="1">
      <alignment vertical="center" wrapText="1"/>
    </xf>
    <xf numFmtId="0" fontId="3" fillId="5" borderId="9" xfId="0" applyFont="1" applyFill="1" applyBorder="1" applyAlignment="1">
      <alignment vertical="center" wrapText="1"/>
    </xf>
    <xf numFmtId="0" fontId="4" fillId="4" borderId="31" xfId="0" applyFont="1" applyFill="1" applyBorder="1" applyAlignment="1">
      <alignment horizontal="center" vertical="center"/>
    </xf>
    <xf numFmtId="0" fontId="3" fillId="0" borderId="29" xfId="2" applyFont="1" applyBorder="1" applyAlignment="1">
      <alignment horizontal="left" vertical="center" wrapText="1"/>
    </xf>
    <xf numFmtId="0" fontId="0" fillId="0" borderId="12" xfId="0" applyBorder="1" applyAlignment="1">
      <alignment vertical="center"/>
    </xf>
    <xf numFmtId="9" fontId="0" fillId="0" borderId="12" xfId="0" applyNumberFormat="1" applyBorder="1" applyAlignment="1">
      <alignment horizontal="center" vertical="center"/>
    </xf>
    <xf numFmtId="0" fontId="4" fillId="15" borderId="15" xfId="0" applyFont="1" applyFill="1" applyBorder="1" applyAlignment="1">
      <alignment horizontal="center" vertical="center"/>
    </xf>
    <xf numFmtId="0" fontId="3" fillId="15" borderId="1" xfId="0" applyFont="1" applyFill="1" applyBorder="1" applyAlignment="1">
      <alignment horizontal="left" vertical="center" wrapText="1"/>
    </xf>
    <xf numFmtId="9" fontId="3" fillId="15" borderId="1" xfId="1" applyFont="1" applyFill="1" applyBorder="1" applyAlignment="1">
      <alignment horizontal="center" vertical="center" wrapText="1"/>
    </xf>
    <xf numFmtId="10" fontId="2" fillId="15" borderId="1" xfId="0" applyNumberFormat="1" applyFont="1" applyFill="1" applyBorder="1" applyAlignment="1">
      <alignment horizontal="center" vertical="center" wrapText="1"/>
    </xf>
    <xf numFmtId="0" fontId="3" fillId="15" borderId="6" xfId="0" applyFont="1" applyFill="1" applyBorder="1" applyAlignment="1">
      <alignment vertical="center" wrapText="1"/>
    </xf>
    <xf numFmtId="0" fontId="4" fillId="15" borderId="16" xfId="0" applyFont="1" applyFill="1" applyBorder="1" applyAlignment="1">
      <alignment horizontal="center" vertical="center"/>
    </xf>
    <xf numFmtId="0" fontId="3" fillId="15" borderId="49" xfId="0" applyFont="1" applyFill="1" applyBorder="1" applyAlignment="1">
      <alignment horizontal="left" vertical="center" wrapText="1"/>
    </xf>
    <xf numFmtId="0" fontId="3" fillId="15" borderId="12" xfId="0" applyFont="1" applyFill="1" applyBorder="1" applyAlignment="1">
      <alignment horizontal="left" vertical="center" wrapText="1"/>
    </xf>
    <xf numFmtId="9" fontId="3" fillId="15" borderId="10" xfId="0" applyNumberFormat="1" applyFont="1" applyFill="1" applyBorder="1" applyAlignment="1">
      <alignment horizontal="center" vertical="center" wrapText="1"/>
    </xf>
    <xf numFmtId="10" fontId="2" fillId="15" borderId="10" xfId="0" applyNumberFormat="1" applyFont="1" applyFill="1" applyBorder="1" applyAlignment="1">
      <alignment horizontal="center" vertical="center" wrapText="1"/>
    </xf>
    <xf numFmtId="0" fontId="3" fillId="15" borderId="11" xfId="0" applyFont="1" applyFill="1" applyBorder="1" applyAlignment="1">
      <alignment vertical="center" wrapText="1"/>
    </xf>
    <xf numFmtId="0" fontId="4" fillId="4" borderId="48" xfId="0" applyFont="1" applyFill="1" applyBorder="1" applyAlignment="1">
      <alignment horizontal="center" vertical="center"/>
    </xf>
    <xf numFmtId="0" fontId="2" fillId="0" borderId="1" xfId="2" applyFont="1" applyBorder="1" applyAlignment="1">
      <alignment horizontal="left" vertical="center" wrapText="1"/>
    </xf>
    <xf numFmtId="43" fontId="2" fillId="0" borderId="1" xfId="4" applyNumberFormat="1" applyFont="1" applyFill="1" applyBorder="1" applyAlignment="1">
      <alignment horizontal="left" vertical="center" wrapText="1"/>
    </xf>
    <xf numFmtId="15" fontId="2" fillId="0" borderId="1" xfId="4" applyNumberFormat="1" applyFont="1" applyFill="1" applyBorder="1" applyAlignment="1">
      <alignment horizontal="left" vertical="center" wrapText="1"/>
    </xf>
    <xf numFmtId="0" fontId="4" fillId="11" borderId="52" xfId="0" applyFont="1" applyFill="1" applyBorder="1" applyAlignment="1">
      <alignment horizontal="center" vertical="center"/>
    </xf>
    <xf numFmtId="15" fontId="2" fillId="0" borderId="12" xfId="4" applyNumberFormat="1" applyFont="1" applyFill="1" applyBorder="1" applyAlignment="1">
      <alignment horizontal="left" vertical="center" wrapText="1"/>
    </xf>
    <xf numFmtId="0" fontId="4" fillId="15" borderId="48" xfId="0" applyFont="1" applyFill="1" applyBorder="1" applyAlignment="1">
      <alignment horizontal="center" vertical="center"/>
    </xf>
    <xf numFmtId="0" fontId="3" fillId="15" borderId="30" xfId="0" applyFont="1" applyFill="1" applyBorder="1" applyAlignment="1">
      <alignment horizontal="left" vertical="center" wrapText="1"/>
    </xf>
    <xf numFmtId="9" fontId="3" fillId="15" borderId="1" xfId="0" applyNumberFormat="1" applyFont="1" applyFill="1" applyBorder="1" applyAlignment="1">
      <alignment horizontal="center" vertical="center" wrapText="1"/>
    </xf>
    <xf numFmtId="0" fontId="4" fillId="4" borderId="54" xfId="0" applyFont="1" applyFill="1" applyBorder="1" applyAlignment="1">
      <alignment horizontal="center" vertical="center"/>
    </xf>
    <xf numFmtId="0" fontId="2" fillId="0" borderId="45" xfId="2" applyFont="1" applyBorder="1" applyAlignment="1">
      <alignment horizontal="left" vertical="center" wrapText="1"/>
    </xf>
    <xf numFmtId="43" fontId="2" fillId="0" borderId="55" xfId="4" applyNumberFormat="1" applyFont="1" applyFill="1" applyBorder="1" applyAlignment="1">
      <alignment horizontal="left" vertical="center" wrapText="1"/>
    </xf>
    <xf numFmtId="9" fontId="2" fillId="0" borderId="55" xfId="1" applyFont="1" applyFill="1" applyBorder="1" applyAlignment="1">
      <alignment horizontal="center" vertical="center" wrapText="1"/>
    </xf>
    <xf numFmtId="15" fontId="2" fillId="0" borderId="55" xfId="4" applyNumberFormat="1" applyFont="1" applyFill="1" applyBorder="1" applyAlignment="1">
      <alignment horizontal="left" vertical="center" wrapText="1"/>
    </xf>
    <xf numFmtId="0" fontId="4" fillId="0" borderId="50" xfId="0" applyFont="1" applyBorder="1" applyAlignment="1">
      <alignment horizontal="center" vertical="center"/>
    </xf>
    <xf numFmtId="0" fontId="4" fillId="15" borderId="1" xfId="0" applyFont="1" applyFill="1" applyBorder="1" applyAlignment="1">
      <alignment horizontal="center" vertical="center"/>
    </xf>
    <xf numFmtId="0" fontId="3" fillId="15" borderId="1" xfId="0" applyFont="1" applyFill="1" applyBorder="1" applyAlignment="1">
      <alignment vertical="center" wrapText="1"/>
    </xf>
    <xf numFmtId="15" fontId="2" fillId="0" borderId="55" xfId="4" applyNumberFormat="1" applyFont="1" applyFill="1" applyBorder="1" applyAlignment="1">
      <alignment horizontal="center" vertical="center" wrapText="1"/>
    </xf>
    <xf numFmtId="0" fontId="2" fillId="0" borderId="15" xfId="0" applyFont="1" applyBorder="1" applyAlignment="1">
      <alignment vertical="center" wrapText="1"/>
    </xf>
    <xf numFmtId="10" fontId="2" fillId="0" borderId="10" xfId="0" applyNumberFormat="1" applyFont="1" applyBorder="1" applyAlignment="1">
      <alignment horizontal="left" vertical="center" wrapText="1"/>
    </xf>
    <xf numFmtId="0" fontId="4" fillId="4" borderId="56" xfId="0" applyFont="1" applyFill="1" applyBorder="1" applyAlignment="1">
      <alignment horizontal="center" vertical="center"/>
    </xf>
    <xf numFmtId="0" fontId="3" fillId="0" borderId="56" xfId="0" applyFont="1" applyBorder="1" applyAlignment="1">
      <alignment vertical="center" wrapText="1"/>
    </xf>
    <xf numFmtId="0" fontId="3" fillId="0" borderId="57" xfId="0" applyFont="1" applyBorder="1" applyAlignment="1">
      <alignment vertical="center" wrapText="1"/>
    </xf>
    <xf numFmtId="0" fontId="22" fillId="0" borderId="56" xfId="0" applyFont="1" applyBorder="1" applyAlignment="1">
      <alignment vertical="center"/>
    </xf>
    <xf numFmtId="0" fontId="21" fillId="0" borderId="56" xfId="0" applyFont="1" applyBorder="1" applyAlignment="1">
      <alignment vertical="center"/>
    </xf>
    <xf numFmtId="9" fontId="3" fillId="0" borderId="56" xfId="0" applyNumberFormat="1" applyFont="1" applyBorder="1" applyAlignment="1">
      <alignment horizontal="center" vertical="center" wrapText="1"/>
    </xf>
    <xf numFmtId="0" fontId="3" fillId="0" borderId="56" xfId="0" applyFont="1" applyBorder="1" applyAlignment="1">
      <alignment horizontal="left" vertical="center" wrapText="1"/>
    </xf>
    <xf numFmtId="0" fontId="3" fillId="0" borderId="57" xfId="0" applyFont="1" applyBorder="1" applyAlignment="1">
      <alignment horizontal="left" vertical="center" wrapText="1"/>
    </xf>
    <xf numFmtId="9" fontId="0" fillId="0" borderId="58" xfId="0" applyNumberFormat="1" applyBorder="1" applyAlignment="1">
      <alignment horizontal="center" vertical="center"/>
    </xf>
    <xf numFmtId="0" fontId="4" fillId="10" borderId="52" xfId="0" applyFont="1" applyFill="1" applyBorder="1" applyAlignment="1">
      <alignment horizontal="center" vertical="center"/>
    </xf>
    <xf numFmtId="0" fontId="3" fillId="10" borderId="26" xfId="0" applyFont="1" applyFill="1" applyBorder="1" applyAlignment="1">
      <alignment vertical="center" wrapText="1"/>
    </xf>
    <xf numFmtId="0" fontId="3" fillId="10" borderId="26" xfId="0" applyFont="1" applyFill="1" applyBorder="1" applyAlignment="1">
      <alignment horizontal="left" vertical="center" wrapText="1"/>
    </xf>
    <xf numFmtId="9" fontId="3" fillId="10" borderId="26" xfId="1" applyFont="1" applyFill="1" applyBorder="1" applyAlignment="1">
      <alignment horizontal="center" vertical="center" wrapText="1"/>
    </xf>
    <xf numFmtId="0" fontId="3" fillId="10" borderId="32" xfId="0" applyFont="1" applyFill="1" applyBorder="1" applyAlignment="1">
      <alignment vertical="center" wrapText="1"/>
    </xf>
    <xf numFmtId="0" fontId="4" fillId="4" borderId="53" xfId="0" applyFont="1" applyFill="1" applyBorder="1" applyAlignment="1">
      <alignment vertical="center"/>
    </xf>
    <xf numFmtId="0" fontId="3" fillId="4" borderId="56" xfId="0" applyFont="1" applyFill="1" applyBorder="1" applyAlignment="1">
      <alignment horizontal="left" vertical="top" wrapText="1"/>
    </xf>
    <xf numFmtId="0" fontId="3" fillId="4" borderId="56" xfId="0" applyFont="1" applyFill="1" applyBorder="1" applyAlignment="1">
      <alignment horizontal="left" vertical="center" wrapText="1"/>
    </xf>
    <xf numFmtId="0" fontId="3" fillId="4" borderId="56" xfId="0" applyFont="1" applyFill="1" applyBorder="1" applyAlignment="1">
      <alignment horizontal="center" vertical="center" wrapText="1"/>
    </xf>
    <xf numFmtId="9" fontId="3" fillId="4" borderId="56" xfId="1" applyFont="1" applyFill="1" applyBorder="1" applyAlignment="1">
      <alignment horizontal="center" vertical="center" wrapText="1"/>
    </xf>
    <xf numFmtId="0" fontId="3" fillId="4" borderId="56" xfId="0" applyFont="1" applyFill="1" applyBorder="1" applyAlignment="1">
      <alignment vertical="top" wrapText="1"/>
    </xf>
    <xf numFmtId="0" fontId="4" fillId="0" borderId="21" xfId="0" applyFont="1" applyBorder="1"/>
    <xf numFmtId="0" fontId="5" fillId="2" borderId="59" xfId="0" applyFont="1" applyFill="1" applyBorder="1" applyAlignment="1">
      <alignment horizontal="center" vertical="center" wrapText="1"/>
    </xf>
    <xf numFmtId="9" fontId="5" fillId="2" borderId="59" xfId="0" applyNumberFormat="1" applyFont="1" applyFill="1" applyBorder="1" applyAlignment="1">
      <alignment horizontal="center" vertical="center" wrapText="1"/>
    </xf>
    <xf numFmtId="9" fontId="5" fillId="2" borderId="60" xfId="0" applyNumberFormat="1" applyFont="1" applyFill="1" applyBorder="1" applyAlignment="1">
      <alignment horizontal="center" vertical="center" wrapText="1"/>
    </xf>
    <xf numFmtId="0" fontId="0" fillId="0" borderId="23" xfId="0" applyBorder="1"/>
    <xf numFmtId="9" fontId="2" fillId="0" borderId="8" xfId="1" applyFont="1" applyFill="1" applyBorder="1" applyAlignment="1">
      <alignment vertical="top" wrapText="1"/>
    </xf>
    <xf numFmtId="0" fontId="2" fillId="0" borderId="9" xfId="0" applyFont="1" applyBorder="1" applyAlignment="1">
      <alignment vertical="top" wrapText="1"/>
    </xf>
    <xf numFmtId="0" fontId="12" fillId="0" borderId="4" xfId="0" applyFont="1" applyBorder="1" applyAlignment="1">
      <alignment vertical="top" wrapText="1"/>
    </xf>
    <xf numFmtId="0" fontId="0" fillId="0" borderId="0" xfId="0" applyAlignment="1">
      <alignment vertical="center" wrapText="1"/>
    </xf>
    <xf numFmtId="0" fontId="3" fillId="4" borderId="61" xfId="0" applyFont="1" applyFill="1" applyBorder="1" applyAlignment="1">
      <alignment vertical="top" wrapText="1"/>
    </xf>
    <xf numFmtId="0" fontId="4" fillId="0" borderId="34" xfId="0" applyFont="1" applyBorder="1" applyAlignment="1">
      <alignment horizontal="center" vertical="center"/>
    </xf>
    <xf numFmtId="0" fontId="4" fillId="0" borderId="33" xfId="0" applyFont="1" applyBorder="1" applyAlignment="1">
      <alignment horizontal="center" vertical="center"/>
    </xf>
    <xf numFmtId="0" fontId="4" fillId="0" borderId="35" xfId="0" applyFont="1" applyBorder="1" applyAlignment="1">
      <alignment horizontal="center" vertical="center"/>
    </xf>
    <xf numFmtId="0" fontId="4" fillId="4" borderId="62" xfId="0" applyFont="1" applyFill="1" applyBorder="1" applyAlignment="1">
      <alignment horizontal="center" vertical="center"/>
    </xf>
    <xf numFmtId="43" fontId="2" fillId="0" borderId="1" xfId="4" applyNumberFormat="1" applyFont="1" applyFill="1" applyBorder="1" applyAlignment="1">
      <alignment horizontal="center" vertical="center" wrapText="1"/>
    </xf>
    <xf numFmtId="9" fontId="4" fillId="17" borderId="46" xfId="0" applyNumberFormat="1" applyFont="1" applyFill="1" applyBorder="1" applyAlignment="1">
      <alignment horizontal="center" vertical="center"/>
    </xf>
    <xf numFmtId="9" fontId="4" fillId="17" borderId="19" xfId="0" applyNumberFormat="1" applyFont="1" applyFill="1" applyBorder="1" applyAlignment="1">
      <alignment horizontal="center" vertical="center"/>
    </xf>
    <xf numFmtId="0" fontId="3" fillId="0" borderId="45" xfId="0" applyFont="1" applyBorder="1" applyAlignment="1">
      <alignment vertical="top" wrapText="1"/>
    </xf>
    <xf numFmtId="0" fontId="3" fillId="0" borderId="55" xfId="0" applyFont="1" applyBorder="1" applyAlignment="1">
      <alignment vertical="center" wrapText="1"/>
    </xf>
    <xf numFmtId="0" fontId="3" fillId="0" borderId="55" xfId="0" applyFont="1" applyBorder="1" applyAlignment="1">
      <alignment horizontal="left" vertical="top" wrapText="1"/>
    </xf>
    <xf numFmtId="9" fontId="3" fillId="0" borderId="55" xfId="1" applyFont="1" applyFill="1" applyBorder="1" applyAlignment="1">
      <alignment horizontal="center" vertical="center" wrapText="1"/>
    </xf>
    <xf numFmtId="0" fontId="2" fillId="0" borderId="1" xfId="0" applyFont="1" applyBorder="1" applyAlignment="1">
      <alignment horizontal="left" vertical="top" wrapText="1"/>
    </xf>
    <xf numFmtId="15" fontId="2" fillId="0" borderId="12" xfId="4" applyNumberFormat="1" applyFont="1" applyBorder="1" applyAlignment="1">
      <alignment horizontal="left" vertical="center" wrapText="1"/>
    </xf>
    <xf numFmtId="0" fontId="2" fillId="0" borderId="55" xfId="0" applyFont="1" applyBorder="1" applyAlignment="1">
      <alignment horizontal="center" vertical="top" wrapText="1"/>
    </xf>
    <xf numFmtId="15" fontId="2" fillId="0" borderId="55" xfId="4" applyNumberFormat="1" applyFont="1" applyBorder="1" applyAlignment="1">
      <alignment horizontal="center" vertical="center" wrapText="1"/>
    </xf>
    <xf numFmtId="15" fontId="2" fillId="0" borderId="8" xfId="4" applyNumberFormat="1" applyFont="1" applyBorder="1" applyAlignment="1">
      <alignment horizontal="left" vertical="center" wrapText="1"/>
    </xf>
    <xf numFmtId="15" fontId="2" fillId="0" borderId="1" xfId="4" applyNumberFormat="1" applyFont="1" applyBorder="1" applyAlignment="1">
      <alignment horizontal="left" vertical="center" wrapText="1"/>
    </xf>
    <xf numFmtId="9" fontId="4" fillId="11" borderId="18" xfId="0" applyNumberFormat="1" applyFont="1" applyFill="1" applyBorder="1" applyAlignment="1">
      <alignment horizontal="center" vertical="center"/>
    </xf>
    <xf numFmtId="0" fontId="2" fillId="0" borderId="55" xfId="0" applyFont="1" applyBorder="1" applyAlignment="1">
      <alignment horizontal="left" vertical="top" wrapText="1"/>
    </xf>
    <xf numFmtId="15" fontId="2" fillId="0" borderId="55" xfId="4" applyNumberFormat="1" applyFont="1" applyBorder="1" applyAlignment="1">
      <alignment horizontal="left" vertical="center" wrapText="1"/>
    </xf>
    <xf numFmtId="9" fontId="2" fillId="0" borderId="1" xfId="1" applyFont="1" applyBorder="1" applyAlignment="1">
      <alignment horizontal="center" vertical="center" wrapText="1"/>
    </xf>
    <xf numFmtId="43" fontId="2" fillId="0" borderId="1" xfId="4" applyNumberFormat="1" applyFont="1" applyBorder="1" applyAlignment="1">
      <alignment horizontal="left" vertical="center" wrapText="1"/>
    </xf>
    <xf numFmtId="16" fontId="2" fillId="0" borderId="1" xfId="4" applyNumberFormat="1" applyFont="1" applyBorder="1" applyAlignment="1">
      <alignment horizontal="left" vertical="center" wrapText="1"/>
    </xf>
    <xf numFmtId="9" fontId="3" fillId="0" borderId="12" xfId="0" applyNumberFormat="1" applyFont="1" applyBorder="1" applyAlignment="1">
      <alignment horizontal="center" vertical="center" wrapText="1"/>
    </xf>
    <xf numFmtId="9" fontId="20" fillId="0" borderId="1" xfId="2" applyNumberFormat="1" applyFont="1" applyBorder="1" applyAlignment="1">
      <alignment horizontal="center" vertical="center" wrapText="1"/>
    </xf>
    <xf numFmtId="9" fontId="20" fillId="0" borderId="1" xfId="0" applyNumberFormat="1" applyFont="1" applyBorder="1" applyAlignment="1">
      <alignment horizontal="center" vertical="center" wrapText="1"/>
    </xf>
    <xf numFmtId="0" fontId="0" fillId="0" borderId="1" xfId="0" applyBorder="1"/>
    <xf numFmtId="15" fontId="2" fillId="0" borderId="1" xfId="4" applyNumberFormat="1" applyFont="1" applyFill="1" applyBorder="1" applyAlignment="1">
      <alignment horizontal="center" vertical="center" wrapText="1"/>
    </xf>
    <xf numFmtId="16" fontId="2" fillId="0" borderId="1" xfId="4" applyNumberFormat="1" applyFont="1" applyFill="1" applyBorder="1" applyAlignment="1">
      <alignment horizontal="center" vertical="center" wrapText="1"/>
    </xf>
    <xf numFmtId="9" fontId="2" fillId="0" borderId="1" xfId="0" applyNumberFormat="1" applyFont="1" applyBorder="1" applyAlignment="1">
      <alignment horizontal="center" vertical="center" wrapText="1"/>
    </xf>
    <xf numFmtId="0" fontId="2" fillId="0" borderId="1" xfId="0" applyFont="1" applyBorder="1" applyAlignment="1">
      <alignment horizontal="center" vertical="top" wrapText="1"/>
    </xf>
    <xf numFmtId="0" fontId="14" fillId="0" borderId="1" xfId="0" applyFont="1" applyBorder="1" applyAlignment="1">
      <alignment horizontal="center" vertical="center" wrapText="1"/>
    </xf>
    <xf numFmtId="0" fontId="3" fillId="0" borderId="63" xfId="0" applyFont="1" applyBorder="1" applyAlignment="1">
      <alignment vertical="top" wrapText="1"/>
    </xf>
    <xf numFmtId="0" fontId="3" fillId="0" borderId="64" xfId="0" applyFont="1" applyBorder="1" applyAlignment="1">
      <alignment vertical="top" wrapText="1"/>
    </xf>
    <xf numFmtId="0" fontId="3" fillId="0" borderId="65" xfId="0" applyFont="1" applyBorder="1" applyAlignment="1">
      <alignment vertical="top" wrapText="1"/>
    </xf>
    <xf numFmtId="0" fontId="3" fillId="0" borderId="66" xfId="0" applyFont="1" applyBorder="1" applyAlignment="1">
      <alignment vertical="top" wrapText="1"/>
    </xf>
    <xf numFmtId="0" fontId="3" fillId="0" borderId="67" xfId="0" applyFont="1" applyBorder="1" applyAlignment="1">
      <alignment vertical="top" wrapText="1"/>
    </xf>
    <xf numFmtId="0" fontId="12"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0" fontId="2" fillId="0" borderId="1" xfId="0" applyFont="1" applyBorder="1" applyAlignment="1">
      <alignment vertical="top" wrapText="1"/>
    </xf>
    <xf numFmtId="0" fontId="12" fillId="0" borderId="1" xfId="0" applyFont="1" applyBorder="1" applyAlignment="1">
      <alignment horizontal="left" vertical="center" wrapText="1"/>
    </xf>
    <xf numFmtId="0" fontId="25" fillId="2" borderId="1" xfId="5" applyFont="1" applyFill="1" applyBorder="1" applyAlignment="1">
      <alignment horizontal="center" vertical="center"/>
    </xf>
    <xf numFmtId="0" fontId="25" fillId="2" borderId="1" xfId="5" applyFont="1" applyFill="1" applyBorder="1" applyAlignment="1">
      <alignment horizontal="center" vertical="center" wrapText="1"/>
    </xf>
    <xf numFmtId="9" fontId="25" fillId="2" borderId="1" xfId="5" applyNumberFormat="1" applyFont="1" applyFill="1" applyBorder="1" applyAlignment="1">
      <alignment horizontal="center" vertical="center"/>
    </xf>
    <xf numFmtId="0" fontId="26" fillId="18" borderId="12" xfId="5" applyFont="1" applyFill="1" applyBorder="1" applyAlignment="1">
      <alignment horizontal="center" vertical="center" wrapText="1"/>
    </xf>
    <xf numFmtId="0" fontId="28" fillId="0" borderId="68" xfId="0" applyFont="1" applyBorder="1" applyAlignment="1">
      <alignment vertical="top" wrapText="1"/>
    </xf>
    <xf numFmtId="0" fontId="28" fillId="0" borderId="30" xfId="0" applyFont="1" applyBorder="1" applyAlignment="1">
      <alignment vertical="top" wrapText="1"/>
    </xf>
    <xf numFmtId="0" fontId="28" fillId="0" borderId="52" xfId="0" applyFont="1" applyBorder="1" applyAlignment="1">
      <alignment vertical="top" wrapText="1"/>
    </xf>
    <xf numFmtId="0" fontId="0" fillId="0" borderId="3" xfId="0" applyBorder="1" applyAlignment="1">
      <alignment vertical="top" wrapText="1"/>
    </xf>
    <xf numFmtId="0" fontId="3" fillId="0" borderId="3" xfId="0" applyFont="1" applyBorder="1" applyAlignment="1">
      <alignment horizontal="center" vertical="center" wrapText="1"/>
    </xf>
    <xf numFmtId="0" fontId="0" fillId="0" borderId="3" xfId="0" applyBorder="1" applyAlignment="1">
      <alignment horizontal="left" wrapText="1"/>
    </xf>
    <xf numFmtId="9" fontId="3" fillId="0" borderId="3" xfId="0" applyNumberFormat="1" applyFont="1" applyBorder="1" applyAlignment="1">
      <alignment horizontal="center" vertical="center" wrapText="1"/>
    </xf>
    <xf numFmtId="0" fontId="0" fillId="0" borderId="10" xfId="0" applyBorder="1" applyAlignment="1">
      <alignment vertical="top" wrapText="1"/>
    </xf>
    <xf numFmtId="0" fontId="3" fillId="0" borderId="10" xfId="0" applyFont="1" applyBorder="1" applyAlignment="1">
      <alignment horizontal="center" vertical="center" wrapText="1"/>
    </xf>
    <xf numFmtId="0" fontId="0" fillId="0" borderId="10" xfId="0" applyBorder="1" applyAlignment="1">
      <alignment horizontal="left" wrapText="1"/>
    </xf>
    <xf numFmtId="9" fontId="3" fillId="0" borderId="10" xfId="0" applyNumberFormat="1" applyFont="1" applyBorder="1" applyAlignment="1">
      <alignment horizontal="center" vertical="center" wrapText="1"/>
    </xf>
    <xf numFmtId="0" fontId="0" fillId="0" borderId="1" xfId="0" applyBorder="1" applyAlignment="1">
      <alignment vertical="top"/>
    </xf>
    <xf numFmtId="10" fontId="3" fillId="0" borderId="1" xfId="0" applyNumberFormat="1" applyFont="1" applyBorder="1" applyAlignment="1">
      <alignment horizontal="left" vertical="top" wrapText="1"/>
    </xf>
    <xf numFmtId="0" fontId="3" fillId="0" borderId="8" xfId="0" applyFont="1" applyBorder="1" applyAlignment="1">
      <alignment horizontal="left" vertical="top" wrapText="1"/>
    </xf>
    <xf numFmtId="10" fontId="2" fillId="0" borderId="1" xfId="0" applyNumberFormat="1" applyFont="1" applyBorder="1" applyAlignment="1">
      <alignment vertical="top" wrapText="1"/>
    </xf>
    <xf numFmtId="0" fontId="0" fillId="0" borderId="1" xfId="0" applyBorder="1" applyAlignment="1">
      <alignment horizontal="left" vertical="center"/>
    </xf>
    <xf numFmtId="0" fontId="0" fillId="0" borderId="1" xfId="0" applyBorder="1" applyAlignment="1">
      <alignment horizontal="left" vertical="center" wrapText="1"/>
    </xf>
    <xf numFmtId="10" fontId="2" fillId="0" borderId="1" xfId="0" applyNumberFormat="1" applyFont="1" applyBorder="1" applyAlignment="1">
      <alignment horizontal="left" vertical="top" wrapText="1"/>
    </xf>
    <xf numFmtId="0" fontId="3" fillId="0" borderId="3" xfId="0" applyFont="1" applyBorder="1" applyAlignment="1">
      <alignment horizontal="left" vertical="center" wrapText="1"/>
    </xf>
    <xf numFmtId="9" fontId="3" fillId="0" borderId="3" xfId="1" applyFont="1" applyFill="1" applyBorder="1" applyAlignment="1">
      <alignment horizontal="center" vertical="center" wrapText="1"/>
    </xf>
    <xf numFmtId="0" fontId="22" fillId="0" borderId="1" xfId="0" applyFont="1" applyBorder="1" applyAlignment="1">
      <alignment vertical="center" wrapText="1"/>
    </xf>
    <xf numFmtId="0" fontId="3" fillId="0" borderId="8" xfId="0" applyFont="1" applyBorder="1" applyAlignment="1">
      <alignment vertical="top" wrapText="1"/>
    </xf>
    <xf numFmtId="9" fontId="3" fillId="0" borderId="8" xfId="1"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1" xfId="0" quotePrefix="1" applyFont="1" applyBorder="1" applyAlignment="1">
      <alignment horizontal="left" vertical="center" wrapText="1"/>
    </xf>
    <xf numFmtId="0" fontId="4" fillId="0" borderId="12" xfId="0" applyFont="1" applyBorder="1"/>
    <xf numFmtId="0" fontId="5" fillId="2" borderId="12" xfId="0" applyFont="1" applyFill="1" applyBorder="1" applyAlignment="1">
      <alignment horizontal="center" vertical="center" wrapText="1"/>
    </xf>
    <xf numFmtId="9" fontId="5" fillId="2" borderId="12" xfId="0" applyNumberFormat="1" applyFont="1" applyFill="1" applyBorder="1" applyAlignment="1">
      <alignment horizontal="center" vertical="center" wrapText="1"/>
    </xf>
    <xf numFmtId="0" fontId="0" fillId="0" borderId="3" xfId="0" applyBorder="1" applyAlignment="1">
      <alignment vertical="center" wrapText="1"/>
    </xf>
    <xf numFmtId="10" fontId="2" fillId="0" borderId="3" xfId="0" applyNumberFormat="1" applyFont="1" applyBorder="1" applyAlignment="1">
      <alignment vertical="top" wrapText="1"/>
    </xf>
    <xf numFmtId="0" fontId="0" fillId="0" borderId="3" xfId="0" applyBorder="1" applyAlignment="1">
      <alignment horizontal="left" vertical="center"/>
    </xf>
    <xf numFmtId="0" fontId="3" fillId="0" borderId="8" xfId="0" applyFont="1" applyBorder="1" applyAlignment="1">
      <alignment horizontal="center" vertical="center" wrapText="1"/>
    </xf>
    <xf numFmtId="0" fontId="0" fillId="0" borderId="8" xfId="0" applyBorder="1" applyAlignment="1">
      <alignment vertical="center" wrapText="1"/>
    </xf>
    <xf numFmtId="9" fontId="3" fillId="0" borderId="8" xfId="0" applyNumberFormat="1" applyFont="1" applyBorder="1" applyAlignment="1">
      <alignment horizontal="center" vertical="center" wrapText="1"/>
    </xf>
    <xf numFmtId="10" fontId="3" fillId="0" borderId="3" xfId="0" applyNumberFormat="1" applyFont="1" applyBorder="1" applyAlignment="1">
      <alignment vertical="top" wrapText="1"/>
    </xf>
    <xf numFmtId="10" fontId="2" fillId="0" borderId="3" xfId="0" applyNumberFormat="1" applyFont="1" applyBorder="1" applyAlignment="1">
      <alignment horizontal="left" vertical="top" wrapText="1"/>
    </xf>
    <xf numFmtId="0" fontId="3" fillId="0" borderId="3" xfId="0" quotePrefix="1" applyFont="1" applyBorder="1" applyAlignment="1">
      <alignment horizontal="center" vertical="center" wrapText="1"/>
    </xf>
    <xf numFmtId="0" fontId="10" fillId="0" borderId="4" xfId="2" applyFont="1" applyBorder="1" applyAlignment="1">
      <alignment horizontal="left" vertical="center" wrapText="1"/>
    </xf>
    <xf numFmtId="0" fontId="10" fillId="0" borderId="6" xfId="2" applyFont="1" applyBorder="1" applyAlignment="1">
      <alignment horizontal="left" vertical="center" wrapText="1"/>
    </xf>
    <xf numFmtId="0" fontId="3" fillId="0" borderId="6" xfId="0" applyFont="1" applyBorder="1" applyAlignment="1">
      <alignment horizontal="left" vertical="top" wrapText="1"/>
    </xf>
    <xf numFmtId="0" fontId="3" fillId="0" borderId="8" xfId="0" quotePrefix="1" applyFont="1" applyBorder="1" applyAlignment="1">
      <alignment horizontal="center" vertical="center" wrapText="1"/>
    </xf>
    <xf numFmtId="0" fontId="3" fillId="0" borderId="8" xfId="0" quotePrefix="1" applyFont="1" applyBorder="1" applyAlignment="1">
      <alignment horizontal="left" vertical="center" wrapText="1"/>
    </xf>
    <xf numFmtId="0" fontId="3" fillId="0" borderId="9" xfId="0" applyFont="1" applyBorder="1" applyAlignment="1">
      <alignment horizontal="left" vertical="top" wrapText="1"/>
    </xf>
    <xf numFmtId="0" fontId="0" fillId="0" borderId="69" xfId="0" applyBorder="1" applyAlignment="1">
      <alignment vertical="top" wrapText="1"/>
    </xf>
    <xf numFmtId="0" fontId="0" fillId="0" borderId="52" xfId="0" applyBorder="1" applyAlignment="1">
      <alignment vertical="top" wrapText="1"/>
    </xf>
    <xf numFmtId="0" fontId="3" fillId="0" borderId="12" xfId="0" applyFont="1" applyBorder="1" applyAlignment="1">
      <alignment horizontal="left" vertical="top" wrapText="1"/>
    </xf>
    <xf numFmtId="0" fontId="3" fillId="0" borderId="25" xfId="0" applyFont="1" applyBorder="1" applyAlignment="1">
      <alignment horizontal="left" vertical="center" wrapText="1"/>
    </xf>
    <xf numFmtId="9" fontId="3" fillId="0" borderId="12" xfId="1" applyFont="1" applyFill="1" applyBorder="1" applyAlignment="1">
      <alignment horizontal="center" vertical="center" wrapText="1"/>
    </xf>
    <xf numFmtId="0" fontId="3" fillId="0" borderId="12" xfId="0" applyFont="1" applyBorder="1" applyAlignment="1">
      <alignment horizontal="center" vertical="center" wrapText="1"/>
    </xf>
    <xf numFmtId="9" fontId="0" fillId="0" borderId="69" xfId="0" applyNumberFormat="1" applyBorder="1" applyAlignment="1">
      <alignment vertical="top" wrapText="1"/>
    </xf>
    <xf numFmtId="0" fontId="0" fillId="0" borderId="70" xfId="0" applyBorder="1" applyAlignment="1">
      <alignment vertical="top" wrapText="1"/>
    </xf>
    <xf numFmtId="0" fontId="3" fillId="0" borderId="71" xfId="0" applyFont="1" applyBorder="1" applyAlignment="1">
      <alignment vertical="top" wrapText="1"/>
    </xf>
    <xf numFmtId="9" fontId="0" fillId="0" borderId="72" xfId="0" applyNumberFormat="1" applyBorder="1" applyAlignment="1">
      <alignment vertical="top" wrapText="1"/>
    </xf>
    <xf numFmtId="0" fontId="0" fillId="0" borderId="72" xfId="0" applyBorder="1" applyAlignment="1">
      <alignment vertical="top" wrapText="1"/>
    </xf>
    <xf numFmtId="0" fontId="3" fillId="0" borderId="65" xfId="0" applyFont="1" applyBorder="1" applyAlignment="1">
      <alignment horizontal="left" vertical="center" wrapText="1"/>
    </xf>
    <xf numFmtId="0" fontId="3" fillId="0" borderId="73" xfId="0" applyFont="1" applyBorder="1" applyAlignment="1">
      <alignment vertical="top" wrapText="1"/>
    </xf>
    <xf numFmtId="0" fontId="21" fillId="0" borderId="75" xfId="0" applyFont="1" applyBorder="1" applyAlignment="1">
      <alignment horizontal="center" vertical="center"/>
    </xf>
    <xf numFmtId="0" fontId="3" fillId="0" borderId="75" xfId="0" applyFont="1" applyBorder="1" applyAlignment="1">
      <alignment vertical="top" wrapText="1"/>
    </xf>
    <xf numFmtId="9" fontId="3" fillId="0" borderId="75" xfId="1" applyFont="1" applyFill="1" applyBorder="1" applyAlignment="1">
      <alignment horizontal="center" vertical="center" wrapText="1"/>
    </xf>
    <xf numFmtId="0" fontId="3" fillId="0" borderId="75" xfId="0" applyFont="1" applyBorder="1" applyAlignment="1">
      <alignment horizontal="left" vertical="center" wrapText="1"/>
    </xf>
    <xf numFmtId="0" fontId="3" fillId="0" borderId="76" xfId="0" applyFont="1" applyBorder="1" applyAlignment="1">
      <alignment vertical="top" wrapText="1"/>
    </xf>
    <xf numFmtId="0" fontId="21" fillId="0" borderId="12" xfId="0" applyFont="1" applyBorder="1" applyAlignment="1">
      <alignment horizontal="center" vertical="center"/>
    </xf>
    <xf numFmtId="0" fontId="3" fillId="0" borderId="13" xfId="0" applyFont="1" applyBorder="1" applyAlignment="1">
      <alignment vertical="top" wrapText="1"/>
    </xf>
    <xf numFmtId="0" fontId="0" fillId="0" borderId="10" xfId="0" applyBorder="1" applyAlignment="1">
      <alignment vertical="center" wrapText="1"/>
    </xf>
    <xf numFmtId="0" fontId="3" fillId="0" borderId="10" xfId="0" applyFont="1" applyBorder="1" applyAlignment="1">
      <alignment vertical="top" wrapText="1"/>
    </xf>
    <xf numFmtId="9" fontId="3" fillId="0" borderId="10" xfId="1" applyFont="1" applyFill="1" applyBorder="1" applyAlignment="1">
      <alignment horizontal="center" vertical="center" wrapText="1"/>
    </xf>
    <xf numFmtId="10" fontId="2" fillId="0" borderId="10" xfId="0" applyNumberFormat="1" applyFont="1" applyBorder="1" applyAlignment="1">
      <alignment horizontal="left" vertical="top" wrapText="1"/>
    </xf>
    <xf numFmtId="0" fontId="22" fillId="0" borderId="75" xfId="0" applyFont="1" applyBorder="1" applyAlignment="1">
      <alignment vertical="center" wrapText="1"/>
    </xf>
    <xf numFmtId="0" fontId="0" fillId="0" borderId="80" xfId="0" applyBorder="1" applyAlignment="1">
      <alignment vertical="top" wrapText="1"/>
    </xf>
    <xf numFmtId="0" fontId="3" fillId="0" borderId="48" xfId="0" applyFont="1" applyBorder="1" applyAlignment="1">
      <alignment vertical="top" wrapText="1"/>
    </xf>
    <xf numFmtId="0" fontId="3" fillId="0" borderId="48" xfId="0" applyFont="1" applyBorder="1" applyAlignment="1">
      <alignment horizontal="left" vertical="center" wrapText="1"/>
    </xf>
    <xf numFmtId="0" fontId="3" fillId="0" borderId="10" xfId="0" applyFont="1" applyBorder="1" applyAlignment="1">
      <alignment horizontal="center" vertical="top" wrapText="1"/>
    </xf>
    <xf numFmtId="10" fontId="12" fillId="0" borderId="81" xfId="0" applyNumberFormat="1" applyFont="1" applyBorder="1" applyAlignment="1">
      <alignment horizontal="center" vertical="center" wrapText="1" readingOrder="1"/>
    </xf>
    <xf numFmtId="10" fontId="12" fillId="0" borderId="82" xfId="0" applyNumberFormat="1" applyFont="1" applyBorder="1" applyAlignment="1">
      <alignment horizontal="center" vertical="center" wrapText="1" readingOrder="1"/>
    </xf>
    <xf numFmtId="10" fontId="12" fillId="0" borderId="83" xfId="0" applyNumberFormat="1" applyFont="1" applyBorder="1" applyAlignment="1">
      <alignment horizontal="center" vertical="center" wrapText="1" readingOrder="1"/>
    </xf>
    <xf numFmtId="0" fontId="29" fillId="0" borderId="26" xfId="0" applyFont="1" applyBorder="1" applyAlignment="1">
      <alignment vertical="top" wrapText="1"/>
    </xf>
    <xf numFmtId="0" fontId="30" fillId="0" borderId="26" xfId="0" applyFont="1" applyBorder="1" applyAlignment="1">
      <alignment horizontal="center" vertical="center" wrapText="1"/>
    </xf>
    <xf numFmtId="0" fontId="29" fillId="0" borderId="26" xfId="0" applyFont="1" applyBorder="1" applyAlignment="1">
      <alignment horizontal="left" wrapText="1"/>
    </xf>
    <xf numFmtId="9" fontId="30" fillId="0" borderId="26" xfId="0" applyNumberFormat="1" applyFont="1" applyBorder="1" applyAlignment="1">
      <alignment horizontal="center" vertical="center" wrapText="1"/>
    </xf>
    <xf numFmtId="0" fontId="30" fillId="0" borderId="32" xfId="0" applyFont="1" applyBorder="1" applyAlignment="1">
      <alignment vertical="top" wrapText="1"/>
    </xf>
    <xf numFmtId="0" fontId="3" fillId="0" borderId="12" xfId="0" applyFont="1" applyBorder="1" applyAlignment="1">
      <alignment vertical="top" wrapText="1"/>
    </xf>
    <xf numFmtId="15" fontId="2" fillId="0" borderId="1" xfId="4" applyNumberFormat="1" applyFont="1" applyBorder="1" applyAlignment="1">
      <alignment horizontal="center" vertical="center" wrapText="1"/>
    </xf>
    <xf numFmtId="16" fontId="2" fillId="0" borderId="1" xfId="4" applyNumberFormat="1" applyFont="1" applyBorder="1" applyAlignment="1">
      <alignment horizontal="center" vertical="center" wrapText="1"/>
    </xf>
    <xf numFmtId="10" fontId="3"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17" fontId="3" fillId="4" borderId="1" xfId="0" applyNumberFormat="1" applyFont="1" applyFill="1" applyBorder="1" applyAlignment="1">
      <alignment vertical="top" wrapText="1"/>
    </xf>
    <xf numFmtId="0" fontId="0" fillId="0" borderId="3" xfId="0" applyBorder="1" applyAlignment="1">
      <alignment horizontal="left" vertical="center" wrapText="1"/>
    </xf>
    <xf numFmtId="10" fontId="2" fillId="0" borderId="1" xfId="0" applyNumberFormat="1" applyFont="1" applyBorder="1" applyAlignment="1">
      <alignment vertical="center" wrapText="1"/>
    </xf>
    <xf numFmtId="0" fontId="31" fillId="0" borderId="1" xfId="2" applyFont="1" applyBorder="1" applyAlignment="1">
      <alignment horizontal="left" vertical="center" wrapText="1"/>
    </xf>
    <xf numFmtId="0" fontId="31" fillId="0" borderId="1" xfId="2" applyFont="1" applyBorder="1" applyAlignment="1">
      <alignment horizontal="center" vertical="center" wrapText="1"/>
    </xf>
    <xf numFmtId="9" fontId="31" fillId="0" borderId="1" xfId="2" applyNumberFormat="1" applyFont="1" applyBorder="1" applyAlignment="1">
      <alignment horizontal="center" vertical="center" wrapText="1"/>
    </xf>
    <xf numFmtId="0" fontId="32" fillId="0" borderId="1" xfId="0" applyFont="1" applyBorder="1" applyAlignment="1">
      <alignment horizontal="left" vertical="center" wrapText="1"/>
    </xf>
    <xf numFmtId="0" fontId="31" fillId="0" borderId="6" xfId="0" applyFont="1" applyBorder="1" applyAlignment="1">
      <alignment vertical="center" wrapText="1"/>
    </xf>
    <xf numFmtId="0" fontId="33" fillId="0" borderId="1" xfId="0" applyFont="1" applyBorder="1" applyAlignment="1">
      <alignment vertical="center"/>
    </xf>
    <xf numFmtId="0" fontId="31" fillId="0" borderId="1" xfId="0" applyFont="1" applyBorder="1" applyAlignment="1">
      <alignment vertical="center" wrapText="1"/>
    </xf>
    <xf numFmtId="0" fontId="31" fillId="0" borderId="1" xfId="0" applyFont="1" applyBorder="1" applyAlignment="1">
      <alignment horizontal="left" vertical="center" wrapText="1"/>
    </xf>
    <xf numFmtId="0" fontId="31" fillId="0" borderId="15" xfId="2" applyFont="1" applyBorder="1" applyAlignment="1">
      <alignment horizontal="left" vertical="center" wrapText="1"/>
    </xf>
    <xf numFmtId="0" fontId="31" fillId="0" borderId="48" xfId="0" applyFont="1" applyBorder="1" applyAlignment="1">
      <alignment horizontal="left" vertical="center" wrapText="1"/>
    </xf>
    <xf numFmtId="0" fontId="4" fillId="6" borderId="18" xfId="0" applyFont="1" applyFill="1" applyBorder="1" applyAlignment="1">
      <alignment horizontal="center" vertical="center"/>
    </xf>
    <xf numFmtId="0" fontId="4" fillId="6" borderId="19" xfId="0" applyFont="1" applyFill="1" applyBorder="1" applyAlignment="1">
      <alignment horizontal="center" vertical="center"/>
    </xf>
    <xf numFmtId="0" fontId="4" fillId="14" borderId="28" xfId="0" applyFont="1" applyFill="1" applyBorder="1" applyAlignment="1">
      <alignment horizontal="center" vertical="center"/>
    </xf>
    <xf numFmtId="0" fontId="4" fillId="14" borderId="16" xfId="0" applyFont="1" applyFill="1" applyBorder="1" applyAlignment="1">
      <alignment horizontal="center" vertical="center"/>
    </xf>
    <xf numFmtId="0" fontId="4" fillId="14" borderId="31" xfId="0" applyFont="1" applyFill="1" applyBorder="1" applyAlignment="1">
      <alignment horizontal="center" vertical="center"/>
    </xf>
    <xf numFmtId="0" fontId="4" fillId="5" borderId="18" xfId="0" applyFont="1" applyFill="1" applyBorder="1" applyAlignment="1">
      <alignment horizontal="center" vertical="center"/>
    </xf>
    <xf numFmtId="0" fontId="4" fillId="5" borderId="19" xfId="0" applyFont="1" applyFill="1" applyBorder="1" applyAlignment="1">
      <alignment horizontal="center" vertical="center"/>
    </xf>
    <xf numFmtId="0" fontId="4" fillId="5" borderId="20" xfId="0" applyFont="1" applyFill="1" applyBorder="1" applyAlignment="1">
      <alignment horizontal="center" vertical="center"/>
    </xf>
    <xf numFmtId="0" fontId="4" fillId="7" borderId="18" xfId="0" applyFont="1" applyFill="1" applyBorder="1" applyAlignment="1">
      <alignment horizontal="center" vertical="center"/>
    </xf>
    <xf numFmtId="0" fontId="4" fillId="7" borderId="19" xfId="0" applyFont="1" applyFill="1" applyBorder="1" applyAlignment="1">
      <alignment horizontal="center" vertical="center"/>
    </xf>
    <xf numFmtId="0" fontId="4" fillId="9" borderId="18" xfId="0" applyFont="1" applyFill="1" applyBorder="1" applyAlignment="1">
      <alignment horizontal="center" vertical="center"/>
    </xf>
    <xf numFmtId="0" fontId="4" fillId="9" borderId="19" xfId="0" applyFont="1" applyFill="1" applyBorder="1" applyAlignment="1">
      <alignment horizontal="center" vertical="center"/>
    </xf>
    <xf numFmtId="0" fontId="4" fillId="11" borderId="18" xfId="0" applyFont="1" applyFill="1" applyBorder="1" applyAlignment="1">
      <alignment horizontal="center" vertical="center"/>
    </xf>
    <xf numFmtId="0" fontId="4" fillId="11" borderId="19" xfId="0" applyFont="1" applyFill="1" applyBorder="1" applyAlignment="1">
      <alignment horizontal="center" vertical="center"/>
    </xf>
    <xf numFmtId="0" fontId="4" fillId="11" borderId="20" xfId="0" applyFont="1" applyFill="1" applyBorder="1" applyAlignment="1">
      <alignment horizontal="center" vertical="center"/>
    </xf>
    <xf numFmtId="0" fontId="4" fillId="12" borderId="2" xfId="0" applyFont="1" applyFill="1" applyBorder="1" applyAlignment="1">
      <alignment horizontal="center" vertical="center"/>
    </xf>
    <xf numFmtId="0" fontId="4" fillId="12" borderId="5" xfId="0" applyFont="1" applyFill="1" applyBorder="1" applyAlignment="1">
      <alignment horizontal="center" vertical="center"/>
    </xf>
    <xf numFmtId="0" fontId="4" fillId="12" borderId="47" xfId="0" applyFont="1" applyFill="1" applyBorder="1" applyAlignment="1">
      <alignment horizontal="center" vertical="center"/>
    </xf>
    <xf numFmtId="0" fontId="4" fillId="10" borderId="18" xfId="0" applyFont="1" applyFill="1" applyBorder="1" applyAlignment="1">
      <alignment horizontal="center" vertical="center"/>
    </xf>
    <xf numFmtId="0" fontId="4" fillId="10" borderId="19" xfId="0" applyFont="1" applyFill="1" applyBorder="1" applyAlignment="1">
      <alignment horizontal="center" vertical="center"/>
    </xf>
    <xf numFmtId="0" fontId="4" fillId="10" borderId="51" xfId="0" applyFont="1" applyFill="1" applyBorder="1" applyAlignment="1">
      <alignment horizontal="center" vertical="center"/>
    </xf>
    <xf numFmtId="0" fontId="4" fillId="13" borderId="42" xfId="0" applyFont="1" applyFill="1" applyBorder="1" applyAlignment="1">
      <alignment horizontal="center" vertical="center"/>
    </xf>
    <xf numFmtId="0" fontId="4" fillId="13" borderId="43" xfId="0" applyFont="1" applyFill="1" applyBorder="1" applyAlignment="1">
      <alignment horizontal="center" vertical="center"/>
    </xf>
    <xf numFmtId="0" fontId="4" fillId="8" borderId="18" xfId="0" applyFont="1" applyFill="1" applyBorder="1" applyAlignment="1">
      <alignment horizontal="center" vertical="center"/>
    </xf>
    <xf numFmtId="0" fontId="4" fillId="8" borderId="19" xfId="0" applyFont="1" applyFill="1" applyBorder="1" applyAlignment="1">
      <alignment horizontal="center" vertical="center"/>
    </xf>
    <xf numFmtId="0" fontId="4" fillId="8" borderId="20" xfId="0" applyFont="1" applyFill="1" applyBorder="1" applyAlignment="1">
      <alignment horizontal="center" vertical="center"/>
    </xf>
    <xf numFmtId="9" fontId="0" fillId="0" borderId="22" xfId="0" applyNumberFormat="1" applyBorder="1" applyAlignment="1">
      <alignment horizontal="center" vertical="center"/>
    </xf>
    <xf numFmtId="9" fontId="0" fillId="0" borderId="23" xfId="0" applyNumberFormat="1" applyBorder="1" applyAlignment="1">
      <alignment horizontal="center" vertical="center"/>
    </xf>
    <xf numFmtId="9" fontId="6" fillId="0" borderId="22" xfId="0" applyNumberFormat="1"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9" fontId="6" fillId="0" borderId="23" xfId="0" applyNumberFormat="1" applyFont="1" applyBorder="1" applyAlignment="1">
      <alignment horizontal="center" vertical="center"/>
    </xf>
    <xf numFmtId="9" fontId="6" fillId="0" borderId="18" xfId="0" applyNumberFormat="1" applyFont="1" applyBorder="1" applyAlignment="1">
      <alignment horizontal="center" vertical="center"/>
    </xf>
    <xf numFmtId="9" fontId="6" fillId="0" borderId="19" xfId="0" applyNumberFormat="1" applyFont="1" applyBorder="1" applyAlignment="1">
      <alignment horizontal="center" vertical="center"/>
    </xf>
    <xf numFmtId="9" fontId="6" fillId="0" borderId="34" xfId="0" applyNumberFormat="1" applyFont="1" applyBorder="1" applyAlignment="1">
      <alignment horizontal="center" vertical="center"/>
    </xf>
    <xf numFmtId="9" fontId="6" fillId="0" borderId="37" xfId="0" applyNumberFormat="1" applyFont="1" applyBorder="1" applyAlignment="1">
      <alignment horizontal="center" vertical="center"/>
    </xf>
    <xf numFmtId="9" fontId="6" fillId="0" borderId="33" xfId="0" applyNumberFormat="1" applyFont="1" applyBorder="1" applyAlignment="1">
      <alignment horizontal="center" vertical="center"/>
    </xf>
    <xf numFmtId="9" fontId="6" fillId="0" borderId="35" xfId="0" applyNumberFormat="1" applyFont="1" applyBorder="1" applyAlignment="1">
      <alignment horizontal="center" vertical="center"/>
    </xf>
    <xf numFmtId="9" fontId="0" fillId="0" borderId="18" xfId="0" applyNumberFormat="1" applyBorder="1" applyAlignment="1">
      <alignment horizontal="center" vertical="center"/>
    </xf>
    <xf numFmtId="9" fontId="0" fillId="0" borderId="19" xfId="0" applyNumberFormat="1" applyBorder="1" applyAlignment="1">
      <alignment horizontal="center" vertical="center"/>
    </xf>
    <xf numFmtId="9" fontId="0" fillId="0" borderId="20" xfId="0" applyNumberFormat="1"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41" xfId="0" applyFont="1" applyBorder="1" applyAlignment="1">
      <alignment horizontal="center" vertical="center"/>
    </xf>
    <xf numFmtId="0" fontId="4" fillId="0" borderId="77" xfId="0" applyFont="1" applyBorder="1" applyAlignment="1">
      <alignment horizontal="center" vertical="center"/>
    </xf>
    <xf numFmtId="0" fontId="4" fillId="0" borderId="78" xfId="0" applyFont="1" applyBorder="1" applyAlignment="1">
      <alignment horizontal="center" vertical="center"/>
    </xf>
    <xf numFmtId="0" fontId="4" fillId="0" borderId="79" xfId="0" applyFont="1" applyBorder="1" applyAlignment="1">
      <alignment horizontal="center" vertical="center"/>
    </xf>
    <xf numFmtId="0" fontId="4" fillId="0" borderId="74" xfId="0" applyFont="1" applyBorder="1" applyAlignment="1">
      <alignment horizontal="center" vertical="center"/>
    </xf>
    <xf numFmtId="0" fontId="4" fillId="0" borderId="42" xfId="0" applyFont="1" applyBorder="1" applyAlignment="1">
      <alignment horizontal="center" vertical="center"/>
    </xf>
    <xf numFmtId="0" fontId="4" fillId="0" borderId="43" xfId="0" applyFont="1" applyBorder="1" applyAlignment="1">
      <alignment horizontal="center" vertical="center"/>
    </xf>
    <xf numFmtId="0" fontId="4" fillId="0" borderId="44" xfId="0" applyFont="1" applyBorder="1" applyAlignment="1">
      <alignment horizontal="center" vertical="center"/>
    </xf>
    <xf numFmtId="0" fontId="4" fillId="0" borderId="2" xfId="0" applyFont="1" applyBorder="1" applyAlignment="1">
      <alignment horizontal="center" vertical="center" wrapText="1"/>
    </xf>
    <xf numFmtId="0" fontId="4" fillId="16" borderId="1" xfId="0" applyFont="1" applyFill="1" applyBorder="1" applyAlignment="1">
      <alignment horizontal="center" vertical="center" wrapText="1"/>
    </xf>
    <xf numFmtId="9" fontId="6" fillId="0" borderId="1" xfId="0" applyNumberFormat="1" applyFont="1" applyBorder="1" applyAlignment="1">
      <alignment horizontal="center" vertical="center"/>
    </xf>
    <xf numFmtId="9" fontId="6" fillId="0" borderId="28" xfId="0" applyNumberFormat="1" applyFont="1" applyBorder="1" applyAlignment="1">
      <alignment horizontal="center" vertical="center"/>
    </xf>
    <xf numFmtId="9" fontId="6" fillId="0" borderId="4" xfId="0" applyNumberFormat="1" applyFont="1" applyBorder="1" applyAlignment="1">
      <alignment horizontal="left" vertical="center"/>
    </xf>
    <xf numFmtId="9" fontId="6" fillId="0" borderId="4" xfId="0" applyNumberFormat="1" applyFont="1" applyBorder="1" applyAlignment="1">
      <alignment horizontal="center" vertical="center"/>
    </xf>
  </cellXfs>
  <cellStyles count="6">
    <cellStyle name="Normal" xfId="0" builtinId="0"/>
    <cellStyle name="Normal 2" xfId="5" xr:uid="{844556BE-2313-4131-9FDB-95A0DB1A32A6}"/>
    <cellStyle name="Porcentagem" xfId="1" builtinId="5"/>
    <cellStyle name="千位分隔 3" xfId="4" xr:uid="{57073C50-103B-4F2C-9095-50975DA9987F}"/>
    <cellStyle name="常规 2" xfId="2" xr:uid="{ADB1D183-0253-4F02-A504-16E1F5FB013D}"/>
    <cellStyle name="百分比 3" xfId="3" xr:uid="{4BE50CDC-C171-4F32-9B44-B42FA3D86EE6}"/>
  </cellStyles>
  <dxfs count="1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
      <font>
        <color rgb="FF0070C0"/>
      </font>
      <fill>
        <patternFill>
          <bgColor rgb="FF0070C0"/>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107950</xdr:colOff>
      <xdr:row>19</xdr:row>
      <xdr:rowOff>1333500</xdr:rowOff>
    </xdr:from>
    <xdr:ext cx="552450" cy="133350"/>
    <xdr:sp macro="" textlink="">
      <xdr:nvSpPr>
        <xdr:cNvPr id="2" name="Control 1" hidden="1">
          <a:extLst>
            <a:ext uri="{63B3BB69-23CF-44E3-9099-C40C66FF867C}">
              <a14:compatExt xmlns:a14="http://schemas.microsoft.com/office/drawing/2010/main" spid="_x0000_s9217"/>
            </a:ext>
            <a:ext uri="{FF2B5EF4-FFF2-40B4-BE49-F238E27FC236}">
              <a16:creationId xmlns:a16="http://schemas.microsoft.com/office/drawing/2014/main" id="{25113DD1-38D4-4DD8-9287-879FA65B889A}"/>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3" name="Control 2" hidden="1">
          <a:extLst>
            <a:ext uri="{63B3BB69-23CF-44E3-9099-C40C66FF867C}">
              <a14:compatExt xmlns:a14="http://schemas.microsoft.com/office/drawing/2010/main" spid="_x0000_s9218"/>
            </a:ext>
            <a:ext uri="{FF2B5EF4-FFF2-40B4-BE49-F238E27FC236}">
              <a16:creationId xmlns:a16="http://schemas.microsoft.com/office/drawing/2014/main" id="{6C19D3A4-4481-40F6-B31A-E175E61340ED}"/>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4" name="Control 3" hidden="1">
          <a:extLst>
            <a:ext uri="{63B3BB69-23CF-44E3-9099-C40C66FF867C}">
              <a14:compatExt xmlns:a14="http://schemas.microsoft.com/office/drawing/2010/main" spid="_x0000_s9219"/>
            </a:ext>
            <a:ext uri="{FF2B5EF4-FFF2-40B4-BE49-F238E27FC236}">
              <a16:creationId xmlns:a16="http://schemas.microsoft.com/office/drawing/2014/main" id="{17FE4D31-61C5-416D-9404-FC57BFFBCC26}"/>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5" name="Control 4" hidden="1">
          <a:extLst>
            <a:ext uri="{63B3BB69-23CF-44E3-9099-C40C66FF867C}">
              <a14:compatExt xmlns:a14="http://schemas.microsoft.com/office/drawing/2010/main" spid="_x0000_s9220"/>
            </a:ext>
            <a:ext uri="{FF2B5EF4-FFF2-40B4-BE49-F238E27FC236}">
              <a16:creationId xmlns:a16="http://schemas.microsoft.com/office/drawing/2014/main" id="{15FD09AA-B960-4A09-9692-25A6CE8D931B}"/>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6" name="Control 5" hidden="1">
          <a:extLst>
            <a:ext uri="{63B3BB69-23CF-44E3-9099-C40C66FF867C}">
              <a14:compatExt xmlns:a14="http://schemas.microsoft.com/office/drawing/2010/main" spid="_x0000_s9221"/>
            </a:ext>
            <a:ext uri="{FF2B5EF4-FFF2-40B4-BE49-F238E27FC236}">
              <a16:creationId xmlns:a16="http://schemas.microsoft.com/office/drawing/2014/main" id="{9D6BDF11-9D5B-484F-8DE3-2FFA57A8A15D}"/>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7" name="Control 6" hidden="1">
          <a:extLst>
            <a:ext uri="{63B3BB69-23CF-44E3-9099-C40C66FF867C}">
              <a14:compatExt xmlns:a14="http://schemas.microsoft.com/office/drawing/2010/main" spid="_x0000_s9222"/>
            </a:ext>
            <a:ext uri="{FF2B5EF4-FFF2-40B4-BE49-F238E27FC236}">
              <a16:creationId xmlns:a16="http://schemas.microsoft.com/office/drawing/2014/main" id="{161730FF-11D3-44D8-98A3-BFFDBD23B620}"/>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8" name="Control 7" hidden="1">
          <a:extLst>
            <a:ext uri="{63B3BB69-23CF-44E3-9099-C40C66FF867C}">
              <a14:compatExt xmlns:a14="http://schemas.microsoft.com/office/drawing/2010/main" spid="_x0000_s9223"/>
            </a:ext>
            <a:ext uri="{FF2B5EF4-FFF2-40B4-BE49-F238E27FC236}">
              <a16:creationId xmlns:a16="http://schemas.microsoft.com/office/drawing/2014/main" id="{45A205E3-E7EA-44A5-B89B-1F059B648D13}"/>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9" name="Control 8" hidden="1">
          <a:extLst>
            <a:ext uri="{63B3BB69-23CF-44E3-9099-C40C66FF867C}">
              <a14:compatExt xmlns:a14="http://schemas.microsoft.com/office/drawing/2010/main" spid="_x0000_s9224"/>
            </a:ext>
            <a:ext uri="{FF2B5EF4-FFF2-40B4-BE49-F238E27FC236}">
              <a16:creationId xmlns:a16="http://schemas.microsoft.com/office/drawing/2014/main" id="{B9A78547-EC04-40B4-923A-DDFE96F853A6}"/>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10" name="Control 9" hidden="1">
          <a:extLst>
            <a:ext uri="{63B3BB69-23CF-44E3-9099-C40C66FF867C}">
              <a14:compatExt xmlns:a14="http://schemas.microsoft.com/office/drawing/2010/main" spid="_x0000_s9225"/>
            </a:ext>
            <a:ext uri="{FF2B5EF4-FFF2-40B4-BE49-F238E27FC236}">
              <a16:creationId xmlns:a16="http://schemas.microsoft.com/office/drawing/2014/main" id="{E1B543F5-AE3D-43A2-AC0F-D2D9FB907E62}"/>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11" name="Control 1" hidden="1">
          <a:extLst>
            <a:ext uri="{63B3BB69-23CF-44E3-9099-C40C66FF867C}">
              <a14:compatExt xmlns:a14="http://schemas.microsoft.com/office/drawing/2010/main" spid="_x0000_s9217"/>
            </a:ext>
            <a:ext uri="{FF2B5EF4-FFF2-40B4-BE49-F238E27FC236}">
              <a16:creationId xmlns:a16="http://schemas.microsoft.com/office/drawing/2014/main" id="{ABA8257D-48B4-4F9D-A779-C73005030EB3}"/>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12" name="Control 2" hidden="1">
          <a:extLst>
            <a:ext uri="{63B3BB69-23CF-44E3-9099-C40C66FF867C}">
              <a14:compatExt xmlns:a14="http://schemas.microsoft.com/office/drawing/2010/main" spid="_x0000_s9218"/>
            </a:ext>
            <a:ext uri="{FF2B5EF4-FFF2-40B4-BE49-F238E27FC236}">
              <a16:creationId xmlns:a16="http://schemas.microsoft.com/office/drawing/2014/main" id="{650437DD-A8D0-481F-9407-28674EB6B197}"/>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13" name="Control 3" hidden="1">
          <a:extLst>
            <a:ext uri="{63B3BB69-23CF-44E3-9099-C40C66FF867C}">
              <a14:compatExt xmlns:a14="http://schemas.microsoft.com/office/drawing/2010/main" spid="_x0000_s9219"/>
            </a:ext>
            <a:ext uri="{FF2B5EF4-FFF2-40B4-BE49-F238E27FC236}">
              <a16:creationId xmlns:a16="http://schemas.microsoft.com/office/drawing/2014/main" id="{17D5378C-64A0-4215-95F9-4D772D7A16D0}"/>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14" name="Control 4" hidden="1">
          <a:extLst>
            <a:ext uri="{63B3BB69-23CF-44E3-9099-C40C66FF867C}">
              <a14:compatExt xmlns:a14="http://schemas.microsoft.com/office/drawing/2010/main" spid="_x0000_s9220"/>
            </a:ext>
            <a:ext uri="{FF2B5EF4-FFF2-40B4-BE49-F238E27FC236}">
              <a16:creationId xmlns:a16="http://schemas.microsoft.com/office/drawing/2014/main" id="{8584162B-32B1-44EE-8E5D-BEECAE287FA6}"/>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15" name="Control 5" hidden="1">
          <a:extLst>
            <a:ext uri="{63B3BB69-23CF-44E3-9099-C40C66FF867C}">
              <a14:compatExt xmlns:a14="http://schemas.microsoft.com/office/drawing/2010/main" spid="_x0000_s9221"/>
            </a:ext>
            <a:ext uri="{FF2B5EF4-FFF2-40B4-BE49-F238E27FC236}">
              <a16:creationId xmlns:a16="http://schemas.microsoft.com/office/drawing/2014/main" id="{1D6197AC-FD03-4EBA-9E3D-FEE297FD6811}"/>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16" name="Control 6" hidden="1">
          <a:extLst>
            <a:ext uri="{63B3BB69-23CF-44E3-9099-C40C66FF867C}">
              <a14:compatExt xmlns:a14="http://schemas.microsoft.com/office/drawing/2010/main" spid="_x0000_s9222"/>
            </a:ext>
            <a:ext uri="{FF2B5EF4-FFF2-40B4-BE49-F238E27FC236}">
              <a16:creationId xmlns:a16="http://schemas.microsoft.com/office/drawing/2014/main" id="{95F4947D-DF21-4D55-BAF2-9C2AC2289616}"/>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17" name="Control 7" hidden="1">
          <a:extLst>
            <a:ext uri="{63B3BB69-23CF-44E3-9099-C40C66FF867C}">
              <a14:compatExt xmlns:a14="http://schemas.microsoft.com/office/drawing/2010/main" spid="_x0000_s9223"/>
            </a:ext>
            <a:ext uri="{FF2B5EF4-FFF2-40B4-BE49-F238E27FC236}">
              <a16:creationId xmlns:a16="http://schemas.microsoft.com/office/drawing/2014/main" id="{578A9C76-FBC0-4E3E-87A8-ABE7B391D6EC}"/>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18" name="Control 8" hidden="1">
          <a:extLst>
            <a:ext uri="{63B3BB69-23CF-44E3-9099-C40C66FF867C}">
              <a14:compatExt xmlns:a14="http://schemas.microsoft.com/office/drawing/2010/main" spid="_x0000_s9224"/>
            </a:ext>
            <a:ext uri="{FF2B5EF4-FFF2-40B4-BE49-F238E27FC236}">
              <a16:creationId xmlns:a16="http://schemas.microsoft.com/office/drawing/2014/main" id="{64B52224-DF2B-4CF6-9672-252359C452F1}"/>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19</xdr:row>
      <xdr:rowOff>1333500</xdr:rowOff>
    </xdr:from>
    <xdr:ext cx="552450" cy="133350"/>
    <xdr:sp macro="" textlink="">
      <xdr:nvSpPr>
        <xdr:cNvPr id="19" name="Control 9" hidden="1">
          <a:extLst>
            <a:ext uri="{63B3BB69-23CF-44E3-9099-C40C66FF867C}">
              <a14:compatExt xmlns:a14="http://schemas.microsoft.com/office/drawing/2010/main" spid="_x0000_s9225"/>
            </a:ext>
            <a:ext uri="{FF2B5EF4-FFF2-40B4-BE49-F238E27FC236}">
              <a16:creationId xmlns:a16="http://schemas.microsoft.com/office/drawing/2014/main" id="{EC1FECE7-4F71-40F6-B3CC-E12F1D0AD164}"/>
            </a:ext>
          </a:extLst>
        </xdr:cNvPr>
        <xdr:cNvSpPr/>
      </xdr:nvSpPr>
      <xdr:spPr bwMode="auto">
        <a:xfrm>
          <a:off x="3441700" y="565150"/>
          <a:ext cx="552450" cy="133350"/>
        </a:xfrm>
        <a:prstGeom prst="rect">
          <a:avLst/>
        </a:prstGeom>
        <a:noFill/>
        <a:ln w="9525">
          <a:miter lim="800000"/>
          <a:headEnd/>
          <a:tailEnd/>
        </a:ln>
      </xdr:spPr>
    </xdr:sp>
    <xdr:clientData/>
  </xdr:oneCellAnchor>
  <xdr:oneCellAnchor>
    <xdr:from>
      <xdr:col>1</xdr:col>
      <xdr:colOff>107950</xdr:colOff>
      <xdr:row>20</xdr:row>
      <xdr:rowOff>1333500</xdr:rowOff>
    </xdr:from>
    <xdr:ext cx="552450" cy="133350"/>
    <xdr:sp macro="" textlink="">
      <xdr:nvSpPr>
        <xdr:cNvPr id="20" name="Control 1" hidden="1">
          <a:extLst>
            <a:ext uri="{63B3BB69-23CF-44E3-9099-C40C66FF867C}">
              <a14:compatExt xmlns:a14="http://schemas.microsoft.com/office/drawing/2010/main" spid="_x0000_s9217"/>
            </a:ext>
            <a:ext uri="{FF2B5EF4-FFF2-40B4-BE49-F238E27FC236}">
              <a16:creationId xmlns:a16="http://schemas.microsoft.com/office/drawing/2014/main" id="{3CE42C9B-1D3A-4F12-8A15-AF9F27D487C5}"/>
            </a:ext>
          </a:extLst>
        </xdr:cNvPr>
        <xdr:cNvSpPr/>
      </xdr:nvSpPr>
      <xdr:spPr bwMode="auto">
        <a:xfrm>
          <a:off x="3441700" y="1898650"/>
          <a:ext cx="552450" cy="133350"/>
        </a:xfrm>
        <a:prstGeom prst="rect">
          <a:avLst/>
        </a:prstGeom>
        <a:noFill/>
        <a:ln w="9525">
          <a:miter lim="800000"/>
          <a:headEnd/>
          <a:tailEnd/>
        </a:ln>
      </xdr:spPr>
    </xdr:sp>
    <xdr:clientData/>
  </xdr:oneCellAnchor>
  <xdr:oneCellAnchor>
    <xdr:from>
      <xdr:col>1</xdr:col>
      <xdr:colOff>107950</xdr:colOff>
      <xdr:row>20</xdr:row>
      <xdr:rowOff>1333500</xdr:rowOff>
    </xdr:from>
    <xdr:ext cx="552450" cy="133350"/>
    <xdr:sp macro="" textlink="">
      <xdr:nvSpPr>
        <xdr:cNvPr id="21" name="Control 2" hidden="1">
          <a:extLst>
            <a:ext uri="{63B3BB69-23CF-44E3-9099-C40C66FF867C}">
              <a14:compatExt xmlns:a14="http://schemas.microsoft.com/office/drawing/2010/main" spid="_x0000_s9218"/>
            </a:ext>
            <a:ext uri="{FF2B5EF4-FFF2-40B4-BE49-F238E27FC236}">
              <a16:creationId xmlns:a16="http://schemas.microsoft.com/office/drawing/2014/main" id="{E9873418-7143-45C0-9886-6614C0EE5B3C}"/>
            </a:ext>
          </a:extLst>
        </xdr:cNvPr>
        <xdr:cNvSpPr/>
      </xdr:nvSpPr>
      <xdr:spPr bwMode="auto">
        <a:xfrm>
          <a:off x="3441700" y="1898650"/>
          <a:ext cx="552450" cy="133350"/>
        </a:xfrm>
        <a:prstGeom prst="rect">
          <a:avLst/>
        </a:prstGeom>
        <a:noFill/>
        <a:ln w="9525">
          <a:miter lim="800000"/>
          <a:headEnd/>
          <a:tailEnd/>
        </a:ln>
      </xdr:spPr>
    </xdr:sp>
    <xdr:clientData/>
  </xdr:oneCellAnchor>
  <xdr:oneCellAnchor>
    <xdr:from>
      <xdr:col>1</xdr:col>
      <xdr:colOff>107950</xdr:colOff>
      <xdr:row>20</xdr:row>
      <xdr:rowOff>1333500</xdr:rowOff>
    </xdr:from>
    <xdr:ext cx="552450" cy="133350"/>
    <xdr:sp macro="" textlink="">
      <xdr:nvSpPr>
        <xdr:cNvPr id="22" name="Control 3" hidden="1">
          <a:extLst>
            <a:ext uri="{63B3BB69-23CF-44E3-9099-C40C66FF867C}">
              <a14:compatExt xmlns:a14="http://schemas.microsoft.com/office/drawing/2010/main" spid="_x0000_s9219"/>
            </a:ext>
            <a:ext uri="{FF2B5EF4-FFF2-40B4-BE49-F238E27FC236}">
              <a16:creationId xmlns:a16="http://schemas.microsoft.com/office/drawing/2014/main" id="{57F8056F-019B-4860-81B4-912B5335C4A4}"/>
            </a:ext>
          </a:extLst>
        </xdr:cNvPr>
        <xdr:cNvSpPr/>
      </xdr:nvSpPr>
      <xdr:spPr bwMode="auto">
        <a:xfrm>
          <a:off x="3441700" y="1898650"/>
          <a:ext cx="552450" cy="133350"/>
        </a:xfrm>
        <a:prstGeom prst="rect">
          <a:avLst/>
        </a:prstGeom>
        <a:noFill/>
        <a:ln w="9525">
          <a:miter lim="800000"/>
          <a:headEnd/>
          <a:tailEnd/>
        </a:ln>
      </xdr:spPr>
    </xdr:sp>
    <xdr:clientData/>
  </xdr:oneCellAnchor>
  <xdr:oneCellAnchor>
    <xdr:from>
      <xdr:col>1</xdr:col>
      <xdr:colOff>107950</xdr:colOff>
      <xdr:row>20</xdr:row>
      <xdr:rowOff>1333500</xdr:rowOff>
    </xdr:from>
    <xdr:ext cx="552450" cy="133350"/>
    <xdr:sp macro="" textlink="">
      <xdr:nvSpPr>
        <xdr:cNvPr id="23" name="Control 4" hidden="1">
          <a:extLst>
            <a:ext uri="{63B3BB69-23CF-44E3-9099-C40C66FF867C}">
              <a14:compatExt xmlns:a14="http://schemas.microsoft.com/office/drawing/2010/main" spid="_x0000_s9220"/>
            </a:ext>
            <a:ext uri="{FF2B5EF4-FFF2-40B4-BE49-F238E27FC236}">
              <a16:creationId xmlns:a16="http://schemas.microsoft.com/office/drawing/2014/main" id="{84538EF5-DB17-4E8E-8445-3D6F2984E338}"/>
            </a:ext>
          </a:extLst>
        </xdr:cNvPr>
        <xdr:cNvSpPr/>
      </xdr:nvSpPr>
      <xdr:spPr bwMode="auto">
        <a:xfrm>
          <a:off x="3441700" y="1898650"/>
          <a:ext cx="552450" cy="133350"/>
        </a:xfrm>
        <a:prstGeom prst="rect">
          <a:avLst/>
        </a:prstGeom>
        <a:noFill/>
        <a:ln w="9525">
          <a:miter lim="800000"/>
          <a:headEnd/>
          <a:tailEnd/>
        </a:ln>
      </xdr:spPr>
    </xdr:sp>
    <xdr:clientData/>
  </xdr:oneCellAnchor>
  <xdr:oneCellAnchor>
    <xdr:from>
      <xdr:col>1</xdr:col>
      <xdr:colOff>107950</xdr:colOff>
      <xdr:row>20</xdr:row>
      <xdr:rowOff>1333500</xdr:rowOff>
    </xdr:from>
    <xdr:ext cx="552450" cy="133350"/>
    <xdr:sp macro="" textlink="">
      <xdr:nvSpPr>
        <xdr:cNvPr id="24" name="Control 5" hidden="1">
          <a:extLst>
            <a:ext uri="{63B3BB69-23CF-44E3-9099-C40C66FF867C}">
              <a14:compatExt xmlns:a14="http://schemas.microsoft.com/office/drawing/2010/main" spid="_x0000_s9221"/>
            </a:ext>
            <a:ext uri="{FF2B5EF4-FFF2-40B4-BE49-F238E27FC236}">
              <a16:creationId xmlns:a16="http://schemas.microsoft.com/office/drawing/2014/main" id="{003AA159-0753-4093-94D8-1152189D08B5}"/>
            </a:ext>
          </a:extLst>
        </xdr:cNvPr>
        <xdr:cNvSpPr/>
      </xdr:nvSpPr>
      <xdr:spPr bwMode="auto">
        <a:xfrm>
          <a:off x="3441700" y="1898650"/>
          <a:ext cx="552450" cy="133350"/>
        </a:xfrm>
        <a:prstGeom prst="rect">
          <a:avLst/>
        </a:prstGeom>
        <a:noFill/>
        <a:ln w="9525">
          <a:miter lim="800000"/>
          <a:headEnd/>
          <a:tailEnd/>
        </a:ln>
      </xdr:spPr>
    </xdr:sp>
    <xdr:clientData/>
  </xdr:oneCellAnchor>
  <xdr:oneCellAnchor>
    <xdr:from>
      <xdr:col>1</xdr:col>
      <xdr:colOff>107950</xdr:colOff>
      <xdr:row>20</xdr:row>
      <xdr:rowOff>1333500</xdr:rowOff>
    </xdr:from>
    <xdr:ext cx="552450" cy="133350"/>
    <xdr:sp macro="" textlink="">
      <xdr:nvSpPr>
        <xdr:cNvPr id="25" name="Control 6" hidden="1">
          <a:extLst>
            <a:ext uri="{63B3BB69-23CF-44E3-9099-C40C66FF867C}">
              <a14:compatExt xmlns:a14="http://schemas.microsoft.com/office/drawing/2010/main" spid="_x0000_s9222"/>
            </a:ext>
            <a:ext uri="{FF2B5EF4-FFF2-40B4-BE49-F238E27FC236}">
              <a16:creationId xmlns:a16="http://schemas.microsoft.com/office/drawing/2014/main" id="{0123617E-E2E3-4CF9-B1A4-F64A7546A2D8}"/>
            </a:ext>
          </a:extLst>
        </xdr:cNvPr>
        <xdr:cNvSpPr/>
      </xdr:nvSpPr>
      <xdr:spPr bwMode="auto">
        <a:xfrm>
          <a:off x="3441700" y="1898650"/>
          <a:ext cx="552450" cy="133350"/>
        </a:xfrm>
        <a:prstGeom prst="rect">
          <a:avLst/>
        </a:prstGeom>
        <a:noFill/>
        <a:ln w="9525">
          <a:miter lim="800000"/>
          <a:headEnd/>
          <a:tailEnd/>
        </a:ln>
      </xdr:spPr>
    </xdr:sp>
    <xdr:clientData/>
  </xdr:oneCellAnchor>
  <xdr:oneCellAnchor>
    <xdr:from>
      <xdr:col>1</xdr:col>
      <xdr:colOff>107950</xdr:colOff>
      <xdr:row>20</xdr:row>
      <xdr:rowOff>1333500</xdr:rowOff>
    </xdr:from>
    <xdr:ext cx="552450" cy="133350"/>
    <xdr:sp macro="" textlink="">
      <xdr:nvSpPr>
        <xdr:cNvPr id="26" name="Control 7" hidden="1">
          <a:extLst>
            <a:ext uri="{63B3BB69-23CF-44E3-9099-C40C66FF867C}">
              <a14:compatExt xmlns:a14="http://schemas.microsoft.com/office/drawing/2010/main" spid="_x0000_s9223"/>
            </a:ext>
            <a:ext uri="{FF2B5EF4-FFF2-40B4-BE49-F238E27FC236}">
              <a16:creationId xmlns:a16="http://schemas.microsoft.com/office/drawing/2014/main" id="{2E103898-2AC1-4E24-A3FB-2D1AFCFF8B51}"/>
            </a:ext>
          </a:extLst>
        </xdr:cNvPr>
        <xdr:cNvSpPr/>
      </xdr:nvSpPr>
      <xdr:spPr bwMode="auto">
        <a:xfrm>
          <a:off x="3441700" y="1898650"/>
          <a:ext cx="552450" cy="133350"/>
        </a:xfrm>
        <a:prstGeom prst="rect">
          <a:avLst/>
        </a:prstGeom>
        <a:noFill/>
        <a:ln w="9525">
          <a:miter lim="800000"/>
          <a:headEnd/>
          <a:tailEnd/>
        </a:ln>
      </xdr:spPr>
    </xdr:sp>
    <xdr:clientData/>
  </xdr:oneCellAnchor>
  <xdr:oneCellAnchor>
    <xdr:from>
      <xdr:col>1</xdr:col>
      <xdr:colOff>107950</xdr:colOff>
      <xdr:row>20</xdr:row>
      <xdr:rowOff>1333500</xdr:rowOff>
    </xdr:from>
    <xdr:ext cx="552450" cy="133350"/>
    <xdr:sp macro="" textlink="">
      <xdr:nvSpPr>
        <xdr:cNvPr id="27" name="Control 8" hidden="1">
          <a:extLst>
            <a:ext uri="{63B3BB69-23CF-44E3-9099-C40C66FF867C}">
              <a14:compatExt xmlns:a14="http://schemas.microsoft.com/office/drawing/2010/main" spid="_x0000_s9224"/>
            </a:ext>
            <a:ext uri="{FF2B5EF4-FFF2-40B4-BE49-F238E27FC236}">
              <a16:creationId xmlns:a16="http://schemas.microsoft.com/office/drawing/2014/main" id="{5B85DDB6-1CBB-488E-BAF7-326704CBDE7A}"/>
            </a:ext>
          </a:extLst>
        </xdr:cNvPr>
        <xdr:cNvSpPr/>
      </xdr:nvSpPr>
      <xdr:spPr bwMode="auto">
        <a:xfrm>
          <a:off x="3441700" y="1898650"/>
          <a:ext cx="552450" cy="133350"/>
        </a:xfrm>
        <a:prstGeom prst="rect">
          <a:avLst/>
        </a:prstGeom>
        <a:noFill/>
        <a:ln w="9525">
          <a:miter lim="800000"/>
          <a:headEnd/>
          <a:tailEnd/>
        </a:ln>
      </xdr:spPr>
    </xdr:sp>
    <xdr:clientData/>
  </xdr:oneCellAnchor>
  <xdr:oneCellAnchor>
    <xdr:from>
      <xdr:col>1</xdr:col>
      <xdr:colOff>107950</xdr:colOff>
      <xdr:row>20</xdr:row>
      <xdr:rowOff>1333500</xdr:rowOff>
    </xdr:from>
    <xdr:ext cx="552450" cy="133350"/>
    <xdr:sp macro="" textlink="">
      <xdr:nvSpPr>
        <xdr:cNvPr id="28" name="Control 9" hidden="1">
          <a:extLst>
            <a:ext uri="{63B3BB69-23CF-44E3-9099-C40C66FF867C}">
              <a14:compatExt xmlns:a14="http://schemas.microsoft.com/office/drawing/2010/main" spid="_x0000_s9225"/>
            </a:ext>
            <a:ext uri="{FF2B5EF4-FFF2-40B4-BE49-F238E27FC236}">
              <a16:creationId xmlns:a16="http://schemas.microsoft.com/office/drawing/2014/main" id="{C0E694BE-B217-4EED-8F78-17DB13096200}"/>
            </a:ext>
          </a:extLst>
        </xdr:cNvPr>
        <xdr:cNvSpPr/>
      </xdr:nvSpPr>
      <xdr:spPr bwMode="auto">
        <a:xfrm>
          <a:off x="3441700" y="1898650"/>
          <a:ext cx="552450" cy="133350"/>
        </a:xfrm>
        <a:prstGeom prst="rect">
          <a:avLst/>
        </a:prstGeom>
        <a:noFill/>
        <a:ln w="9525">
          <a:miter lim="800000"/>
          <a:headEnd/>
          <a:tailEnd/>
        </a:ln>
      </xdr:spPr>
    </xdr:sp>
    <xdr:clientData/>
  </xdr:oneCellAnchor>
  <xdr:oneCellAnchor>
    <xdr:from>
      <xdr:col>1</xdr:col>
      <xdr:colOff>107950</xdr:colOff>
      <xdr:row>17</xdr:row>
      <xdr:rowOff>1333500</xdr:rowOff>
    </xdr:from>
    <xdr:ext cx="552450" cy="133350"/>
    <xdr:sp macro="" textlink="">
      <xdr:nvSpPr>
        <xdr:cNvPr id="29" name="Control 1" hidden="1">
          <a:extLst>
            <a:ext uri="{63B3BB69-23CF-44E3-9099-C40C66FF867C}">
              <a14:compatExt xmlns:a14="http://schemas.microsoft.com/office/drawing/2010/main" spid="_x0000_s9217"/>
            </a:ext>
            <a:ext uri="{FF2B5EF4-FFF2-40B4-BE49-F238E27FC236}">
              <a16:creationId xmlns:a16="http://schemas.microsoft.com/office/drawing/2014/main" id="{B3FF3220-23A1-4C3E-A3BC-855D234D4A6A}"/>
            </a:ext>
          </a:extLst>
        </xdr:cNvPr>
        <xdr:cNvSpPr/>
      </xdr:nvSpPr>
      <xdr:spPr bwMode="auto">
        <a:xfrm>
          <a:off x="1212850" y="1600200"/>
          <a:ext cx="552450" cy="133350"/>
        </a:xfrm>
        <a:prstGeom prst="rect">
          <a:avLst/>
        </a:prstGeom>
        <a:noFill/>
        <a:ln w="9525">
          <a:miter lim="800000"/>
          <a:headEnd/>
          <a:tailEnd/>
        </a:ln>
      </xdr:spPr>
    </xdr:sp>
    <xdr:clientData/>
  </xdr:oneCellAnchor>
  <xdr:oneCellAnchor>
    <xdr:from>
      <xdr:col>1</xdr:col>
      <xdr:colOff>107950</xdr:colOff>
      <xdr:row>17</xdr:row>
      <xdr:rowOff>1333500</xdr:rowOff>
    </xdr:from>
    <xdr:ext cx="552450" cy="133350"/>
    <xdr:sp macro="" textlink="">
      <xdr:nvSpPr>
        <xdr:cNvPr id="30" name="Control 2" hidden="1">
          <a:extLst>
            <a:ext uri="{63B3BB69-23CF-44E3-9099-C40C66FF867C}">
              <a14:compatExt xmlns:a14="http://schemas.microsoft.com/office/drawing/2010/main" spid="_x0000_s9218"/>
            </a:ext>
            <a:ext uri="{FF2B5EF4-FFF2-40B4-BE49-F238E27FC236}">
              <a16:creationId xmlns:a16="http://schemas.microsoft.com/office/drawing/2014/main" id="{35AE6550-D6C8-42F2-8DD5-1A7850194C0D}"/>
            </a:ext>
          </a:extLst>
        </xdr:cNvPr>
        <xdr:cNvSpPr/>
      </xdr:nvSpPr>
      <xdr:spPr bwMode="auto">
        <a:xfrm>
          <a:off x="1212850" y="1600200"/>
          <a:ext cx="552450" cy="133350"/>
        </a:xfrm>
        <a:prstGeom prst="rect">
          <a:avLst/>
        </a:prstGeom>
        <a:noFill/>
        <a:ln w="9525">
          <a:miter lim="800000"/>
          <a:headEnd/>
          <a:tailEnd/>
        </a:ln>
      </xdr:spPr>
    </xdr:sp>
    <xdr:clientData/>
  </xdr:oneCellAnchor>
  <xdr:oneCellAnchor>
    <xdr:from>
      <xdr:col>1</xdr:col>
      <xdr:colOff>107950</xdr:colOff>
      <xdr:row>17</xdr:row>
      <xdr:rowOff>1333500</xdr:rowOff>
    </xdr:from>
    <xdr:ext cx="552450" cy="133350"/>
    <xdr:sp macro="" textlink="">
      <xdr:nvSpPr>
        <xdr:cNvPr id="31" name="Control 3" hidden="1">
          <a:extLst>
            <a:ext uri="{63B3BB69-23CF-44E3-9099-C40C66FF867C}">
              <a14:compatExt xmlns:a14="http://schemas.microsoft.com/office/drawing/2010/main" spid="_x0000_s9219"/>
            </a:ext>
            <a:ext uri="{FF2B5EF4-FFF2-40B4-BE49-F238E27FC236}">
              <a16:creationId xmlns:a16="http://schemas.microsoft.com/office/drawing/2014/main" id="{CD25D20B-CBA1-4685-B55F-FD1E23D78CD6}"/>
            </a:ext>
          </a:extLst>
        </xdr:cNvPr>
        <xdr:cNvSpPr/>
      </xdr:nvSpPr>
      <xdr:spPr bwMode="auto">
        <a:xfrm>
          <a:off x="1212850" y="1600200"/>
          <a:ext cx="552450" cy="133350"/>
        </a:xfrm>
        <a:prstGeom prst="rect">
          <a:avLst/>
        </a:prstGeom>
        <a:noFill/>
        <a:ln w="9525">
          <a:miter lim="800000"/>
          <a:headEnd/>
          <a:tailEnd/>
        </a:ln>
      </xdr:spPr>
    </xdr:sp>
    <xdr:clientData/>
  </xdr:oneCellAnchor>
  <xdr:oneCellAnchor>
    <xdr:from>
      <xdr:col>1</xdr:col>
      <xdr:colOff>107950</xdr:colOff>
      <xdr:row>17</xdr:row>
      <xdr:rowOff>1333500</xdr:rowOff>
    </xdr:from>
    <xdr:ext cx="552450" cy="133350"/>
    <xdr:sp macro="" textlink="">
      <xdr:nvSpPr>
        <xdr:cNvPr id="32" name="Control 4" hidden="1">
          <a:extLst>
            <a:ext uri="{63B3BB69-23CF-44E3-9099-C40C66FF867C}">
              <a14:compatExt xmlns:a14="http://schemas.microsoft.com/office/drawing/2010/main" spid="_x0000_s9220"/>
            </a:ext>
            <a:ext uri="{FF2B5EF4-FFF2-40B4-BE49-F238E27FC236}">
              <a16:creationId xmlns:a16="http://schemas.microsoft.com/office/drawing/2014/main" id="{376F076E-E47A-41B0-A53A-D670FBF9C10B}"/>
            </a:ext>
          </a:extLst>
        </xdr:cNvPr>
        <xdr:cNvSpPr/>
      </xdr:nvSpPr>
      <xdr:spPr bwMode="auto">
        <a:xfrm>
          <a:off x="1212850" y="1600200"/>
          <a:ext cx="552450" cy="133350"/>
        </a:xfrm>
        <a:prstGeom prst="rect">
          <a:avLst/>
        </a:prstGeom>
        <a:noFill/>
        <a:ln w="9525">
          <a:miter lim="800000"/>
          <a:headEnd/>
          <a:tailEnd/>
        </a:ln>
      </xdr:spPr>
    </xdr:sp>
    <xdr:clientData/>
  </xdr:oneCellAnchor>
  <xdr:oneCellAnchor>
    <xdr:from>
      <xdr:col>1</xdr:col>
      <xdr:colOff>107950</xdr:colOff>
      <xdr:row>17</xdr:row>
      <xdr:rowOff>1333500</xdr:rowOff>
    </xdr:from>
    <xdr:ext cx="552450" cy="133350"/>
    <xdr:sp macro="" textlink="">
      <xdr:nvSpPr>
        <xdr:cNvPr id="33" name="Control 5" hidden="1">
          <a:extLst>
            <a:ext uri="{63B3BB69-23CF-44E3-9099-C40C66FF867C}">
              <a14:compatExt xmlns:a14="http://schemas.microsoft.com/office/drawing/2010/main" spid="_x0000_s9221"/>
            </a:ext>
            <a:ext uri="{FF2B5EF4-FFF2-40B4-BE49-F238E27FC236}">
              <a16:creationId xmlns:a16="http://schemas.microsoft.com/office/drawing/2014/main" id="{BA71AD9A-DD4A-447A-A272-A2400496532D}"/>
            </a:ext>
          </a:extLst>
        </xdr:cNvPr>
        <xdr:cNvSpPr/>
      </xdr:nvSpPr>
      <xdr:spPr bwMode="auto">
        <a:xfrm>
          <a:off x="1212850" y="1600200"/>
          <a:ext cx="552450" cy="133350"/>
        </a:xfrm>
        <a:prstGeom prst="rect">
          <a:avLst/>
        </a:prstGeom>
        <a:noFill/>
        <a:ln w="9525">
          <a:miter lim="800000"/>
          <a:headEnd/>
          <a:tailEnd/>
        </a:ln>
      </xdr:spPr>
    </xdr:sp>
    <xdr:clientData/>
  </xdr:oneCellAnchor>
  <xdr:oneCellAnchor>
    <xdr:from>
      <xdr:col>1</xdr:col>
      <xdr:colOff>107950</xdr:colOff>
      <xdr:row>17</xdr:row>
      <xdr:rowOff>1333500</xdr:rowOff>
    </xdr:from>
    <xdr:ext cx="552450" cy="133350"/>
    <xdr:sp macro="" textlink="">
      <xdr:nvSpPr>
        <xdr:cNvPr id="34" name="Control 6" hidden="1">
          <a:extLst>
            <a:ext uri="{63B3BB69-23CF-44E3-9099-C40C66FF867C}">
              <a14:compatExt xmlns:a14="http://schemas.microsoft.com/office/drawing/2010/main" spid="_x0000_s9222"/>
            </a:ext>
            <a:ext uri="{FF2B5EF4-FFF2-40B4-BE49-F238E27FC236}">
              <a16:creationId xmlns:a16="http://schemas.microsoft.com/office/drawing/2014/main" id="{DF6F5A89-4799-4C1B-80B7-EAF70627F215}"/>
            </a:ext>
          </a:extLst>
        </xdr:cNvPr>
        <xdr:cNvSpPr/>
      </xdr:nvSpPr>
      <xdr:spPr bwMode="auto">
        <a:xfrm>
          <a:off x="1212850" y="1600200"/>
          <a:ext cx="552450" cy="133350"/>
        </a:xfrm>
        <a:prstGeom prst="rect">
          <a:avLst/>
        </a:prstGeom>
        <a:noFill/>
        <a:ln w="9525">
          <a:miter lim="800000"/>
          <a:headEnd/>
          <a:tailEnd/>
        </a:ln>
      </xdr:spPr>
    </xdr:sp>
    <xdr:clientData/>
  </xdr:oneCellAnchor>
  <xdr:oneCellAnchor>
    <xdr:from>
      <xdr:col>1</xdr:col>
      <xdr:colOff>107950</xdr:colOff>
      <xdr:row>17</xdr:row>
      <xdr:rowOff>1333500</xdr:rowOff>
    </xdr:from>
    <xdr:ext cx="552450" cy="133350"/>
    <xdr:sp macro="" textlink="">
      <xdr:nvSpPr>
        <xdr:cNvPr id="35" name="Control 7" hidden="1">
          <a:extLst>
            <a:ext uri="{63B3BB69-23CF-44E3-9099-C40C66FF867C}">
              <a14:compatExt xmlns:a14="http://schemas.microsoft.com/office/drawing/2010/main" spid="_x0000_s9223"/>
            </a:ext>
            <a:ext uri="{FF2B5EF4-FFF2-40B4-BE49-F238E27FC236}">
              <a16:creationId xmlns:a16="http://schemas.microsoft.com/office/drawing/2014/main" id="{39D8D4DC-A9A3-4637-966F-EC5CA91434F3}"/>
            </a:ext>
          </a:extLst>
        </xdr:cNvPr>
        <xdr:cNvSpPr/>
      </xdr:nvSpPr>
      <xdr:spPr bwMode="auto">
        <a:xfrm>
          <a:off x="1212850" y="1600200"/>
          <a:ext cx="552450" cy="133350"/>
        </a:xfrm>
        <a:prstGeom prst="rect">
          <a:avLst/>
        </a:prstGeom>
        <a:noFill/>
        <a:ln w="9525">
          <a:miter lim="800000"/>
          <a:headEnd/>
          <a:tailEnd/>
        </a:ln>
      </xdr:spPr>
    </xdr:sp>
    <xdr:clientData/>
  </xdr:oneCellAnchor>
  <xdr:oneCellAnchor>
    <xdr:from>
      <xdr:col>1</xdr:col>
      <xdr:colOff>107950</xdr:colOff>
      <xdr:row>17</xdr:row>
      <xdr:rowOff>1333500</xdr:rowOff>
    </xdr:from>
    <xdr:ext cx="552450" cy="133350"/>
    <xdr:sp macro="" textlink="">
      <xdr:nvSpPr>
        <xdr:cNvPr id="36" name="Control 8" hidden="1">
          <a:extLst>
            <a:ext uri="{63B3BB69-23CF-44E3-9099-C40C66FF867C}">
              <a14:compatExt xmlns:a14="http://schemas.microsoft.com/office/drawing/2010/main" spid="_x0000_s9224"/>
            </a:ext>
            <a:ext uri="{FF2B5EF4-FFF2-40B4-BE49-F238E27FC236}">
              <a16:creationId xmlns:a16="http://schemas.microsoft.com/office/drawing/2014/main" id="{B32DBA0F-AD5C-4163-A0BC-03F745D5EA61}"/>
            </a:ext>
          </a:extLst>
        </xdr:cNvPr>
        <xdr:cNvSpPr/>
      </xdr:nvSpPr>
      <xdr:spPr bwMode="auto">
        <a:xfrm>
          <a:off x="1212850" y="1600200"/>
          <a:ext cx="552450" cy="133350"/>
        </a:xfrm>
        <a:prstGeom prst="rect">
          <a:avLst/>
        </a:prstGeom>
        <a:noFill/>
        <a:ln w="9525">
          <a:miter lim="800000"/>
          <a:headEnd/>
          <a:tailEnd/>
        </a:ln>
      </xdr:spPr>
    </xdr:sp>
    <xdr:clientData/>
  </xdr:oneCellAnchor>
  <xdr:oneCellAnchor>
    <xdr:from>
      <xdr:col>1</xdr:col>
      <xdr:colOff>107950</xdr:colOff>
      <xdr:row>17</xdr:row>
      <xdr:rowOff>1333500</xdr:rowOff>
    </xdr:from>
    <xdr:ext cx="552450" cy="133350"/>
    <xdr:sp macro="" textlink="">
      <xdr:nvSpPr>
        <xdr:cNvPr id="37" name="Control 9" hidden="1">
          <a:extLst>
            <a:ext uri="{63B3BB69-23CF-44E3-9099-C40C66FF867C}">
              <a14:compatExt xmlns:a14="http://schemas.microsoft.com/office/drawing/2010/main" spid="_x0000_s9225"/>
            </a:ext>
            <a:ext uri="{FF2B5EF4-FFF2-40B4-BE49-F238E27FC236}">
              <a16:creationId xmlns:a16="http://schemas.microsoft.com/office/drawing/2014/main" id="{BFE37C8B-A232-4381-B340-72793BD362D4}"/>
            </a:ext>
          </a:extLst>
        </xdr:cNvPr>
        <xdr:cNvSpPr/>
      </xdr:nvSpPr>
      <xdr:spPr bwMode="auto">
        <a:xfrm>
          <a:off x="1212850" y="1600200"/>
          <a:ext cx="552450" cy="133350"/>
        </a:xfrm>
        <a:prstGeom prst="rect">
          <a:avLst/>
        </a:prstGeom>
        <a:noFill/>
        <a:ln w="9525">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107950</xdr:colOff>
      <xdr:row>52</xdr:row>
      <xdr:rowOff>1333500</xdr:rowOff>
    </xdr:from>
    <xdr:ext cx="552450" cy="133350"/>
    <xdr:sp macro="" textlink="">
      <xdr:nvSpPr>
        <xdr:cNvPr id="2" name="Control 1" hidden="1">
          <a:extLst>
            <a:ext uri="{63B3BB69-23CF-44E3-9099-C40C66FF867C}">
              <a14:compatExt xmlns:a14="http://schemas.microsoft.com/office/drawing/2010/main" spid="_x0000_s9217"/>
            </a:ext>
            <a:ext uri="{FF2B5EF4-FFF2-40B4-BE49-F238E27FC236}">
              <a16:creationId xmlns:a16="http://schemas.microsoft.com/office/drawing/2014/main" id="{C752A213-1FA4-41D7-843C-8ED7C4DDB43F}"/>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3" name="Control 2" hidden="1">
          <a:extLst>
            <a:ext uri="{63B3BB69-23CF-44E3-9099-C40C66FF867C}">
              <a14:compatExt xmlns:a14="http://schemas.microsoft.com/office/drawing/2010/main" spid="_x0000_s9218"/>
            </a:ext>
            <a:ext uri="{FF2B5EF4-FFF2-40B4-BE49-F238E27FC236}">
              <a16:creationId xmlns:a16="http://schemas.microsoft.com/office/drawing/2014/main" id="{B9D77FE9-A965-4BE8-A74C-15E8B35E0492}"/>
            </a:ext>
            <a:ext uri="{147F2762-F138-4A5C-976F-8EAC2B608ADB}">
              <a16:predDERef xmlns:a16="http://schemas.microsoft.com/office/drawing/2014/main" pred="{C752A213-1FA4-41D7-843C-8ED7C4DDB43F}"/>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4" name="Control 3" hidden="1">
          <a:extLst>
            <a:ext uri="{63B3BB69-23CF-44E3-9099-C40C66FF867C}">
              <a14:compatExt xmlns:a14="http://schemas.microsoft.com/office/drawing/2010/main" spid="_x0000_s9219"/>
            </a:ext>
            <a:ext uri="{FF2B5EF4-FFF2-40B4-BE49-F238E27FC236}">
              <a16:creationId xmlns:a16="http://schemas.microsoft.com/office/drawing/2014/main" id="{FE914229-34AE-4540-9900-799A0C66040E}"/>
            </a:ext>
            <a:ext uri="{147F2762-F138-4A5C-976F-8EAC2B608ADB}">
              <a16:predDERef xmlns:a16="http://schemas.microsoft.com/office/drawing/2014/main" pred="{B9D77FE9-A965-4BE8-A74C-15E8B35E0492}"/>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5" name="Control 4" hidden="1">
          <a:extLst>
            <a:ext uri="{63B3BB69-23CF-44E3-9099-C40C66FF867C}">
              <a14:compatExt xmlns:a14="http://schemas.microsoft.com/office/drawing/2010/main" spid="_x0000_s9220"/>
            </a:ext>
            <a:ext uri="{FF2B5EF4-FFF2-40B4-BE49-F238E27FC236}">
              <a16:creationId xmlns:a16="http://schemas.microsoft.com/office/drawing/2014/main" id="{6EAE1DF3-7CFD-4370-A871-80CC79D116F6}"/>
            </a:ext>
            <a:ext uri="{147F2762-F138-4A5C-976F-8EAC2B608ADB}">
              <a16:predDERef xmlns:a16="http://schemas.microsoft.com/office/drawing/2014/main" pred="{FE914229-34AE-4540-9900-799A0C66040E}"/>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6" name="Control 5" hidden="1">
          <a:extLst>
            <a:ext uri="{63B3BB69-23CF-44E3-9099-C40C66FF867C}">
              <a14:compatExt xmlns:a14="http://schemas.microsoft.com/office/drawing/2010/main" spid="_x0000_s9221"/>
            </a:ext>
            <a:ext uri="{FF2B5EF4-FFF2-40B4-BE49-F238E27FC236}">
              <a16:creationId xmlns:a16="http://schemas.microsoft.com/office/drawing/2014/main" id="{B6616E94-6B6E-4B7C-A44E-0D6A0109A750}"/>
            </a:ext>
            <a:ext uri="{147F2762-F138-4A5C-976F-8EAC2B608ADB}">
              <a16:predDERef xmlns:a16="http://schemas.microsoft.com/office/drawing/2014/main" pred="{6EAE1DF3-7CFD-4370-A871-80CC79D116F6}"/>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7" name="Control 6" hidden="1">
          <a:extLst>
            <a:ext uri="{63B3BB69-23CF-44E3-9099-C40C66FF867C}">
              <a14:compatExt xmlns:a14="http://schemas.microsoft.com/office/drawing/2010/main" spid="_x0000_s9222"/>
            </a:ext>
            <a:ext uri="{FF2B5EF4-FFF2-40B4-BE49-F238E27FC236}">
              <a16:creationId xmlns:a16="http://schemas.microsoft.com/office/drawing/2014/main" id="{5B8B6AF2-47AC-4001-9592-1A8C67CB4F96}"/>
            </a:ext>
            <a:ext uri="{147F2762-F138-4A5C-976F-8EAC2B608ADB}">
              <a16:predDERef xmlns:a16="http://schemas.microsoft.com/office/drawing/2014/main" pred="{B6616E94-6B6E-4B7C-A44E-0D6A0109A750}"/>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8" name="Control 7" hidden="1">
          <a:extLst>
            <a:ext uri="{63B3BB69-23CF-44E3-9099-C40C66FF867C}">
              <a14:compatExt xmlns:a14="http://schemas.microsoft.com/office/drawing/2010/main" spid="_x0000_s9223"/>
            </a:ext>
            <a:ext uri="{FF2B5EF4-FFF2-40B4-BE49-F238E27FC236}">
              <a16:creationId xmlns:a16="http://schemas.microsoft.com/office/drawing/2014/main" id="{27BA6B2B-04A9-411F-8ED3-929CB1D3B959}"/>
            </a:ext>
            <a:ext uri="{147F2762-F138-4A5C-976F-8EAC2B608ADB}">
              <a16:predDERef xmlns:a16="http://schemas.microsoft.com/office/drawing/2014/main" pred="{5B8B6AF2-47AC-4001-9592-1A8C67CB4F96}"/>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9" name="Control 8" hidden="1">
          <a:extLst>
            <a:ext uri="{63B3BB69-23CF-44E3-9099-C40C66FF867C}">
              <a14:compatExt xmlns:a14="http://schemas.microsoft.com/office/drawing/2010/main" spid="_x0000_s9224"/>
            </a:ext>
            <a:ext uri="{FF2B5EF4-FFF2-40B4-BE49-F238E27FC236}">
              <a16:creationId xmlns:a16="http://schemas.microsoft.com/office/drawing/2014/main" id="{514144C6-B94D-49CE-B90E-4FE34AA5A5C5}"/>
            </a:ext>
            <a:ext uri="{147F2762-F138-4A5C-976F-8EAC2B608ADB}">
              <a16:predDERef xmlns:a16="http://schemas.microsoft.com/office/drawing/2014/main" pred="{27BA6B2B-04A9-411F-8ED3-929CB1D3B959}"/>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10" name="Control 9" hidden="1">
          <a:extLst>
            <a:ext uri="{63B3BB69-23CF-44E3-9099-C40C66FF867C}">
              <a14:compatExt xmlns:a14="http://schemas.microsoft.com/office/drawing/2010/main" spid="_x0000_s9225"/>
            </a:ext>
            <a:ext uri="{FF2B5EF4-FFF2-40B4-BE49-F238E27FC236}">
              <a16:creationId xmlns:a16="http://schemas.microsoft.com/office/drawing/2014/main" id="{2EB008B3-C6C2-48B1-AF2E-DED22F9F3041}"/>
            </a:ext>
            <a:ext uri="{147F2762-F138-4A5C-976F-8EAC2B608ADB}">
              <a16:predDERef xmlns:a16="http://schemas.microsoft.com/office/drawing/2014/main" pred="{514144C6-B94D-49CE-B90E-4FE34AA5A5C5}"/>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11" name="Control 1" hidden="1">
          <a:extLst>
            <a:ext uri="{63B3BB69-23CF-44E3-9099-C40C66FF867C}">
              <a14:compatExt xmlns:a14="http://schemas.microsoft.com/office/drawing/2010/main" spid="_x0000_s9217"/>
            </a:ext>
            <a:ext uri="{FF2B5EF4-FFF2-40B4-BE49-F238E27FC236}">
              <a16:creationId xmlns:a16="http://schemas.microsoft.com/office/drawing/2014/main" id="{7DF1ACA7-BBE5-42C7-96B2-1DAB5B759CF8}"/>
            </a:ext>
            <a:ext uri="{147F2762-F138-4A5C-976F-8EAC2B608ADB}">
              <a16:predDERef xmlns:a16="http://schemas.microsoft.com/office/drawing/2014/main" pred="{2EB008B3-C6C2-48B1-AF2E-DED22F9F3041}"/>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12" name="Control 2" hidden="1">
          <a:extLst>
            <a:ext uri="{63B3BB69-23CF-44E3-9099-C40C66FF867C}">
              <a14:compatExt xmlns:a14="http://schemas.microsoft.com/office/drawing/2010/main" spid="_x0000_s9218"/>
            </a:ext>
            <a:ext uri="{FF2B5EF4-FFF2-40B4-BE49-F238E27FC236}">
              <a16:creationId xmlns:a16="http://schemas.microsoft.com/office/drawing/2014/main" id="{335C4C72-36F5-4170-B1D0-B7269337B07E}"/>
            </a:ext>
            <a:ext uri="{147F2762-F138-4A5C-976F-8EAC2B608ADB}">
              <a16:predDERef xmlns:a16="http://schemas.microsoft.com/office/drawing/2014/main" pred="{7DF1ACA7-BBE5-42C7-96B2-1DAB5B759CF8}"/>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13" name="Control 3" hidden="1">
          <a:extLst>
            <a:ext uri="{63B3BB69-23CF-44E3-9099-C40C66FF867C}">
              <a14:compatExt xmlns:a14="http://schemas.microsoft.com/office/drawing/2010/main" spid="_x0000_s9219"/>
            </a:ext>
            <a:ext uri="{FF2B5EF4-FFF2-40B4-BE49-F238E27FC236}">
              <a16:creationId xmlns:a16="http://schemas.microsoft.com/office/drawing/2014/main" id="{2E822DBF-986E-412A-BF86-AA74C5E903D3}"/>
            </a:ext>
            <a:ext uri="{147F2762-F138-4A5C-976F-8EAC2B608ADB}">
              <a16:predDERef xmlns:a16="http://schemas.microsoft.com/office/drawing/2014/main" pred="{335C4C72-36F5-4170-B1D0-B7269337B07E}"/>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14" name="Control 4" hidden="1">
          <a:extLst>
            <a:ext uri="{63B3BB69-23CF-44E3-9099-C40C66FF867C}">
              <a14:compatExt xmlns:a14="http://schemas.microsoft.com/office/drawing/2010/main" spid="_x0000_s9220"/>
            </a:ext>
            <a:ext uri="{FF2B5EF4-FFF2-40B4-BE49-F238E27FC236}">
              <a16:creationId xmlns:a16="http://schemas.microsoft.com/office/drawing/2014/main" id="{E56DAA4B-F6EA-429B-A43C-E11CB6680968}"/>
            </a:ext>
            <a:ext uri="{147F2762-F138-4A5C-976F-8EAC2B608ADB}">
              <a16:predDERef xmlns:a16="http://schemas.microsoft.com/office/drawing/2014/main" pred="{2E822DBF-986E-412A-BF86-AA74C5E903D3}"/>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15" name="Control 5" hidden="1">
          <a:extLst>
            <a:ext uri="{63B3BB69-23CF-44E3-9099-C40C66FF867C}">
              <a14:compatExt xmlns:a14="http://schemas.microsoft.com/office/drawing/2010/main" spid="_x0000_s9221"/>
            </a:ext>
            <a:ext uri="{FF2B5EF4-FFF2-40B4-BE49-F238E27FC236}">
              <a16:creationId xmlns:a16="http://schemas.microsoft.com/office/drawing/2014/main" id="{EAF3CE68-D6CA-40E9-889F-A2139BCCD184}"/>
            </a:ext>
            <a:ext uri="{147F2762-F138-4A5C-976F-8EAC2B608ADB}">
              <a16:predDERef xmlns:a16="http://schemas.microsoft.com/office/drawing/2014/main" pred="{E56DAA4B-F6EA-429B-A43C-E11CB6680968}"/>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16" name="Control 6" hidden="1">
          <a:extLst>
            <a:ext uri="{63B3BB69-23CF-44E3-9099-C40C66FF867C}">
              <a14:compatExt xmlns:a14="http://schemas.microsoft.com/office/drawing/2010/main" spid="_x0000_s9222"/>
            </a:ext>
            <a:ext uri="{FF2B5EF4-FFF2-40B4-BE49-F238E27FC236}">
              <a16:creationId xmlns:a16="http://schemas.microsoft.com/office/drawing/2014/main" id="{E75D6D5E-95E5-4568-B588-61C5D706CC3B}"/>
            </a:ext>
            <a:ext uri="{147F2762-F138-4A5C-976F-8EAC2B608ADB}">
              <a16:predDERef xmlns:a16="http://schemas.microsoft.com/office/drawing/2014/main" pred="{EAF3CE68-D6CA-40E9-889F-A2139BCCD184}"/>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17" name="Control 7" hidden="1">
          <a:extLst>
            <a:ext uri="{63B3BB69-23CF-44E3-9099-C40C66FF867C}">
              <a14:compatExt xmlns:a14="http://schemas.microsoft.com/office/drawing/2010/main" spid="_x0000_s9223"/>
            </a:ext>
            <a:ext uri="{FF2B5EF4-FFF2-40B4-BE49-F238E27FC236}">
              <a16:creationId xmlns:a16="http://schemas.microsoft.com/office/drawing/2014/main" id="{17AB8AB7-4234-4010-BE53-EF48F6BEB34D}"/>
            </a:ext>
            <a:ext uri="{147F2762-F138-4A5C-976F-8EAC2B608ADB}">
              <a16:predDERef xmlns:a16="http://schemas.microsoft.com/office/drawing/2014/main" pred="{E75D6D5E-95E5-4568-B588-61C5D706CC3B}"/>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18" name="Control 8" hidden="1">
          <a:extLst>
            <a:ext uri="{63B3BB69-23CF-44E3-9099-C40C66FF867C}">
              <a14:compatExt xmlns:a14="http://schemas.microsoft.com/office/drawing/2010/main" spid="_x0000_s9224"/>
            </a:ext>
            <a:ext uri="{FF2B5EF4-FFF2-40B4-BE49-F238E27FC236}">
              <a16:creationId xmlns:a16="http://schemas.microsoft.com/office/drawing/2014/main" id="{CEE91030-3582-4958-8C6A-8D145E730BA5}"/>
            </a:ext>
            <a:ext uri="{147F2762-F138-4A5C-976F-8EAC2B608ADB}">
              <a16:predDERef xmlns:a16="http://schemas.microsoft.com/office/drawing/2014/main" pred="{17AB8AB7-4234-4010-BE53-EF48F6BEB34D}"/>
            </a:ext>
          </a:extLst>
        </xdr:cNvPr>
        <xdr:cNvSpPr/>
      </xdr:nvSpPr>
      <xdr:spPr bwMode="auto">
        <a:xfrm>
          <a:off x="1193800" y="12487275"/>
          <a:ext cx="552450" cy="133350"/>
        </a:xfrm>
        <a:prstGeom prst="rect">
          <a:avLst/>
        </a:prstGeom>
        <a:noFill/>
        <a:ln w="9525">
          <a:miter lim="800000"/>
          <a:headEnd/>
          <a:tailEnd/>
        </a:ln>
      </xdr:spPr>
    </xdr:sp>
    <xdr:clientData/>
  </xdr:oneCellAnchor>
  <xdr:oneCellAnchor>
    <xdr:from>
      <xdr:col>1</xdr:col>
      <xdr:colOff>107950</xdr:colOff>
      <xdr:row>52</xdr:row>
      <xdr:rowOff>1333500</xdr:rowOff>
    </xdr:from>
    <xdr:ext cx="552450" cy="133350"/>
    <xdr:sp macro="" textlink="">
      <xdr:nvSpPr>
        <xdr:cNvPr id="19" name="Control 9" hidden="1">
          <a:extLst>
            <a:ext uri="{63B3BB69-23CF-44E3-9099-C40C66FF867C}">
              <a14:compatExt xmlns:a14="http://schemas.microsoft.com/office/drawing/2010/main" spid="_x0000_s9225"/>
            </a:ext>
            <a:ext uri="{FF2B5EF4-FFF2-40B4-BE49-F238E27FC236}">
              <a16:creationId xmlns:a16="http://schemas.microsoft.com/office/drawing/2014/main" id="{331C0861-656F-4382-8522-90EA8A7A6A9B}"/>
            </a:ext>
            <a:ext uri="{147F2762-F138-4A5C-976F-8EAC2B608ADB}">
              <a16:predDERef xmlns:a16="http://schemas.microsoft.com/office/drawing/2014/main" pred="{CEE91030-3582-4958-8C6A-8D145E730BA5}"/>
            </a:ext>
          </a:extLst>
        </xdr:cNvPr>
        <xdr:cNvSpPr/>
      </xdr:nvSpPr>
      <xdr:spPr bwMode="auto">
        <a:xfrm>
          <a:off x="1193800" y="12487275"/>
          <a:ext cx="552450" cy="133350"/>
        </a:xfrm>
        <a:prstGeom prst="rect">
          <a:avLst/>
        </a:prstGeom>
        <a:noFill/>
        <a:ln w="9525">
          <a:miter lim="800000"/>
          <a:headEnd/>
          <a:tailEnd/>
        </a:ln>
      </xdr:spPr>
    </xdr:sp>
    <xdr:clientData/>
  </xdr:oneCellAnchor>
  <xdr:twoCellAnchor editAs="oneCell">
    <xdr:from>
      <xdr:col>10</xdr:col>
      <xdr:colOff>196850</xdr:colOff>
      <xdr:row>56</xdr:row>
      <xdr:rowOff>2381250</xdr:rowOff>
    </xdr:from>
    <xdr:to>
      <xdr:col>25</xdr:col>
      <xdr:colOff>332203</xdr:colOff>
      <xdr:row>70</xdr:row>
      <xdr:rowOff>375287</xdr:rowOff>
    </xdr:to>
    <xdr:pic>
      <xdr:nvPicPr>
        <xdr:cNvPr id="24" name="Imagem 19">
          <a:extLst>
            <a:ext uri="{FF2B5EF4-FFF2-40B4-BE49-F238E27FC236}">
              <a16:creationId xmlns:a16="http://schemas.microsoft.com/office/drawing/2014/main" id="{0EB2EFD5-41F5-EF75-0AA2-6B01D97116A9}"/>
            </a:ext>
            <a:ext uri="{147F2762-F138-4A5C-976F-8EAC2B608ADB}">
              <a16:predDERef xmlns:a16="http://schemas.microsoft.com/office/drawing/2014/main" pred="{331C0861-656F-4382-8522-90EA8A7A6A9B}"/>
            </a:ext>
          </a:extLst>
        </xdr:cNvPr>
        <xdr:cNvPicPr>
          <a:picLocks noChangeAspect="1"/>
        </xdr:cNvPicPr>
      </xdr:nvPicPr>
      <xdr:blipFill>
        <a:blip xmlns:r="http://schemas.openxmlformats.org/officeDocument/2006/relationships" r:embed="rId1"/>
        <a:stretch>
          <a:fillRect/>
        </a:stretch>
      </xdr:blipFill>
      <xdr:spPr>
        <a:xfrm>
          <a:off x="24409400" y="67922775"/>
          <a:ext cx="9282528" cy="212381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Hallyson Izidoro dos Santos" id="{594882B0-500D-4D48-9B91-9B2276643422}" userId="HISANTOS@ctgpar.ctgbr.com.br" providerId="PeoplePicker"/>
  <person displayName="Marcos Hiroshi Kadota" id="{887D89CB-B678-41D4-95CE-64A9A5B9181E}" userId="MHKADOTA@ctgpar.ctgbr.com.br" providerId="PeoplePicker"/>
  <person displayName="Victor Alberto Garcia Osorio" id="{A02BF43C-B421-429B-B5AD-0AA030B53C51}" userId="VAOSORIO@ctgpar.ctgbr.com.br" providerId="PeoplePicker"/>
  <person displayName="Leonardo Seiji Watanabe" id="{8EDE2BC0-5D1C-4C7F-A43A-F556DA43402D}" userId="LSWatanabe@ctgpar.ctgbr.com.br" providerId="PeoplePicker"/>
  <person displayName="Lucas Vitti" id="{03AFB194-C01B-4D50-8480-3B0122D2EB1D}" userId="S::LFVitti@ctgpar.ctgbr.com.br::19cddb1a-2511-4878-8bbf-d02f65c39bc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8" dT="2026-04-22T13:36:24.33" personId="{03AFB194-C01B-4D50-8480-3B0122D2EB1D}" id="{17D23160-A70D-4A49-864E-8A15B03BF131}">
    <text>@Leonardo Seiji Watanabe favor incluir as metas</text>
    <mentions>
      <mention mentionpersonId="{8EDE2BC0-5D1C-4C7F-A43A-F556DA43402D}" mentionId="{0C5A28A5-C369-47FA-A7D3-FA4A1709427A}" startIndex="0" length="24"/>
    </mentions>
  </threadedComment>
  <threadedComment ref="A50" dT="2026-04-22T13:40:55.87" personId="{03AFB194-C01B-4D50-8480-3B0122D2EB1D}" id="{6CA5ED82-7982-4143-A565-CAD863ED3AFD}">
    <text>@Hallyson Izidoro dos Santos incluir mais metas</text>
    <mentions>
      <mention mentionpersonId="{594882B0-500D-4D48-9B91-9B2276643422}" mentionId="{677850C3-6F98-4DEE-BE77-7E69D32351C5}" startIndex="0" length="28"/>
    </mentions>
  </threadedComment>
  <threadedComment ref="A78" dT="2026-04-22T13:35:37.96" personId="{03AFB194-C01B-4D50-8480-3B0122D2EB1D}" id="{88BC9D9A-2875-432F-9C70-0CC42449072F}">
    <text>@Marcos Hiroshi Kadota favor incluir as metas</text>
    <mentions>
      <mention mentionpersonId="{887D89CB-B678-41D4-95CE-64A9A5B9181E}" mentionId="{1E4A9E83-1B1B-46D4-ABAC-0ACBC449BEC6}" startIndex="0" length="22"/>
    </mentions>
  </threadedComment>
  <threadedComment ref="A86" dT="2026-04-22T13:36:08.25" personId="{03AFB194-C01B-4D50-8480-3B0122D2EB1D}" id="{8B4911F6-560E-40FF-B3E4-311317911397}">
    <text>@Victor Alberto Garcia Osorio favor incluir as metas</text>
    <mentions>
      <mention mentionpersonId="{A02BF43C-B421-429B-B5AD-0AA030B53C51}" mentionId="{C5FC0117-4207-456E-B8C3-7A2C249AAF3F}" startIndex="0" length="29"/>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F275C-FDEB-4703-9F7E-F50924DC0A34}">
  <dimension ref="A1:I13"/>
  <sheetViews>
    <sheetView zoomScale="70" zoomScaleNormal="70" workbookViewId="0">
      <selection activeCell="D6" sqref="D6"/>
    </sheetView>
  </sheetViews>
  <sheetFormatPr defaultColWidth="9" defaultRowHeight="14.1"/>
  <cols>
    <col min="1" max="1" width="28.85546875" style="24" customWidth="1"/>
    <col min="2" max="2" width="27.85546875" style="24" bestFit="1" customWidth="1"/>
    <col min="3" max="4" width="41.85546875" style="24" customWidth="1"/>
    <col min="5" max="5" width="49.5703125" style="24" customWidth="1"/>
    <col min="6" max="6" width="24" style="24" bestFit="1" customWidth="1"/>
    <col min="7" max="8" width="30.42578125" style="24" customWidth="1"/>
    <col min="9" max="9" width="30.5703125" style="24" bestFit="1" customWidth="1"/>
    <col min="10" max="10" width="28.42578125" style="24" bestFit="1" customWidth="1"/>
    <col min="11" max="11" width="29.42578125" style="24" customWidth="1"/>
    <col min="12" max="12" width="17.140625" style="24" customWidth="1"/>
    <col min="13" max="16384" width="9" style="24"/>
  </cols>
  <sheetData>
    <row r="1" spans="1:9">
      <c r="A1" s="2" t="s">
        <v>0</v>
      </c>
      <c r="B1" s="3" t="s">
        <v>1</v>
      </c>
      <c r="C1" s="3" t="s">
        <v>2</v>
      </c>
      <c r="D1" s="3" t="s">
        <v>3</v>
      </c>
      <c r="E1" s="3" t="s">
        <v>4</v>
      </c>
      <c r="F1" s="4">
        <v>0.8</v>
      </c>
      <c r="G1" s="4">
        <v>1</v>
      </c>
      <c r="H1" s="4">
        <v>1.2</v>
      </c>
      <c r="I1" s="4" t="s">
        <v>5</v>
      </c>
    </row>
    <row r="2" spans="1:9" ht="56.1" customHeight="1">
      <c r="A2" s="452" t="s">
        <v>6</v>
      </c>
      <c r="B2" s="15" t="s">
        <v>7</v>
      </c>
      <c r="C2" s="15" t="s">
        <v>7</v>
      </c>
      <c r="D2" s="45" t="s">
        <v>8</v>
      </c>
      <c r="E2" s="16"/>
      <c r="F2" s="35" t="s">
        <v>9</v>
      </c>
      <c r="G2" s="35" t="s">
        <v>9</v>
      </c>
      <c r="H2" s="35" t="s">
        <v>9</v>
      </c>
      <c r="I2" s="5"/>
    </row>
    <row r="3" spans="1:9">
      <c r="A3" s="452"/>
      <c r="B3" s="15" t="s">
        <v>10</v>
      </c>
      <c r="C3" s="7" t="s">
        <v>10</v>
      </c>
      <c r="D3" s="46"/>
      <c r="E3" s="16"/>
      <c r="F3" s="15">
        <v>53</v>
      </c>
      <c r="G3" s="15">
        <v>39</v>
      </c>
      <c r="H3" s="15">
        <v>25</v>
      </c>
      <c r="I3" s="5"/>
    </row>
    <row r="4" spans="1:9" ht="123.95" customHeight="1" thickBot="1">
      <c r="A4" s="452"/>
      <c r="B4" s="15" t="s">
        <v>11</v>
      </c>
      <c r="C4" s="7" t="s">
        <v>11</v>
      </c>
      <c r="D4" s="6" t="s">
        <v>12</v>
      </c>
      <c r="E4" s="16"/>
      <c r="F4" s="15" t="s">
        <v>13</v>
      </c>
      <c r="G4" s="15" t="s">
        <v>14</v>
      </c>
      <c r="H4" s="15" t="s">
        <v>15</v>
      </c>
      <c r="I4" s="5"/>
    </row>
    <row r="5" spans="1:9" ht="14.1" customHeight="1">
      <c r="A5" s="452"/>
      <c r="B5" s="15"/>
      <c r="C5" s="7"/>
      <c r="D5" s="5" t="s">
        <v>16</v>
      </c>
      <c r="E5" s="16"/>
      <c r="F5" s="310"/>
      <c r="G5" s="5"/>
      <c r="H5" s="5"/>
      <c r="I5" s="5"/>
    </row>
    <row r="6" spans="1:9" ht="14.1" customHeight="1">
      <c r="A6" s="452"/>
      <c r="B6" s="15" t="s">
        <v>17</v>
      </c>
      <c r="C6" s="7" t="s">
        <v>17</v>
      </c>
      <c r="D6" s="5"/>
      <c r="E6" s="16"/>
      <c r="F6" s="311"/>
      <c r="G6" s="5"/>
      <c r="H6" s="5"/>
      <c r="I6" s="5"/>
    </row>
    <row r="7" spans="1:9" ht="15">
      <c r="A7" s="452"/>
      <c r="B7" s="15"/>
      <c r="C7" s="7"/>
      <c r="D7" s="5"/>
      <c r="E7" s="16"/>
      <c r="F7" s="312"/>
      <c r="G7" s="5"/>
      <c r="H7" s="5"/>
      <c r="I7" s="26"/>
    </row>
    <row r="8" spans="1:9">
      <c r="A8" s="452"/>
      <c r="B8" s="15"/>
      <c r="C8" s="25"/>
      <c r="D8" s="5"/>
      <c r="E8" s="16"/>
      <c r="F8" s="18"/>
      <c r="G8" s="18"/>
      <c r="H8" s="18"/>
      <c r="I8" s="5"/>
    </row>
    <row r="11" spans="1:9" ht="15.6">
      <c r="B11" s="306" t="s">
        <v>2</v>
      </c>
      <c r="C11" s="307" t="s">
        <v>18</v>
      </c>
      <c r="D11" s="307" t="s">
        <v>19</v>
      </c>
      <c r="E11" s="307" t="s">
        <v>20</v>
      </c>
      <c r="F11" s="306" t="s">
        <v>21</v>
      </c>
      <c r="G11" s="308">
        <v>0.8</v>
      </c>
      <c r="H11" s="308">
        <v>1</v>
      </c>
      <c r="I11" s="308">
        <v>1.2</v>
      </c>
    </row>
    <row r="13" spans="1:9" ht="30.95">
      <c r="B13" s="309" t="s">
        <v>22</v>
      </c>
      <c r="C13" s="309" t="s">
        <v>23</v>
      </c>
      <c r="D13" s="309" t="s">
        <v>24</v>
      </c>
      <c r="E13" s="309" t="s">
        <v>25</v>
      </c>
      <c r="F13" s="309" t="s">
        <v>26</v>
      </c>
      <c r="G13" s="309" t="s">
        <v>27</v>
      </c>
      <c r="H13" s="309" t="s">
        <v>28</v>
      </c>
    </row>
  </sheetData>
  <mergeCells count="1">
    <mergeCell ref="A2:A8"/>
  </mergeCells>
  <pageMargins left="0.511811024" right="0.511811024" top="0.78740157499999996" bottom="0.78740157499999996" header="0.31496062000000002" footer="0.31496062000000002"/>
  <pageSetup paperSize="9" orientation="portrait" horizontalDpi="300" verticalDpi="300"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0"/>
  <sheetViews>
    <sheetView zoomScale="70" zoomScaleNormal="70" workbookViewId="0">
      <pane xSplit="2" ySplit="1" topLeftCell="C2" activePane="bottomRight" state="frozen"/>
      <selection pane="bottomRight" activeCell="F57" sqref="F57"/>
      <selection pane="bottomLeft" activeCell="A2" sqref="A2"/>
      <selection pane="topRight" activeCell="C1" sqref="C1"/>
    </sheetView>
  </sheetViews>
  <sheetFormatPr defaultRowHeight="14.45"/>
  <cols>
    <col min="1" max="1" width="21" customWidth="1"/>
    <col min="2" max="2" width="40.85546875" customWidth="1"/>
    <col min="3" max="3" width="40.140625" style="8" customWidth="1"/>
    <col min="4" max="4" width="61.5703125" customWidth="1"/>
    <col min="5" max="5" width="10.140625" style="8" bestFit="1" customWidth="1"/>
    <col min="6" max="6" width="29.85546875" customWidth="1"/>
    <col min="7" max="7" width="31.85546875" customWidth="1"/>
    <col min="8" max="8" width="28.28515625" customWidth="1"/>
    <col min="9" max="9" width="38.5703125" customWidth="1"/>
    <col min="12" max="12" width="75.5703125" customWidth="1"/>
  </cols>
  <sheetData>
    <row r="1" spans="1:9" ht="15" thickBot="1">
      <c r="A1" s="335" t="s">
        <v>0</v>
      </c>
      <c r="B1" s="336" t="s">
        <v>1</v>
      </c>
      <c r="C1" s="336" t="s">
        <v>2</v>
      </c>
      <c r="D1" s="336" t="s">
        <v>3</v>
      </c>
      <c r="E1" s="336" t="s">
        <v>4</v>
      </c>
      <c r="F1" s="337">
        <v>0.8</v>
      </c>
      <c r="G1" s="337">
        <v>1</v>
      </c>
      <c r="H1" s="337">
        <v>1.2</v>
      </c>
      <c r="I1" s="337" t="s">
        <v>5</v>
      </c>
    </row>
    <row r="2" spans="1:9">
      <c r="A2" s="453" t="s">
        <v>29</v>
      </c>
      <c r="B2" s="338" t="s">
        <v>30</v>
      </c>
      <c r="C2" s="314"/>
      <c r="D2" s="339"/>
      <c r="E2" s="316">
        <v>0.15</v>
      </c>
      <c r="F2" s="340"/>
      <c r="G2" s="340"/>
      <c r="H2" s="340"/>
      <c r="I2" s="64"/>
    </row>
    <row r="3" spans="1:9">
      <c r="A3" s="454"/>
      <c r="B3" s="99" t="s">
        <v>10</v>
      </c>
      <c r="C3" s="7"/>
      <c r="D3" s="324"/>
      <c r="E3" s="20">
        <v>0.1</v>
      </c>
      <c r="F3" s="325"/>
      <c r="G3" s="325"/>
      <c r="H3" s="325"/>
      <c r="I3" s="66"/>
    </row>
    <row r="4" spans="1:9">
      <c r="A4" s="454"/>
      <c r="B4" s="99" t="s">
        <v>31</v>
      </c>
      <c r="C4" s="7"/>
      <c r="D4" s="324"/>
      <c r="E4" s="20">
        <v>0.15</v>
      </c>
      <c r="F4" s="325"/>
      <c r="G4" s="325"/>
      <c r="H4" s="325"/>
      <c r="I4" s="66"/>
    </row>
    <row r="5" spans="1:9">
      <c r="A5" s="454"/>
      <c r="B5" s="15" t="s">
        <v>32</v>
      </c>
      <c r="C5" s="7"/>
      <c r="D5" s="6"/>
      <c r="E5" s="16">
        <v>0.05</v>
      </c>
      <c r="F5" s="325"/>
      <c r="G5" s="325"/>
      <c r="H5" s="325"/>
      <c r="I5" s="66"/>
    </row>
    <row r="6" spans="1:9">
      <c r="A6" s="454"/>
      <c r="B6" s="99"/>
      <c r="C6" s="7"/>
      <c r="D6" s="324"/>
      <c r="E6" s="20"/>
      <c r="F6" s="326"/>
      <c r="G6" s="325"/>
      <c r="H6" s="325"/>
      <c r="I6" s="66"/>
    </row>
    <row r="7" spans="1:9">
      <c r="A7" s="454"/>
      <c r="B7" s="99"/>
      <c r="C7" s="7"/>
      <c r="D7" s="324"/>
      <c r="E7" s="20"/>
      <c r="F7" s="325"/>
      <c r="G7" s="325"/>
      <c r="H7" s="325"/>
      <c r="I7" s="66"/>
    </row>
    <row r="8" spans="1:9">
      <c r="A8" s="454"/>
      <c r="B8" s="99"/>
      <c r="C8" s="7"/>
      <c r="D8" s="5"/>
      <c r="E8" s="16"/>
      <c r="F8" s="327"/>
      <c r="G8" s="327"/>
      <c r="H8" s="327"/>
      <c r="I8" s="66"/>
    </row>
    <row r="9" spans="1:9">
      <c r="A9" s="454"/>
      <c r="B9" s="99"/>
      <c r="C9" s="7"/>
      <c r="D9" s="99"/>
      <c r="E9" s="20"/>
      <c r="F9" s="99"/>
      <c r="G9" s="99"/>
      <c r="H9" s="99"/>
      <c r="I9" s="66"/>
    </row>
    <row r="10" spans="1:9" ht="15" customHeight="1" thickBot="1">
      <c r="A10" s="455"/>
      <c r="B10" s="323"/>
      <c r="C10" s="341"/>
      <c r="D10" s="331"/>
      <c r="E10" s="332"/>
      <c r="F10" s="323"/>
      <c r="G10" s="323"/>
      <c r="H10" s="323"/>
      <c r="I10" s="57"/>
    </row>
    <row r="11" spans="1:9">
      <c r="A11" s="453" t="s">
        <v>33</v>
      </c>
      <c r="B11" s="106" t="s">
        <v>30</v>
      </c>
      <c r="C11" s="314"/>
      <c r="D11" s="344"/>
      <c r="E11" s="329">
        <v>0.15</v>
      </c>
      <c r="F11" s="106"/>
      <c r="G11" s="106"/>
      <c r="H11" s="93"/>
      <c r="I11" s="64"/>
    </row>
    <row r="12" spans="1:9">
      <c r="A12" s="454"/>
      <c r="B12" s="15" t="s">
        <v>10</v>
      </c>
      <c r="C12" s="7"/>
      <c r="D12" s="6"/>
      <c r="E12" s="16">
        <v>0.1</v>
      </c>
      <c r="F12" s="15"/>
      <c r="G12" s="15"/>
      <c r="H12" s="5"/>
      <c r="I12" s="66"/>
    </row>
    <row r="13" spans="1:9" ht="27.95">
      <c r="A13" s="454"/>
      <c r="B13" s="15" t="s">
        <v>31</v>
      </c>
      <c r="C13" s="7"/>
      <c r="D13" s="6"/>
      <c r="E13" s="16">
        <v>0.15</v>
      </c>
      <c r="F13" s="15"/>
      <c r="G13" s="15"/>
      <c r="H13" s="5"/>
      <c r="I13" s="66"/>
    </row>
    <row r="14" spans="1:9">
      <c r="A14" s="454"/>
      <c r="B14" s="15"/>
      <c r="C14" s="7"/>
      <c r="D14" s="6"/>
      <c r="E14" s="16"/>
      <c r="F14" s="15"/>
      <c r="G14" s="15"/>
      <c r="H14" s="5"/>
      <c r="I14" s="66"/>
    </row>
    <row r="15" spans="1:9">
      <c r="A15" s="454"/>
      <c r="B15" s="15"/>
      <c r="C15" s="7"/>
      <c r="D15" s="15"/>
      <c r="E15" s="16"/>
      <c r="F15" s="15"/>
      <c r="G15" s="15"/>
      <c r="H15" s="5"/>
      <c r="I15" s="66"/>
    </row>
    <row r="16" spans="1:9">
      <c r="A16" s="454"/>
      <c r="B16" s="15"/>
      <c r="C16" s="7"/>
      <c r="D16" s="5"/>
      <c r="E16" s="20"/>
      <c r="F16" s="5"/>
      <c r="G16" s="5"/>
      <c r="H16" s="5"/>
      <c r="I16" s="66"/>
    </row>
    <row r="17" spans="1:9" ht="15" thickBot="1">
      <c r="A17" s="455"/>
      <c r="B17" s="323"/>
      <c r="C17" s="341"/>
      <c r="D17" s="331"/>
      <c r="E17" s="332"/>
      <c r="F17" s="331"/>
      <c r="G17" s="331"/>
      <c r="H17" s="331"/>
      <c r="I17" s="57"/>
    </row>
    <row r="18" spans="1:9">
      <c r="A18" s="453" t="s">
        <v>34</v>
      </c>
      <c r="B18" s="328" t="s">
        <v>30</v>
      </c>
      <c r="C18" s="346"/>
      <c r="D18" s="328"/>
      <c r="E18" s="329">
        <v>0.15</v>
      </c>
      <c r="F18" s="328"/>
      <c r="G18" s="328"/>
      <c r="H18" s="328"/>
      <c r="I18" s="347"/>
    </row>
    <row r="19" spans="1:9">
      <c r="A19" s="454"/>
      <c r="B19" s="9" t="s">
        <v>10</v>
      </c>
      <c r="C19" s="303"/>
      <c r="D19" s="9"/>
      <c r="E19" s="16">
        <v>0.1</v>
      </c>
      <c r="F19" s="334"/>
      <c r="G19" s="334"/>
      <c r="H19" s="334"/>
      <c r="I19" s="348"/>
    </row>
    <row r="20" spans="1:9" ht="27.95">
      <c r="A20" s="454"/>
      <c r="B20" s="9" t="s">
        <v>35</v>
      </c>
      <c r="C20" s="303"/>
      <c r="D20" s="9"/>
      <c r="E20" s="16">
        <v>0.15</v>
      </c>
      <c r="F20" s="334"/>
      <c r="G20" s="334"/>
      <c r="H20" s="334"/>
      <c r="I20" s="348"/>
    </row>
    <row r="21" spans="1:9">
      <c r="A21" s="454"/>
      <c r="B21" s="9"/>
      <c r="C21" s="303"/>
      <c r="D21" s="9"/>
      <c r="E21" s="16"/>
      <c r="F21" s="334"/>
      <c r="G21" s="334"/>
      <c r="H21" s="334"/>
      <c r="I21" s="348"/>
    </row>
    <row r="22" spans="1:9">
      <c r="A22" s="454"/>
      <c r="B22" s="9"/>
      <c r="C22" s="303"/>
      <c r="D22" s="9"/>
      <c r="E22" s="16"/>
      <c r="F22" s="334"/>
      <c r="G22" s="334"/>
      <c r="H22" s="334"/>
      <c r="I22" s="348"/>
    </row>
    <row r="23" spans="1:9">
      <c r="A23" s="454"/>
      <c r="B23" s="9"/>
      <c r="C23" s="303"/>
      <c r="D23" s="9"/>
      <c r="E23" s="16"/>
      <c r="F23" s="334"/>
      <c r="G23" s="334"/>
      <c r="H23" s="334"/>
      <c r="I23" s="349"/>
    </row>
    <row r="24" spans="1:9">
      <c r="A24" s="454"/>
      <c r="B24" s="330"/>
      <c r="C24" s="7"/>
      <c r="D24" s="324"/>
      <c r="E24" s="20"/>
      <c r="F24" s="325"/>
      <c r="G24" s="325"/>
      <c r="H24" s="325"/>
      <c r="I24" s="66"/>
    </row>
    <row r="25" spans="1:9" ht="15" thickBot="1">
      <c r="A25" s="455"/>
      <c r="B25" s="333"/>
      <c r="C25" s="350"/>
      <c r="D25" s="333"/>
      <c r="E25" s="332"/>
      <c r="F25" s="351"/>
      <c r="G25" s="351"/>
      <c r="H25" s="351"/>
      <c r="I25" s="352"/>
    </row>
    <row r="26" spans="1:9" ht="15" thickBot="1">
      <c r="A26" s="453" t="s">
        <v>36</v>
      </c>
      <c r="B26" s="313" t="s">
        <v>30</v>
      </c>
      <c r="C26" s="314"/>
      <c r="D26" s="315"/>
      <c r="E26" s="316">
        <v>0.15</v>
      </c>
      <c r="F26" s="382">
        <v>0.95330000000000004</v>
      </c>
      <c r="G26" s="383">
        <v>0.95499999999999996</v>
      </c>
      <c r="H26" s="384">
        <v>0.95720000000000005</v>
      </c>
      <c r="I26" s="64"/>
    </row>
    <row r="27" spans="1:9">
      <c r="A27" s="453"/>
      <c r="B27" s="317" t="s">
        <v>10</v>
      </c>
      <c r="C27" s="318"/>
      <c r="D27" s="319"/>
      <c r="E27" s="320">
        <v>0.1</v>
      </c>
      <c r="F27" s="381">
        <v>53</v>
      </c>
      <c r="G27" s="381">
        <v>38</v>
      </c>
      <c r="H27" s="381">
        <v>24</v>
      </c>
      <c r="I27" s="65"/>
    </row>
    <row r="28" spans="1:9" ht="35.1" customHeight="1">
      <c r="A28" s="456"/>
      <c r="B28" s="385" t="s">
        <v>31</v>
      </c>
      <c r="C28" s="386"/>
      <c r="D28" s="387"/>
      <c r="E28" s="388" t="s">
        <v>37</v>
      </c>
      <c r="F28" s="386" t="s">
        <v>38</v>
      </c>
      <c r="G28" s="386" t="s">
        <v>38</v>
      </c>
      <c r="H28" s="386" t="s">
        <v>38</v>
      </c>
      <c r="I28" s="389"/>
    </row>
    <row r="29" spans="1:9" ht="35.1" customHeight="1">
      <c r="A29" s="456"/>
      <c r="B29" s="385" t="s">
        <v>39</v>
      </c>
      <c r="C29" s="386"/>
      <c r="D29" s="387"/>
      <c r="E29" s="388" t="s">
        <v>37</v>
      </c>
      <c r="F29" s="386" t="s">
        <v>38</v>
      </c>
      <c r="G29" s="386" t="s">
        <v>38</v>
      </c>
      <c r="H29" s="386" t="s">
        <v>38</v>
      </c>
      <c r="I29" s="389"/>
    </row>
    <row r="30" spans="1:9" ht="42.6" thickBot="1">
      <c r="A30" s="454"/>
      <c r="B30" s="321" t="s">
        <v>40</v>
      </c>
      <c r="C30" s="7" t="s">
        <v>41</v>
      </c>
      <c r="D30" s="15" t="s">
        <v>42</v>
      </c>
      <c r="E30" s="16">
        <v>0.15</v>
      </c>
      <c r="F30" s="322" t="s">
        <v>43</v>
      </c>
      <c r="G30" s="322" t="s">
        <v>44</v>
      </c>
      <c r="H30" s="322" t="s">
        <v>45</v>
      </c>
      <c r="I30" s="66"/>
    </row>
    <row r="31" spans="1:9" ht="126" customHeight="1" thickBot="1">
      <c r="A31" s="453"/>
      <c r="B31" s="15" t="s">
        <v>46</v>
      </c>
      <c r="C31" s="7" t="s">
        <v>41</v>
      </c>
      <c r="D31" s="15" t="s">
        <v>47</v>
      </c>
      <c r="E31" s="16">
        <v>0.15</v>
      </c>
      <c r="F31" s="5" t="s">
        <v>48</v>
      </c>
      <c r="G31" s="5" t="s">
        <v>49</v>
      </c>
      <c r="H31" s="5" t="s">
        <v>50</v>
      </c>
      <c r="I31" s="66"/>
    </row>
    <row r="32" spans="1:9" ht="126" customHeight="1" thickBot="1">
      <c r="A32" s="461"/>
      <c r="B32" s="355" t="s">
        <v>51</v>
      </c>
      <c r="C32" s="7" t="s">
        <v>41</v>
      </c>
      <c r="D32" s="355" t="s">
        <v>52</v>
      </c>
      <c r="E32" s="357">
        <v>0.15</v>
      </c>
      <c r="F32" s="390" t="s">
        <v>53</v>
      </c>
      <c r="G32" s="390" t="s">
        <v>54</v>
      </c>
      <c r="H32" s="390" t="s">
        <v>55</v>
      </c>
      <c r="I32" s="372"/>
    </row>
    <row r="33" spans="1:9" ht="126" customHeight="1" thickBot="1">
      <c r="A33" s="461"/>
      <c r="B33" s="355" t="s">
        <v>56</v>
      </c>
      <c r="C33" s="7" t="s">
        <v>41</v>
      </c>
      <c r="D33" s="355" t="s">
        <v>57</v>
      </c>
      <c r="E33" s="357">
        <v>0.15</v>
      </c>
      <c r="F33" s="390" t="s">
        <v>58</v>
      </c>
      <c r="G33" s="390" t="s">
        <v>59</v>
      </c>
      <c r="H33" s="390" t="s">
        <v>60</v>
      </c>
      <c r="I33" s="372"/>
    </row>
    <row r="34" spans="1:9" ht="60" customHeight="1" thickBot="1">
      <c r="A34" s="461"/>
      <c r="B34" s="355" t="s">
        <v>61</v>
      </c>
      <c r="C34" s="371" t="s">
        <v>41</v>
      </c>
      <c r="D34" s="355" t="s">
        <v>62</v>
      </c>
      <c r="E34" s="357">
        <v>0.15</v>
      </c>
      <c r="F34" s="120" t="s">
        <v>63</v>
      </c>
      <c r="G34" s="120" t="s">
        <v>64</v>
      </c>
      <c r="H34" s="358" t="s">
        <v>65</v>
      </c>
      <c r="I34" s="372"/>
    </row>
    <row r="35" spans="1:9">
      <c r="A35" s="457" t="s">
        <v>66</v>
      </c>
      <c r="B35" s="363" t="s">
        <v>30</v>
      </c>
      <c r="C35" s="360"/>
      <c r="D35" s="361"/>
      <c r="E35" s="362">
        <v>0.15</v>
      </c>
      <c r="F35" s="363"/>
      <c r="G35" s="363"/>
      <c r="H35" s="363"/>
      <c r="I35" s="297"/>
    </row>
    <row r="36" spans="1:9">
      <c r="A36" s="458"/>
      <c r="B36" s="378" t="s">
        <v>67</v>
      </c>
      <c r="C36" s="353"/>
      <c r="D36" s="379"/>
      <c r="E36" s="359">
        <v>0.1</v>
      </c>
      <c r="F36" s="353"/>
      <c r="G36" s="353"/>
      <c r="H36" s="353"/>
      <c r="I36" s="299"/>
    </row>
    <row r="37" spans="1:9" ht="57.95">
      <c r="A37" s="458"/>
      <c r="B37" s="378" t="s">
        <v>68</v>
      </c>
      <c r="C37" s="353" t="s">
        <v>41</v>
      </c>
      <c r="D37" s="380"/>
      <c r="E37" s="359">
        <v>0.25</v>
      </c>
      <c r="F37" s="353" t="s">
        <v>69</v>
      </c>
      <c r="G37" s="353" t="s">
        <v>70</v>
      </c>
      <c r="H37" s="353" t="s">
        <v>71</v>
      </c>
      <c r="I37" s="299"/>
    </row>
    <row r="38" spans="1:9" ht="43.5">
      <c r="A38" s="458"/>
      <c r="B38" s="378" t="s">
        <v>72</v>
      </c>
      <c r="C38" s="353" t="s">
        <v>73</v>
      </c>
      <c r="D38" s="380"/>
      <c r="E38" s="359">
        <v>0.15</v>
      </c>
      <c r="F38" s="353" t="s">
        <v>74</v>
      </c>
      <c r="G38" s="353" t="s">
        <v>75</v>
      </c>
      <c r="H38" s="353" t="s">
        <v>76</v>
      </c>
      <c r="I38" s="299"/>
    </row>
    <row r="39" spans="1:9" ht="43.5">
      <c r="A39" s="458"/>
      <c r="B39" s="353" t="s">
        <v>77</v>
      </c>
      <c r="C39" s="354" t="s">
        <v>73</v>
      </c>
      <c r="D39" s="356"/>
      <c r="E39" s="359">
        <v>0.1</v>
      </c>
      <c r="F39" s="353" t="s">
        <v>74</v>
      </c>
      <c r="G39" s="353" t="s">
        <v>75</v>
      </c>
      <c r="H39" s="353" t="s">
        <v>76</v>
      </c>
      <c r="I39" s="364"/>
    </row>
    <row r="40" spans="1:9" ht="57.95">
      <c r="A40" s="459"/>
      <c r="B40" s="378" t="s">
        <v>78</v>
      </c>
      <c r="C40" s="353" t="s">
        <v>41</v>
      </c>
      <c r="D40" s="408"/>
      <c r="E40" s="359">
        <v>0.25</v>
      </c>
      <c r="F40" s="353" t="s">
        <v>79</v>
      </c>
      <c r="G40" s="353" t="s">
        <v>80</v>
      </c>
      <c r="H40" s="353" t="s">
        <v>71</v>
      </c>
      <c r="I40" s="365"/>
    </row>
    <row r="41" spans="1:9" ht="15" thickBot="1">
      <c r="A41" s="460"/>
      <c r="B41" s="377"/>
      <c r="C41" s="366"/>
      <c r="D41" s="367"/>
      <c r="E41" s="368"/>
      <c r="F41" s="369"/>
      <c r="G41" s="369"/>
      <c r="H41" s="369"/>
      <c r="I41" s="370"/>
    </row>
    <row r="42" spans="1:9">
      <c r="A42" s="456" t="s">
        <v>81</v>
      </c>
      <c r="B42" s="373" t="s">
        <v>30</v>
      </c>
      <c r="C42" s="318"/>
      <c r="D42" s="374"/>
      <c r="E42" s="375">
        <v>0.15</v>
      </c>
      <c r="F42" s="376"/>
      <c r="G42" s="376"/>
      <c r="H42" s="376"/>
      <c r="I42" s="65"/>
    </row>
    <row r="43" spans="1:9">
      <c r="A43" s="454"/>
      <c r="B43" s="99" t="s">
        <v>10</v>
      </c>
      <c r="C43" s="7"/>
      <c r="D43" s="324"/>
      <c r="E43" s="20">
        <v>0.1</v>
      </c>
      <c r="F43" s="91"/>
      <c r="G43" s="325"/>
      <c r="H43" s="325"/>
      <c r="I43" s="66"/>
    </row>
    <row r="44" spans="1:9">
      <c r="A44" s="454"/>
      <c r="B44" s="99" t="s">
        <v>31</v>
      </c>
      <c r="C44" s="7"/>
      <c r="D44" s="99"/>
      <c r="E44" s="20">
        <v>0.15</v>
      </c>
      <c r="F44" s="99"/>
      <c r="G44" s="99"/>
      <c r="H44" s="99"/>
      <c r="I44" s="66"/>
    </row>
    <row r="45" spans="1:9">
      <c r="A45" s="454"/>
      <c r="B45" s="99"/>
      <c r="C45" s="7"/>
      <c r="D45" s="99"/>
      <c r="E45" s="20"/>
      <c r="F45" s="99"/>
      <c r="G45" s="99"/>
      <c r="H45" s="99"/>
      <c r="I45" s="66"/>
    </row>
    <row r="46" spans="1:9">
      <c r="A46" s="454"/>
      <c r="B46" s="99"/>
      <c r="C46" s="7"/>
      <c r="D46" s="99"/>
      <c r="E46" s="20"/>
      <c r="F46" s="99"/>
      <c r="G46" s="99"/>
      <c r="H46" s="99"/>
      <c r="I46" s="66"/>
    </row>
    <row r="47" spans="1:9" ht="15" customHeight="1" thickBot="1">
      <c r="A47" s="455"/>
      <c r="B47" s="342"/>
      <c r="C47" s="341"/>
      <c r="D47" s="323"/>
      <c r="E47" s="343"/>
      <c r="F47" s="331"/>
      <c r="G47" s="323"/>
      <c r="H47" s="323"/>
      <c r="I47" s="57"/>
    </row>
    <row r="48" spans="1:9">
      <c r="A48" s="453" t="s">
        <v>82</v>
      </c>
      <c r="B48" s="338" t="s">
        <v>30</v>
      </c>
      <c r="C48" s="314"/>
      <c r="D48" s="93"/>
      <c r="E48" s="329">
        <v>0.15</v>
      </c>
      <c r="F48" s="345"/>
      <c r="G48" s="345"/>
      <c r="H48" s="345"/>
      <c r="I48" s="64"/>
    </row>
    <row r="49" spans="1:9">
      <c r="A49" s="454"/>
      <c r="B49" s="99" t="s">
        <v>10</v>
      </c>
      <c r="C49" s="7"/>
      <c r="D49" s="324"/>
      <c r="E49" s="20">
        <v>0.1</v>
      </c>
      <c r="F49" s="99"/>
      <c r="G49" s="326"/>
      <c r="H49" s="326"/>
      <c r="I49" s="66"/>
    </row>
    <row r="50" spans="1:9">
      <c r="A50" s="454"/>
      <c r="B50" s="99"/>
      <c r="C50" s="7"/>
      <c r="D50" s="99"/>
      <c r="E50" s="20"/>
      <c r="F50" s="99"/>
      <c r="G50" s="99"/>
      <c r="H50" s="99"/>
      <c r="I50" s="66"/>
    </row>
    <row r="51" spans="1:9">
      <c r="A51" s="454"/>
      <c r="B51" s="99"/>
      <c r="C51" s="7"/>
      <c r="D51" s="99"/>
      <c r="E51" s="20"/>
      <c r="F51" s="99"/>
      <c r="G51" s="99"/>
      <c r="H51" s="99"/>
      <c r="I51" s="66"/>
    </row>
    <row r="52" spans="1:9">
      <c r="A52" s="454"/>
      <c r="B52" s="99"/>
      <c r="C52" s="7"/>
      <c r="D52" s="99"/>
      <c r="E52" s="20"/>
      <c r="F52" s="99"/>
      <c r="G52" s="99"/>
      <c r="H52" s="99"/>
      <c r="I52" s="66"/>
    </row>
    <row r="53" spans="1:9" ht="15" thickBot="1">
      <c r="A53" s="455"/>
      <c r="B53" s="342"/>
      <c r="C53" s="341"/>
      <c r="D53" s="342"/>
      <c r="E53" s="343"/>
      <c r="F53" s="342"/>
      <c r="G53" s="342"/>
      <c r="H53" s="342"/>
      <c r="I53" s="57"/>
    </row>
    <row r="54" spans="1:9">
      <c r="A54" s="453" t="s">
        <v>83</v>
      </c>
      <c r="B54" s="338" t="s">
        <v>30</v>
      </c>
      <c r="C54" s="314"/>
      <c r="D54" s="397"/>
      <c r="E54" s="316">
        <v>0.15</v>
      </c>
      <c r="F54" s="328"/>
      <c r="G54" s="328"/>
      <c r="H54" s="328"/>
      <c r="I54" s="64"/>
    </row>
    <row r="55" spans="1:9">
      <c r="A55" s="454"/>
      <c r="B55" s="99" t="s">
        <v>10</v>
      </c>
      <c r="C55" s="7"/>
      <c r="D55" s="398"/>
      <c r="E55" s="20">
        <v>0.1</v>
      </c>
      <c r="F55" s="91"/>
      <c r="G55" s="325"/>
      <c r="H55" s="325"/>
      <c r="I55" s="66"/>
    </row>
    <row r="56" spans="1:9" ht="111.95">
      <c r="A56" s="454"/>
      <c r="B56" s="99" t="s">
        <v>84</v>
      </c>
      <c r="C56" s="7" t="s">
        <v>73</v>
      </c>
      <c r="D56" s="11" t="s">
        <v>85</v>
      </c>
      <c r="E56" s="16">
        <v>0.2</v>
      </c>
      <c r="F56" s="192" t="s">
        <v>86</v>
      </c>
      <c r="G56" s="192" t="s">
        <v>87</v>
      </c>
      <c r="H56" s="192" t="s">
        <v>88</v>
      </c>
      <c r="I56" s="66"/>
    </row>
    <row r="57" spans="1:9">
      <c r="A57" s="454"/>
      <c r="B57" s="99"/>
      <c r="C57" s="7"/>
      <c r="D57" s="99"/>
      <c r="E57" s="20"/>
      <c r="F57" s="99"/>
      <c r="G57" s="99"/>
      <c r="H57" s="99"/>
      <c r="I57" s="66"/>
    </row>
    <row r="58" spans="1:9">
      <c r="A58" s="454"/>
      <c r="B58" s="99"/>
      <c r="C58" s="7"/>
      <c r="D58" s="5"/>
      <c r="E58" s="20"/>
      <c r="F58" s="327"/>
      <c r="G58" s="327"/>
      <c r="H58" s="327"/>
      <c r="I58" s="66"/>
    </row>
    <row r="59" spans="1:9">
      <c r="A59" s="454"/>
      <c r="B59" s="99"/>
      <c r="C59" s="7"/>
      <c r="D59" s="5"/>
      <c r="E59" s="20"/>
      <c r="F59" s="327"/>
      <c r="G59" s="327"/>
      <c r="H59" s="327"/>
      <c r="I59" s="66"/>
    </row>
    <row r="60" spans="1:9" ht="15" thickBot="1">
      <c r="A60" s="455"/>
      <c r="B60" s="342"/>
      <c r="C60" s="341"/>
      <c r="D60" s="342"/>
      <c r="E60" s="343"/>
      <c r="F60" s="342"/>
      <c r="G60" s="342"/>
      <c r="H60" s="342"/>
      <c r="I60" s="57"/>
    </row>
  </sheetData>
  <autoFilter ref="A1:I60" xr:uid="{00000000-0001-0000-0300-000000000000}"/>
  <mergeCells count="8">
    <mergeCell ref="A54:A60"/>
    <mergeCell ref="A18:A25"/>
    <mergeCell ref="A42:A47"/>
    <mergeCell ref="A48:A53"/>
    <mergeCell ref="A2:A10"/>
    <mergeCell ref="A35:A41"/>
    <mergeCell ref="A11:A17"/>
    <mergeCell ref="A26:A34"/>
  </mergeCells>
  <phoneticPr fontId="7" type="noConversion"/>
  <pageMargins left="0.511811024" right="0.511811024" top="0.78740157499999996" bottom="0.78740157499999996" header="0.31496062000000002" footer="0.31496062000000002"/>
  <pageSetup paperSize="9" fitToHeight="0" orientation="landscape"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
  <sheetViews>
    <sheetView zoomScale="70" zoomScaleNormal="70" workbookViewId="0">
      <pane xSplit="1" ySplit="1" topLeftCell="B2" activePane="bottomRight" state="frozen"/>
      <selection pane="bottomRight" activeCell="A2" sqref="A2:A11"/>
      <selection pane="bottomLeft" activeCell="A2" sqref="A2"/>
      <selection pane="topRight" activeCell="B1" sqref="B1"/>
    </sheetView>
  </sheetViews>
  <sheetFormatPr defaultRowHeight="14.45"/>
  <cols>
    <col min="1" max="1" width="22.5703125" customWidth="1"/>
    <col min="2" max="2" width="37.5703125" customWidth="1"/>
    <col min="3" max="3" width="34.5703125" style="1" customWidth="1"/>
    <col min="4" max="4" width="85.140625" style="17" customWidth="1"/>
    <col min="6" max="6" width="45.42578125" customWidth="1"/>
    <col min="7" max="7" width="43" customWidth="1"/>
    <col min="8" max="8" width="43.5703125" customWidth="1"/>
    <col min="9" max="9" width="38.5703125" customWidth="1"/>
  </cols>
  <sheetData>
    <row r="1" spans="1:9" ht="15" thickBot="1">
      <c r="A1" s="255" t="s">
        <v>0</v>
      </c>
      <c r="B1" s="256" t="s">
        <v>1</v>
      </c>
      <c r="C1" s="256" t="s">
        <v>2</v>
      </c>
      <c r="D1" s="256" t="s">
        <v>3</v>
      </c>
      <c r="E1" s="256" t="s">
        <v>4</v>
      </c>
      <c r="F1" s="257">
        <v>0.8</v>
      </c>
      <c r="G1" s="257">
        <v>1</v>
      </c>
      <c r="H1" s="257">
        <v>1.2</v>
      </c>
      <c r="I1" s="258" t="s">
        <v>5</v>
      </c>
    </row>
    <row r="2" spans="1:9" ht="98.1">
      <c r="A2" s="464" t="s">
        <v>89</v>
      </c>
      <c r="B2" s="115" t="s">
        <v>90</v>
      </c>
      <c r="C2" s="47" t="s">
        <v>91</v>
      </c>
      <c r="D2" s="47" t="s">
        <v>92</v>
      </c>
      <c r="E2" s="60">
        <v>0.15</v>
      </c>
      <c r="F2" s="76" t="s">
        <v>93</v>
      </c>
      <c r="G2" s="76" t="s">
        <v>94</v>
      </c>
      <c r="H2" s="76" t="s">
        <v>95</v>
      </c>
      <c r="I2" s="262"/>
    </row>
    <row r="3" spans="1:9">
      <c r="A3" s="454"/>
      <c r="B3" s="90"/>
      <c r="C3" s="47"/>
      <c r="D3" s="115"/>
      <c r="E3" s="60"/>
      <c r="F3" s="11"/>
      <c r="G3" s="52"/>
      <c r="H3" s="52"/>
      <c r="I3" s="66"/>
    </row>
    <row r="4" spans="1:9">
      <c r="A4" s="454"/>
      <c r="B4" s="90"/>
      <c r="C4" s="47"/>
      <c r="D4" s="115"/>
      <c r="E4" s="60"/>
      <c r="F4" s="234"/>
      <c r="G4" s="234"/>
      <c r="H4" s="234"/>
      <c r="I4" s="66"/>
    </row>
    <row r="5" spans="1:9">
      <c r="A5" s="454"/>
      <c r="B5" s="90"/>
      <c r="C5" s="9"/>
      <c r="D5" s="9"/>
      <c r="E5" s="20"/>
      <c r="F5" s="9"/>
      <c r="G5" s="9"/>
      <c r="H5" s="9"/>
      <c r="I5" s="94"/>
    </row>
    <row r="6" spans="1:9">
      <c r="A6" s="454"/>
      <c r="B6" s="90"/>
      <c r="C6" s="11"/>
      <c r="D6" s="9"/>
      <c r="E6" s="20"/>
      <c r="F6" s="9"/>
      <c r="G6" s="9"/>
      <c r="H6" s="9"/>
      <c r="I6" s="259"/>
    </row>
    <row r="7" spans="1:9">
      <c r="A7" s="454"/>
      <c r="B7" s="90"/>
      <c r="C7" s="11"/>
      <c r="D7" s="120"/>
      <c r="E7" s="288"/>
      <c r="F7" s="193"/>
      <c r="G7" s="193"/>
      <c r="H7" s="193"/>
      <c r="I7" s="94"/>
    </row>
    <row r="8" spans="1:9">
      <c r="A8" s="454"/>
      <c r="B8" s="88"/>
      <c r="C8" s="9"/>
      <c r="D8" s="9"/>
      <c r="E8" s="20"/>
      <c r="F8" s="9"/>
      <c r="G8" s="11"/>
      <c r="H8" s="11"/>
      <c r="I8" s="94"/>
    </row>
    <row r="9" spans="1:9">
      <c r="A9" s="454"/>
      <c r="B9" s="88"/>
      <c r="C9" s="9"/>
      <c r="D9" s="9"/>
      <c r="E9" s="20"/>
      <c r="F9" s="11"/>
      <c r="G9" s="11"/>
      <c r="H9" s="11"/>
      <c r="I9" s="94"/>
    </row>
    <row r="10" spans="1:9">
      <c r="A10" s="454"/>
      <c r="B10" s="88"/>
      <c r="C10" s="9"/>
      <c r="D10" s="9"/>
      <c r="E10" s="20"/>
      <c r="F10" s="11"/>
      <c r="G10" s="11"/>
      <c r="H10" s="11"/>
      <c r="I10" s="94"/>
    </row>
    <row r="11" spans="1:9" ht="15" thickBot="1">
      <c r="A11" s="455"/>
      <c r="B11" s="98"/>
      <c r="C11" s="36"/>
      <c r="D11" s="173"/>
      <c r="E11" s="260"/>
      <c r="F11" s="36"/>
      <c r="G11" s="36"/>
      <c r="H11" s="36"/>
      <c r="I11" s="261"/>
    </row>
    <row r="12" spans="1:9">
      <c r="A12" s="462" t="s">
        <v>96</v>
      </c>
      <c r="B12" s="113"/>
      <c r="C12" s="118"/>
      <c r="D12" s="157"/>
      <c r="E12" s="92"/>
      <c r="F12" s="48"/>
      <c r="G12" s="48"/>
      <c r="H12" s="48"/>
      <c r="I12" s="65"/>
    </row>
    <row r="13" spans="1:9">
      <c r="A13" s="462"/>
      <c r="B13" s="88"/>
      <c r="C13" s="9"/>
      <c r="D13" s="9"/>
      <c r="E13" s="20"/>
      <c r="F13" s="52"/>
      <c r="G13" s="52"/>
      <c r="H13" s="52"/>
      <c r="I13" s="94"/>
    </row>
    <row r="14" spans="1:9">
      <c r="A14" s="462"/>
      <c r="B14" s="88"/>
      <c r="C14" s="9"/>
      <c r="D14" s="9"/>
      <c r="E14" s="20"/>
      <c r="F14" s="52"/>
      <c r="G14" s="52"/>
      <c r="H14" s="52"/>
      <c r="I14" s="94"/>
    </row>
    <row r="15" spans="1:9">
      <c r="A15" s="462"/>
      <c r="B15" s="90"/>
      <c r="C15" s="9"/>
      <c r="D15" s="9"/>
      <c r="E15" s="16"/>
      <c r="F15" s="89"/>
      <c r="G15" s="89"/>
      <c r="H15" s="89"/>
      <c r="I15" s="94"/>
    </row>
    <row r="16" spans="1:9">
      <c r="A16" s="462"/>
      <c r="B16" s="88"/>
      <c r="C16" s="9"/>
      <c r="D16" s="9"/>
      <c r="E16" s="16"/>
      <c r="F16" s="89"/>
      <c r="G16" s="89"/>
      <c r="H16" s="95"/>
      <c r="I16" s="94"/>
    </row>
    <row r="17" spans="1:9">
      <c r="A17" s="463"/>
      <c r="B17" s="98"/>
      <c r="C17" s="36"/>
      <c r="D17" s="173"/>
      <c r="E17" s="169"/>
      <c r="F17" s="170"/>
      <c r="G17" s="280"/>
      <c r="H17" s="170"/>
      <c r="I17" s="119"/>
    </row>
    <row r="18" spans="1:9">
      <c r="A18" s="456" t="s">
        <v>97</v>
      </c>
      <c r="B18" s="116"/>
      <c r="C18" s="103"/>
      <c r="D18" s="116"/>
      <c r="E18" s="104"/>
      <c r="F18" s="110"/>
      <c r="G18" s="110"/>
      <c r="H18" s="110"/>
      <c r="I18" s="65"/>
    </row>
    <row r="19" spans="1:9">
      <c r="A19" s="454"/>
      <c r="B19" s="9"/>
      <c r="C19" s="9"/>
      <c r="D19" s="9"/>
      <c r="E19" s="60"/>
      <c r="F19" s="52"/>
      <c r="G19" s="52"/>
      <c r="H19" s="52"/>
      <c r="I19" s="66"/>
    </row>
    <row r="20" spans="1:9">
      <c r="A20" s="454"/>
      <c r="B20" s="9"/>
      <c r="C20" s="9"/>
      <c r="D20" s="9"/>
      <c r="E20" s="60"/>
      <c r="F20" s="11"/>
      <c r="G20" s="11"/>
      <c r="H20" s="11"/>
      <c r="I20" s="94"/>
    </row>
    <row r="21" spans="1:9">
      <c r="A21" s="454"/>
      <c r="B21" s="9"/>
      <c r="C21" s="9"/>
      <c r="D21" s="9"/>
      <c r="E21" s="60"/>
      <c r="F21" s="9"/>
      <c r="G21" s="9"/>
      <c r="H21" s="9"/>
      <c r="I21" s="94"/>
    </row>
    <row r="22" spans="1:9" s="12" customFormat="1">
      <c r="A22" s="454"/>
      <c r="B22" s="115"/>
      <c r="C22" s="9"/>
      <c r="D22" s="9"/>
      <c r="E22" s="20"/>
      <c r="F22" s="11"/>
      <c r="G22" s="11"/>
      <c r="H22" s="11"/>
      <c r="I22" s="66"/>
    </row>
    <row r="23" spans="1:9" s="12" customFormat="1">
      <c r="A23" s="454"/>
      <c r="B23" s="115"/>
      <c r="C23" s="47"/>
      <c r="D23" s="115"/>
      <c r="E23" s="60"/>
      <c r="F23" s="11"/>
      <c r="G23" s="52"/>
      <c r="H23" s="52"/>
      <c r="I23" s="66"/>
    </row>
    <row r="24" spans="1:9" s="12" customFormat="1">
      <c r="A24" s="454"/>
      <c r="B24" s="216"/>
      <c r="C24" s="286"/>
      <c r="D24" s="276"/>
      <c r="E24" s="285"/>
      <c r="F24" s="281"/>
      <c r="G24" s="287"/>
      <c r="H24" s="281"/>
      <c r="I24" s="66"/>
    </row>
    <row r="25" spans="1:9" s="12" customFormat="1" ht="15" thickBot="1">
      <c r="A25" s="455"/>
      <c r="B25" s="272"/>
      <c r="C25" s="273"/>
      <c r="D25" s="274"/>
      <c r="E25" s="275"/>
      <c r="F25" s="96"/>
      <c r="G25" s="96"/>
      <c r="H25" s="96"/>
      <c r="I25" s="57"/>
    </row>
  </sheetData>
  <mergeCells count="3">
    <mergeCell ref="A12:A17"/>
    <mergeCell ref="A18:A25"/>
    <mergeCell ref="A2:A11"/>
  </mergeCells>
  <pageMargins left="0.511811024" right="0.511811024" top="0.78740157499999996" bottom="0.78740157499999996" header="0.31496062000000002" footer="0.31496062000000002"/>
  <pageSetup paperSize="9" orientation="portrait" r:id="rId1"/>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2"/>
  <sheetViews>
    <sheetView showGridLines="0" zoomScale="70" zoomScaleNormal="70" workbookViewId="0">
      <pane xSplit="1" ySplit="1" topLeftCell="B82" activePane="bottomRight" state="frozen"/>
      <selection pane="bottomRight" activeCell="B65" sqref="B65"/>
      <selection pane="bottomLeft" activeCell="A2" sqref="A2"/>
      <selection pane="topRight" activeCell="B1" sqref="B1"/>
    </sheetView>
  </sheetViews>
  <sheetFormatPr defaultColWidth="8.85546875" defaultRowHeight="14.45"/>
  <cols>
    <col min="1" max="1" width="21.5703125" style="44" bestFit="1" customWidth="1"/>
    <col min="2" max="2" width="63.42578125" customWidth="1"/>
    <col min="3" max="3" width="56.140625" style="8" customWidth="1"/>
    <col min="4" max="4" width="37.85546875" style="1" customWidth="1"/>
    <col min="5" max="5" width="8.42578125" style="1" customWidth="1"/>
    <col min="6" max="6" width="72.85546875" customWidth="1"/>
    <col min="7" max="8" width="67.140625" customWidth="1"/>
    <col min="9" max="9" width="17.5703125" customWidth="1"/>
    <col min="10" max="10" width="8.85546875" style="38"/>
  </cols>
  <sheetData>
    <row r="1" spans="1:10" s="8" customFormat="1" ht="51" customHeight="1" thickBot="1">
      <c r="A1" s="43" t="s">
        <v>0</v>
      </c>
      <c r="B1" s="3" t="s">
        <v>1</v>
      </c>
      <c r="C1" s="3" t="s">
        <v>2</v>
      </c>
      <c r="D1" s="3" t="s">
        <v>3</v>
      </c>
      <c r="E1" s="3" t="s">
        <v>4</v>
      </c>
      <c r="F1" s="4">
        <v>0.8</v>
      </c>
      <c r="G1" s="4">
        <v>1</v>
      </c>
      <c r="H1" s="4">
        <v>1.2</v>
      </c>
      <c r="I1" s="4" t="s">
        <v>5</v>
      </c>
      <c r="J1" s="37"/>
    </row>
    <row r="2" spans="1:10" ht="15" thickBot="1">
      <c r="A2" s="465" t="s">
        <v>98</v>
      </c>
      <c r="B2" s="338" t="s">
        <v>30</v>
      </c>
      <c r="C2" s="314"/>
      <c r="D2" s="93"/>
      <c r="E2" s="329">
        <v>0.15</v>
      </c>
      <c r="F2" s="9"/>
      <c r="G2" s="9"/>
      <c r="H2" s="9"/>
      <c r="I2" s="291"/>
      <c r="J2" s="443">
        <f>SUM(E2:E10)</f>
        <v>0.6</v>
      </c>
    </row>
    <row r="3" spans="1:10" ht="15" thickBot="1">
      <c r="A3" s="465"/>
      <c r="B3" s="99" t="s">
        <v>10</v>
      </c>
      <c r="C3" s="7"/>
      <c r="D3" s="324"/>
      <c r="E3" s="20">
        <v>0.1</v>
      </c>
      <c r="F3" s="47"/>
      <c r="G3" s="47"/>
      <c r="H3" s="47"/>
      <c r="I3" s="291"/>
      <c r="J3" s="443"/>
    </row>
    <row r="4" spans="1:10" ht="15" thickBot="1">
      <c r="A4" s="465"/>
      <c r="B4" s="99" t="s">
        <v>99</v>
      </c>
      <c r="C4" s="7"/>
      <c r="D4" s="99"/>
      <c r="E4" s="20">
        <v>0.15</v>
      </c>
      <c r="F4" s="47"/>
      <c r="G4" s="47"/>
      <c r="H4" s="47"/>
      <c r="I4" s="291"/>
      <c r="J4" s="443"/>
    </row>
    <row r="5" spans="1:10" ht="15" thickBot="1">
      <c r="A5" s="465"/>
      <c r="B5" s="115" t="s">
        <v>100</v>
      </c>
      <c r="C5" s="47"/>
      <c r="D5" s="47"/>
      <c r="E5" s="289">
        <v>0.1</v>
      </c>
      <c r="F5" s="47"/>
      <c r="G5" s="47"/>
      <c r="H5" s="47"/>
      <c r="I5" s="291"/>
      <c r="J5" s="443"/>
    </row>
    <row r="6" spans="1:10" ht="15" thickBot="1">
      <c r="A6" s="465"/>
      <c r="B6" s="115" t="s">
        <v>101</v>
      </c>
      <c r="C6" s="47"/>
      <c r="D6" s="47"/>
      <c r="E6" s="289">
        <v>0.1</v>
      </c>
      <c r="F6" s="47"/>
      <c r="G6" s="47"/>
      <c r="H6" s="47"/>
      <c r="I6" s="291"/>
      <c r="J6" s="443"/>
    </row>
    <row r="7" spans="1:10" ht="15" thickBot="1">
      <c r="A7" s="465"/>
      <c r="B7" s="115"/>
      <c r="C7" s="47"/>
      <c r="D7" s="47"/>
      <c r="E7" s="289"/>
      <c r="F7" s="47"/>
      <c r="G7" s="47"/>
      <c r="H7" s="47"/>
      <c r="I7" s="291"/>
      <c r="J7" s="443"/>
    </row>
    <row r="8" spans="1:10" ht="15" thickBot="1">
      <c r="A8" s="465"/>
      <c r="B8" s="115"/>
      <c r="C8" s="47"/>
      <c r="D8" s="47"/>
      <c r="E8" s="289"/>
      <c r="F8" s="47"/>
      <c r="G8" s="47"/>
      <c r="H8" s="47"/>
      <c r="I8" s="291"/>
      <c r="J8" s="443"/>
    </row>
    <row r="9" spans="1:10" ht="15" thickBot="1">
      <c r="A9" s="465"/>
      <c r="B9" s="115"/>
      <c r="C9" s="47"/>
      <c r="D9" s="47"/>
      <c r="E9" s="289"/>
      <c r="F9" s="47"/>
      <c r="G9" s="47"/>
      <c r="H9" s="47"/>
      <c r="I9" s="291"/>
      <c r="J9" s="443"/>
    </row>
    <row r="10" spans="1:10">
      <c r="A10" s="465"/>
      <c r="B10" s="115"/>
      <c r="C10" s="7"/>
      <c r="D10" s="7"/>
      <c r="E10" s="290"/>
      <c r="F10" s="11"/>
      <c r="G10" s="11"/>
      <c r="H10" s="11"/>
      <c r="I10" s="11"/>
      <c r="J10" s="443"/>
    </row>
    <row r="11" spans="1:10" ht="40.5" customHeight="1" thickBot="1">
      <c r="A11" s="43"/>
      <c r="B11" s="30"/>
      <c r="C11" s="58"/>
      <c r="D11" s="58"/>
      <c r="E11" s="31"/>
      <c r="F11" s="59"/>
      <c r="G11" s="59"/>
      <c r="H11" s="59"/>
      <c r="I11" s="59"/>
      <c r="J11" s="29"/>
    </row>
    <row r="12" spans="1:10" s="17" customFormat="1" ht="28.5" thickBot="1">
      <c r="A12" s="465" t="s">
        <v>102</v>
      </c>
      <c r="B12" s="115" t="s">
        <v>103</v>
      </c>
      <c r="C12" s="7" t="s">
        <v>104</v>
      </c>
      <c r="D12" s="7" t="s">
        <v>105</v>
      </c>
      <c r="E12" s="60">
        <v>0.15</v>
      </c>
      <c r="F12" s="305" t="s">
        <v>106</v>
      </c>
      <c r="G12" s="305" t="s">
        <v>107</v>
      </c>
      <c r="H12" s="305" t="s">
        <v>108</v>
      </c>
      <c r="I12" s="106"/>
      <c r="J12" s="468">
        <f>SUM(E12:E16)</f>
        <v>0.5</v>
      </c>
    </row>
    <row r="13" spans="1:10" s="34" customFormat="1" ht="27.95">
      <c r="A13" s="465"/>
      <c r="B13" s="115" t="s">
        <v>109</v>
      </c>
      <c r="C13" s="7" t="s">
        <v>104</v>
      </c>
      <c r="D13" s="7" t="s">
        <v>105</v>
      </c>
      <c r="E13" s="60">
        <v>0.15</v>
      </c>
      <c r="F13" s="305" t="s">
        <v>106</v>
      </c>
      <c r="G13" s="305" t="s">
        <v>107</v>
      </c>
      <c r="H13" s="305" t="s">
        <v>108</v>
      </c>
      <c r="I13" s="9"/>
      <c r="J13" s="468"/>
    </row>
    <row r="14" spans="1:10" s="34" customFormat="1" ht="42">
      <c r="A14" s="465"/>
      <c r="B14" s="115" t="s">
        <v>110</v>
      </c>
      <c r="C14" s="7" t="s">
        <v>104</v>
      </c>
      <c r="D14" s="7" t="s">
        <v>105</v>
      </c>
      <c r="E14" s="60">
        <v>0.2</v>
      </c>
      <c r="F14" s="305" t="s">
        <v>111</v>
      </c>
      <c r="G14" s="305" t="s">
        <v>112</v>
      </c>
      <c r="H14" s="305" t="s">
        <v>113</v>
      </c>
      <c r="I14" s="9"/>
      <c r="J14" s="468"/>
    </row>
    <row r="15" spans="1:10" s="34" customFormat="1" ht="15" thickBot="1">
      <c r="A15" s="465"/>
      <c r="B15" s="115"/>
      <c r="C15" s="7"/>
      <c r="D15" s="7"/>
      <c r="E15" s="69"/>
      <c r="F15" s="7"/>
      <c r="G15" s="7"/>
      <c r="H15" s="7"/>
      <c r="I15" s="9"/>
      <c r="J15" s="468"/>
    </row>
    <row r="16" spans="1:10" s="34" customFormat="1">
      <c r="A16" s="465"/>
      <c r="B16" s="216"/>
      <c r="C16" s="7"/>
      <c r="D16" s="7"/>
      <c r="E16" s="16"/>
      <c r="F16" s="7"/>
      <c r="G16" s="7"/>
      <c r="H16" s="7"/>
      <c r="I16" s="9"/>
      <c r="J16" s="468"/>
    </row>
    <row r="17" spans="1:10" s="17" customFormat="1" ht="40.35" customHeight="1" thickBot="1">
      <c r="A17" s="43"/>
      <c r="B17" s="62"/>
      <c r="C17" s="58"/>
      <c r="D17" s="58"/>
      <c r="E17" s="63"/>
      <c r="F17" s="30"/>
      <c r="G17" s="30"/>
      <c r="H17" s="30"/>
      <c r="I17" s="62"/>
      <c r="J17" s="32"/>
    </row>
    <row r="18" spans="1:10" ht="20.100000000000001" customHeight="1" thickBot="1">
      <c r="A18" s="465" t="s">
        <v>114</v>
      </c>
      <c r="B18" s="115" t="s">
        <v>115</v>
      </c>
      <c r="C18" s="7" t="s">
        <v>104</v>
      </c>
      <c r="D18" s="7" t="s">
        <v>105</v>
      </c>
      <c r="E18" s="60">
        <v>0.15</v>
      </c>
      <c r="F18" s="47" t="s">
        <v>116</v>
      </c>
      <c r="G18" s="47" t="s">
        <v>117</v>
      </c>
      <c r="H18" s="47" t="s">
        <v>118</v>
      </c>
      <c r="I18" s="93"/>
      <c r="J18" s="469">
        <f>SUM(E18:E22)</f>
        <v>0.15</v>
      </c>
    </row>
    <row r="19" spans="1:10" ht="20.100000000000001" customHeight="1" thickBot="1">
      <c r="A19" s="465"/>
      <c r="B19" s="115"/>
      <c r="C19" s="47"/>
      <c r="D19" s="47"/>
      <c r="E19" s="60"/>
      <c r="F19" s="47"/>
      <c r="G19" s="47"/>
      <c r="H19" s="47"/>
      <c r="I19" s="5"/>
      <c r="J19" s="469"/>
    </row>
    <row r="20" spans="1:10" ht="25.5" customHeight="1" thickBot="1">
      <c r="A20" s="465"/>
      <c r="B20" s="115"/>
      <c r="C20" s="7"/>
      <c r="D20" s="7"/>
      <c r="E20" s="294"/>
      <c r="F20" s="11"/>
      <c r="G20" s="11"/>
      <c r="H20" s="11"/>
      <c r="I20" s="5"/>
      <c r="J20" s="469"/>
    </row>
    <row r="21" spans="1:10" s="42" customFormat="1" ht="15.95" thickBot="1">
      <c r="A21" s="465"/>
      <c r="B21" s="9"/>
      <c r="C21" s="47"/>
      <c r="D21" s="47"/>
      <c r="E21" s="60"/>
      <c r="F21" s="76"/>
      <c r="G21" s="76"/>
      <c r="H21" s="76"/>
      <c r="I21" s="105"/>
      <c r="J21" s="469"/>
    </row>
    <row r="22" spans="1:10" s="42" customFormat="1" ht="15.6">
      <c r="A22" s="465"/>
      <c r="B22" s="115"/>
      <c r="C22" s="7"/>
      <c r="D22" s="7"/>
      <c r="E22" s="69"/>
      <c r="F22" s="9"/>
      <c r="G22" s="9"/>
      <c r="H22" s="9"/>
      <c r="I22" s="105"/>
      <c r="J22" s="469"/>
    </row>
    <row r="23" spans="1:10" ht="40.35" customHeight="1" thickBot="1">
      <c r="A23" s="43"/>
      <c r="B23" s="30"/>
      <c r="C23" s="58"/>
      <c r="D23" s="58"/>
      <c r="E23" s="31"/>
      <c r="F23" s="59"/>
      <c r="G23" s="59"/>
      <c r="H23" s="59"/>
      <c r="I23" s="59"/>
      <c r="J23" s="29"/>
    </row>
    <row r="24" spans="1:10" ht="27.95">
      <c r="A24" s="465" t="s">
        <v>119</v>
      </c>
      <c r="B24" s="115" t="s">
        <v>120</v>
      </c>
      <c r="C24" s="7" t="s">
        <v>104</v>
      </c>
      <c r="D24" s="7" t="s">
        <v>105</v>
      </c>
      <c r="E24" s="16">
        <v>0.2</v>
      </c>
      <c r="F24" s="305" t="s">
        <v>121</v>
      </c>
      <c r="G24" s="305" t="s">
        <v>122</v>
      </c>
      <c r="H24" s="305" t="s">
        <v>123</v>
      </c>
      <c r="I24" s="93"/>
      <c r="J24" s="469">
        <f>SUM(E24:E28)</f>
        <v>0.5</v>
      </c>
    </row>
    <row r="25" spans="1:10" ht="27.95">
      <c r="A25" s="465"/>
      <c r="B25" s="115" t="s">
        <v>124</v>
      </c>
      <c r="C25" s="7" t="s">
        <v>104</v>
      </c>
      <c r="D25" s="7" t="s">
        <v>105</v>
      </c>
      <c r="E25" s="16">
        <v>0.2</v>
      </c>
      <c r="F25" s="305" t="s">
        <v>121</v>
      </c>
      <c r="G25" s="305" t="s">
        <v>122</v>
      </c>
      <c r="H25" s="305" t="s">
        <v>123</v>
      </c>
      <c r="I25" s="5"/>
      <c r="J25" s="469"/>
    </row>
    <row r="26" spans="1:10">
      <c r="A26" s="465"/>
      <c r="B26" s="115" t="s">
        <v>125</v>
      </c>
      <c r="C26" s="7" t="s">
        <v>104</v>
      </c>
      <c r="D26" s="7" t="s">
        <v>105</v>
      </c>
      <c r="E26" s="16">
        <v>0.1</v>
      </c>
      <c r="F26" s="305" t="s">
        <v>126</v>
      </c>
      <c r="G26" s="305" t="s">
        <v>127</v>
      </c>
      <c r="H26" s="305" t="s">
        <v>128</v>
      </c>
      <c r="I26" s="5"/>
      <c r="J26" s="469"/>
    </row>
    <row r="27" spans="1:10" ht="15" thickBot="1">
      <c r="A27" s="465"/>
      <c r="B27" s="115"/>
      <c r="C27" s="7"/>
      <c r="D27" s="7"/>
      <c r="E27" s="69"/>
      <c r="F27" s="9"/>
      <c r="G27" s="9"/>
      <c r="H27" s="9"/>
      <c r="I27" s="5"/>
      <c r="J27" s="469"/>
    </row>
    <row r="28" spans="1:10">
      <c r="A28" s="465"/>
      <c r="B28" s="9"/>
      <c r="C28" s="47"/>
      <c r="D28" s="47"/>
      <c r="E28" s="60"/>
      <c r="F28" s="76"/>
      <c r="G28" s="76"/>
      <c r="H28" s="76"/>
      <c r="I28" s="5"/>
      <c r="J28" s="469"/>
    </row>
    <row r="29" spans="1:10" ht="40.35" customHeight="1" thickBot="1">
      <c r="A29" s="43"/>
      <c r="B29" s="58"/>
      <c r="C29" s="58"/>
      <c r="D29" s="58"/>
      <c r="E29" s="31"/>
      <c r="F29" s="58"/>
      <c r="G29" s="67"/>
      <c r="H29" s="67"/>
      <c r="I29" s="68"/>
      <c r="J29" s="29"/>
    </row>
    <row r="30" spans="1:10" ht="56.1">
      <c r="A30" s="465" t="s">
        <v>129</v>
      </c>
      <c r="B30" s="115" t="s">
        <v>130</v>
      </c>
      <c r="C30" s="7" t="s">
        <v>104</v>
      </c>
      <c r="D30" s="7" t="s">
        <v>105</v>
      </c>
      <c r="E30" s="60">
        <v>0.2</v>
      </c>
      <c r="F30" s="9" t="s">
        <v>131</v>
      </c>
      <c r="G30" s="9" t="s">
        <v>132</v>
      </c>
      <c r="H30" s="9" t="s">
        <v>133</v>
      </c>
      <c r="I30" s="64"/>
      <c r="J30" s="441">
        <f>SUM(E30:E34)</f>
        <v>0.2</v>
      </c>
    </row>
    <row r="31" spans="1:10" ht="15" thickBot="1">
      <c r="A31" s="465"/>
      <c r="B31" s="115"/>
      <c r="C31" s="47"/>
      <c r="D31" s="47"/>
      <c r="E31" s="60"/>
      <c r="F31" s="9"/>
      <c r="G31" s="9"/>
      <c r="H31" s="9"/>
      <c r="I31" s="65"/>
      <c r="J31" s="441"/>
    </row>
    <row r="32" spans="1:10" ht="15" thickBot="1">
      <c r="A32" s="465"/>
      <c r="B32" s="115"/>
      <c r="C32" s="47"/>
      <c r="D32" s="47"/>
      <c r="E32" s="60"/>
      <c r="F32" s="9"/>
      <c r="G32" s="9"/>
      <c r="H32" s="9"/>
      <c r="I32" s="65"/>
      <c r="J32" s="441"/>
    </row>
    <row r="33" spans="1:10" ht="15" thickBot="1">
      <c r="A33" s="465"/>
      <c r="B33" s="115"/>
      <c r="C33" s="7"/>
      <c r="D33" s="7"/>
      <c r="E33" s="16"/>
      <c r="F33" s="9"/>
      <c r="G33" s="9"/>
      <c r="H33" s="9"/>
      <c r="I33" s="66"/>
      <c r="J33" s="441"/>
    </row>
    <row r="34" spans="1:10">
      <c r="A34" s="465"/>
      <c r="B34" s="115"/>
      <c r="C34" s="7"/>
      <c r="D34" s="7"/>
      <c r="E34" s="16"/>
      <c r="F34" s="9"/>
      <c r="G34" s="9"/>
      <c r="H34" s="9"/>
      <c r="I34" s="66"/>
      <c r="J34" s="441"/>
    </row>
    <row r="35" spans="1:10" s="27" customFormat="1" ht="40.35" customHeight="1" thickBot="1">
      <c r="A35" s="43"/>
      <c r="B35" s="70"/>
      <c r="C35" s="58"/>
      <c r="D35" s="58"/>
      <c r="E35" s="31"/>
      <c r="F35" s="31"/>
      <c r="G35" s="71"/>
      <c r="H35" s="72"/>
      <c r="I35" s="73"/>
      <c r="J35" s="29"/>
    </row>
    <row r="36" spans="1:10" ht="56.1">
      <c r="A36" s="465" t="s">
        <v>134</v>
      </c>
      <c r="B36" s="115" t="s">
        <v>135</v>
      </c>
      <c r="C36" s="47" t="s">
        <v>104</v>
      </c>
      <c r="D36" s="47"/>
      <c r="E36" s="60"/>
      <c r="F36" s="9" t="s">
        <v>136</v>
      </c>
      <c r="G36" s="9" t="s">
        <v>137</v>
      </c>
      <c r="H36" s="9" t="s">
        <v>138</v>
      </c>
      <c r="I36" s="74"/>
      <c r="J36" s="441">
        <f>SUM(E36:E41)</f>
        <v>0</v>
      </c>
    </row>
    <row r="37" spans="1:10" ht="15" thickBot="1">
      <c r="A37" s="465"/>
      <c r="B37" s="115"/>
      <c r="C37" s="47"/>
      <c r="D37" s="47"/>
      <c r="E37" s="60"/>
      <c r="F37" s="9"/>
      <c r="G37" s="9"/>
      <c r="H37" s="9"/>
      <c r="I37" s="75"/>
      <c r="J37" s="441"/>
    </row>
    <row r="38" spans="1:10" ht="15" thickBot="1">
      <c r="A38" s="465"/>
      <c r="B38" s="115"/>
      <c r="C38" s="7"/>
      <c r="D38" s="7"/>
      <c r="E38" s="69"/>
      <c r="F38" s="76"/>
      <c r="G38" s="76"/>
      <c r="H38" s="76"/>
      <c r="I38" s="75"/>
      <c r="J38" s="441"/>
    </row>
    <row r="39" spans="1:10" ht="15" thickBot="1">
      <c r="A39" s="465"/>
      <c r="B39" s="115"/>
      <c r="C39" s="7"/>
      <c r="D39" s="7"/>
      <c r="E39" s="16"/>
      <c r="F39" s="9"/>
      <c r="G39" s="9"/>
      <c r="H39" s="9"/>
      <c r="I39" s="75"/>
      <c r="J39" s="441"/>
    </row>
    <row r="40" spans="1:10" ht="15" thickBot="1">
      <c r="A40" s="465"/>
      <c r="B40" s="115"/>
      <c r="C40" s="7"/>
      <c r="D40" s="7"/>
      <c r="E40" s="16"/>
      <c r="F40" s="9"/>
      <c r="G40" s="9"/>
      <c r="H40" s="9"/>
      <c r="I40" s="75"/>
      <c r="J40" s="441"/>
    </row>
    <row r="41" spans="1:10" ht="15" thickBot="1">
      <c r="A41" s="465"/>
      <c r="B41" s="11"/>
      <c r="C41" s="7"/>
      <c r="D41" s="7"/>
      <c r="E41" s="16"/>
      <c r="F41" s="11"/>
      <c r="G41" s="11"/>
      <c r="H41" s="9"/>
      <c r="I41" s="78" t="s">
        <v>139</v>
      </c>
      <c r="J41" s="441"/>
    </row>
    <row r="42" spans="1:10" ht="40.35" customHeight="1" thickBot="1">
      <c r="A42" s="43"/>
      <c r="B42" s="30"/>
      <c r="C42" s="58"/>
      <c r="D42" s="58"/>
      <c r="E42" s="63"/>
      <c r="F42" s="30"/>
      <c r="G42" s="30"/>
      <c r="H42" s="30"/>
      <c r="I42" s="59"/>
      <c r="J42" s="29"/>
    </row>
    <row r="43" spans="1:10" ht="126">
      <c r="A43" s="465" t="s">
        <v>140</v>
      </c>
      <c r="B43" s="115" t="s">
        <v>141</v>
      </c>
      <c r="C43" s="47" t="s">
        <v>142</v>
      </c>
      <c r="D43" s="47" t="s">
        <v>143</v>
      </c>
      <c r="E43" s="60"/>
      <c r="F43" s="9" t="s">
        <v>144</v>
      </c>
      <c r="G43" s="9" t="s">
        <v>145</v>
      </c>
      <c r="H43" s="9" t="s">
        <v>146</v>
      </c>
      <c r="I43" s="74"/>
      <c r="J43" s="441">
        <f>SUM(E43:E48)</f>
        <v>0</v>
      </c>
    </row>
    <row r="44" spans="1:10" ht="42">
      <c r="A44" s="465"/>
      <c r="B44" s="115" t="s">
        <v>147</v>
      </c>
      <c r="C44" s="47"/>
      <c r="D44" s="47" t="s">
        <v>148</v>
      </c>
      <c r="E44" s="60"/>
      <c r="F44" s="9"/>
      <c r="G44" s="9"/>
      <c r="H44" s="9"/>
      <c r="I44" s="100"/>
      <c r="J44" s="441"/>
    </row>
    <row r="45" spans="1:10" ht="15" thickBot="1">
      <c r="A45" s="465"/>
      <c r="B45" s="9"/>
      <c r="C45" s="47"/>
      <c r="D45" s="47"/>
      <c r="E45" s="60"/>
      <c r="F45" s="76"/>
      <c r="G45" s="76"/>
      <c r="H45" s="76"/>
      <c r="I45" s="100"/>
      <c r="J45" s="441"/>
    </row>
    <row r="46" spans="1:10" ht="15" thickBot="1">
      <c r="A46" s="465"/>
      <c r="B46" s="216"/>
      <c r="C46" s="217"/>
      <c r="D46" s="295"/>
      <c r="E46" s="69"/>
      <c r="F46" s="292"/>
      <c r="G46" s="293"/>
      <c r="H46" s="292"/>
      <c r="I46" s="100"/>
      <c r="J46" s="441"/>
    </row>
    <row r="47" spans="1:10" ht="15.95" thickBot="1">
      <c r="A47" s="465"/>
      <c r="B47" s="11"/>
      <c r="C47" s="7"/>
      <c r="D47" s="296"/>
      <c r="E47" s="16"/>
      <c r="F47" s="7"/>
      <c r="G47" s="7"/>
      <c r="H47" s="7"/>
      <c r="I47" s="77"/>
      <c r="J47" s="441"/>
    </row>
    <row r="48" spans="1:10" ht="15.6">
      <c r="A48" s="465"/>
      <c r="B48" s="11"/>
      <c r="C48" s="7"/>
      <c r="D48" s="296"/>
      <c r="E48" s="16"/>
      <c r="F48" s="7"/>
      <c r="G48" s="7"/>
      <c r="H48" s="7"/>
      <c r="I48" s="77"/>
      <c r="J48" s="441"/>
    </row>
    <row r="49" spans="1:13" ht="40.35" customHeight="1" thickBot="1">
      <c r="A49" s="43"/>
      <c r="B49" s="30"/>
      <c r="C49" s="58"/>
      <c r="D49" s="58"/>
      <c r="E49" s="31"/>
      <c r="F49" s="58"/>
      <c r="G49" s="58"/>
      <c r="H49" s="58"/>
      <c r="I49" s="59"/>
      <c r="J49" s="29"/>
    </row>
    <row r="50" spans="1:13" s="13" customFormat="1" ht="42">
      <c r="A50" s="465" t="s">
        <v>149</v>
      </c>
      <c r="B50" s="115" t="s">
        <v>150</v>
      </c>
      <c r="C50" s="47" t="s">
        <v>151</v>
      </c>
      <c r="D50" s="47" t="s">
        <v>152</v>
      </c>
      <c r="E50" s="60">
        <v>0.1</v>
      </c>
      <c r="F50" s="9" t="s">
        <v>153</v>
      </c>
      <c r="G50" s="9" t="s">
        <v>154</v>
      </c>
      <c r="H50" s="9" t="s">
        <v>155</v>
      </c>
      <c r="I50" s="297"/>
      <c r="J50" s="437">
        <f>SUM(E50:E55)</f>
        <v>0.1</v>
      </c>
      <c r="K50"/>
      <c r="L50"/>
      <c r="M50"/>
    </row>
    <row r="51" spans="1:13" s="13" customFormat="1" ht="56.1">
      <c r="A51" s="465"/>
      <c r="B51" s="115" t="s">
        <v>156</v>
      </c>
      <c r="C51" s="47" t="s">
        <v>151</v>
      </c>
      <c r="D51" s="47" t="s">
        <v>157</v>
      </c>
      <c r="E51" s="60" t="s">
        <v>158</v>
      </c>
      <c r="F51" s="9" t="s">
        <v>159</v>
      </c>
      <c r="G51" s="9" t="s">
        <v>160</v>
      </c>
      <c r="H51" s="9" t="s">
        <v>161</v>
      </c>
      <c r="I51" s="298"/>
      <c r="J51" s="437"/>
      <c r="K51"/>
      <c r="L51"/>
      <c r="M51"/>
    </row>
    <row r="52" spans="1:13" s="13" customFormat="1" ht="15" thickBot="1">
      <c r="A52" s="465"/>
      <c r="B52" s="9"/>
      <c r="C52" s="7"/>
      <c r="D52" s="7"/>
      <c r="E52" s="16"/>
      <c r="F52" s="9"/>
      <c r="G52" s="9"/>
      <c r="H52" s="9"/>
      <c r="I52" s="299"/>
      <c r="J52" s="437"/>
      <c r="K52"/>
      <c r="L52"/>
      <c r="M52"/>
    </row>
    <row r="53" spans="1:13" s="13" customFormat="1" ht="15" thickBot="1">
      <c r="A53" s="465"/>
      <c r="B53" s="9"/>
      <c r="C53" s="7"/>
      <c r="D53" s="7"/>
      <c r="E53" s="16"/>
      <c r="F53" s="9"/>
      <c r="G53" s="9"/>
      <c r="H53" s="9"/>
      <c r="I53" s="299"/>
      <c r="J53" s="437"/>
      <c r="K53"/>
      <c r="L53"/>
      <c r="M53"/>
    </row>
    <row r="54" spans="1:13" s="13" customFormat="1" ht="15" thickBot="1">
      <c r="A54" s="465"/>
      <c r="B54" s="9"/>
      <c r="C54" s="7"/>
      <c r="D54" s="9"/>
      <c r="E54" s="60"/>
      <c r="F54" s="9"/>
      <c r="G54" s="9"/>
      <c r="H54" s="9"/>
      <c r="I54" s="300"/>
      <c r="J54" s="437"/>
      <c r="K54"/>
      <c r="L54"/>
      <c r="M54"/>
    </row>
    <row r="55" spans="1:13" s="13" customFormat="1" ht="15" thickBot="1">
      <c r="A55" s="465"/>
      <c r="B55" s="9"/>
      <c r="C55" s="7"/>
      <c r="D55" s="7"/>
      <c r="E55" s="20"/>
      <c r="F55" s="11"/>
      <c r="G55" s="11"/>
      <c r="H55" s="9"/>
      <c r="I55" s="301" t="s">
        <v>139</v>
      </c>
      <c r="J55" s="437"/>
      <c r="K55"/>
      <c r="L55"/>
      <c r="M55"/>
    </row>
    <row r="56" spans="1:13" s="13" customFormat="1" ht="40.35" customHeight="1" thickBot="1">
      <c r="A56" s="43"/>
      <c r="B56" s="70"/>
      <c r="C56" s="58"/>
      <c r="D56" s="58"/>
      <c r="E56" s="63"/>
      <c r="F56" s="30"/>
      <c r="G56" s="30"/>
      <c r="H56" s="70"/>
      <c r="I56" s="59"/>
      <c r="J56" s="37"/>
      <c r="K56"/>
      <c r="L56"/>
      <c r="M56"/>
    </row>
    <row r="57" spans="1:13" ht="84">
      <c r="A57" s="465" t="s">
        <v>162</v>
      </c>
      <c r="B57" s="115" t="s">
        <v>163</v>
      </c>
      <c r="C57" s="47" t="s">
        <v>142</v>
      </c>
      <c r="D57" s="47" t="s">
        <v>164</v>
      </c>
      <c r="E57" s="60">
        <v>0.2</v>
      </c>
      <c r="F57" s="47" t="s">
        <v>165</v>
      </c>
      <c r="G57" s="47" t="s">
        <v>166</v>
      </c>
      <c r="H57" s="47" t="s">
        <v>167</v>
      </c>
      <c r="I57" s="107"/>
      <c r="J57" s="467">
        <f>SUM(E57:E62)</f>
        <v>0.5</v>
      </c>
    </row>
    <row r="58" spans="1:13" ht="42">
      <c r="A58" s="465"/>
      <c r="B58" s="115" t="s">
        <v>168</v>
      </c>
      <c r="C58" s="47" t="s">
        <v>142</v>
      </c>
      <c r="D58" s="47" t="s">
        <v>169</v>
      </c>
      <c r="E58" s="60">
        <v>0.1</v>
      </c>
      <c r="F58" s="47" t="s">
        <v>170</v>
      </c>
      <c r="G58" s="47" t="s">
        <v>171</v>
      </c>
      <c r="H58" s="47" t="s">
        <v>172</v>
      </c>
      <c r="I58" s="108"/>
      <c r="J58" s="467"/>
    </row>
    <row r="59" spans="1:13" ht="84">
      <c r="A59" s="465"/>
      <c r="B59" s="9" t="s">
        <v>173</v>
      </c>
      <c r="C59" s="47" t="s">
        <v>142</v>
      </c>
      <c r="D59" s="7" t="s">
        <v>174</v>
      </c>
      <c r="E59" s="16">
        <v>0.2</v>
      </c>
      <c r="F59" s="302" t="s">
        <v>175</v>
      </c>
      <c r="G59" s="302" t="s">
        <v>176</v>
      </c>
      <c r="H59" s="302" t="s">
        <v>177</v>
      </c>
      <c r="I59" s="108"/>
      <c r="J59" s="467"/>
    </row>
    <row r="60" spans="1:13" ht="15" thickBot="1">
      <c r="A60" s="465"/>
      <c r="B60" s="9"/>
      <c r="C60" s="7"/>
      <c r="D60" s="7"/>
      <c r="E60" s="16"/>
      <c r="F60" s="302"/>
      <c r="G60" s="302"/>
      <c r="H60" s="302"/>
      <c r="I60" s="108"/>
      <c r="J60" s="467"/>
    </row>
    <row r="61" spans="1:13" ht="15" thickBot="1">
      <c r="A61" s="465"/>
      <c r="B61" s="9"/>
      <c r="C61" s="7"/>
      <c r="D61" s="7"/>
      <c r="E61" s="20"/>
      <c r="F61" s="7"/>
      <c r="G61" s="7"/>
      <c r="H61" s="7"/>
      <c r="I61" s="108"/>
      <c r="J61" s="467"/>
    </row>
    <row r="62" spans="1:13" ht="15" thickBot="1">
      <c r="A62" s="465"/>
      <c r="B62" s="9"/>
      <c r="C62" s="7"/>
      <c r="D62" s="7"/>
      <c r="E62" s="16"/>
      <c r="F62" s="303"/>
      <c r="G62" s="303"/>
      <c r="H62" s="303"/>
      <c r="I62" s="109"/>
      <c r="J62" s="467"/>
    </row>
    <row r="63" spans="1:13" ht="40.35" customHeight="1" thickBot="1">
      <c r="A63" s="43"/>
      <c r="B63" s="59"/>
      <c r="C63" s="58"/>
      <c r="D63" s="68"/>
      <c r="E63" s="33"/>
      <c r="F63" s="59"/>
      <c r="G63" s="59"/>
      <c r="H63" s="59"/>
      <c r="I63" s="59"/>
      <c r="J63" s="37"/>
    </row>
    <row r="64" spans="1:13" s="41" customFormat="1" ht="84">
      <c r="A64" s="465" t="s">
        <v>178</v>
      </c>
      <c r="B64" s="115" t="s">
        <v>179</v>
      </c>
      <c r="C64" s="47" t="s">
        <v>151</v>
      </c>
      <c r="D64" s="47" t="s">
        <v>180</v>
      </c>
      <c r="E64" s="60"/>
      <c r="F64" s="47" t="s">
        <v>181</v>
      </c>
      <c r="G64" s="47" t="s">
        <v>182</v>
      </c>
      <c r="H64" s="47" t="s">
        <v>183</v>
      </c>
      <c r="I64" s="80"/>
      <c r="J64" s="437">
        <f>SUM(E64:E69)</f>
        <v>0</v>
      </c>
    </row>
    <row r="65" spans="1:10" s="41" customFormat="1" ht="42.6" thickBot="1">
      <c r="A65" s="465"/>
      <c r="B65" s="115" t="s">
        <v>184</v>
      </c>
      <c r="C65" s="47" t="s">
        <v>151</v>
      </c>
      <c r="D65" s="47" t="s">
        <v>185</v>
      </c>
      <c r="E65" s="60"/>
      <c r="F65" s="47" t="s">
        <v>186</v>
      </c>
      <c r="G65" s="47" t="s">
        <v>187</v>
      </c>
      <c r="H65" s="47" t="s">
        <v>188</v>
      </c>
      <c r="I65" s="82"/>
      <c r="J65" s="437"/>
    </row>
    <row r="66" spans="1:10" s="41" customFormat="1" ht="15" thickBot="1">
      <c r="A66" s="465"/>
      <c r="B66" s="115"/>
      <c r="C66" s="7"/>
      <c r="D66" s="7"/>
      <c r="E66" s="60"/>
      <c r="F66" s="11"/>
      <c r="G66" s="11"/>
      <c r="H66" s="11"/>
      <c r="I66" s="82"/>
      <c r="J66" s="437"/>
    </row>
    <row r="67" spans="1:10" s="12" customFormat="1" ht="15" thickBot="1">
      <c r="A67" s="465"/>
      <c r="B67" s="216"/>
      <c r="C67" s="217"/>
      <c r="D67" s="295"/>
      <c r="E67" s="69"/>
      <c r="F67" s="292"/>
      <c r="G67" s="293"/>
      <c r="H67" s="292"/>
      <c r="I67" s="56"/>
      <c r="J67" s="437"/>
    </row>
    <row r="68" spans="1:10" s="12" customFormat="1" ht="15" thickBot="1">
      <c r="A68" s="465"/>
      <c r="B68" s="216"/>
      <c r="C68" s="217"/>
      <c r="D68" s="295"/>
      <c r="E68" s="69"/>
      <c r="F68" s="292"/>
      <c r="G68" s="293"/>
      <c r="H68" s="292"/>
      <c r="I68" s="56"/>
      <c r="J68" s="437"/>
    </row>
    <row r="69" spans="1:10" s="12" customFormat="1">
      <c r="A69" s="465"/>
      <c r="B69" s="9"/>
      <c r="C69" s="7"/>
      <c r="D69" s="7"/>
      <c r="E69" s="16"/>
      <c r="F69" s="11"/>
      <c r="G69" s="11"/>
      <c r="H69" s="11"/>
      <c r="I69" s="56"/>
      <c r="J69" s="437"/>
    </row>
    <row r="70" spans="1:10" ht="40.35" customHeight="1">
      <c r="A70" s="43"/>
      <c r="B70" s="59"/>
      <c r="C70" s="58"/>
      <c r="D70" s="68"/>
      <c r="E70" s="33"/>
      <c r="F70" s="59"/>
      <c r="G70" s="59"/>
      <c r="H70" s="81"/>
      <c r="I70" s="59"/>
      <c r="J70" s="37"/>
    </row>
    <row r="71" spans="1:10" s="41" customFormat="1" ht="56.1">
      <c r="A71" s="465" t="s">
        <v>189</v>
      </c>
      <c r="B71" s="115" t="s">
        <v>190</v>
      </c>
      <c r="C71" s="47" t="s">
        <v>104</v>
      </c>
      <c r="D71" s="47" t="s">
        <v>191</v>
      </c>
      <c r="E71" s="60"/>
      <c r="F71" s="9" t="s">
        <v>192</v>
      </c>
      <c r="G71" s="9" t="s">
        <v>193</v>
      </c>
      <c r="H71" s="9" t="s">
        <v>194</v>
      </c>
      <c r="I71" s="304"/>
      <c r="J71" s="466">
        <f>SUM(E71:E76)</f>
        <v>0</v>
      </c>
    </row>
    <row r="72" spans="1:10" s="41" customFormat="1" ht="42">
      <c r="A72" s="465"/>
      <c r="B72" s="115" t="s">
        <v>195</v>
      </c>
      <c r="C72" s="47" t="s">
        <v>142</v>
      </c>
      <c r="D72" s="47" t="s">
        <v>196</v>
      </c>
      <c r="E72" s="60"/>
      <c r="F72" s="9" t="s">
        <v>197</v>
      </c>
      <c r="G72" s="9" t="s">
        <v>198</v>
      </c>
      <c r="H72" s="9" t="s">
        <v>199</v>
      </c>
      <c r="I72" s="304"/>
      <c r="J72" s="466"/>
    </row>
    <row r="73" spans="1:10" ht="20.100000000000001" customHeight="1">
      <c r="A73" s="465"/>
      <c r="B73" s="115"/>
      <c r="C73" s="7"/>
      <c r="D73" s="7"/>
      <c r="E73" s="60"/>
      <c r="F73" s="9"/>
      <c r="G73" s="9"/>
      <c r="H73" s="9"/>
      <c r="I73" s="5"/>
      <c r="J73" s="466"/>
    </row>
    <row r="74" spans="1:10">
      <c r="A74" s="465"/>
      <c r="B74" s="115"/>
      <c r="C74" s="7"/>
      <c r="D74" s="7"/>
      <c r="E74" s="69"/>
      <c r="F74" s="76"/>
      <c r="G74" s="76"/>
      <c r="H74" s="76"/>
      <c r="I74" s="5"/>
      <c r="J74" s="466"/>
    </row>
    <row r="75" spans="1:10">
      <c r="A75" s="465"/>
      <c r="B75" s="216"/>
      <c r="C75" s="217"/>
      <c r="D75" s="295"/>
      <c r="E75" s="69"/>
      <c r="F75" s="292"/>
      <c r="G75" s="293"/>
      <c r="H75" s="292"/>
      <c r="I75" s="5"/>
      <c r="J75" s="466"/>
    </row>
    <row r="76" spans="1:10">
      <c r="A76" s="465"/>
      <c r="B76" s="9"/>
      <c r="C76" s="7"/>
      <c r="D76" s="7"/>
      <c r="E76" s="20"/>
      <c r="F76" s="11"/>
      <c r="G76" s="11"/>
      <c r="H76" s="9"/>
      <c r="I76" s="5"/>
      <c r="J76" s="466"/>
    </row>
    <row r="77" spans="1:10" ht="39.950000000000003" customHeight="1"/>
    <row r="78" spans="1:10" ht="27.95">
      <c r="A78" s="465" t="s">
        <v>200</v>
      </c>
      <c r="B78" s="115" t="s">
        <v>201</v>
      </c>
      <c r="C78" s="47" t="s">
        <v>104</v>
      </c>
      <c r="D78" s="47"/>
      <c r="E78" s="60"/>
      <c r="F78" s="9" t="s">
        <v>202</v>
      </c>
      <c r="G78" s="9" t="s">
        <v>203</v>
      </c>
      <c r="H78" s="9" t="s">
        <v>204</v>
      </c>
      <c r="I78" s="304"/>
      <c r="J78" s="466">
        <f>SUM(E78:E84)</f>
        <v>0</v>
      </c>
    </row>
    <row r="79" spans="1:10" ht="42">
      <c r="A79" s="465"/>
      <c r="B79" s="115" t="s">
        <v>205</v>
      </c>
      <c r="C79" s="47" t="s">
        <v>104</v>
      </c>
      <c r="D79" s="47"/>
      <c r="E79" s="60"/>
      <c r="F79" s="9" t="s">
        <v>202</v>
      </c>
      <c r="G79" s="9" t="s">
        <v>203</v>
      </c>
      <c r="H79" s="9" t="s">
        <v>204</v>
      </c>
      <c r="I79" s="304"/>
      <c r="J79" s="466"/>
    </row>
    <row r="80" spans="1:10">
      <c r="A80" s="465"/>
      <c r="B80" s="115"/>
      <c r="C80" s="47"/>
      <c r="D80" s="47"/>
      <c r="E80" s="60"/>
      <c r="F80" s="9"/>
      <c r="G80" s="9"/>
      <c r="H80" s="9"/>
      <c r="I80" s="304"/>
      <c r="J80" s="466"/>
    </row>
    <row r="81" spans="1:10">
      <c r="A81" s="465"/>
      <c r="B81" s="115"/>
      <c r="C81" s="7"/>
      <c r="D81" s="7"/>
      <c r="E81" s="60"/>
      <c r="F81" s="76"/>
      <c r="G81" s="76"/>
      <c r="H81" s="76"/>
      <c r="I81" s="304"/>
      <c r="J81" s="466"/>
    </row>
    <row r="82" spans="1:10">
      <c r="A82" s="465"/>
      <c r="B82" s="216"/>
      <c r="C82" s="7"/>
      <c r="D82" s="304"/>
      <c r="E82" s="69"/>
      <c r="F82" s="292"/>
      <c r="G82" s="293"/>
      <c r="H82" s="292"/>
      <c r="I82" s="5"/>
      <c r="J82" s="466"/>
    </row>
    <row r="83" spans="1:10">
      <c r="A83" s="465"/>
      <c r="B83" s="9"/>
      <c r="C83" s="7"/>
      <c r="D83" s="7"/>
      <c r="E83" s="16"/>
      <c r="F83" s="16"/>
      <c r="G83" s="16"/>
      <c r="H83" s="16"/>
      <c r="I83" s="5"/>
      <c r="J83" s="466"/>
    </row>
    <row r="84" spans="1:10">
      <c r="A84" s="465"/>
      <c r="B84" s="9"/>
      <c r="C84" s="7"/>
      <c r="D84" s="7"/>
      <c r="E84" s="20"/>
      <c r="F84" s="16"/>
      <c r="G84" s="16"/>
      <c r="H84" s="16"/>
      <c r="I84" s="5"/>
      <c r="J84" s="466"/>
    </row>
    <row r="86" spans="1:10" ht="15" customHeight="1">
      <c r="A86" s="465" t="s">
        <v>206</v>
      </c>
      <c r="B86" s="115" t="s">
        <v>207</v>
      </c>
      <c r="C86" s="47" t="s">
        <v>104</v>
      </c>
      <c r="D86" s="7" t="s">
        <v>105</v>
      </c>
      <c r="E86" s="60"/>
      <c r="F86" s="305" t="s">
        <v>208</v>
      </c>
      <c r="G86" s="305" t="s">
        <v>209</v>
      </c>
      <c r="H86" s="305" t="s">
        <v>210</v>
      </c>
      <c r="I86" s="304"/>
      <c r="J86" s="466">
        <f>SUM(E86:E92)</f>
        <v>0</v>
      </c>
    </row>
    <row r="87" spans="1:10" ht="15" customHeight="1">
      <c r="A87" s="465"/>
      <c r="B87" s="115" t="s">
        <v>211</v>
      </c>
      <c r="C87" s="47" t="s">
        <v>104</v>
      </c>
      <c r="D87" s="7" t="s">
        <v>105</v>
      </c>
      <c r="E87" s="60"/>
      <c r="F87" s="305" t="s">
        <v>212</v>
      </c>
      <c r="G87" s="305" t="s">
        <v>213</v>
      </c>
      <c r="H87" s="305" t="s">
        <v>214</v>
      </c>
      <c r="I87" s="304"/>
      <c r="J87" s="466"/>
    </row>
    <row r="88" spans="1:10" ht="15" customHeight="1">
      <c r="A88" s="465"/>
      <c r="B88" s="115" t="s">
        <v>215</v>
      </c>
      <c r="C88" s="47" t="s">
        <v>104</v>
      </c>
      <c r="D88" s="7" t="s">
        <v>105</v>
      </c>
      <c r="E88" s="60"/>
      <c r="F88" s="305" t="s">
        <v>106</v>
      </c>
      <c r="G88" s="305" t="s">
        <v>107</v>
      </c>
      <c r="H88" s="305" t="s">
        <v>107</v>
      </c>
      <c r="I88" s="304"/>
      <c r="J88" s="466"/>
    </row>
    <row r="89" spans="1:10" ht="15" customHeight="1">
      <c r="A89" s="465"/>
      <c r="B89" s="115"/>
      <c r="C89" s="7"/>
      <c r="D89" s="7"/>
      <c r="E89" s="60"/>
      <c r="F89" s="76"/>
      <c r="G89" s="76"/>
      <c r="H89" s="76"/>
      <c r="I89" s="304"/>
      <c r="J89" s="466"/>
    </row>
    <row r="90" spans="1:10" ht="15" customHeight="1">
      <c r="A90" s="465"/>
      <c r="B90" s="216"/>
      <c r="C90" s="7"/>
      <c r="D90" s="304"/>
      <c r="E90" s="285"/>
      <c r="F90" s="391"/>
      <c r="G90" s="392"/>
      <c r="H90" s="391"/>
      <c r="I90" s="5"/>
      <c r="J90" s="466"/>
    </row>
    <row r="91" spans="1:10" ht="15" customHeight="1">
      <c r="A91" s="465"/>
      <c r="B91" s="9"/>
      <c r="C91" s="7"/>
      <c r="D91" s="7"/>
      <c r="E91" s="23"/>
      <c r="F91" s="23"/>
      <c r="G91" s="23"/>
      <c r="H91" s="23"/>
      <c r="I91" s="5"/>
      <c r="J91" s="466"/>
    </row>
    <row r="92" spans="1:10" ht="15" customHeight="1">
      <c r="A92" s="465"/>
      <c r="B92" s="9"/>
      <c r="C92" s="7"/>
      <c r="D92" s="7"/>
      <c r="E92" s="20"/>
      <c r="F92" s="23"/>
      <c r="G92" s="23"/>
      <c r="H92" s="23"/>
      <c r="I92" s="5"/>
      <c r="J92" s="466"/>
    </row>
  </sheetData>
  <autoFilter ref="A1:J62" xr:uid="{00000000-0009-0000-0000-000000000000}"/>
  <mergeCells count="26">
    <mergeCell ref="A2:A10"/>
    <mergeCell ref="J57:J62"/>
    <mergeCell ref="J12:J16"/>
    <mergeCell ref="J18:J22"/>
    <mergeCell ref="J24:J28"/>
    <mergeCell ref="J36:J41"/>
    <mergeCell ref="J43:J48"/>
    <mergeCell ref="J50:J55"/>
    <mergeCell ref="A12:A16"/>
    <mergeCell ref="A18:A22"/>
    <mergeCell ref="A24:A28"/>
    <mergeCell ref="J2:J10"/>
    <mergeCell ref="A43:A48"/>
    <mergeCell ref="J30:J34"/>
    <mergeCell ref="A30:A34"/>
    <mergeCell ref="A36:A41"/>
    <mergeCell ref="J64:J69"/>
    <mergeCell ref="A57:A62"/>
    <mergeCell ref="A50:A55"/>
    <mergeCell ref="A64:A69"/>
    <mergeCell ref="A86:A92"/>
    <mergeCell ref="J86:J92"/>
    <mergeCell ref="A78:A84"/>
    <mergeCell ref="J78:J84"/>
    <mergeCell ref="A71:A76"/>
    <mergeCell ref="J71:J76"/>
  </mergeCells>
  <phoneticPr fontId="7" type="noConversion"/>
  <conditionalFormatting sqref="E2:E9">
    <cfRule type="cellIs" dxfId="15" priority="8" operator="equal">
      <formula>1</formula>
    </cfRule>
  </conditionalFormatting>
  <conditionalFormatting sqref="E12:E14">
    <cfRule type="cellIs" dxfId="14" priority="7" operator="equal">
      <formula>1</formula>
    </cfRule>
  </conditionalFormatting>
  <conditionalFormatting sqref="E18:E19">
    <cfRule type="cellIs" dxfId="13" priority="1" operator="equal">
      <formula>1</formula>
    </cfRule>
  </conditionalFormatting>
  <conditionalFormatting sqref="E24:E26">
    <cfRule type="cellIs" dxfId="12" priority="13" operator="equal">
      <formula>1</formula>
    </cfRule>
  </conditionalFormatting>
  <conditionalFormatting sqref="E30:E32">
    <cfRule type="cellIs" dxfId="11" priority="39" operator="equal">
      <formula>1</formula>
    </cfRule>
  </conditionalFormatting>
  <conditionalFormatting sqref="E36:E37">
    <cfRule type="cellIs" dxfId="10" priority="22" operator="equal">
      <formula>1</formula>
    </cfRule>
  </conditionalFormatting>
  <conditionalFormatting sqref="E43:E44">
    <cfRule type="cellIs" dxfId="9" priority="21" operator="equal">
      <formula>1</formula>
    </cfRule>
  </conditionalFormatting>
  <conditionalFormatting sqref="E50:E51">
    <cfRule type="cellIs" dxfId="8" priority="12" operator="equal">
      <formula>1</formula>
    </cfRule>
  </conditionalFormatting>
  <conditionalFormatting sqref="E57:E58">
    <cfRule type="cellIs" dxfId="7" priority="19" operator="equal">
      <formula>1</formula>
    </cfRule>
  </conditionalFormatting>
  <conditionalFormatting sqref="E64:E66">
    <cfRule type="cellIs" dxfId="6" priority="4" operator="equal">
      <formula>1</formula>
    </cfRule>
  </conditionalFormatting>
  <conditionalFormatting sqref="E71:E73">
    <cfRule type="cellIs" dxfId="5" priority="11" operator="equal">
      <formula>1</formula>
    </cfRule>
  </conditionalFormatting>
  <conditionalFormatting sqref="E78:E80">
    <cfRule type="cellIs" dxfId="4" priority="9" operator="equal">
      <formula>1</formula>
    </cfRule>
  </conditionalFormatting>
  <conditionalFormatting sqref="E86:E88">
    <cfRule type="cellIs" dxfId="3" priority="2" operator="equal">
      <formula>1</formula>
    </cfRule>
  </conditionalFormatting>
  <conditionalFormatting sqref="J2:J10 J12:J16 J24:J28 J30:J34 J36:J41 J43:J48 J50:J55 J57:J62 J64:J69 J71:J76 J78:J84">
    <cfRule type="cellIs" dxfId="2" priority="29" operator="equal">
      <formula>1</formula>
    </cfRule>
  </conditionalFormatting>
  <conditionalFormatting sqref="J18:J22">
    <cfRule type="cellIs" dxfId="1" priority="31" operator="equal">
      <formula>1</formula>
    </cfRule>
  </conditionalFormatting>
  <conditionalFormatting sqref="J86:J92">
    <cfRule type="cellIs" dxfId="0" priority="3" operator="equal">
      <formula>1</formula>
    </cfRule>
  </conditionalFormatting>
  <pageMargins left="0.511811024" right="0.511811024" top="0.78740157499999996" bottom="0.78740157499999996" header="0.31496062000000002" footer="0.31496062000000002"/>
  <pageSetup paperSize="9" orientation="portrait" r:id="rId1"/>
  <customProperties>
    <customPr name="EpmWorksheetKeyString_GUID" r:id="rId2"/>
  </customProperties>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BC258-0B6C-4F73-B00D-AD93F4ABF0F0}">
  <dimension ref="A1:GH152"/>
  <sheetViews>
    <sheetView tabSelected="1" zoomScale="70" zoomScaleNormal="70" workbookViewId="0">
      <pane xSplit="1" ySplit="1" topLeftCell="B101" activePane="bottomRight" state="frozen"/>
      <selection pane="bottomRight" activeCell="C113" sqref="C113"/>
      <selection pane="bottomLeft" activeCell="A2" sqref="A2"/>
      <selection pane="topRight" activeCell="B1" sqref="B1"/>
    </sheetView>
  </sheetViews>
  <sheetFormatPr defaultColWidth="8.85546875" defaultRowHeight="14.45"/>
  <cols>
    <col min="1" max="1" width="16.85546875" style="12" bestFit="1" customWidth="1"/>
    <col min="2" max="2" width="8.5703125" style="8" customWidth="1"/>
    <col min="3" max="3" width="107.140625" style="12" customWidth="1"/>
    <col min="4" max="4" width="30.85546875" style="12" customWidth="1"/>
    <col min="5" max="5" width="28.85546875" style="12" customWidth="1"/>
    <col min="6" max="6" width="13.140625" style="8" bestFit="1" customWidth="1"/>
    <col min="7" max="7" width="113.140625" style="12" customWidth="1"/>
    <col min="8" max="8" width="93.28515625" style="12" customWidth="1"/>
    <col min="9" max="9" width="88.28515625" style="12" customWidth="1"/>
    <col min="10" max="10" width="23" style="12" customWidth="1"/>
    <col min="11" max="16384" width="8.85546875" style="12"/>
  </cols>
  <sheetData>
    <row r="1" spans="1:16" ht="58.35" customHeight="1" thickBot="1">
      <c r="A1" s="39" t="s">
        <v>0</v>
      </c>
      <c r="B1" s="111" t="s">
        <v>216</v>
      </c>
      <c r="C1" s="3" t="s">
        <v>1</v>
      </c>
      <c r="D1" s="10" t="s">
        <v>2</v>
      </c>
      <c r="E1" s="3" t="s">
        <v>3</v>
      </c>
      <c r="F1" s="3" t="s">
        <v>4</v>
      </c>
      <c r="G1" s="4">
        <v>0.8</v>
      </c>
      <c r="H1" s="4">
        <v>1</v>
      </c>
      <c r="I1" s="4">
        <v>1.2</v>
      </c>
      <c r="J1" s="4" t="s">
        <v>5</v>
      </c>
    </row>
    <row r="2" spans="1:16" ht="35.1" customHeight="1">
      <c r="A2" s="414" t="s">
        <v>217</v>
      </c>
      <c r="B2" s="265" t="s">
        <v>218</v>
      </c>
      <c r="C2" s="90" t="s">
        <v>216</v>
      </c>
      <c r="D2" s="47"/>
      <c r="E2" s="47"/>
      <c r="F2" s="60">
        <v>0.05</v>
      </c>
      <c r="G2" s="48"/>
      <c r="H2" s="48"/>
      <c r="I2" s="48"/>
      <c r="J2" s="79"/>
      <c r="K2" s="437"/>
      <c r="N2" s="14"/>
      <c r="O2" s="14"/>
      <c r="P2" s="14"/>
    </row>
    <row r="3" spans="1:16" ht="35.1" customHeight="1">
      <c r="A3" s="415"/>
      <c r="B3" s="266" t="s">
        <v>219</v>
      </c>
      <c r="C3" s="90" t="s">
        <v>30</v>
      </c>
      <c r="D3" s="47"/>
      <c r="E3" s="47"/>
      <c r="F3" s="83">
        <v>0.15</v>
      </c>
      <c r="G3" s="49"/>
      <c r="H3" s="49"/>
      <c r="I3" s="50"/>
      <c r="J3" s="53"/>
      <c r="K3" s="438"/>
      <c r="N3" s="11"/>
      <c r="O3" s="11"/>
      <c r="P3" s="11"/>
    </row>
    <row r="4" spans="1:16" ht="35.1" customHeight="1">
      <c r="A4" s="415"/>
      <c r="B4" s="266" t="s">
        <v>220</v>
      </c>
      <c r="C4" s="55" t="s">
        <v>10</v>
      </c>
      <c r="D4" s="47"/>
      <c r="E4" s="51"/>
      <c r="F4" s="60">
        <v>0.1</v>
      </c>
      <c r="G4" s="52"/>
      <c r="H4" s="52"/>
      <c r="I4" s="19"/>
      <c r="J4" s="53"/>
      <c r="K4" s="438"/>
    </row>
    <row r="5" spans="1:16" ht="35.1" customHeight="1">
      <c r="A5" s="415"/>
      <c r="B5" s="266" t="s">
        <v>221</v>
      </c>
      <c r="C5" s="88" t="s">
        <v>222</v>
      </c>
      <c r="D5" s="54"/>
      <c r="E5" s="55"/>
      <c r="F5" s="20">
        <v>0.1</v>
      </c>
      <c r="G5" s="55"/>
      <c r="H5" s="55"/>
      <c r="I5" s="55"/>
      <c r="J5" s="53"/>
      <c r="K5" s="438"/>
    </row>
    <row r="6" spans="1:16" ht="35.1" customHeight="1">
      <c r="A6" s="415"/>
      <c r="B6" s="266" t="s">
        <v>223</v>
      </c>
      <c r="C6" s="84" t="s">
        <v>224</v>
      </c>
      <c r="D6" s="9"/>
      <c r="E6" s="9"/>
      <c r="F6" s="20">
        <v>0.1</v>
      </c>
      <c r="G6" s="11"/>
      <c r="H6" s="11"/>
      <c r="I6" s="11"/>
      <c r="J6" s="53"/>
      <c r="K6" s="438"/>
    </row>
    <row r="7" spans="1:16" ht="84.6" customHeight="1">
      <c r="A7" s="415"/>
      <c r="B7" s="266" t="s">
        <v>225</v>
      </c>
      <c r="C7" s="84" t="s">
        <v>16</v>
      </c>
      <c r="D7" s="9"/>
      <c r="E7" s="9"/>
      <c r="F7" s="16">
        <v>0.05</v>
      </c>
      <c r="G7" s="9"/>
      <c r="H7" s="9"/>
      <c r="I7" s="9"/>
      <c r="J7" s="53"/>
      <c r="K7" s="438"/>
    </row>
    <row r="8" spans="1:16" ht="35.1" customHeight="1">
      <c r="A8" s="415"/>
      <c r="B8" s="266" t="s">
        <v>226</v>
      </c>
      <c r="C8" s="84" t="s">
        <v>31</v>
      </c>
      <c r="D8" s="9"/>
      <c r="E8" s="9"/>
      <c r="F8" s="16">
        <v>0.15</v>
      </c>
      <c r="G8" s="9"/>
      <c r="H8" s="9"/>
      <c r="I8" s="9"/>
      <c r="J8" s="53"/>
      <c r="K8" s="438"/>
    </row>
    <row r="9" spans="1:16" ht="5.0999999999999996" customHeight="1">
      <c r="A9" s="415"/>
      <c r="B9" s="209"/>
      <c r="C9" s="210"/>
      <c r="D9" s="205"/>
      <c r="E9" s="211"/>
      <c r="F9" s="212"/>
      <c r="G9" s="213"/>
      <c r="H9" s="213"/>
      <c r="I9" s="213"/>
      <c r="J9" s="214"/>
      <c r="K9" s="438"/>
    </row>
    <row r="10" spans="1:16" ht="252">
      <c r="A10" s="415"/>
      <c r="B10" s="215" t="s">
        <v>227</v>
      </c>
      <c r="C10" s="115" t="s">
        <v>90</v>
      </c>
      <c r="D10" s="47" t="s">
        <v>91</v>
      </c>
      <c r="E10" s="47" t="s">
        <v>228</v>
      </c>
      <c r="F10" s="60">
        <v>0.15</v>
      </c>
      <c r="G10" s="76" t="s">
        <v>229</v>
      </c>
      <c r="H10" s="76" t="s">
        <v>230</v>
      </c>
      <c r="I10" s="76" t="s">
        <v>231</v>
      </c>
      <c r="J10" s="85"/>
      <c r="K10" s="438"/>
    </row>
    <row r="11" spans="1:16" ht="42">
      <c r="A11" s="415"/>
      <c r="B11" s="268" t="s">
        <v>232</v>
      </c>
      <c r="C11" s="216" t="s">
        <v>233</v>
      </c>
      <c r="D11" s="217"/>
      <c r="E11" s="276"/>
      <c r="F11" s="69">
        <v>0.15</v>
      </c>
      <c r="G11" s="220" t="s">
        <v>234</v>
      </c>
      <c r="H11" s="277" t="s">
        <v>235</v>
      </c>
      <c r="I11" s="220" t="s">
        <v>236</v>
      </c>
      <c r="J11" s="85"/>
      <c r="K11" s="438"/>
    </row>
    <row r="12" spans="1:16" ht="29.1" customHeight="1">
      <c r="A12" s="415"/>
      <c r="B12" s="215"/>
      <c r="C12" s="9"/>
      <c r="D12" s="7"/>
      <c r="E12" s="7"/>
      <c r="F12" s="23"/>
      <c r="G12" s="7"/>
      <c r="H12" s="7"/>
      <c r="I12" s="7"/>
      <c r="J12" s="85"/>
      <c r="K12" s="438"/>
    </row>
    <row r="13" spans="1:16" ht="30.95" customHeight="1">
      <c r="A13" s="415"/>
      <c r="B13" s="268"/>
      <c r="C13" s="216"/>
      <c r="D13" s="217"/>
      <c r="E13" s="276"/>
      <c r="F13" s="69"/>
      <c r="G13" s="220"/>
      <c r="H13" s="277"/>
      <c r="I13" s="220"/>
      <c r="J13" s="85"/>
      <c r="K13" s="438"/>
    </row>
    <row r="14" spans="1:16">
      <c r="A14" s="415"/>
      <c r="B14" s="268"/>
      <c r="C14" s="216"/>
      <c r="D14" s="217"/>
      <c r="E14" s="276"/>
      <c r="F14" s="69"/>
      <c r="G14" s="220"/>
      <c r="H14" s="277"/>
      <c r="I14" s="220"/>
      <c r="J14" s="85"/>
      <c r="K14" s="438"/>
    </row>
    <row r="15" spans="1:16" ht="15" thickBot="1">
      <c r="A15" s="416"/>
      <c r="B15" s="267"/>
      <c r="C15" s="88"/>
      <c r="D15" s="9"/>
      <c r="E15" s="9"/>
      <c r="F15" s="16"/>
      <c r="G15" s="120"/>
      <c r="H15" s="120"/>
      <c r="I15" s="120"/>
      <c r="J15" s="85"/>
      <c r="K15" s="438"/>
    </row>
    <row r="16" spans="1:16" ht="15" thickBot="1">
      <c r="A16" s="270">
        <f>SUM(F2:F15)</f>
        <v>1</v>
      </c>
      <c r="B16" s="168"/>
      <c r="C16" s="142"/>
      <c r="D16" s="143"/>
      <c r="E16" s="143"/>
      <c r="F16" s="144"/>
      <c r="G16" s="145"/>
      <c r="H16" s="145"/>
      <c r="I16" s="145"/>
      <c r="J16" s="146"/>
      <c r="K16" s="439"/>
    </row>
    <row r="17" spans="1:11">
      <c r="A17" s="432" t="s">
        <v>237</v>
      </c>
      <c r="B17" s="112" t="s">
        <v>218</v>
      </c>
      <c r="C17" s="90" t="s">
        <v>30</v>
      </c>
      <c r="D17" s="47"/>
      <c r="E17" s="47"/>
      <c r="F17" s="83">
        <v>0.15</v>
      </c>
      <c r="G17" s="49"/>
      <c r="H17" s="49"/>
      <c r="I17" s="50"/>
      <c r="J17" s="53"/>
      <c r="K17" s="437"/>
    </row>
    <row r="18" spans="1:11">
      <c r="A18" s="433"/>
      <c r="B18" s="112" t="s">
        <v>219</v>
      </c>
      <c r="C18" s="55" t="s">
        <v>10</v>
      </c>
      <c r="D18" s="47"/>
      <c r="E18" s="51"/>
      <c r="F18" s="60">
        <v>0.1</v>
      </c>
      <c r="G18" s="52"/>
      <c r="H18" s="52"/>
      <c r="I18" s="19"/>
      <c r="J18" s="53"/>
      <c r="K18" s="440"/>
    </row>
    <row r="19" spans="1:11">
      <c r="A19" s="433"/>
      <c r="B19" s="117" t="s">
        <v>220</v>
      </c>
      <c r="C19" s="84" t="s">
        <v>31</v>
      </c>
      <c r="D19" s="9"/>
      <c r="E19" s="9"/>
      <c r="F19" s="16">
        <v>0.15</v>
      </c>
      <c r="G19" s="9"/>
      <c r="H19" s="9"/>
      <c r="I19" s="9"/>
      <c r="J19" s="53"/>
      <c r="K19" s="440"/>
    </row>
    <row r="20" spans="1:11" ht="7.5" customHeight="1">
      <c r="A20" s="433"/>
      <c r="B20" s="209"/>
      <c r="C20" s="210"/>
      <c r="D20" s="205"/>
      <c r="E20" s="211"/>
      <c r="F20" s="212"/>
      <c r="G20" s="213"/>
      <c r="H20" s="213"/>
      <c r="I20" s="213"/>
      <c r="J20" s="214"/>
      <c r="K20" s="440"/>
    </row>
    <row r="21" spans="1:11" ht="27.95">
      <c r="A21" s="433"/>
      <c r="B21" s="117" t="s">
        <v>227</v>
      </c>
      <c r="C21" s="115" t="s">
        <v>238</v>
      </c>
      <c r="D21" s="90" t="s">
        <v>41</v>
      </c>
      <c r="E21" s="91"/>
      <c r="F21" s="83">
        <v>0.15</v>
      </c>
      <c r="G21" s="406" t="s">
        <v>239</v>
      </c>
      <c r="H21" s="406" t="s">
        <v>240</v>
      </c>
      <c r="I21" s="406" t="s">
        <v>241</v>
      </c>
      <c r="J21" s="53"/>
      <c r="K21" s="440"/>
    </row>
    <row r="22" spans="1:11" ht="29.1" customHeight="1">
      <c r="A22" s="433"/>
      <c r="B22" s="117" t="s">
        <v>232</v>
      </c>
      <c r="C22" s="216" t="s">
        <v>242</v>
      </c>
      <c r="D22" s="90" t="s">
        <v>41</v>
      </c>
      <c r="E22" s="91"/>
      <c r="F22" s="60">
        <v>0.15</v>
      </c>
      <c r="G22" s="9" t="s">
        <v>243</v>
      </c>
      <c r="H22" s="9" t="s">
        <v>244</v>
      </c>
      <c r="I22" s="9" t="s">
        <v>245</v>
      </c>
      <c r="J22" s="53"/>
      <c r="K22" s="438"/>
    </row>
    <row r="23" spans="1:11" ht="69.95">
      <c r="A23" s="433"/>
      <c r="B23" s="117" t="s">
        <v>246</v>
      </c>
      <c r="C23" s="90" t="s">
        <v>247</v>
      </c>
      <c r="D23" s="90" t="s">
        <v>41</v>
      </c>
      <c r="E23" s="91"/>
      <c r="F23" s="60">
        <v>0.15</v>
      </c>
      <c r="G23" s="9" t="s">
        <v>248</v>
      </c>
      <c r="H23" s="9" t="s">
        <v>249</v>
      </c>
      <c r="I23" s="9" t="s">
        <v>250</v>
      </c>
      <c r="J23" s="53"/>
      <c r="K23" s="438"/>
    </row>
    <row r="24" spans="1:11" ht="69.95">
      <c r="A24" s="433"/>
      <c r="B24" s="200" t="s">
        <v>251</v>
      </c>
      <c r="C24" s="407" t="s">
        <v>252</v>
      </c>
      <c r="D24" s="407" t="s">
        <v>41</v>
      </c>
      <c r="E24" s="91"/>
      <c r="F24" s="60">
        <v>0.15</v>
      </c>
      <c r="G24" s="406" t="s">
        <v>248</v>
      </c>
      <c r="H24" s="406" t="s">
        <v>249</v>
      </c>
      <c r="I24" s="406" t="s">
        <v>250</v>
      </c>
      <c r="J24" s="85"/>
      <c r="K24" s="438"/>
    </row>
    <row r="25" spans="1:11">
      <c r="A25" s="433"/>
      <c r="B25" s="200"/>
      <c r="C25" s="201"/>
      <c r="D25" s="202"/>
      <c r="E25" s="202"/>
      <c r="F25" s="203"/>
      <c r="G25" s="193"/>
      <c r="H25" s="193"/>
      <c r="I25" s="193"/>
      <c r="J25" s="85"/>
      <c r="K25" s="438"/>
    </row>
    <row r="26" spans="1:11" ht="15" thickBot="1">
      <c r="A26" s="434"/>
      <c r="B26" s="200"/>
      <c r="C26" s="201"/>
      <c r="D26" s="202"/>
      <c r="E26" s="202"/>
      <c r="F26" s="203"/>
      <c r="G26" s="193"/>
      <c r="H26" s="193"/>
      <c r="I26" s="193"/>
      <c r="J26" s="85"/>
      <c r="K26" s="438"/>
    </row>
    <row r="27" spans="1:11" ht="15" thickBot="1">
      <c r="A27" s="121">
        <f>SUM(F17:F25)</f>
        <v>1</v>
      </c>
      <c r="B27" s="136"/>
      <c r="C27" s="137"/>
      <c r="D27" s="138"/>
      <c r="E27" s="138"/>
      <c r="F27" s="139"/>
      <c r="G27" s="138"/>
      <c r="H27" s="138"/>
      <c r="I27" s="138"/>
      <c r="J27" s="140"/>
      <c r="K27" s="439"/>
    </row>
    <row r="28" spans="1:11">
      <c r="A28" s="417" t="s">
        <v>253</v>
      </c>
      <c r="B28" s="112" t="s">
        <v>218</v>
      </c>
      <c r="C28" s="90" t="s">
        <v>30</v>
      </c>
      <c r="D28" s="47"/>
      <c r="E28" s="47"/>
      <c r="F28" s="83">
        <v>0.15</v>
      </c>
      <c r="G28" s="48"/>
      <c r="H28" s="48"/>
      <c r="I28" s="48"/>
      <c r="J28" s="86"/>
      <c r="K28" s="441"/>
    </row>
    <row r="29" spans="1:11">
      <c r="A29" s="418"/>
      <c r="B29" s="112" t="s">
        <v>219</v>
      </c>
      <c r="C29" s="55" t="s">
        <v>10</v>
      </c>
      <c r="D29" s="47"/>
      <c r="E29" s="51"/>
      <c r="F29" s="60">
        <v>0.1</v>
      </c>
      <c r="G29" s="48"/>
      <c r="H29" s="48"/>
      <c r="I29" s="48"/>
      <c r="J29" s="86"/>
      <c r="K29" s="442"/>
    </row>
    <row r="30" spans="1:11">
      <c r="A30" s="418"/>
      <c r="B30" s="117" t="s">
        <v>220</v>
      </c>
      <c r="C30" s="84" t="s">
        <v>31</v>
      </c>
      <c r="D30" s="9"/>
      <c r="E30" s="9"/>
      <c r="F30" s="16">
        <v>0.15</v>
      </c>
      <c r="G30" s="48"/>
      <c r="H30" s="48"/>
      <c r="I30" s="48"/>
      <c r="J30" s="86"/>
      <c r="K30" s="442"/>
    </row>
    <row r="31" spans="1:11">
      <c r="A31" s="418"/>
      <c r="B31" s="112" t="s">
        <v>221</v>
      </c>
      <c r="C31" s="88" t="s">
        <v>222</v>
      </c>
      <c r="D31" s="54"/>
      <c r="E31" s="55"/>
      <c r="F31" s="20">
        <v>0.05</v>
      </c>
      <c r="G31" s="48"/>
      <c r="H31" s="48"/>
      <c r="I31" s="48"/>
      <c r="J31" s="86"/>
      <c r="K31" s="442"/>
    </row>
    <row r="32" spans="1:11">
      <c r="A32" s="418"/>
      <c r="B32" s="112" t="s">
        <v>223</v>
      </c>
      <c r="C32" s="84" t="s">
        <v>224</v>
      </c>
      <c r="D32" s="9"/>
      <c r="E32" s="9"/>
      <c r="F32" s="20">
        <v>0.05</v>
      </c>
      <c r="G32" s="48"/>
      <c r="H32" s="48"/>
      <c r="I32" s="48"/>
      <c r="J32" s="86"/>
      <c r="K32" s="442"/>
    </row>
    <row r="33" spans="1:11" ht="8.4499999999999993" customHeight="1">
      <c r="A33" s="418"/>
      <c r="B33" s="209"/>
      <c r="C33" s="210"/>
      <c r="D33" s="205"/>
      <c r="E33" s="211"/>
      <c r="F33" s="212"/>
      <c r="G33" s="213"/>
      <c r="H33" s="213"/>
      <c r="I33" s="213"/>
      <c r="J33" s="214"/>
      <c r="K33" s="442"/>
    </row>
    <row r="34" spans="1:11">
      <c r="A34" s="418"/>
      <c r="B34" s="117" t="s">
        <v>227</v>
      </c>
      <c r="C34" s="188" t="s">
        <v>254</v>
      </c>
      <c r="D34" s="123" t="s">
        <v>104</v>
      </c>
      <c r="E34" s="189" t="s">
        <v>105</v>
      </c>
      <c r="F34" s="92">
        <v>0.05</v>
      </c>
      <c r="G34" s="52" t="s">
        <v>255</v>
      </c>
      <c r="H34" s="52" t="s">
        <v>256</v>
      </c>
      <c r="I34" s="19" t="s">
        <v>257</v>
      </c>
      <c r="J34" s="86"/>
      <c r="K34" s="442"/>
    </row>
    <row r="35" spans="1:11" ht="36" customHeight="1">
      <c r="A35" s="418"/>
      <c r="B35" s="117" t="s">
        <v>232</v>
      </c>
      <c r="C35" s="233" t="s">
        <v>258</v>
      </c>
      <c r="D35" s="21" t="s">
        <v>104</v>
      </c>
      <c r="E35" s="21" t="s">
        <v>105</v>
      </c>
      <c r="F35" s="92">
        <v>0.15</v>
      </c>
      <c r="G35" s="11" t="s">
        <v>259</v>
      </c>
      <c r="H35" s="11" t="s">
        <v>260</v>
      </c>
      <c r="I35" s="11" t="s">
        <v>261</v>
      </c>
      <c r="J35" s="53"/>
      <c r="K35" s="442"/>
    </row>
    <row r="36" spans="1:11" ht="140.44999999999999" thickBot="1">
      <c r="A36" s="418"/>
      <c r="B36" s="117" t="s">
        <v>246</v>
      </c>
      <c r="C36" s="225" t="s">
        <v>262</v>
      </c>
      <c r="D36" s="226" t="s">
        <v>263</v>
      </c>
      <c r="E36" s="278" t="s">
        <v>264</v>
      </c>
      <c r="F36" s="227">
        <v>0.1</v>
      </c>
      <c r="G36" s="232" t="s">
        <v>265</v>
      </c>
      <c r="H36" s="279" t="s">
        <v>266</v>
      </c>
      <c r="I36" s="232" t="s">
        <v>267</v>
      </c>
      <c r="J36" s="53"/>
      <c r="K36" s="442"/>
    </row>
    <row r="37" spans="1:11" ht="28.5" thickBot="1">
      <c r="A37" s="418"/>
      <c r="B37" s="117" t="s">
        <v>251</v>
      </c>
      <c r="C37" s="55" t="s">
        <v>268</v>
      </c>
      <c r="D37" s="9" t="s">
        <v>41</v>
      </c>
      <c r="E37" s="28" t="s">
        <v>105</v>
      </c>
      <c r="F37" s="92">
        <v>0.1</v>
      </c>
      <c r="G37" s="280">
        <v>46022</v>
      </c>
      <c r="H37" s="280">
        <v>45991</v>
      </c>
      <c r="I37" s="280">
        <v>45961</v>
      </c>
      <c r="J37" s="53"/>
      <c r="K37" s="442"/>
    </row>
    <row r="38" spans="1:11" ht="42">
      <c r="A38" s="418"/>
      <c r="B38" s="268" t="s">
        <v>269</v>
      </c>
      <c r="C38" s="216" t="s">
        <v>233</v>
      </c>
      <c r="D38" s="217"/>
      <c r="E38" s="276"/>
      <c r="F38" s="69">
        <v>0.1</v>
      </c>
      <c r="G38" s="220" t="s">
        <v>234</v>
      </c>
      <c r="H38" s="277" t="s">
        <v>235</v>
      </c>
      <c r="I38" s="220" t="s">
        <v>236</v>
      </c>
      <c r="J38" s="53"/>
      <c r="K38" s="442"/>
    </row>
    <row r="39" spans="1:11" ht="15.6">
      <c r="A39" s="418"/>
      <c r="B39" s="117"/>
      <c r="C39" s="55"/>
      <c r="D39" s="9"/>
      <c r="E39" s="28"/>
      <c r="F39" s="92"/>
      <c r="G39" s="87"/>
      <c r="H39" s="87"/>
      <c r="I39" s="87"/>
      <c r="J39" s="53"/>
      <c r="K39" s="442"/>
    </row>
    <row r="40" spans="1:11" ht="15.95" thickBot="1">
      <c r="A40" s="418"/>
      <c r="B40" s="117"/>
      <c r="C40" s="55"/>
      <c r="D40" s="9"/>
      <c r="E40" s="28"/>
      <c r="F40" s="92"/>
      <c r="G40" s="87"/>
      <c r="H40" s="87"/>
      <c r="I40" s="87"/>
      <c r="J40" s="53"/>
      <c r="K40" s="442"/>
    </row>
    <row r="41" spans="1:11" ht="20.85" customHeight="1" thickBot="1">
      <c r="A41" s="162">
        <f>SUM(F28:F40)</f>
        <v>1</v>
      </c>
      <c r="B41" s="130"/>
      <c r="C41" s="131"/>
      <c r="D41" s="132"/>
      <c r="E41" s="132"/>
      <c r="F41" s="133"/>
      <c r="G41" s="134"/>
      <c r="H41" s="134"/>
      <c r="I41" s="134"/>
      <c r="J41" s="135"/>
      <c r="K41" s="442"/>
    </row>
    <row r="42" spans="1:11" ht="14.45" customHeight="1">
      <c r="A42" s="419" t="s">
        <v>270</v>
      </c>
      <c r="B42" s="159" t="s">
        <v>218</v>
      </c>
      <c r="C42" s="116" t="s">
        <v>30</v>
      </c>
      <c r="D42" s="103"/>
      <c r="E42" s="103"/>
      <c r="F42" s="104">
        <v>0.15</v>
      </c>
      <c r="G42" s="110"/>
      <c r="H42" s="110"/>
      <c r="I42" s="110"/>
      <c r="J42" s="79"/>
      <c r="K42" s="443"/>
    </row>
    <row r="43" spans="1:11">
      <c r="A43" s="420"/>
      <c r="B43" s="160" t="s">
        <v>219</v>
      </c>
      <c r="C43" s="11" t="s">
        <v>10</v>
      </c>
      <c r="D43" s="47"/>
      <c r="E43" s="47"/>
      <c r="F43" s="60">
        <v>0.1</v>
      </c>
      <c r="G43" s="76"/>
      <c r="H43" s="76"/>
      <c r="I43" s="76"/>
      <c r="J43" s="53"/>
      <c r="K43" s="444"/>
    </row>
    <row r="44" spans="1:11">
      <c r="A44" s="420"/>
      <c r="B44" s="158" t="s">
        <v>220</v>
      </c>
      <c r="C44" s="9" t="s">
        <v>31</v>
      </c>
      <c r="D44" s="9"/>
      <c r="E44" s="9"/>
      <c r="F44" s="16">
        <v>0.15</v>
      </c>
      <c r="G44" s="76"/>
      <c r="H44" s="76"/>
      <c r="I44" s="76"/>
      <c r="J44" s="53"/>
      <c r="K44" s="444"/>
    </row>
    <row r="45" spans="1:11">
      <c r="A45" s="420"/>
      <c r="B45" s="112" t="s">
        <v>221</v>
      </c>
      <c r="C45" s="88" t="s">
        <v>222</v>
      </c>
      <c r="D45" s="54"/>
      <c r="E45" s="55"/>
      <c r="F45" s="20">
        <v>0.05</v>
      </c>
      <c r="G45" s="76"/>
      <c r="H45" s="76"/>
      <c r="I45" s="76"/>
      <c r="J45" s="53"/>
      <c r="K45" s="444"/>
    </row>
    <row r="46" spans="1:11">
      <c r="A46" s="420"/>
      <c r="B46" s="112" t="s">
        <v>223</v>
      </c>
      <c r="C46" s="84" t="s">
        <v>224</v>
      </c>
      <c r="D46" s="9"/>
      <c r="E46" s="9"/>
      <c r="F46" s="20">
        <v>0.05</v>
      </c>
      <c r="G46" s="76"/>
      <c r="H46" s="76"/>
      <c r="I46" s="76"/>
      <c r="J46" s="53"/>
      <c r="K46" s="444"/>
    </row>
    <row r="47" spans="1:11" ht="7.5" customHeight="1">
      <c r="A47" s="420"/>
      <c r="B47" s="204"/>
      <c r="C47" s="205"/>
      <c r="D47" s="205"/>
      <c r="E47" s="205"/>
      <c r="F47" s="206"/>
      <c r="G47" s="207"/>
      <c r="H47" s="207"/>
      <c r="I47" s="207"/>
      <c r="J47" s="208"/>
      <c r="K47" s="444"/>
    </row>
    <row r="48" spans="1:11" ht="269.45" customHeight="1">
      <c r="A48" s="420"/>
      <c r="B48" s="158" t="s">
        <v>227</v>
      </c>
      <c r="C48" s="115" t="s">
        <v>90</v>
      </c>
      <c r="D48" s="47" t="s">
        <v>91</v>
      </c>
      <c r="E48" s="47" t="s">
        <v>271</v>
      </c>
      <c r="F48" s="60">
        <v>0.15</v>
      </c>
      <c r="G48" s="76" t="s">
        <v>272</v>
      </c>
      <c r="H48" s="76" t="s">
        <v>273</v>
      </c>
      <c r="I48" s="76" t="s">
        <v>274</v>
      </c>
      <c r="J48" s="53"/>
      <c r="K48" s="444"/>
    </row>
    <row r="49" spans="1:11" ht="27.95">
      <c r="A49" s="420"/>
      <c r="B49" s="158" t="s">
        <v>232</v>
      </c>
      <c r="C49" s="21" t="s">
        <v>275</v>
      </c>
      <c r="D49" s="394" t="s">
        <v>104</v>
      </c>
      <c r="E49" s="190" t="s">
        <v>105</v>
      </c>
      <c r="F49" s="69">
        <v>0.2</v>
      </c>
      <c r="G49" s="391" t="s">
        <v>276</v>
      </c>
      <c r="H49" s="391" t="s">
        <v>277</v>
      </c>
      <c r="I49" s="391" t="s">
        <v>278</v>
      </c>
      <c r="J49" s="53"/>
      <c r="K49" s="445"/>
    </row>
    <row r="50" spans="1:11" ht="28.5" thickBot="1">
      <c r="A50" s="420"/>
      <c r="B50" s="215" t="s">
        <v>246</v>
      </c>
      <c r="C50" s="115" t="s">
        <v>279</v>
      </c>
      <c r="D50" s="394" t="s">
        <v>104</v>
      </c>
      <c r="E50" s="190" t="s">
        <v>105</v>
      </c>
      <c r="F50" s="60">
        <v>0.15</v>
      </c>
      <c r="G50" s="76" t="s">
        <v>280</v>
      </c>
      <c r="H50" s="76" t="s">
        <v>281</v>
      </c>
      <c r="I50" s="76" t="s">
        <v>282</v>
      </c>
      <c r="J50" s="91"/>
      <c r="K50" s="445"/>
    </row>
    <row r="51" spans="1:11" ht="25.35" customHeight="1" thickBot="1">
      <c r="A51" s="122">
        <f>SUM(F42:F50)</f>
        <v>1</v>
      </c>
      <c r="B51" s="167"/>
      <c r="C51" s="164"/>
      <c r="D51" s="164"/>
      <c r="E51" s="164"/>
      <c r="F51" s="165"/>
      <c r="G51" s="164"/>
      <c r="H51" s="164"/>
      <c r="I51" s="164"/>
      <c r="J51" s="166"/>
      <c r="K51" s="446"/>
    </row>
    <row r="52" spans="1:11" ht="14.45" customHeight="1">
      <c r="A52" s="421" t="s">
        <v>283</v>
      </c>
      <c r="B52" s="161" t="s">
        <v>218</v>
      </c>
      <c r="C52" s="116" t="s">
        <v>30</v>
      </c>
      <c r="D52" s="118"/>
      <c r="E52" s="118"/>
      <c r="F52" s="92">
        <v>0.15</v>
      </c>
      <c r="G52" s="48"/>
      <c r="H52" s="48"/>
      <c r="I52" s="48"/>
      <c r="J52" s="86"/>
      <c r="K52" s="447"/>
    </row>
    <row r="53" spans="1:11" ht="14.45" customHeight="1">
      <c r="A53" s="422"/>
      <c r="B53" s="160" t="s">
        <v>219</v>
      </c>
      <c r="C53" s="11" t="s">
        <v>10</v>
      </c>
      <c r="D53" s="47"/>
      <c r="E53" s="47"/>
      <c r="F53" s="60">
        <v>0.1</v>
      </c>
      <c r="G53" s="76"/>
      <c r="H53" s="76"/>
      <c r="I53" s="76"/>
      <c r="J53" s="53"/>
      <c r="K53" s="448"/>
    </row>
    <row r="54" spans="1:11" ht="14.45" customHeight="1">
      <c r="A54" s="422"/>
      <c r="B54" s="158" t="s">
        <v>220</v>
      </c>
      <c r="C54" s="9" t="s">
        <v>31</v>
      </c>
      <c r="D54" s="9"/>
      <c r="E54" s="9"/>
      <c r="F54" s="16">
        <v>0.05</v>
      </c>
      <c r="G54" s="76"/>
      <c r="H54" s="76"/>
      <c r="I54" s="76"/>
      <c r="J54" s="53"/>
      <c r="K54" s="448"/>
    </row>
    <row r="55" spans="1:11">
      <c r="A55" s="422"/>
      <c r="B55" s="158" t="s">
        <v>221</v>
      </c>
      <c r="C55" s="9" t="s">
        <v>222</v>
      </c>
      <c r="D55" s="9"/>
      <c r="E55" s="9"/>
      <c r="F55" s="16">
        <v>0.05</v>
      </c>
      <c r="G55" s="76"/>
      <c r="H55" s="76"/>
      <c r="I55" s="76"/>
      <c r="J55" s="53"/>
      <c r="K55" s="448"/>
    </row>
    <row r="56" spans="1:11">
      <c r="A56" s="422"/>
      <c r="B56" s="158" t="s">
        <v>223</v>
      </c>
      <c r="C56" s="9" t="s">
        <v>224</v>
      </c>
      <c r="D56" s="9"/>
      <c r="E56" s="9"/>
      <c r="F56" s="16">
        <v>0.05</v>
      </c>
      <c r="G56" s="76"/>
      <c r="H56" s="76"/>
      <c r="I56" s="76"/>
      <c r="J56" s="53"/>
      <c r="K56" s="448"/>
    </row>
    <row r="57" spans="1:11" ht="6.95" customHeight="1">
      <c r="A57" s="422"/>
      <c r="B57" s="204"/>
      <c r="C57" s="205"/>
      <c r="D57" s="205"/>
      <c r="E57" s="205"/>
      <c r="F57" s="206"/>
      <c r="G57" s="207"/>
      <c r="H57" s="207"/>
      <c r="I57" s="207"/>
      <c r="J57" s="208"/>
      <c r="K57" s="448"/>
    </row>
    <row r="58" spans="1:11" ht="252" customHeight="1">
      <c r="A58" s="422"/>
      <c r="B58" s="158" t="s">
        <v>227</v>
      </c>
      <c r="C58" s="115" t="s">
        <v>90</v>
      </c>
      <c r="D58" s="47" t="s">
        <v>91</v>
      </c>
      <c r="E58" s="47" t="s">
        <v>284</v>
      </c>
      <c r="F58" s="60">
        <v>0.2</v>
      </c>
      <c r="G58" s="393" t="s">
        <v>285</v>
      </c>
      <c r="H58" s="393" t="s">
        <v>286</v>
      </c>
      <c r="I58" s="393" t="s">
        <v>287</v>
      </c>
      <c r="J58" s="53"/>
      <c r="K58" s="448"/>
    </row>
    <row r="59" spans="1:11">
      <c r="A59" s="422"/>
      <c r="B59" s="158" t="s">
        <v>232</v>
      </c>
      <c r="C59" s="21" t="s">
        <v>288</v>
      </c>
      <c r="D59" s="394" t="s">
        <v>104</v>
      </c>
      <c r="E59" s="190" t="s">
        <v>105</v>
      </c>
      <c r="F59" s="22">
        <v>0.2</v>
      </c>
      <c r="G59" s="396" t="s">
        <v>289</v>
      </c>
      <c r="H59" s="396" t="s">
        <v>290</v>
      </c>
      <c r="I59" s="396" t="s">
        <v>291</v>
      </c>
      <c r="J59" s="11"/>
      <c r="K59" s="436"/>
    </row>
    <row r="60" spans="1:11" ht="27.95">
      <c r="A60" s="422"/>
      <c r="B60" s="158" t="s">
        <v>246</v>
      </c>
      <c r="C60" s="21" t="s">
        <v>275</v>
      </c>
      <c r="D60" s="394" t="s">
        <v>104</v>
      </c>
      <c r="E60" s="190" t="s">
        <v>105</v>
      </c>
      <c r="F60" s="69">
        <v>0.2</v>
      </c>
      <c r="G60" s="391" t="s">
        <v>276</v>
      </c>
      <c r="H60" s="391" t="s">
        <v>277</v>
      </c>
      <c r="I60" s="391" t="s">
        <v>278</v>
      </c>
      <c r="J60" s="11"/>
      <c r="K60" s="436"/>
    </row>
    <row r="61" spans="1:11" ht="15" thickBot="1">
      <c r="A61" s="423"/>
      <c r="B61" s="224" t="s">
        <v>251</v>
      </c>
      <c r="C61" s="225"/>
      <c r="D61" s="226"/>
      <c r="E61" s="278"/>
      <c r="F61" s="227"/>
      <c r="G61" s="232"/>
      <c r="H61" s="279"/>
      <c r="I61" s="232"/>
      <c r="J61" s="86"/>
      <c r="K61" s="448"/>
    </row>
    <row r="62" spans="1:11" ht="15" thickBot="1">
      <c r="A62" s="282">
        <f>SUM(F52:F61)</f>
        <v>1</v>
      </c>
      <c r="B62" s="219"/>
      <c r="C62" s="125"/>
      <c r="D62" s="126"/>
      <c r="E62" s="126"/>
      <c r="F62" s="127"/>
      <c r="G62" s="128"/>
      <c r="H62" s="128"/>
      <c r="I62" s="128"/>
      <c r="J62" s="129"/>
      <c r="K62" s="449"/>
    </row>
    <row r="63" spans="1:11">
      <c r="A63" s="427" t="s">
        <v>292</v>
      </c>
      <c r="B63" s="159" t="s">
        <v>218</v>
      </c>
      <c r="C63" s="116" t="s">
        <v>30</v>
      </c>
      <c r="D63" s="103"/>
      <c r="E63" s="103"/>
      <c r="F63" s="104">
        <v>0.15</v>
      </c>
      <c r="G63" s="110"/>
      <c r="H63" s="110"/>
      <c r="I63" s="110"/>
      <c r="J63" s="79"/>
      <c r="K63" s="437"/>
    </row>
    <row r="64" spans="1:11">
      <c r="A64" s="428"/>
      <c r="B64" s="160" t="s">
        <v>219</v>
      </c>
      <c r="C64" s="11" t="s">
        <v>10</v>
      </c>
      <c r="D64" s="47"/>
      <c r="E64" s="47"/>
      <c r="F64" s="60">
        <v>0.1</v>
      </c>
      <c r="G64" s="76"/>
      <c r="H64" s="76"/>
      <c r="I64" s="76"/>
      <c r="J64" s="53"/>
      <c r="K64" s="440"/>
    </row>
    <row r="65" spans="1:11">
      <c r="A65" s="428"/>
      <c r="B65" s="158" t="s">
        <v>220</v>
      </c>
      <c r="C65" s="9" t="s">
        <v>31</v>
      </c>
      <c r="D65" s="9"/>
      <c r="E65" s="9"/>
      <c r="F65" s="16">
        <v>0.05</v>
      </c>
      <c r="G65" s="76"/>
      <c r="H65" s="76"/>
      <c r="I65" s="76"/>
      <c r="J65" s="53"/>
      <c r="K65" s="440"/>
    </row>
    <row r="66" spans="1:11">
      <c r="A66" s="428"/>
      <c r="B66" s="229" t="s">
        <v>221</v>
      </c>
      <c r="C66" s="9" t="s">
        <v>222</v>
      </c>
      <c r="D66" s="54"/>
      <c r="E66" s="55"/>
      <c r="F66" s="20">
        <v>0.05</v>
      </c>
      <c r="G66" s="76"/>
      <c r="H66" s="76"/>
      <c r="I66" s="76"/>
      <c r="J66" s="53"/>
      <c r="K66" s="440"/>
    </row>
    <row r="67" spans="1:11">
      <c r="A67" s="428"/>
      <c r="B67" s="229" t="s">
        <v>223</v>
      </c>
      <c r="C67" s="9" t="s">
        <v>224</v>
      </c>
      <c r="D67" s="9"/>
      <c r="E67" s="9"/>
      <c r="F67" s="20">
        <v>0.05</v>
      </c>
      <c r="G67" s="76"/>
      <c r="H67" s="76"/>
      <c r="I67" s="76"/>
      <c r="J67" s="53"/>
      <c r="K67" s="440"/>
    </row>
    <row r="68" spans="1:11" ht="6" customHeight="1">
      <c r="A68" s="428"/>
      <c r="B68" s="221"/>
      <c r="C68" s="222"/>
      <c r="D68" s="205"/>
      <c r="E68" s="205"/>
      <c r="F68" s="223"/>
      <c r="G68" s="207"/>
      <c r="H68" s="207"/>
      <c r="I68" s="207"/>
      <c r="J68" s="208"/>
      <c r="K68" s="440"/>
    </row>
    <row r="69" spans="1:11" ht="266.10000000000002">
      <c r="A69" s="428"/>
      <c r="B69" s="158" t="s">
        <v>227</v>
      </c>
      <c r="C69" s="115" t="s">
        <v>90</v>
      </c>
      <c r="D69" s="47" t="s">
        <v>91</v>
      </c>
      <c r="E69" s="47" t="s">
        <v>293</v>
      </c>
      <c r="F69" s="60">
        <v>0.2</v>
      </c>
      <c r="G69" s="393" t="s">
        <v>285</v>
      </c>
      <c r="H69" s="393" t="s">
        <v>286</v>
      </c>
      <c r="I69" s="393" t="s">
        <v>287</v>
      </c>
      <c r="J69" s="53"/>
      <c r="K69" s="440"/>
    </row>
    <row r="70" spans="1:11" ht="75" customHeight="1">
      <c r="A70" s="428"/>
      <c r="B70" s="158" t="s">
        <v>232</v>
      </c>
      <c r="C70" s="21" t="s">
        <v>294</v>
      </c>
      <c r="D70" s="394" t="s">
        <v>104</v>
      </c>
      <c r="E70" s="190" t="s">
        <v>105</v>
      </c>
      <c r="F70" s="22">
        <v>0.2</v>
      </c>
      <c r="G70" s="264" t="s">
        <v>295</v>
      </c>
      <c r="H70" s="191" t="s">
        <v>296</v>
      </c>
      <c r="I70" s="191" t="s">
        <v>297</v>
      </c>
      <c r="J70" s="53"/>
      <c r="K70" s="440"/>
    </row>
    <row r="71" spans="1:11" ht="69.95">
      <c r="A71" s="428"/>
      <c r="B71" s="158" t="s">
        <v>246</v>
      </c>
      <c r="C71" s="395" t="s">
        <v>298</v>
      </c>
      <c r="D71" s="394" t="s">
        <v>104</v>
      </c>
      <c r="E71" s="190" t="s">
        <v>105</v>
      </c>
      <c r="F71" s="22">
        <v>0.2</v>
      </c>
      <c r="G71" s="191" t="s">
        <v>299</v>
      </c>
      <c r="H71" s="191" t="s">
        <v>300</v>
      </c>
      <c r="I71" s="191" t="s">
        <v>301</v>
      </c>
      <c r="J71" s="53"/>
      <c r="K71" s="440"/>
    </row>
    <row r="72" spans="1:11" ht="15" thickBot="1">
      <c r="A72" s="428"/>
      <c r="B72" s="224" t="s">
        <v>251</v>
      </c>
      <c r="C72" s="225"/>
      <c r="D72" s="226"/>
      <c r="E72" s="283"/>
      <c r="F72" s="227"/>
      <c r="G72" s="228"/>
      <c r="H72" s="284"/>
      <c r="I72" s="228"/>
      <c r="J72" s="85"/>
      <c r="K72" s="440"/>
    </row>
    <row r="73" spans="1:11" ht="15" thickBot="1">
      <c r="A73" s="429"/>
      <c r="B73" s="249"/>
      <c r="C73" s="250"/>
      <c r="D73" s="251"/>
      <c r="E73" s="252"/>
      <c r="F73" s="253"/>
      <c r="G73" s="254"/>
      <c r="H73" s="254"/>
      <c r="I73" s="254"/>
      <c r="J73" s="237"/>
      <c r="K73" s="440"/>
    </row>
    <row r="74" spans="1:11" ht="15" thickBot="1">
      <c r="A74" s="147">
        <f>SUM(F63:F72)</f>
        <v>1</v>
      </c>
      <c r="B74" s="244"/>
      <c r="C74" s="245"/>
      <c r="D74" s="246"/>
      <c r="E74" s="245"/>
      <c r="F74" s="247"/>
      <c r="G74" s="245"/>
      <c r="H74" s="245"/>
      <c r="I74" s="245"/>
      <c r="J74" s="248"/>
      <c r="K74" s="440"/>
    </row>
    <row r="75" spans="1:11">
      <c r="A75" s="424" t="s">
        <v>302</v>
      </c>
      <c r="B75" s="124" t="s">
        <v>218</v>
      </c>
      <c r="C75" s="116" t="s">
        <v>30</v>
      </c>
      <c r="D75" s="103"/>
      <c r="E75" s="103"/>
      <c r="F75" s="104">
        <v>0.15</v>
      </c>
      <c r="G75" s="110"/>
      <c r="H75" s="110"/>
      <c r="I75" s="110"/>
      <c r="J75" s="79"/>
      <c r="K75" s="435"/>
    </row>
    <row r="76" spans="1:11">
      <c r="A76" s="425"/>
      <c r="B76" s="101" t="s">
        <v>219</v>
      </c>
      <c r="C76" s="11" t="s">
        <v>10</v>
      </c>
      <c r="D76" s="47"/>
      <c r="E76" s="47"/>
      <c r="F76" s="60">
        <v>0.1</v>
      </c>
      <c r="G76" s="52"/>
      <c r="H76" s="52"/>
      <c r="I76" s="19"/>
      <c r="J76" s="53"/>
      <c r="K76" s="436"/>
    </row>
    <row r="77" spans="1:11">
      <c r="A77" s="425"/>
      <c r="B77" s="114" t="s">
        <v>220</v>
      </c>
      <c r="C77" s="9" t="s">
        <v>31</v>
      </c>
      <c r="D77" s="9"/>
      <c r="E77" s="9"/>
      <c r="F77" s="16">
        <v>0.15</v>
      </c>
      <c r="G77" s="11"/>
      <c r="H77" s="11"/>
      <c r="I77" s="11"/>
      <c r="J77" s="53"/>
      <c r="K77" s="436"/>
    </row>
    <row r="78" spans="1:11" ht="6" customHeight="1">
      <c r="A78" s="425"/>
      <c r="B78" s="230"/>
      <c r="C78" s="205"/>
      <c r="D78" s="205"/>
      <c r="E78" s="205"/>
      <c r="F78" s="206"/>
      <c r="G78" s="231"/>
      <c r="H78" s="231"/>
      <c r="I78" s="231"/>
      <c r="J78" s="208"/>
      <c r="K78" s="436"/>
    </row>
    <row r="79" spans="1:11" s="40" customFormat="1" ht="27.95">
      <c r="A79" s="425"/>
      <c r="B79" s="114" t="s">
        <v>227</v>
      </c>
      <c r="C79" s="148" t="s">
        <v>303</v>
      </c>
      <c r="D79" s="97" t="s">
        <v>41</v>
      </c>
      <c r="E79" s="11"/>
      <c r="F79" s="20">
        <v>0.15</v>
      </c>
      <c r="G79" s="9" t="s">
        <v>304</v>
      </c>
      <c r="H79" s="9" t="s">
        <v>305</v>
      </c>
      <c r="I79" s="9" t="s">
        <v>306</v>
      </c>
      <c r="J79" s="53"/>
      <c r="K79" s="436"/>
    </row>
    <row r="80" spans="1:11">
      <c r="A80" s="425"/>
      <c r="B80" s="114" t="s">
        <v>232</v>
      </c>
      <c r="C80" s="11" t="s">
        <v>307</v>
      </c>
      <c r="D80" s="97" t="s">
        <v>104</v>
      </c>
      <c r="E80" s="11"/>
      <c r="F80" s="16">
        <v>0.15</v>
      </c>
      <c r="G80" s="9" t="s">
        <v>243</v>
      </c>
      <c r="H80" s="9" t="s">
        <v>244</v>
      </c>
      <c r="I80" s="9" t="s">
        <v>245</v>
      </c>
      <c r="J80" s="53"/>
      <c r="K80" s="436"/>
    </row>
    <row r="81" spans="1:11" ht="38.1" customHeight="1">
      <c r="A81" s="425"/>
      <c r="B81" s="114" t="s">
        <v>246</v>
      </c>
      <c r="C81" s="148" t="s">
        <v>308</v>
      </c>
      <c r="D81" s="97" t="s">
        <v>104</v>
      </c>
      <c r="E81" s="11"/>
      <c r="F81" s="20">
        <v>0.3</v>
      </c>
      <c r="G81" s="9" t="s">
        <v>309</v>
      </c>
      <c r="H81" s="9" t="s">
        <v>310</v>
      </c>
      <c r="I81" s="9" t="s">
        <v>311</v>
      </c>
      <c r="J81" s="61"/>
      <c r="K81" s="436"/>
    </row>
    <row r="82" spans="1:11" ht="15" thickBot="1">
      <c r="A82" s="426"/>
      <c r="B82" s="114" t="s">
        <v>251</v>
      </c>
      <c r="C82" s="225"/>
      <c r="D82" s="226"/>
      <c r="E82" s="278"/>
      <c r="F82" s="227"/>
      <c r="G82" s="232"/>
      <c r="H82" s="279"/>
      <c r="I82" s="232"/>
      <c r="J82" s="9"/>
      <c r="K82" s="102"/>
    </row>
    <row r="83" spans="1:11" ht="15" thickBot="1">
      <c r="A83" s="426"/>
      <c r="B83" s="235"/>
      <c r="C83" s="238"/>
      <c r="D83" s="239"/>
      <c r="E83" s="236"/>
      <c r="F83" s="240"/>
      <c r="G83" s="241"/>
      <c r="H83" s="241"/>
      <c r="I83" s="241"/>
      <c r="J83" s="242"/>
      <c r="K83" s="243"/>
    </row>
    <row r="84" spans="1:11" ht="15" thickBot="1">
      <c r="A84" s="149">
        <f>SUM(F75:F83)</f>
        <v>1</v>
      </c>
      <c r="B84" s="150"/>
      <c r="C84" s="151"/>
      <c r="D84" s="152"/>
      <c r="E84" s="153"/>
      <c r="F84" s="154"/>
      <c r="G84" s="155"/>
      <c r="H84" s="155"/>
      <c r="I84" s="155"/>
      <c r="J84" s="156"/>
      <c r="K84" s="102"/>
    </row>
    <row r="85" spans="1:11">
      <c r="A85" s="430" t="s">
        <v>312</v>
      </c>
      <c r="B85" s="124" t="s">
        <v>218</v>
      </c>
      <c r="C85" s="116"/>
      <c r="D85" s="103"/>
      <c r="E85" s="103"/>
      <c r="F85" s="104">
        <v>0.15</v>
      </c>
      <c r="G85" s="110"/>
      <c r="H85" s="110"/>
      <c r="I85" s="110"/>
      <c r="J85" s="79"/>
      <c r="K85" s="435"/>
    </row>
    <row r="86" spans="1:11">
      <c r="A86" s="431"/>
      <c r="B86" s="101" t="s">
        <v>219</v>
      </c>
      <c r="C86" s="11"/>
      <c r="D86" s="47"/>
      <c r="E86" s="47"/>
      <c r="F86" s="60">
        <v>0.1</v>
      </c>
      <c r="G86" s="48"/>
      <c r="H86" s="48"/>
      <c r="I86" s="48"/>
      <c r="J86" s="86"/>
      <c r="K86" s="436"/>
    </row>
    <row r="87" spans="1:11">
      <c r="A87" s="431"/>
      <c r="B87" s="114" t="s">
        <v>220</v>
      </c>
      <c r="C87" s="9"/>
      <c r="D87" s="9"/>
      <c r="E87" s="9"/>
      <c r="F87" s="16">
        <v>0.15</v>
      </c>
      <c r="G87" s="48"/>
      <c r="H87" s="48"/>
      <c r="I87" s="48"/>
      <c r="J87" s="86"/>
      <c r="K87" s="436"/>
    </row>
    <row r="88" spans="1:11" ht="7.5" customHeight="1">
      <c r="A88" s="431"/>
      <c r="B88" s="230"/>
      <c r="C88" s="205"/>
      <c r="D88" s="205"/>
      <c r="E88" s="205"/>
      <c r="F88" s="206"/>
      <c r="G88" s="231"/>
      <c r="H88" s="231"/>
      <c r="I88" s="231"/>
      <c r="J88" s="208"/>
      <c r="K88" s="436"/>
    </row>
    <row r="89" spans="1:11">
      <c r="A89" s="431"/>
      <c r="B89" s="114" t="s">
        <v>227</v>
      </c>
      <c r="C89" s="115" t="s">
        <v>313</v>
      </c>
      <c r="D89" s="97" t="s">
        <v>41</v>
      </c>
      <c r="E89" s="47"/>
      <c r="F89" s="60">
        <v>0.2</v>
      </c>
      <c r="G89" s="19" t="s">
        <v>314</v>
      </c>
      <c r="H89" s="19" t="s">
        <v>315</v>
      </c>
      <c r="I89" s="19" t="s">
        <v>316</v>
      </c>
      <c r="J89" s="53"/>
      <c r="K89" s="436"/>
    </row>
    <row r="90" spans="1:11">
      <c r="A90" s="431"/>
      <c r="B90" s="114" t="s">
        <v>232</v>
      </c>
      <c r="C90" s="115" t="s">
        <v>77</v>
      </c>
      <c r="D90" s="97" t="s">
        <v>41</v>
      </c>
      <c r="E90" s="47"/>
      <c r="F90" s="60">
        <v>0.05</v>
      </c>
      <c r="G90" s="76" t="s">
        <v>74</v>
      </c>
      <c r="H90" s="76" t="s">
        <v>75</v>
      </c>
      <c r="I90" s="76" t="s">
        <v>76</v>
      </c>
      <c r="J90" s="53"/>
      <c r="K90" s="436"/>
    </row>
    <row r="91" spans="1:11" ht="15" thickBot="1">
      <c r="A91" s="431"/>
      <c r="B91" s="114" t="s">
        <v>246</v>
      </c>
      <c r="C91" s="216" t="s">
        <v>317</v>
      </c>
      <c r="D91" s="97" t="s">
        <v>41</v>
      </c>
      <c r="E91" s="276"/>
      <c r="F91" s="69">
        <v>0.15</v>
      </c>
      <c r="G91" s="218" t="s">
        <v>318</v>
      </c>
      <c r="H91" s="218" t="s">
        <v>319</v>
      </c>
      <c r="I91" s="218" t="s">
        <v>320</v>
      </c>
      <c r="J91" s="53"/>
      <c r="K91" s="436"/>
    </row>
    <row r="92" spans="1:11" ht="21" customHeight="1" thickBot="1">
      <c r="A92" s="174">
        <f>SUM(F85:F91)</f>
        <v>0.80000000000000016</v>
      </c>
      <c r="B92" s="175"/>
      <c r="C92" s="176"/>
      <c r="D92" s="176"/>
      <c r="E92" s="176"/>
      <c r="F92" s="177"/>
      <c r="G92" s="176"/>
      <c r="H92" s="176"/>
      <c r="I92" s="176"/>
      <c r="J92" s="178"/>
      <c r="K92" s="451"/>
    </row>
    <row r="93" spans="1:11">
      <c r="A93" s="409" t="s">
        <v>321</v>
      </c>
      <c r="B93" s="159" t="s">
        <v>218</v>
      </c>
      <c r="C93" s="116" t="s">
        <v>30</v>
      </c>
      <c r="D93" s="103"/>
      <c r="E93" s="103"/>
      <c r="F93" s="104">
        <v>0.15</v>
      </c>
      <c r="G93" s="110"/>
      <c r="H93" s="110"/>
      <c r="I93" s="110"/>
      <c r="J93" s="79"/>
      <c r="K93" s="435"/>
    </row>
    <row r="94" spans="1:11">
      <c r="A94" s="410"/>
      <c r="B94" s="160" t="s">
        <v>219</v>
      </c>
      <c r="C94" s="11" t="s">
        <v>10</v>
      </c>
      <c r="D94" s="47"/>
      <c r="E94" s="47"/>
      <c r="F94" s="60">
        <v>0.1</v>
      </c>
      <c r="G94" s="76"/>
      <c r="H94" s="76"/>
      <c r="I94" s="76"/>
      <c r="J94" s="53"/>
      <c r="K94" s="436"/>
    </row>
    <row r="95" spans="1:11">
      <c r="A95" s="410"/>
      <c r="B95" s="158" t="s">
        <v>220</v>
      </c>
      <c r="C95" s="9" t="s">
        <v>31</v>
      </c>
      <c r="D95" s="9"/>
      <c r="E95" s="9"/>
      <c r="F95" s="16">
        <v>0.15</v>
      </c>
      <c r="G95" s="76"/>
      <c r="H95" s="76"/>
      <c r="I95" s="76"/>
      <c r="J95" s="53"/>
      <c r="K95" s="436"/>
    </row>
    <row r="96" spans="1:11">
      <c r="A96" s="410"/>
      <c r="B96" s="229" t="s">
        <v>221</v>
      </c>
      <c r="C96" s="9" t="s">
        <v>222</v>
      </c>
      <c r="D96" s="54"/>
      <c r="E96" s="55"/>
      <c r="F96" s="20">
        <v>0.05</v>
      </c>
      <c r="G96" s="76"/>
      <c r="H96" s="76"/>
      <c r="I96" s="76"/>
      <c r="J96" s="53"/>
      <c r="K96" s="436"/>
    </row>
    <row r="97" spans="1:11">
      <c r="A97" s="410"/>
      <c r="B97" s="229" t="s">
        <v>223</v>
      </c>
      <c r="C97" s="9" t="s">
        <v>224</v>
      </c>
      <c r="D97" s="9"/>
      <c r="E97" s="9"/>
      <c r="F97" s="20">
        <v>0.05</v>
      </c>
      <c r="G97" s="76"/>
      <c r="H97" s="76"/>
      <c r="I97" s="76"/>
      <c r="J97" s="53"/>
      <c r="K97" s="436"/>
    </row>
    <row r="98" spans="1:11" ht="7.5" customHeight="1">
      <c r="A98" s="410"/>
      <c r="B98" s="230"/>
      <c r="C98" s="205"/>
      <c r="D98" s="205"/>
      <c r="E98" s="205"/>
      <c r="F98" s="206"/>
      <c r="G98" s="231"/>
      <c r="H98" s="231"/>
      <c r="I98" s="231"/>
      <c r="J98" s="208"/>
      <c r="K98" s="436"/>
    </row>
    <row r="99" spans="1:11" ht="252">
      <c r="A99" s="410"/>
      <c r="B99" s="158" t="s">
        <v>227</v>
      </c>
      <c r="C99" s="115" t="s">
        <v>90</v>
      </c>
      <c r="D99" s="47" t="s">
        <v>91</v>
      </c>
      <c r="E99" s="47" t="s">
        <v>228</v>
      </c>
      <c r="F99" s="60">
        <v>0.2</v>
      </c>
      <c r="G99" s="76" t="s">
        <v>322</v>
      </c>
      <c r="H99" s="76" t="s">
        <v>323</v>
      </c>
      <c r="I99" s="76" t="s">
        <v>324</v>
      </c>
      <c r="J99" s="53"/>
      <c r="K99" s="436"/>
    </row>
    <row r="100" spans="1:11" ht="111.95">
      <c r="A100" s="410"/>
      <c r="B100" s="158" t="s">
        <v>232</v>
      </c>
      <c r="C100" s="115" t="s">
        <v>325</v>
      </c>
      <c r="D100" s="47" t="s">
        <v>41</v>
      </c>
      <c r="E100" s="47" t="s">
        <v>326</v>
      </c>
      <c r="F100" s="60">
        <v>0.2</v>
      </c>
      <c r="G100" s="52" t="s">
        <v>327</v>
      </c>
      <c r="H100" s="52" t="s">
        <v>328</v>
      </c>
      <c r="I100" s="52" t="s">
        <v>329</v>
      </c>
      <c r="J100" s="53"/>
      <c r="K100" s="436"/>
    </row>
    <row r="101" spans="1:11" ht="126">
      <c r="A101" s="410"/>
      <c r="B101" s="158" t="s">
        <v>246</v>
      </c>
      <c r="C101" s="404" t="s">
        <v>330</v>
      </c>
      <c r="D101" s="400" t="s">
        <v>41</v>
      </c>
      <c r="E101" s="405" t="s">
        <v>331</v>
      </c>
      <c r="F101" s="20">
        <v>0.2</v>
      </c>
      <c r="G101" s="406" t="s">
        <v>332</v>
      </c>
      <c r="H101" s="406" t="s">
        <v>333</v>
      </c>
      <c r="I101" s="406" t="s">
        <v>334</v>
      </c>
      <c r="J101" s="53"/>
      <c r="K101" s="436"/>
    </row>
    <row r="102" spans="1:11">
      <c r="A102" s="410"/>
      <c r="B102" s="158" t="s">
        <v>251</v>
      </c>
      <c r="C102" s="115"/>
      <c r="D102" s="400" t="s">
        <v>41</v>
      </c>
      <c r="E102" s="11"/>
      <c r="F102" s="16"/>
      <c r="G102" s="52" t="s">
        <v>335</v>
      </c>
      <c r="H102" s="52" t="s">
        <v>336</v>
      </c>
      <c r="I102" s="52" t="s">
        <v>337</v>
      </c>
      <c r="J102" s="53"/>
      <c r="K102" s="436"/>
    </row>
    <row r="103" spans="1:11" ht="15" thickBot="1">
      <c r="A103" s="271">
        <f>SUM(F93:F102)</f>
        <v>1.0999999999999999</v>
      </c>
      <c r="B103" s="179"/>
      <c r="C103" s="180"/>
      <c r="D103" s="171"/>
      <c r="E103" s="180"/>
      <c r="F103" s="172"/>
      <c r="G103" s="180"/>
      <c r="H103" s="180"/>
      <c r="I103" s="180"/>
      <c r="J103" s="181"/>
      <c r="K103" s="450"/>
    </row>
    <row r="104" spans="1:11">
      <c r="A104" s="411" t="s">
        <v>338</v>
      </c>
      <c r="B104" s="159" t="s">
        <v>218</v>
      </c>
      <c r="C104" s="116" t="s">
        <v>30</v>
      </c>
      <c r="D104" s="103"/>
      <c r="E104" s="103"/>
      <c r="F104" s="104">
        <v>0.15</v>
      </c>
      <c r="G104" s="110"/>
      <c r="H104" s="110"/>
      <c r="I104" s="110"/>
      <c r="J104" s="79"/>
      <c r="K104" s="435"/>
    </row>
    <row r="105" spans="1:11">
      <c r="A105" s="412"/>
      <c r="B105" s="160" t="s">
        <v>219</v>
      </c>
      <c r="C105" s="11" t="s">
        <v>10</v>
      </c>
      <c r="D105" s="47"/>
      <c r="E105" s="47"/>
      <c r="F105" s="60">
        <v>0.1</v>
      </c>
      <c r="G105" s="76"/>
      <c r="H105" s="76"/>
      <c r="I105" s="76"/>
      <c r="J105" s="53"/>
      <c r="K105" s="436"/>
    </row>
    <row r="106" spans="1:11">
      <c r="A106" s="412"/>
      <c r="B106" s="158" t="s">
        <v>220</v>
      </c>
      <c r="C106" s="9" t="s">
        <v>31</v>
      </c>
      <c r="D106" s="9"/>
      <c r="E106" s="9"/>
      <c r="F106" s="16">
        <v>0.15</v>
      </c>
      <c r="G106" s="76"/>
      <c r="H106" s="76"/>
      <c r="I106" s="76"/>
      <c r="J106" s="53"/>
      <c r="K106" s="436"/>
    </row>
    <row r="107" spans="1:11">
      <c r="A107" s="412"/>
      <c r="B107" s="229"/>
      <c r="C107" s="9"/>
      <c r="D107" s="54"/>
      <c r="E107" s="55"/>
      <c r="F107" s="20"/>
      <c r="G107" s="76"/>
      <c r="H107" s="76"/>
      <c r="I107" s="76"/>
      <c r="J107" s="53"/>
      <c r="K107" s="436"/>
    </row>
    <row r="108" spans="1:11">
      <c r="A108" s="412"/>
      <c r="B108" s="229"/>
      <c r="C108" s="9"/>
      <c r="D108" s="9"/>
      <c r="E108" s="9"/>
      <c r="F108" s="20"/>
      <c r="G108" s="76"/>
      <c r="H108" s="76"/>
      <c r="I108" s="76"/>
      <c r="J108" s="53"/>
      <c r="K108" s="436"/>
    </row>
    <row r="109" spans="1:11" ht="9.9499999999999993" customHeight="1">
      <c r="A109" s="412"/>
      <c r="B109" s="230"/>
      <c r="C109" s="205"/>
      <c r="D109" s="205"/>
      <c r="E109" s="205"/>
      <c r="F109" s="206"/>
      <c r="G109" s="231"/>
      <c r="H109" s="231"/>
      <c r="I109" s="231"/>
      <c r="J109" s="208"/>
      <c r="K109" s="436"/>
    </row>
    <row r="110" spans="1:11" ht="38.1" customHeight="1">
      <c r="A110" s="412"/>
      <c r="B110" s="158" t="s">
        <v>227</v>
      </c>
      <c r="C110" s="115" t="s">
        <v>339</v>
      </c>
      <c r="D110" s="47" t="s">
        <v>41</v>
      </c>
      <c r="E110" s="47"/>
      <c r="F110" s="60">
        <v>0.15</v>
      </c>
      <c r="G110" s="76" t="s">
        <v>340</v>
      </c>
      <c r="H110" s="76" t="s">
        <v>341</v>
      </c>
      <c r="I110" s="76" t="s">
        <v>342</v>
      </c>
      <c r="J110" s="163"/>
      <c r="K110" s="436"/>
    </row>
    <row r="111" spans="1:11" ht="27.95">
      <c r="A111" s="412"/>
      <c r="B111" s="158" t="s">
        <v>232</v>
      </c>
      <c r="C111" s="148" t="s">
        <v>343</v>
      </c>
      <c r="D111" s="47" t="s">
        <v>41</v>
      </c>
      <c r="E111" s="11"/>
      <c r="F111" s="20">
        <v>0.15</v>
      </c>
      <c r="G111" s="9" t="s">
        <v>344</v>
      </c>
      <c r="H111" s="9" t="s">
        <v>345</v>
      </c>
      <c r="I111" s="9" t="s">
        <v>346</v>
      </c>
      <c r="J111" s="163"/>
      <c r="K111" s="436"/>
    </row>
    <row r="112" spans="1:11">
      <c r="A112" s="412"/>
      <c r="B112" s="158" t="s">
        <v>246</v>
      </c>
      <c r="C112" s="11" t="s">
        <v>347</v>
      </c>
      <c r="D112" s="47" t="s">
        <v>41</v>
      </c>
      <c r="E112" s="11"/>
      <c r="F112" s="16">
        <v>0.15</v>
      </c>
      <c r="G112" s="9" t="s">
        <v>243</v>
      </c>
      <c r="H112" s="9" t="s">
        <v>244</v>
      </c>
      <c r="I112" s="9" t="s">
        <v>245</v>
      </c>
      <c r="J112" s="53"/>
      <c r="K112" s="450"/>
    </row>
    <row r="113" spans="1:11">
      <c r="A113" s="412"/>
      <c r="B113" s="158"/>
      <c r="C113" s="11"/>
      <c r="D113" s="47"/>
      <c r="E113" s="11"/>
      <c r="F113" s="23"/>
      <c r="G113" s="11"/>
      <c r="H113" s="11"/>
      <c r="I113" s="11"/>
      <c r="J113" s="53"/>
      <c r="K113" s="450"/>
    </row>
    <row r="114" spans="1:11">
      <c r="A114" s="413"/>
      <c r="B114" s="114"/>
      <c r="C114" s="216"/>
      <c r="D114" s="269"/>
      <c r="E114" s="276"/>
      <c r="F114" s="69"/>
      <c r="G114" s="218"/>
      <c r="H114" s="281"/>
      <c r="I114" s="218"/>
      <c r="J114" s="53"/>
      <c r="K114" s="450"/>
    </row>
    <row r="115" spans="1:11" ht="15" thickBot="1">
      <c r="A115" s="413"/>
      <c r="B115" s="158"/>
      <c r="C115" s="9"/>
      <c r="D115" s="7"/>
      <c r="E115" s="7"/>
      <c r="F115" s="16"/>
      <c r="G115" s="11"/>
      <c r="H115" s="11"/>
      <c r="I115" s="11"/>
      <c r="J115" s="53"/>
      <c r="K115" s="450"/>
    </row>
    <row r="116" spans="1:11" ht="15" thickBot="1">
      <c r="A116" s="182">
        <f>SUM(F104:F115)</f>
        <v>0.85000000000000009</v>
      </c>
      <c r="B116" s="183"/>
      <c r="C116" s="184"/>
      <c r="D116" s="185"/>
      <c r="E116" s="184"/>
      <c r="F116" s="186"/>
      <c r="G116" s="184"/>
      <c r="H116" s="184"/>
      <c r="I116" s="184"/>
      <c r="J116" s="187"/>
      <c r="K116" s="451"/>
    </row>
    <row r="117" spans="1:11">
      <c r="A117" s="414" t="s">
        <v>348</v>
      </c>
      <c r="B117" s="159" t="s">
        <v>218</v>
      </c>
      <c r="C117" s="116" t="s">
        <v>30</v>
      </c>
      <c r="D117" s="103"/>
      <c r="E117" s="103"/>
      <c r="F117" s="104">
        <v>0.15</v>
      </c>
      <c r="G117" s="110"/>
      <c r="H117" s="110"/>
      <c r="I117" s="110"/>
      <c r="J117" s="79"/>
      <c r="K117" s="435"/>
    </row>
    <row r="118" spans="1:11">
      <c r="A118" s="415"/>
      <c r="B118" s="160" t="s">
        <v>219</v>
      </c>
      <c r="C118" s="11" t="s">
        <v>10</v>
      </c>
      <c r="D118" s="47"/>
      <c r="E118" s="47"/>
      <c r="F118" s="60">
        <v>0.1</v>
      </c>
      <c r="G118" s="76"/>
      <c r="H118" s="76"/>
      <c r="I118" s="76"/>
      <c r="J118" s="86"/>
      <c r="K118" s="436"/>
    </row>
    <row r="119" spans="1:11">
      <c r="A119" s="415"/>
      <c r="B119" s="158" t="s">
        <v>220</v>
      </c>
      <c r="C119" s="9" t="s">
        <v>31</v>
      </c>
      <c r="D119" s="9"/>
      <c r="E119" s="9"/>
      <c r="F119" s="16">
        <v>0.15</v>
      </c>
      <c r="G119" s="76"/>
      <c r="H119" s="76"/>
      <c r="I119" s="76"/>
      <c r="J119" s="86"/>
      <c r="K119" s="436"/>
    </row>
    <row r="120" spans="1:11">
      <c r="A120" s="415"/>
      <c r="B120" s="229" t="s">
        <v>221</v>
      </c>
      <c r="C120" s="9" t="s">
        <v>222</v>
      </c>
      <c r="D120" s="54"/>
      <c r="E120" s="55"/>
      <c r="F120" s="20">
        <v>0.05</v>
      </c>
      <c r="G120" s="76"/>
      <c r="H120" s="76"/>
      <c r="I120" s="76"/>
      <c r="J120" s="86"/>
      <c r="K120" s="436"/>
    </row>
    <row r="121" spans="1:11">
      <c r="A121" s="415"/>
      <c r="B121" s="229" t="s">
        <v>223</v>
      </c>
      <c r="C121" s="9" t="s">
        <v>224</v>
      </c>
      <c r="D121" s="9"/>
      <c r="E121" s="9"/>
      <c r="F121" s="20">
        <v>0.05</v>
      </c>
      <c r="G121" s="76"/>
      <c r="H121" s="76"/>
      <c r="I121" s="76"/>
      <c r="J121" s="86"/>
      <c r="K121" s="436"/>
    </row>
    <row r="122" spans="1:11" ht="6.95" customHeight="1">
      <c r="A122" s="415"/>
      <c r="B122" s="230"/>
      <c r="C122" s="205"/>
      <c r="D122" s="205"/>
      <c r="E122" s="205"/>
      <c r="F122" s="206"/>
      <c r="G122" s="231"/>
      <c r="H122" s="231"/>
      <c r="I122" s="231"/>
      <c r="J122" s="208"/>
      <c r="K122" s="436"/>
    </row>
    <row r="123" spans="1:11" ht="111.95">
      <c r="A123" s="415"/>
      <c r="B123" s="158" t="s">
        <v>227</v>
      </c>
      <c r="C123" s="399" t="s">
        <v>325</v>
      </c>
      <c r="D123" s="400" t="s">
        <v>41</v>
      </c>
      <c r="E123" s="400" t="s">
        <v>349</v>
      </c>
      <c r="F123" s="401">
        <v>0.1</v>
      </c>
      <c r="G123" s="402" t="s">
        <v>327</v>
      </c>
      <c r="H123" s="402" t="s">
        <v>328</v>
      </c>
      <c r="I123" s="402" t="s">
        <v>329</v>
      </c>
      <c r="J123" s="403"/>
      <c r="K123" s="436"/>
    </row>
    <row r="124" spans="1:11">
      <c r="A124" s="415"/>
      <c r="B124" s="158" t="s">
        <v>232</v>
      </c>
      <c r="C124" s="9"/>
      <c r="D124" s="7"/>
      <c r="E124" s="7"/>
      <c r="F124" s="23"/>
      <c r="G124" s="7"/>
      <c r="H124" s="7"/>
      <c r="I124" s="7"/>
      <c r="J124" s="53"/>
      <c r="K124" s="436"/>
    </row>
    <row r="125" spans="1:11">
      <c r="A125" s="415"/>
      <c r="B125" s="158" t="s">
        <v>246</v>
      </c>
      <c r="C125" s="11"/>
      <c r="D125" s="7"/>
      <c r="E125" s="7"/>
      <c r="F125" s="23"/>
      <c r="G125" s="7"/>
      <c r="H125"/>
      <c r="I125"/>
      <c r="J125" s="53"/>
      <c r="K125" s="436"/>
    </row>
    <row r="126" spans="1:11" ht="15" thickBot="1">
      <c r="A126" s="415"/>
      <c r="B126" s="158" t="s">
        <v>251</v>
      </c>
      <c r="C126" s="11"/>
      <c r="D126" s="7"/>
      <c r="E126" s="7"/>
      <c r="F126" s="23"/>
      <c r="G126" s="7"/>
      <c r="H126" s="7"/>
      <c r="I126" s="7"/>
      <c r="J126" s="85"/>
      <c r="K126" s="436"/>
    </row>
    <row r="127" spans="1:11" ht="15" thickBot="1">
      <c r="A127" s="141">
        <f>SUM(F117:F126)</f>
        <v>0.6</v>
      </c>
      <c r="B127" s="194"/>
      <c r="C127" s="195"/>
      <c r="D127" s="196"/>
      <c r="E127" s="196"/>
      <c r="F127" s="197"/>
      <c r="G127" s="198"/>
      <c r="H127" s="198"/>
      <c r="I127" s="198"/>
      <c r="J127" s="199"/>
      <c r="K127" s="436"/>
    </row>
    <row r="129" spans="3:9">
      <c r="G129" s="263"/>
      <c r="H129" s="263"/>
      <c r="I129" s="263"/>
    </row>
    <row r="130" spans="3:9">
      <c r="C130" s="263"/>
      <c r="D130" s="263"/>
      <c r="E130" s="263"/>
    </row>
    <row r="146" spans="186:190">
      <c r="GF146" s="12">
        <v>120</v>
      </c>
      <c r="GG146" s="12">
        <v>100</v>
      </c>
      <c r="GH146" s="12">
        <v>80</v>
      </c>
    </row>
    <row r="147" spans="186:190">
      <c r="GD147" s="12" t="s">
        <v>350</v>
      </c>
      <c r="GE147" s="12">
        <v>0.2</v>
      </c>
      <c r="GF147" s="12">
        <f>GE147*GF146</f>
        <v>24</v>
      </c>
    </row>
    <row r="148" spans="186:190">
      <c r="GD148" s="12" t="s">
        <v>351</v>
      </c>
      <c r="GE148" s="12">
        <v>0.4</v>
      </c>
      <c r="GF148" s="12">
        <f>GE148*GF146</f>
        <v>48</v>
      </c>
    </row>
    <row r="149" spans="186:190">
      <c r="GD149" s="12" t="s">
        <v>352</v>
      </c>
      <c r="GE149" s="12">
        <v>0.4</v>
      </c>
      <c r="GF149" s="12">
        <f>GE149*GF146</f>
        <v>48</v>
      </c>
    </row>
    <row r="152" spans="186:190">
      <c r="GF152" s="12">
        <f>SUM(GF147:GH149)</f>
        <v>120</v>
      </c>
    </row>
  </sheetData>
  <autoFilter ref="A1:P127" xr:uid="{00000000-0009-0000-0000-000000000000}"/>
  <mergeCells count="22">
    <mergeCell ref="K117:K127"/>
    <mergeCell ref="K2:K16"/>
    <mergeCell ref="K17:K27"/>
    <mergeCell ref="K28:K41"/>
    <mergeCell ref="K42:K51"/>
    <mergeCell ref="K52:K62"/>
    <mergeCell ref="K93:K103"/>
    <mergeCell ref="K104:K116"/>
    <mergeCell ref="K63:K74"/>
    <mergeCell ref="K75:K81"/>
    <mergeCell ref="K85:K92"/>
    <mergeCell ref="A93:A102"/>
    <mergeCell ref="A104:A115"/>
    <mergeCell ref="A117:A126"/>
    <mergeCell ref="A2:A15"/>
    <mergeCell ref="A28:A40"/>
    <mergeCell ref="A42:A50"/>
    <mergeCell ref="A52:A61"/>
    <mergeCell ref="A75:A83"/>
    <mergeCell ref="A63:A73"/>
    <mergeCell ref="A85:A91"/>
    <mergeCell ref="A17:A26"/>
  </mergeCells>
  <pageMargins left="0.511811024" right="0.511811024" top="0.78740157499999996" bottom="0.78740157499999996" header="0.31496062000000002" footer="0.31496062000000002"/>
  <pageSetup paperSize="9"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248e373-0438-46e2-a27e-39069ecf3149">
      <Value>1</Value>
    </TaxCatchAll>
    <Data_x0020_de_x0020_Expiracao xmlns="8248e373-0438-46e2-a27e-39069ecf3149" xsi:nil="true"/>
    <Data_x0020_Referência xmlns="8248e373-0438-46e2-a27e-39069ecf3149">2020-11-03T07:09:34+00:00</Data_x0020_Referência>
    <ke64188649d44821b8bda8421c13ce49 xmlns="8248e373-0438-46e2-a27e-39069ecf3149">
      <Terms xmlns="http://schemas.microsoft.com/office/infopath/2007/PartnerControls">
        <TermInfo xmlns="http://schemas.microsoft.com/office/infopath/2007/PartnerControls">
          <TermName xmlns="http://schemas.microsoft.com/office/infopath/2007/PartnerControls">China Three Gorges Brasil Energia Ltda.</TermName>
          <TermId xmlns="http://schemas.microsoft.com/office/infopath/2007/PartnerControls">bd9e5de4-1f58-44d1-96ee-68e2ca978b4f</TermId>
        </TermInfo>
      </Terms>
    </ke64188649d44821b8bda8421c13ce49>
    <Referencia1 xmlns="8248e373-0438-46e2-a27e-39069ecf314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ontrato" ma:contentTypeID="0x0101008FAA4CACFC817048863D1F60A7ACC063004CC3A0A6AE25874681722C75F69943AE" ma:contentTypeVersion="12" ma:contentTypeDescription="" ma:contentTypeScope="" ma:versionID="e232d86ba58fbc652545108979877c6b">
  <xsd:schema xmlns:xsd="http://www.w3.org/2001/XMLSchema" xmlns:xs="http://www.w3.org/2001/XMLSchema" xmlns:p="http://schemas.microsoft.com/office/2006/metadata/properties" xmlns:ns2="8248e373-0438-46e2-a27e-39069ecf3149" targetNamespace="http://schemas.microsoft.com/office/2006/metadata/properties" ma:root="true" ma:fieldsID="3ad36fb883decfbdb29f196a5ec6b0b5" ns2:_="">
    <xsd:import namespace="8248e373-0438-46e2-a27e-39069ecf3149"/>
    <xsd:element name="properties">
      <xsd:complexType>
        <xsd:sequence>
          <xsd:element name="documentManagement">
            <xsd:complexType>
              <xsd:all>
                <xsd:element ref="ns2:Data_x0020_de_x0020_Expiracao" minOccurs="0"/>
                <xsd:element ref="ns2:Data_x0020_Referência"/>
                <xsd:element ref="ns2:ke64188649d44821b8bda8421c13ce49" minOccurs="0"/>
                <xsd:element ref="ns2:TaxCatchAll" minOccurs="0"/>
                <xsd:element ref="ns2:TaxCatchAllLabel" minOccurs="0"/>
                <xsd:element ref="ns2:Referencia1"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48e373-0438-46e2-a27e-39069ecf3149" elementFormDefault="qualified">
    <xsd:import namespace="http://schemas.microsoft.com/office/2006/documentManagement/types"/>
    <xsd:import namespace="http://schemas.microsoft.com/office/infopath/2007/PartnerControls"/>
    <xsd:element name="Data_x0020_de_x0020_Expiracao" ma:index="8" nillable="true" ma:displayName="Data de Expiração" ma:format="DateOnly" ma:internalName="Data_x0020_de_x0020_Expiracao">
      <xsd:simpleType>
        <xsd:restriction base="dms:DateTime"/>
      </xsd:simpleType>
    </xsd:element>
    <xsd:element name="Data_x0020_Referência" ma:index="9" ma:displayName="Data de Referência" ma:default="[today]" ma:format="DateOnly" ma:internalName="Data_x0020_Refer_x00ea_ncia" ma:readOnly="false">
      <xsd:simpleType>
        <xsd:restriction base="dms:DateTime"/>
      </xsd:simpleType>
    </xsd:element>
    <xsd:element name="ke64188649d44821b8bda8421c13ce49" ma:index="10" nillable="true" ma:taxonomy="true" ma:internalName="ke64188649d44821b8bda8421c13ce49" ma:taxonomyFieldName="Empresa_x0020_ou_x0020_Unidade" ma:displayName="Empresa ou Unidade" ma:readOnly="false" ma:default="" ma:fieldId="{4e641886-49d4-4821-b8bd-a8421c13ce49}" ma:sspId="46dca550-4456-4e9c-8026-cc2d2adf15de" ma:termSetId="5b0bdd3a-80cc-4f9e-a7c0-a5d16ea07a5b"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3b528cf3-ce1d-43c6-a80b-10c37a73b30c}" ma:internalName="TaxCatchAll" ma:showField="CatchAllData" ma:web="56649bde-76e5-4c16-b305-3bfd6806c2a6">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3b528cf3-ce1d-43c6-a80b-10c37a73b30c}" ma:internalName="TaxCatchAllLabel" ma:readOnly="true" ma:showField="CatchAllDataLabel" ma:web="56649bde-76e5-4c16-b305-3bfd6806c2a6">
      <xsd:complexType>
        <xsd:complexContent>
          <xsd:extension base="dms:MultiChoiceLookup">
            <xsd:sequence>
              <xsd:element name="Value" type="dms:Lookup" maxOccurs="unbounded" minOccurs="0" nillable="true"/>
            </xsd:sequence>
          </xsd:extension>
        </xsd:complexContent>
      </xsd:complexType>
    </xsd:element>
    <xsd:element name="Referencia1" ma:index="14" nillable="true" ma:displayName="Referência" ma:internalName="Referencia1">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46dca550-4456-4e9c-8026-cc2d2adf15de" ContentTypeId="0x0101008FAA4CACFC817048863D1F60A7ACC063" PreviousValue="false"/>
</file>

<file path=customXml/itemProps1.xml><?xml version="1.0" encoding="utf-8"?>
<ds:datastoreItem xmlns:ds="http://schemas.openxmlformats.org/officeDocument/2006/customXml" ds:itemID="{E019E4C5-B58E-4B8B-B8B0-CDE7159CECF7}"/>
</file>

<file path=customXml/itemProps2.xml><?xml version="1.0" encoding="utf-8"?>
<ds:datastoreItem xmlns:ds="http://schemas.openxmlformats.org/officeDocument/2006/customXml" ds:itemID="{4D332B63-5C54-43A9-B946-85EC724013FD}"/>
</file>

<file path=customXml/itemProps3.xml><?xml version="1.0" encoding="utf-8"?>
<ds:datastoreItem xmlns:ds="http://schemas.openxmlformats.org/officeDocument/2006/customXml" ds:itemID="{125F1FD9-D6CA-49C5-B859-3B4AE9553C55}"/>
</file>

<file path=customXml/itemProps4.xml><?xml version="1.0" encoding="utf-8"?>
<ds:datastoreItem xmlns:ds="http://schemas.openxmlformats.org/officeDocument/2006/customXml" ds:itemID="{99B6FB4E-751B-4C91-B9EA-084D336219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Castilho, Renato J</dc:creator>
  <cp:keywords/>
  <dc:description/>
  <cp:lastModifiedBy/>
  <cp:revision/>
  <dcterms:created xsi:type="dcterms:W3CDTF">2018-08-06T11:23:49Z</dcterms:created>
  <dcterms:modified xsi:type="dcterms:W3CDTF">2026-05-04T18:37:53Z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0x0101008FAA4CACFC817048863D1F60A7ACC063004CC3A0A6AE25874681722C75F69943AE</vt:lpwstr>
  </property>
  <property fmtid="{D5CDD505-2E9C-101B-9397-08002B2CF9AE}" pid="3" name="TaxKeyword">
    <vt:lpwstr/>
  </property>
  <property fmtid="{D5CDD505-2E9C-101B-9397-08002B2CF9AE}" pid="4" name="Empresa ou Unidade">
    <vt:lpwstr>1;#China Three Gorges Brasil Energia Ltda.|bd9e5de4-1f58-44d1-96ee-68e2ca978b4f</vt:lpwstr>
  </property>
  <property fmtid="{D5CDD505-2E9C-101B-9397-08002B2CF9AE}" pid="5" name="MediaServiceImageTags">
    <vt:lpwstr/>
  </property>
  <property fmtid="{D5CDD505-2E9C-101B-9397-08002B2CF9AE}" pid="6" name="lcf76f155ced4ddcb4097134ff3c332f">
    <vt:lpwstr/>
  </property>
  <property fmtid="{D5CDD505-2E9C-101B-9397-08002B2CF9AE}" pid="7" name="SharedWithUsers">
    <vt:lpwstr>91;#Rubens Marras Filho</vt:lpwstr>
  </property>
  <property fmtid="{D5CDD505-2E9C-101B-9397-08002B2CF9AE}" pid="8" name="Empresa_x0020_ou_x0020_Unidade">
    <vt:lpwstr>1;#China Three Gorges Brasil Energia Ltda.|bd9e5de4-1f58-44d1-96ee-68e2ca978b4f</vt:lpwstr>
  </property>
</Properties>
</file>